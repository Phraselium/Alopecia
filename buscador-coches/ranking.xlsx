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uncios" sheetId="1" state="visible" r:id="rId1"/>
    <sheet xmlns:r="http://schemas.openxmlformats.org/officeDocument/2006/relationships" name="Top20" sheetId="2" state="visible" r:id="rId2"/>
    <sheet xmlns:r="http://schemas.openxmlformats.org/officeDocument/2006/relationships" name="Supuestos" sheetId="3" state="visible" r:id="rId3"/>
  </sheets>
  <definedNames>
    <definedName name="W_FIAB">Supuestos!$B$7</definedName>
    <definedName name="W_PRECIO">Supuestos!$B$8</definedName>
    <definedName name="W_ESTADO">Supuestos!$B$9</definedName>
    <definedName name="W_ESTETICA">Supuestos!$B$10</definedName>
    <definedName name="W_SEGVIAL">Supuestos!$B$11</definedName>
    <definedName name="W_SEGURIDAD">Supuestos!$B$12</definedName>
    <definedName name="W_USO">Supuestos!$B$13</definedName>
    <definedName name="W_KMEDAD">Supuestos!$B$14</definedName>
    <definedName name="W_REVENTA">Supuestos!$B$15</definedName>
    <definedName name="W_COLOR">Supuestos!$B$16</definedName>
    <definedName name="W_SUMA">Supuestos!$B$17</definedName>
    <definedName name="ANIO_ACTUAL">Supuestos!$B$21</definedName>
    <definedName name="ANIO_MIN">Supuestos!$B$22</definedName>
    <definedName name="KM_MAX">Supuestos!$B$23</definedName>
    <definedName name="PRECIO_MAX">Supuestos!$B$24</definedName>
    <definedName name="TOTAL_MAX">Supuestos!$B$25</definedName>
    <definedName name="TECHO">Supuestos!$B$26</definedName>
    <definedName name="PEN_100">Supuestos!$B$27</definedName>
    <definedName name="SEG_ANIO">Supuestos!$B$28</definedName>
    <definedName name="SEG_KM">Supuestos!$B$29</definedName>
    <definedName name="MIN_N">Supuestos!$B$30</definedName>
    <definedName name="PRECIO_PEND">Supuestos!$B$31</definedName>
    <definedName name="KM_TOPE_DESDE">Supuestos!$B$32</definedName>
    <definedName name="KM_TOPE_PTS">Supuestos!$B$33</definedName>
    <definedName name="ROB_PEN">Supuestos!$B$34</definedName>
    <definedName name="KMA_IDEAL_MAX">Supuestos!$B$35</definedName>
    <definedName name="KMA_CERO">Supuestos!$B$36</definedName>
    <definedName name="KMA_SOSP">Supuestos!$B$37</definedName>
    <definedName name="KMA_PEN">Supuestos!$B$38</definedName>
    <definedName name="W_KMT">Supuestos!$B$39</definedName>
    <definedName name="W_KMA">Supuestos!$B$40</definedName>
    <definedName name="W_EDAD">Supuestos!$B$41</definedName>
    <definedName name="E_ITV">Supuestos!$B$42</definedName>
    <definedName name="E_LIBRO">Supuestos!$B$43</definedName>
    <definedName name="E_PROP">Supuestos!$B$44</definedName>
    <definedName name="E_CORREA">Supuestos!$B$45</definedName>
    <definedName name="E_FACT">Supuestos!$B$46</definedName>
    <definedName name="W_ET">Supuestos!$B$47</definedName>
    <definedName name="W_CONS">Supuestos!$B$48</definedName>
    <definedName name="W_SEG">Supuestos!$B$49</definedName>
    <definedName name="W_MANT">Supuestos!$B$50</definedName>
    <definedName name="NEUTRO">Supuestos!$B$51</definedName>
    <definedName name="SG_GAR">Supuestos!$B$52</definedName>
    <definedName name="SG_GAR_FULL">Supuestos!$B$53</definedName>
    <definedName name="SG_AMPL">Supuestos!$B$54</definedName>
    <definedName name="SG_KMC">Supuestos!$B$55</definedName>
    <definedName name="SG_REV">Supuestos!$B$56</definedName>
    <definedName name="SG_DEV">Supuestos!$B$57</definedName>
    <definedName name="SG_DEV_FULL">Supuestos!$B$58</definedName>
    <definedName name="SG_HIST">Supuestos!$B$59</definedName>
    <definedName name="SG_LEGAL_ON">Supuestos!$B$60</definedName>
    <definedName name="GAR_LEGAL">Supuestos!$B$61</definedName>
    <definedName name="SG_PART_PEN">Supuestos!$B$62</definedName>
    <definedName name="SV_W_NCAP">Supuestos!$B$63</definedName>
    <definedName name="SV_W_ESP">Supuestos!$B$64</definedName>
    <definedName name="RV_W_LIQ">Supuestos!$B$65</definedName>
    <definedName name="RV_N_FULL">Supuestos!$B$66</definedName>
    <definedName name="RV_W_DIAS">Supuestos!$B$67</definedName>
    <definedName name="RV_DIAS_FULL">Supuestos!$B$68</definedName>
    <definedName name="RV_DIAS_CERO">Supuestos!$B$69</definedName>
    <definedName name="RV_DIAS_MIN">Supuestos!$B$70</definedName>
    <definedName name="RV_W_ETQ">Supuestos!$B$71</definedName>
    <definedName name="ITP_TIPO">Supuestos!$B$75</definedName>
    <definedName name="CUOTA_VALOR_MAX">Supuestos!$B$76</definedName>
    <definedName name="TASA_DGT">Supuestos!$B$77</definedName>
    <definedName name="INFORME_DGT">Supuestos!$B$78</definedName>
    <definedName name="ITP_TRAMO_ALTO">Supuestos!$B$79</definedName>
    <definedName name="ITP_TRAMO_BAJO">Supuestos!$B$80</definedName>
    <definedName name="CF_MAS">Supuestos!$A$86:$A$91</definedName>
    <definedName name="CF_CCMIN">Supuestos!$B$86:$B$91</definedName>
    <definedName name="CF_CCMAX">Supuestos!$C$86:$C$91</definedName>
    <definedName name="CF_CUOTA">Supuestos!$D$86:$D$91</definedName>
    <definedName name="GAS_B_YM">Supuestos!$B$98</definedName>
    <definedName name="GAS_C_YM">Supuestos!$B$99</definedName>
    <definedName name="DIE_B_YM">Supuestos!$B$100</definedName>
    <definedName name="DIE_C_YM">Supuestos!$B$101</definedName>
    <definedName name="FR_FUEL">Supuestos!$A$109:$A$113</definedName>
    <definedName name="FR_YEAR">Supuestos!$B$109:$B$113</definedName>
    <definedName name="ETQ_TBL">Supuestos!$A$135:$B$139</definedName>
    <definedName name="ETQ_PEN_DUD">Supuestos!$B$140</definedName>
    <definedName name="ETQ_PEN_REGLA">Supuestos!$B$141</definedName>
    <definedName name="CARR_PEN_TBL">Supuestos!$A$144:$B$145</definedName>
    <definedName name="EST_W_MOD">Supuestos!$B$148</definedName>
    <definedName name="EST_W_ATR">Supuestos!$B$149</definedName>
    <definedName name="ATR_BASE">Supuestos!$B$150</definedName>
    <definedName name="ATR_ACAB">Supuestos!$B$151</definedName>
    <definedName name="ATR_LL">Supuestos!$B$152</definedName>
    <definedName name="ATR_LL16">Supuestos!$B$153</definedName>
    <definedName name="ATR_FAROS">Supuestos!$B$154</definedName>
    <definedName name="ATR_TINT">Supuestos!$B$155</definedName>
    <definedName name="ATR_CHAPA">Supuestos!$B$156</definedName>
    <definedName name="COLOR_TBL">Supuestos!$A$175:$B$190</definedName>
    <definedName name="MANT_MARCA_TBL">Supuestos!$A$194:$B$199</definedName>
    <definedName name="DIST_PTS_TBL">Supuestos!$A$201:$B$203</definedName>
    <definedName name="DIST_TBL">Supuestos!$A$205:$B$259</definedName>
    <definedName name="RES_CORREA">Supuestos!$B$260</definedName>
    <definedName name="RES_NEUM">Supuestos!$B$261</definedName>
    <definedName name="RES_NEUM_EDAD">Supuestos!$B$262</definedName>
    <definedName name="CONS_REF_MIN">Supuestos!$B$332</definedName>
    <definedName name="CONS_REF_MAX">Supuestos!$B$333</definedName>
    <definedName name="CONS_MOD_TBL">Supuestos!$A$335:$B$339</definedName>
    <definedName name="CONS_SEG_TBL">Supuestos!$A$341:$B$346</definedName>
    <definedName name="SEGURO_TBL">Supuestos!$A$351:$D$354</definedName>
    <definedName name="SEG_REF_MIN">Supuestos!$B$356</definedName>
    <definedName name="SEG_REF_MAX">Supuestos!$B$357</definedName>
    <definedName name="TUV_MEDIAS">Supuestos!$A$361:$B$362</definedName>
    <definedName name="OCU_TBL">Supuestos!$A$366:$B$369</definedName>
    <definedName name="ADAC_TBL">Supuestos!$A$373:$B$459</definedName>
    <definedName name="ADAC_REF">Supuestos!$B$460</definedName>
    <definedName name="MOD_TBL">Supuestos!$A$464:$Q$514</definedName>
    <definedName name="MOT_MARCA">Supuestos!$A$521:$A$559</definedName>
    <definedName name="MOT_MOTOR">Supuestos!$B$521:$B$559</definedName>
    <definedName name="MOT_DESDE">Supuestos!$C$521:$C$559</definedName>
    <definedName name="MOT_HASTA">Supuestos!$D$521:$D$559</definedName>
    <definedName name="MOT_AJUSTE">Supuestos!$E$521:$E$559</definedName>
    <definedName name="COMB_COMB">Supuestos!$A$564:$A$564</definedName>
    <definedName name="COMB_AJUSTE">Supuestos!$B$564:$B$564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2"/>
    </font>
    <font>
      <b val="1"/>
    </font>
    <font>
      <color rgb="000000FF"/>
    </font>
    <font>
      <color rgb="00000000"/>
    </font>
    <font>
      <color rgb="00008000"/>
    </font>
    <font>
      <i val="1"/>
    </font>
  </fonts>
  <fills count="3">
    <fill>
      <patternFill/>
    </fill>
    <fill>
      <patternFill patternType="gray125"/>
    </fill>
    <fill>
      <patternFill patternType="solid">
        <fgColor rgb="00DDE4EE"/>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wrapText="1"/>
    </xf>
    <xf numFmtId="0" fontId="3" fillId="0" borderId="0" pivotButton="0" quotePrefix="0" xfId="0"/>
    <xf numFmtId="0" fontId="5" fillId="0" borderId="0" pivotButton="0" quotePrefix="0" xfId="0"/>
    <xf numFmtId="0" fontId="4" fillId="0" borderId="0" pivotButton="0" quotePrefix="0" xfId="0"/>
    <xf numFmtId="0" fontId="6"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buscador</author>
  </authors>
  <commentList>
    <comment ref="A1" authorId="0" shapeId="0">
      <text>
        <t>Datos de anuncio (azul): scrapeados de la plataforma; fuente exacta en la columna 'Fuente (fichero /raw)'.</t>
      </text>
    </comment>
    <comment ref="E1" authorId="0" shapeId="0">
      <text>
        <t>Normalizada por src/normalize.py a partir del dato scrapeado.</t>
      </text>
    </comment>
    <comment ref="G1" authorId="0" shapeId="0">
      <text>
        <t>Normalizado por src/normalize.py (cilindrada + tecnología).</t>
      </text>
    </comment>
    <comment ref="V1" authorId="0" shapeId="0">
      <text>
        <t>Extraído del texto del anuncio por src/extract.py: sí / no / vacío = no lo menciona.</t>
      </text>
    </comment>
    <comment ref="AT1" authorId="0" shapeId="0">
      <text>
        <t>Año que aparece en la URL o el título y no coincide con la fecha de matriculación.</t>
      </text>
    </comment>
    <comment ref="AV1" authorId="0" shapeId="0">
      <text>
        <t>Etiquetas posibles con cualquier fecha del año (y con el año que diga la URL/título). La final es la peor.</t>
      </text>
    </comment>
    <comment ref="AW1" authorId="0" shapeId="0">
      <text>
        <t>Etiqueta que publica el anuncio y que contradice la regla por fecha: se usa la regla.</t>
      </text>
    </comment>
    <comment ref="AX1" authorId="0" shapeId="0">
      <text>
        <t>Detectada en título/versión con el patrón de reliability.yaml → cajas_robotizadas.</t>
      </text>
    </comment>
    <comment ref="AY1" authorId="0" shapeId="0">
      <text>
        <t>sí = el modelo/motor/años está en estetica.yaml con puntos &gt;= filtros.particulares.min_estetica: se admite de particular.</t>
      </text>
    </comment>
    <comment ref="AZ1" authorId="0" shapeId="0">
      <text>
        <t>Dato de la plataforma (OcasionPlus vehicle.color, AutoScout24 bodyColor, Coches.net ad.color) o del texto ('color ...').</t>
      </text>
    </comment>
    <comment ref="BA1" authorId="0" shapeId="0">
      <text>
        <t>Normalizado con estetica.yaml → colores.alias (sin tildes; 'plateado' = plata, 'antracita' = gris oscuro...).</t>
      </text>
    </comment>
    <comment ref="BB1" authorId="0" shapeId="0">
      <text>
        <t>Verde: viene de estetica.yaml (puntos del modelo) o de sus puntos por defecto del segmento.</t>
      </text>
    </comment>
    <comment ref="BK1" authorId="0" shapeId="0">
      <text>
        <t>Estrellas Euro NCAP de la generación (reliability.yaml → euroncap; fuente en la nota de cada celda). Protocolo distinto antes de 2009.</t>
      </text>
    </comment>
    <comment ref="BL1" authorId="0" shapeId="0">
      <text>
        <t>sí/no: del anuncio o equipamiento, del equipamiento de serie con fuente (reliability.yaml → euroncap) u obligatorio desde 2015.</t>
      </text>
    </comment>
    <comment ref="BM1" authorId="0" shapeId="0">
      <text>
        <t>Calculado en Python: anuncios del modelo vistos en los listados de todas las plataformas (tabla 'mercado').</t>
      </text>
    </comment>
    <comment ref="BN1" authorId="0" shapeId="0">
      <text>
        <t>Calculado en Python: mediana de días entre la primera vez que se vio y la fecha de desaparición (tabla 'mercado').</t>
      </text>
    </comment>
    <comment ref="BP1" authorId="0" shapeId="0">
      <text>
        <t>Calculada en Python (src/scoring.py: market_medians) con los anuncios vistos en los listados de las plataformas (tabla 'mercado' de data/listings.sqlite), mismo esquema de segmentos.</t>
      </text>
    </comment>
    <comment ref="CE1" authorId="0" shapeId="0">
      <text>
        <t>Si hay MIN_N o más anuncios de mercado del segmento (todos los vistos en los listados, también &gt; precio máx.), usa la mediana de mercado; si no, fórmula matricial con la mediana de esta hoja (modelo+año+km, subiendo de nivel).</t>
      </text>
    </comment>
    <comment ref="DZ1" authorId="0" shapeId="0">
      <text>
        <t>Cuota fija CV por antigüedad y cilindrada si valor &lt; CUOTA_VALOR_MAX; si no, tipo porcentual. Profesional: 0.</t>
      </text>
    </comment>
    <comment ref="EH1" authorId="0" shapeId="0">
      <text>
        <t>Solo particulares, informativo: + correa (si no consta cambiada y no es de cadena) + neumáticos (si no constan nuevos).</t>
      </text>
    </comment>
    <comment ref="EK1" authorId="0" shapeId="0">
      <text>
        <t>Desempate por orden de fila.</t>
      </text>
    </comment>
    <comment ref="AZ2" authorId="0" shapeId="0">
      <text>
        <t>OcasionPlus (vehicle.color)</t>
      </text>
    </comment>
    <comment ref="BK2" authorId="0" shapeId="0">
      <text>
        <t>Euro NCAP 2006: 5 estrellas (pre-2009); https://www.autocentrum.pl/euroncap/peugeot/207-2006/</t>
      </text>
    </comment>
    <comment ref="CL2" authorId="0" shapeId="0">
      <text>
        <t>Fichero oficial DGT de distintivos (código 16TC, matrícula 8408GBN)</t>
      </text>
    </comment>
    <comment ref="AZ3" authorId="0" shapeId="0">
      <text>
        <t>AutoScout24 (vehicle.bodyColor)</t>
      </text>
    </comment>
    <comment ref="BK3" authorId="0" shapeId="0">
      <text>
        <t>Euro NCAP 2009: 5 estrellas (2009+); https://www.autocentrum.pl/euroncap/volkswagen/vw-polo-1.2-trendline-lhd-2009/</t>
      </text>
    </comment>
    <comment ref="BL3" authorId="0" shapeId="0">
      <text>
        <t>anuncio/equipamiento</t>
      </text>
    </comment>
    <comment ref="AZ4" authorId="0" shapeId="0">
      <text>
        <t>AutoScout24 (vehicle.bodyColor)</t>
      </text>
    </comment>
    <comment ref="BK4" authorId="0" shapeId="0">
      <text>
        <t>Euro NCAP 2007: 5 estrellas (pre-2009); https://www.autocentrum.pl/euroncap/opel/corsa-2007/</t>
      </text>
    </comment>
    <comment ref="AZ5" authorId="0" shapeId="0">
      <text>
        <t>AutoScout24 (vehicle.bodyColor)</t>
      </text>
    </comment>
    <comment ref="BK5" authorId="0" shapeId="0">
      <text>
        <t>Euro NCAP 2004: 5 estrellas (pre-2009); https://www.autocentrum.pl/euroncap/opel/vauxhall-astra-1.6-enjoy-lhd-2004/</t>
      </text>
    </comment>
    <comment ref="BK6" authorId="0" shapeId="0">
      <text>
        <t>Euro NCAP 2007: 5 estrellas (pre-2009); https://www.autocentrum.pl/euroncap/opel/corsa-2007/</t>
      </text>
    </comment>
    <comment ref="BK7" authorId="0" shapeId="0">
      <text>
        <t>Euro NCAP 2003: 4 estrellas (pre-2009); https://www.autocentrum.pl/euroncap/ford/fiesta-2003/</t>
      </text>
    </comment>
    <comment ref="BL7" authorId="0" shapeId="0">
      <text>
        <t>no disponible de serie: https://www.km77.com/coches/ford/fiesta/2002/5-puertas/ambiente/fiesta-5p-ambiente-13-70-cv/datos/equipamiento</t>
      </text>
    </comment>
    <comment ref="AZ8" authorId="0" shapeId="0">
      <text>
        <t>AutoScout24 (vehicle.bodyColor)</t>
      </text>
    </comment>
    <comment ref="BK8" authorId="0" shapeId="0">
      <text>
        <t>Euro NCAP 2006: 2 estrellas (pre-2009); https://www.autocentrum.pl/euroncap/chevrolet/aveo-2006/</t>
      </text>
    </comment>
    <comment ref="BL8" authorId="0" shapeId="0">
      <text>
        <t>no disponible de serie: https://www.km77.com/coches/chevrolet/aveo/2006/sedan/ls/aveo-14-16v-ls/datos/equipamiento</t>
      </text>
    </comment>
    <comment ref="AZ9" authorId="0" shapeId="0">
      <text>
        <t>Coches.net (ad.color)</t>
      </text>
    </comment>
    <comment ref="BK9" authorId="0" shapeId="0">
      <text>
        <t>Euro NCAP 2007: 5 estrellas (pre-2009); https://www.autocentrum.pl/euroncap/mazda/2-1.3-ge-2007/</t>
      </text>
    </comment>
    <comment ref="BL9" authorId="0" shapeId="0">
      <text>
        <t>no disponible de serie: https://www.km77.com/coches/mazda/mazda2/2011/5-puertas/active/2-5p-active-13-75-cv/datos/equipamiento</t>
      </text>
    </comment>
    <comment ref="CL9" authorId="0" shapeId="0">
      <text>
        <t>Publicada en el anuncio (cochesnet): https://www.coches.net/mazda-mazda2-active-14-crtd-5p-diesel-2007-en-valencia-71265682-covo.aspx</t>
      </text>
    </comment>
    <comment ref="AZ10" authorId="0" shapeId="0">
      <text>
        <t>Coches.net (ad.color)</t>
      </text>
    </comment>
    <comment ref="BK10" authorId="0" shapeId="0">
      <text>
        <t>Euro NCAP 2007: 5 estrellas (pre-2009); https://www.autocentrum.pl/euroncap/mazda/2-1.3-ge-2007/</t>
      </text>
    </comment>
    <comment ref="BL10" authorId="0" shapeId="0">
      <text>
        <t>no disponible de serie: https://www.km77.com/coches/mazda/mazda2/2011/5-puertas/active/2-5p-active-13-75-cv/datos/equipamiento</t>
      </text>
    </comment>
    <comment ref="AZ11" authorId="0" shapeId="0">
      <text>
        <t>Coches.net (ad.color)</t>
      </text>
    </comment>
    <comment ref="BK11" authorId="0" shapeId="0">
      <text>
        <t>Euro NCAP 2004: 3 estrellas (pre-2009); https://www.autocentrum.pl/euroncap/kia/picanto-2004/</t>
      </text>
    </comment>
    <comment ref="BL11" authorId="0" shapeId="0">
      <text>
        <t>no disponible de serie: https://www.km77.com/coches/kia/picanto/2004/5-puertas/concept/picanto-10-concept/datos/equipamiento</t>
      </text>
    </comment>
    <comment ref="CL11" authorId="0" shapeId="0">
      <text>
        <t>Publicada en el anuncio (cochesnet): https://www.coches.net/kia-picanto-10-sohc-concept-5p-gasolina-2010-en-valencia-71817386-covo.aspx</t>
      </text>
    </comment>
    <comment ref="AZ12" authorId="0" shapeId="0">
      <text>
        <t>Coches.net (ad.color)</t>
      </text>
    </comment>
    <comment ref="BK12" authorId="0" shapeId="0">
      <text>
        <t>Euro NCAP 2007: 5 estrellas (pre-2009); https://www.autocentrum.pl/euroncap/opel/corsa-2007/</t>
      </text>
    </comment>
    <comment ref="AZ13" authorId="0" shapeId="0">
      <text>
        <t>Coches.net (ad.color)</t>
      </text>
    </comment>
    <comment ref="BK13" authorId="0" shapeId="0">
      <text>
        <t>Euro NCAP 2007: 5 estrellas (pre-2009); https://www.autocentrum.pl/euroncap/opel/corsa-2007/</t>
      </text>
    </comment>
    <comment ref="CL13" authorId="0" shapeId="0">
      <text>
        <t>Publicada en el anuncio (cochesnet): https://www.coches.net/opel-corsa-10-essentia-3p-gasolina-2011-en-valencia-71625576-covo.aspx</t>
      </text>
    </comment>
    <comment ref="AZ14" authorId="0" shapeId="0">
      <text>
        <t>Coches.net (ad.color)</t>
      </text>
    </comment>
    <comment ref="CL14" authorId="0" shapeId="0">
      <text>
        <t>Publicada en el anuncio (cochesnet): https://www.coches.net/opel-astra-13-ecoflex-ss-selective-5p-diesel-2013-en-valencia-71339047-covo.aspx</t>
      </text>
    </comment>
    <comment ref="AZ15" authorId="0" shapeId="0">
      <text>
        <t>Coches.net (ad.color)</t>
      </text>
    </comment>
    <comment ref="BK15" authorId="0" shapeId="0">
      <text>
        <t>Euro NCAP 2005: 5 estrellas (pre-2009); https://www.autocentrum.pl/euroncap/renault/clio-2005/</t>
      </text>
    </comment>
    <comment ref="CL15" authorId="0" shapeId="0">
      <text>
        <t>Anuncio incoherente: el anuncio dice C; por combustible y fecha corresponde la regla. Se usa la regla.</t>
      </text>
    </comment>
    <comment ref="AZ16" authorId="0" shapeId="0">
      <text>
        <t>Coches.net (ad.color)</t>
      </text>
    </comment>
    <comment ref="BK16" authorId="0" shapeId="0">
      <text>
        <t>Euro NCAP 2003: 5 estrellas (pre-2009); https://www.autocentrum.pl/euroncap/renault/megane-2003/</t>
      </text>
    </comment>
    <comment ref="CL16" authorId="0" shapeId="0">
      <text>
        <t>Publicada en el anuncio (cochesnet): https://www.coches.net/renault-megane-emotion-2008-14-16v-5p-gasolina-2008-en-valencia-71399209-covo.aspx</t>
      </text>
    </comment>
    <comment ref="AZ17" authorId="0" shapeId="0">
      <text>
        <t>Coches.net (ad.color)</t>
      </text>
    </comment>
    <comment ref="BK17" authorId="0" shapeId="0">
      <text>
        <t>Euro NCAP 2003: 5 estrellas (pre-2009); https://www.autocentrum.pl/euroncap/renault/megane-2003/</t>
      </text>
    </comment>
    <comment ref="CL17" authorId="0" shapeId="0">
      <text>
        <t>Publicada en el anuncio (cochesnet): https://www.coches.net/renault-megane-dynamique-15dci85-eco2-5p-diesel-2008-en-valencia-71622320-covo.aspx</t>
      </text>
    </comment>
    <comment ref="AZ18" authorId="0" shapeId="0">
      <text>
        <t>Coches.net (ad.color)</t>
      </text>
    </comment>
    <comment ref="CL18" authorId="0" shapeId="0">
      <text>
        <t>Publicada en el anuncio (cochesnet): https://www.coches.net/renault-megane-dynamique-16-16v-110-e5-5p-gasolina-2010-en-valencia-71224992-covo.aspx</t>
      </text>
    </comment>
    <comment ref="AZ19" authorId="0" shapeId="0">
      <text>
        <t>Coches.net (ad.color)</t>
      </text>
    </comment>
    <comment ref="CL19" authorId="0" shapeId="0">
      <text>
        <t>Publicada en el anuncio (cochesnet): https://www.coches.net/dacia-sandero-ambiance-12-75cv-5p-gasolina-2012-en-valencia-70507667-covo.aspx</t>
      </text>
    </comment>
    <comment ref="AZ20" authorId="0" shapeId="0">
      <text>
        <t>Coches.net (ad.color)</t>
      </text>
    </comment>
    <comment ref="CL20" authorId="0" shapeId="0">
      <text>
        <t>Publicada en el anuncio (cochesnet): https://www.coches.net/dacia-logan-laureate-14-4p-gasolina-2007-en-valencia-71571620-covo.aspx</t>
      </text>
    </comment>
    <comment ref="AZ21" authorId="0" shapeId="0">
      <text>
        <t>Coches.net (ad.color)</t>
      </text>
    </comment>
    <comment ref="BK21" authorId="0" shapeId="0">
      <text>
        <t>Euro NCAP 2006: 5 estrellas (pre-2009); https://www.autocentrum.pl/euroncap/peugeot/207-2006/</t>
      </text>
    </comment>
    <comment ref="CL21" authorId="0" shapeId="0">
      <text>
        <t>Publicada en el anuncio (cochesnet): https://www.coches.net/peugeot-207-confort-14-75-5p-gasolina-2009-en-valencia-71833160-covo.aspx</t>
      </text>
    </comment>
    <comment ref="AZ22" authorId="0" shapeId="0">
      <text>
        <t>Coches.net (ad.color)</t>
      </text>
    </comment>
    <comment ref="BK22" authorId="0" shapeId="0">
      <text>
        <t>Euro NCAP 2004: 5 estrellas (pre-2009); https://www.autocentrum.pl/euroncap/citroen/c4-2004/</t>
      </text>
    </comment>
    <comment ref="CL22" authorId="0" shapeId="0">
      <text>
        <t>Año a confirmar: el anuncio dice 2005 en la URL/título y 2008 como matriculación; se toma la peor etiqueta posible (anuncio).</t>
      </text>
    </comment>
    <comment ref="AZ23" authorId="0" shapeId="0">
      <text>
        <t>Coches.net (ad.color)</t>
      </text>
    </comment>
    <comment ref="CL23" authorId="0" shapeId="0">
      <text>
        <t>Publicada en el anuncio (cochesnet): https://www.coches.net/ford-ka-12-trend-3p-gasolina-2010-en-valencia-71569576-covo.aspx</t>
      </text>
    </comment>
    <comment ref="AZ24" authorId="0" shapeId="0">
      <text>
        <t>Coches.net (ad.color)</t>
      </text>
    </comment>
    <comment ref="BK24" authorId="0" shapeId="0">
      <text>
        <t>Euro NCAP 2008: 5 estrellas (pre-2009); https://www.autocentrum.pl/euroncap/ford/fiesta-1.25-trend-2008/</t>
      </text>
    </comment>
    <comment ref="BL24" authorId="0" shapeId="0">
      <text>
        <t>anuncio/equipamiento</t>
      </text>
    </comment>
    <comment ref="CL24" authorId="0" shapeId="0">
      <text>
        <t>Publicada en el anuncio (cochesnet): https://www.coches.net/ford-fiesta-14-tdci-trend-5p-diesel-2011-en-valencia-70592187-covo.aspx</t>
      </text>
    </comment>
    <comment ref="AZ25" authorId="0" shapeId="0">
      <text>
        <t>Coches.net (ad.color)</t>
      </text>
    </comment>
    <comment ref="BK25" authorId="0" shapeId="0">
      <text>
        <t>Euro NCAP 2008: 5 estrellas (pre-2009); https://www.autocentrum.pl/euroncap/ford/fiesta-1.25-trend-2008/</t>
      </text>
    </comment>
    <comment ref="CL25" authorId="0" shapeId="0">
      <text>
        <t>Publicada en el anuncio (cochesnet): https://www.coches.net/ford-fiesta-14-tdci-trend-5p-diesel-2011-en-valencia-71146219-covo.aspx</t>
      </text>
    </comment>
    <comment ref="AZ26" authorId="0" shapeId="0">
      <text>
        <t>Coches.net (ad.color)</t>
      </text>
    </comment>
    <comment ref="BK26" authorId="0" shapeId="0">
      <text>
        <t>Euro NCAP 2006: 2 estrellas (pre-2009); https://www.autocentrum.pl/euroncap/chevrolet/aveo-2006/</t>
      </text>
    </comment>
    <comment ref="BL26" authorId="0" shapeId="0">
      <text>
        <t>no disponible de serie: https://www.km77.com/coches/chevrolet/aveo/2006/sedan/ls/aveo-14-16v-ls/datos/equipamiento</t>
      </text>
    </comment>
    <comment ref="CL26" authorId="0" shapeId="0">
      <text>
        <t>Publicada en el anuncio (cochesnet): https://www.coches.net/chevrolet-aveo-14-16v-ls-5p-gasolina-2010-en-valencia-71533850-covo.aspx</t>
      </text>
    </comment>
    <comment ref="AZ27" authorId="0" shapeId="0">
      <text>
        <t>Coches.net (ad.color)</t>
      </text>
    </comment>
    <comment ref="AZ28" authorId="0" shapeId="0">
      <text>
        <t>OcasionPlus (vehicle.color)</t>
      </text>
    </comment>
    <comment ref="CL28" authorId="0" shapeId="0">
      <text>
        <t>Fichero oficial DGT de distintivos (código 16TC, matrícula 8775FTG)</t>
      </text>
    </comment>
    <comment ref="AZ29" authorId="0" shapeId="0">
      <text>
        <t>OcasionPlus (vehicle.color)</t>
      </text>
    </comment>
    <comment ref="BK29" authorId="0" shapeId="0">
      <text>
        <t>Euro NCAP 2001: 4 estrellas (pre-2009); https://www.autocentrum.pl/euroncap/ford/mondeo-2001/</t>
      </text>
    </comment>
    <comment ref="BL29" authorId="0" shapeId="0">
      <text>
        <t>anuncio/equipamiento</t>
      </text>
    </comment>
    <comment ref="CL29" authorId="0" shapeId="0">
      <text>
        <t>Fichero oficial DGT de distintivos (código 16TB, matrícula 8157DVD)</t>
      </text>
    </comment>
    <comment ref="AZ30" authorId="0" shapeId="0">
      <text>
        <t>OcasionPlus (vehicle.color)</t>
      </text>
    </comment>
    <comment ref="BK30" authorId="0" shapeId="0">
      <text>
        <t>Euro NCAP 2003: 4 estrellas (pre-2009); https://www.autocentrum.pl/euroncap/seat/ibiza-2003/</t>
      </text>
    </comment>
    <comment ref="BL30" authorId="0" shapeId="0">
      <text>
        <t>no disponible de serie: https://www.km77.com/coches/seat/ibiza/2002/3-puertas/cool/ibiza-3p-12-12v-64-cv-cool/datos/equipamiento</t>
      </text>
    </comment>
    <comment ref="CL30" authorId="0" shapeId="0">
      <text>
        <t>Fichero oficial DGT de distintivos (código 16TC, matrícula 8323DYB)</t>
      </text>
    </comment>
    <comment ref="AZ31" authorId="0" shapeId="0">
      <text>
        <t>OcasionPlus (vehicle.color)</t>
      </text>
    </comment>
    <comment ref="BK31" authorId="0" shapeId="0">
      <text>
        <t>Euro NCAP 2004: 3 estrellas (pre-2009); https://www.autocentrum.pl/euroncap/fiat/panda-2004/</t>
      </text>
    </comment>
    <comment ref="BL31" authorId="0" shapeId="0">
      <text>
        <t>no disponible de serie: https://www.km77.com/coches/fiat/panda/2003/estandar/dynamic/panda-12-dynamic-natural-power/datos/equipamiento</t>
      </text>
    </comment>
    <comment ref="CL31" authorId="0" shapeId="0">
      <text>
        <t>Fichero oficial DGT de distintivos (código 16TC, matrícula 9605FDM)</t>
      </text>
    </comment>
    <comment ref="BK32" authorId="0" shapeId="0">
      <text>
        <t>Euro NCAP 2003: 5 estrellas (pre-2009); https://www.autocentrum.pl/euroncap/toyota/avensis-2003/</t>
      </text>
    </comment>
    <comment ref="BL32" authorId="0" shapeId="0">
      <text>
        <t>anuncio/equipamiento</t>
      </text>
    </comment>
    <comment ref="AZ33" authorId="0" shapeId="0">
      <text>
        <t>AutoScout24 (vehicle.bodyColor)</t>
      </text>
    </comment>
    <comment ref="BK33" authorId="0" shapeId="0">
      <text>
        <t>Euro NCAP 2009: 5 estrellas (2009+); https://www.autocentrum.pl/euroncap/hyundai/i20-1.4-gl-lhd-2009/</t>
      </text>
    </comment>
    <comment ref="BL33" authorId="0" shapeId="0">
      <text>
        <t>anuncio/equipamiento</t>
      </text>
    </comment>
    <comment ref="AZ34" authorId="0" shapeId="0">
      <text>
        <t>AutoScout24 (vehicle.bodyColor)</t>
      </text>
    </comment>
    <comment ref="BL34" authorId="0" shapeId="0">
      <text>
        <t>anuncio/equipamiento</t>
      </text>
    </comment>
    <comment ref="AZ36" authorId="0" shapeId="0">
      <text>
        <t>AutoScout24 (vehicle.bodyColor)</t>
      </text>
    </comment>
    <comment ref="BK36" authorId="0" shapeId="0">
      <text>
        <t>Euro NCAP 2003: 4 estrellas (pre-2009); https://www.autocentrum.pl/euroncap/citroen/c3-2003/</t>
      </text>
    </comment>
    <comment ref="BL36" authorId="0" shapeId="0">
      <text>
        <t>no disponible de serie: https://www.km77.com/coches/citroen/c3/2002/5-puertas/furio/c3-11i-furio/datos/equipamiento</t>
      </text>
    </comment>
    <comment ref="AZ37" authorId="0" shapeId="0">
      <text>
        <t>Coches.net (ad.color)</t>
      </text>
    </comment>
    <comment ref="BK37" authorId="0" shapeId="0">
      <text>
        <t>Euro NCAP 2004: 5 estrellas (pre-2009); https://www.autocentrum.pl/euroncap/ford/focus-2004/</t>
      </text>
    </comment>
    <comment ref="CL37" authorId="0" shapeId="0">
      <text>
        <t>Publicada en el anuncio (cochesnet): https://www.coches.net/ford-focus-18-tdci-ghia-4p-diesel-2007-en-valencia-71753984-covo.aspx</t>
      </text>
    </comment>
    <comment ref="AZ38" authorId="0" shapeId="0">
      <text>
        <t>AutoScout24 (vehicle.bodyColor)</t>
      </text>
    </comment>
    <comment ref="BK38" authorId="0" shapeId="0">
      <text>
        <t>Euro NCAP 2004: 5 estrellas (pre-2009); https://www.autocentrum.pl/euroncap/ford/focus-2004/</t>
      </text>
    </comment>
    <comment ref="AZ39" authorId="0" shapeId="0">
      <text>
        <t>AutoScout24 (vehicle.bodyColor)</t>
      </text>
    </comment>
    <comment ref="BL39" authorId="0" shapeId="0">
      <text>
        <t>anuncio/equipamiento</t>
      </text>
    </comment>
    <comment ref="AZ40" authorId="0" shapeId="0">
      <text>
        <t>AutoScout24 (vehicle.bodyColor)</t>
      </text>
    </comment>
    <comment ref="BK40" authorId="0" shapeId="0">
      <text>
        <t>Euro NCAP 2003: 4 estrellas (pre-2009); https://www.autocentrum.pl/euroncap/nissan/micra-2003/</t>
      </text>
    </comment>
    <comment ref="BL40" authorId="0" shapeId="0">
      <text>
        <t>no disponible de serie: https://www.km77.com/coches/nissan/micra/2003/3-puertas/visia/micra-3p-12i-65-cv-visia/datos/equipamiento</t>
      </text>
    </comment>
    <comment ref="AZ41" authorId="0" shapeId="0">
      <text>
        <t>AutoScout24 (vehicle.bodyColor)</t>
      </text>
    </comment>
    <comment ref="BL41" authorId="0" shapeId="0">
      <text>
        <t>anuncio/equipamiento</t>
      </text>
    </comment>
    <comment ref="AZ42" authorId="0" shapeId="0">
      <text>
        <t>AutoScout24 (vehicle.bodyColor)</t>
      </text>
    </comment>
    <comment ref="AZ43" authorId="0" shapeId="0">
      <text>
        <t>AutoScout24 (vehicle.bodyColor)</t>
      </text>
    </comment>
    <comment ref="BK43" authorId="0" shapeId="0">
      <text>
        <t>Euro NCAP 2006: 2 estrellas (pre-2009); https://www.autocentrum.pl/euroncap/chevrolet/aveo-2006/</t>
      </text>
    </comment>
    <comment ref="BL43" authorId="0" shapeId="0">
      <text>
        <t>no disponible de serie: https://www.km77.com/coches/chevrolet/aveo/2006/sedan/ls/aveo-14-16v-ls/datos/equipamiento</t>
      </text>
    </comment>
    <comment ref="AZ44" authorId="0" shapeId="0">
      <text>
        <t>Coches.net (ad.color)</t>
      </text>
    </comment>
    <comment ref="BK44" authorId="0" shapeId="0">
      <text>
        <t>Euro NCAP 2007: 5 estrellas (pre-2009); https://www.autocentrum.pl/euroncap/mazda/2-1.3-ge-2007/</t>
      </text>
    </comment>
    <comment ref="BL44" authorId="0" shapeId="0">
      <text>
        <t>no disponible de serie: https://www.km77.com/coches/mazda/mazda2/2011/5-puertas/active/2-5p-active-13-75-cv/datos/equipamiento</t>
      </text>
    </comment>
    <comment ref="CL44" authorId="0" shapeId="0">
      <text>
        <t>Publicada en el anuncio (cochesnet): https://www.coches.net/mazda-mazda2-active-14-crtd-5p-diesel-2007-en-valencia-71732041-covo.aspx</t>
      </text>
    </comment>
    <comment ref="AZ45" authorId="0" shapeId="0">
      <text>
        <t>Coches.net (ad.color)</t>
      </text>
    </comment>
    <comment ref="BK45" authorId="0" shapeId="0">
      <text>
        <t>Euro NCAP 2004: 3 estrellas (pre-2009); https://www.autocentrum.pl/euroncap/kia/picanto-2004/</t>
      </text>
    </comment>
    <comment ref="BL45" authorId="0" shapeId="0">
      <text>
        <t>no disponible de serie: https://www.km77.com/coches/kia/picanto/2004/5-puertas/concept/picanto-10-concept/datos/equipamiento</t>
      </text>
    </comment>
    <comment ref="CL45" authorId="0" shapeId="0">
      <text>
        <t>Publicada en el anuncio (cochesnet): https://www.coches.net/kia-picanto-11-sohc-lx-5p-gasolina-2007-en-valencia-71778568-covo.aspx</t>
      </text>
    </comment>
    <comment ref="AZ46" authorId="0" shapeId="0">
      <text>
        <t>Coches.net (ad.color)</t>
      </text>
    </comment>
    <comment ref="BK46" authorId="0" shapeId="0">
      <text>
        <t>Euro NCAP 2004: 3 estrellas (pre-2009); https://www.autocentrum.pl/euroncap/kia/picanto-2004/</t>
      </text>
    </comment>
    <comment ref="BL46" authorId="0" shapeId="0">
      <text>
        <t>no disponible de serie: https://www.km77.com/coches/kia/picanto/2004/5-puertas/concept/picanto-10-concept/datos/equipamiento</t>
      </text>
    </comment>
    <comment ref="CL46" authorId="0" shapeId="0">
      <text>
        <t>Publicada en el anuncio (cochesnet): https://www.coches.net/kia-picanto-11-sohc-ex-5p-gasolina-2006-en-valencia-71687938-covo.aspx</t>
      </text>
    </comment>
    <comment ref="AZ47" authorId="0" shapeId="0">
      <text>
        <t>Coches.net (ad.color)</t>
      </text>
    </comment>
    <comment ref="BL47" authorId="0" shapeId="0">
      <text>
        <t>anuncio/equipamiento</t>
      </text>
    </comment>
    <comment ref="CL47" authorId="0" shapeId="0">
      <text>
        <t>Publicada en el anuncio (cochesnet): https://www.coches.net/kia-ceed-16-crdi-115cv-emotion-5p-diesel-2009-en-valencia-71704887-covo.aspx</t>
      </text>
    </comment>
    <comment ref="AZ48" authorId="0" shapeId="0">
      <text>
        <t>Coches.net (ad.color)</t>
      </text>
    </comment>
    <comment ref="CL48" authorId="0" shapeId="0">
      <text>
        <t>Publicada en el anuncio (cochesnet): https://www.coches.net/skoda-citigo-10-mpi-60cv-ambition-3p-gasolina-2015-en-valencia-71648429-covo.aspx</t>
      </text>
    </comment>
    <comment ref="AZ49" authorId="0" shapeId="0">
      <text>
        <t>Coches.net (ad.color)</t>
      </text>
    </comment>
    <comment ref="BK49" authorId="0" shapeId="0">
      <text>
        <t>Euro NCAP 2000: 4 estrellas (pre-2009); https://www.autocentrum.pl/euroncap/skoda/fabia-1.4-classic-2000/</t>
      </text>
    </comment>
    <comment ref="CL49" authorId="0" shapeId="0">
      <text>
        <t>Publicada en el anuncio (cochesnet): https://www.coches.net/skoda-fabia-sedan-14-tdi-80cv-comfort-4p-diesel-2006-en-valencia-71619015-covo.aspx</t>
      </text>
    </comment>
    <comment ref="AZ50" authorId="0" shapeId="0">
      <text>
        <t>Coches.net (ad.color)</t>
      </text>
    </comment>
    <comment ref="BK50" authorId="0" shapeId="0">
      <text>
        <t>Euro NCAP 2003: 4 estrellas (pre-2009); https://www.autocentrum.pl/euroncap/seat/ibiza-2003/</t>
      </text>
    </comment>
    <comment ref="BL50" authorId="0" shapeId="0">
      <text>
        <t>no disponible de serie: https://www.km77.com/coches/seat/ibiza/2002/3-puertas/cool/ibiza-3p-12-12v-64-cv-cool/datos/equipamiento</t>
      </text>
    </comment>
    <comment ref="CL50" authorId="0" shapeId="0">
      <text>
        <t>Publicada en el anuncio (cochesnet): https://www.coches.net/seat-ibiza-19-tdi-100cv-sport-5p-diesel-2008-en-valencia-71867781-covo.aspx</t>
      </text>
    </comment>
    <comment ref="AZ51" authorId="0" shapeId="0">
      <text>
        <t>Coches.net (ad.color)</t>
      </text>
    </comment>
    <comment ref="BK51" authorId="0" shapeId="0">
      <text>
        <t>Euro NCAP 2007: 5 estrellas (pre-2009); https://www.autocentrum.pl/euroncap/opel/corsa-2007/</t>
      </text>
    </comment>
    <comment ref="CL51" authorId="0" shapeId="0">
      <text>
        <t>Publicada en el anuncio (cochesnet): https://www.coches.net/opel-corsa-enjoy-12-5p-gasolina-2008-en-valencia-71806576-covo.aspx</t>
      </text>
    </comment>
    <comment ref="AZ52" authorId="0" shapeId="0">
      <text>
        <t>Coches.net (ad.color)</t>
      </text>
    </comment>
    <comment ref="BK52" authorId="0" shapeId="0">
      <text>
        <t>Euro NCAP 2007: 5 estrellas (pre-2009); https://www.autocentrum.pl/euroncap/opel/corsa-2007/</t>
      </text>
    </comment>
    <comment ref="CL52" authorId="0" shapeId="0">
      <text>
        <t>Publicada en el anuncio (cochesnet): https://www.coches.net/opel-corsa-13-cdti-color-edition-3p-diesel-2012-en-valencia-71248981-covo.aspx</t>
      </text>
    </comment>
    <comment ref="BK53" authorId="0" shapeId="0">
      <text>
        <t>Euro NCAP 2004: 3 estrellas (pre-2009); https://www.autocentrum.pl/euroncap/kia/picanto-2004/</t>
      </text>
    </comment>
    <comment ref="BL53" authorId="0" shapeId="0">
      <text>
        <t>no disponible de serie: https://www.km77.com/coches/kia/picanto/2004/5-puertas/concept/picanto-10-concept/datos/equipamiento</t>
      </text>
    </comment>
    <comment ref="CL53" authorId="0" shapeId="0">
      <text>
        <t>Fichero oficial DGT de distintivos (código 16TB, matrícula 1000KMS)</t>
      </text>
    </comment>
    <comment ref="BK54" authorId="0" shapeId="0">
      <text>
        <t>Euro NCAP 2003: 4 estrellas (pre-2009); https://www.autocentrum.pl/euroncap/seat/ibiza-2003/</t>
      </text>
    </comment>
    <comment ref="BL54" authorId="0" shapeId="0">
      <text>
        <t>no disponible de serie: https://www.km77.com/coches/seat/ibiza/2002/3-puertas/cool/ibiza-3p-12-12v-64-cv-cool/datos/equipamiento</t>
      </text>
    </comment>
    <comment ref="CL54" authorId="0" shapeId="0">
      <text>
        <t>Fichero oficial DGT de distintivos (código 16TB, matrícula 1000KMS)</t>
      </text>
    </comment>
    <comment ref="BK55" authorId="0" shapeId="0">
      <text>
        <t>Euro NCAP 2002: 4 estrellas (pre-2009); https://www.autocentrum.pl/euroncap/volkswagen/polo-2002-2002/</t>
      </text>
    </comment>
    <comment ref="BK56" authorId="0" shapeId="0">
      <text>
        <t>Euro NCAP 2007: 5 estrellas (pre-2009); https://www.autocentrum.pl/euroncap/opel/corsa-2007/</t>
      </text>
    </comment>
    <comment ref="BK57" authorId="0" shapeId="0">
      <text>
        <t>Euro NCAP 2007: 5 estrellas (pre-2009); https://www.autocentrum.pl/euroncap/opel/corsa-2007/</t>
      </text>
    </comment>
    <comment ref="CL57" authorId="0" shapeId="0">
      <text>
        <t>Fichero oficial DGT de distintivos (código 16TB, matrícula 1000KMS)</t>
      </text>
    </comment>
    <comment ref="BK58" authorId="0" shapeId="0">
      <text>
        <t>Euro NCAP 2004: 5 estrellas (pre-2009); https://www.autocentrum.pl/euroncap/opel/vauxhall-astra-1.6-enjoy-lhd-2004/</t>
      </text>
    </comment>
    <comment ref="CL58" authorId="0" shapeId="0">
      <text>
        <t>Fichero oficial DGT de distintivos (código 16TB, matrícula 1000KMS)</t>
      </text>
    </comment>
    <comment ref="BK59" authorId="0" shapeId="0">
      <text>
        <t>Euro NCAP 2004: 5 estrellas (pre-2009); https://www.autocentrum.pl/euroncap/opel/vauxhall-astra-1.6-enjoy-lhd-2004/</t>
      </text>
    </comment>
    <comment ref="CL59" authorId="0" shapeId="0">
      <text>
        <t>Fichero oficial DGT de distintivos (código 16TB, matrícula 1000KMS)</t>
      </text>
    </comment>
    <comment ref="AZ60" authorId="0" shapeId="0">
      <text>
        <t>AutoScout24 (vehicle.bodyColor)</t>
      </text>
    </comment>
    <comment ref="BK60" authorId="0" shapeId="0">
      <text>
        <t>Euro NCAP 2005: 5 estrellas (pre-2009); https://www.autocentrum.pl/euroncap/renault/clio-2005/</t>
      </text>
    </comment>
    <comment ref="CL60" authorId="0" shapeId="0">
      <text>
        <t>Fichero oficial DGT de distintivos (código 16TB, matrícula 1000KMS)</t>
      </text>
    </comment>
    <comment ref="CL61" authorId="0" shapeId="0">
      <text>
        <t>Fichero oficial DGT de distintivos (código 16TB, matrícula 1000KMS)</t>
      </text>
    </comment>
    <comment ref="BL62" authorId="0" shapeId="0">
      <text>
        <t>obligatorio en turismos nuevos desde 1-11-2014 (Reglamento CE 661/2009)</t>
      </text>
    </comment>
    <comment ref="BK63" authorId="0" shapeId="0">
      <text>
        <t>Euro NCAP 2005: 5 estrellas (pre-2009); https://www.autocentrum.pl/euroncap/fiat/punto-2005/</t>
      </text>
    </comment>
    <comment ref="BL63" authorId="0" shapeId="0">
      <text>
        <t>anuncio/equipamiento</t>
      </text>
    </comment>
    <comment ref="BK64" authorId="0" shapeId="0">
      <text>
        <t>Euro NCAP 2005: 5 estrellas (pre-2009); https://www.autocentrum.pl/euroncap/fiat/punto-2005/</t>
      </text>
    </comment>
    <comment ref="BL64" authorId="0" shapeId="0">
      <text>
        <t>anuncio/equipamiento</t>
      </text>
    </comment>
    <comment ref="BK65" authorId="0" shapeId="0">
      <text>
        <t>Euro NCAP 2005: 5 estrellas (pre-2009); https://www.autocentrum.pl/euroncap/fiat/punto-2005/</t>
      </text>
    </comment>
    <comment ref="BL65" authorId="0" shapeId="0">
      <text>
        <t>no disponible de serie: https://www.km77.com/coches/fiat/grande-punto/2006/3-puertas/active/grande-punto-3p-12-65-cv-active/datos/equipamiento</t>
      </text>
    </comment>
    <comment ref="CL65" authorId="0" shapeId="0">
      <text>
        <t>Fichero oficial DGT de distintivos (código 16TB, matrícula 1000KMS)</t>
      </text>
    </comment>
    <comment ref="AZ67" authorId="0" shapeId="0">
      <text>
        <t>Coches.net (ad.color)</t>
      </text>
    </comment>
    <comment ref="BK67" authorId="0" shapeId="0">
      <text>
        <t>Euro NCAP 2004: 5 estrellas (pre-2009); https://www.autocentrum.pl/euroncap/opel/vauxhall-astra-1.6-enjoy-lhd-2004/</t>
      </text>
    </comment>
    <comment ref="BL67" authorId="0" shapeId="0">
      <text>
        <t>anuncio/equipamiento</t>
      </text>
    </comment>
    <comment ref="CL67" authorId="0" shapeId="0">
      <text>
        <t>Publicada en el anuncio (cochesnet): https://www.coches.net/opel-astra-13-cdti-111-years-gtc-3p-diesel-2011-en-valencia-71799024-covo.aspx</t>
      </text>
    </comment>
    <comment ref="AZ68" authorId="0" shapeId="0">
      <text>
        <t>Coches.net (ad.color)</t>
      </text>
    </comment>
    <comment ref="BK68" authorId="0" shapeId="0">
      <text>
        <t>Euro NCAP 2004: 5 estrellas (pre-2009); https://www.autocentrum.pl/euroncap/opel/vauxhall-astra-1.6-enjoy-lhd-2004/</t>
      </text>
    </comment>
    <comment ref="CL68" authorId="0" shapeId="0">
      <text>
        <t>Publicada en el anuncio (cochesnet): https://www.coches.net/opel-astra-19-cdti-enjoy-120-cv-5p-diesel-2007-en-valencia-71599225-covo.aspx</t>
      </text>
    </comment>
    <comment ref="AZ69" authorId="0" shapeId="0">
      <text>
        <t>Coches.net (ad.color)</t>
      </text>
    </comment>
    <comment ref="BK69" authorId="0" shapeId="0">
      <text>
        <t>Euro NCAP 2004: 5 estrellas (pre-2009); https://www.autocentrum.pl/euroncap/opel/vauxhall-astra-1.6-enjoy-lhd-2004/</t>
      </text>
    </comment>
    <comment ref="CL69" authorId="0" shapeId="0">
      <text>
        <t>Anuncio incoherente: el anuncio dice B; por combustible y fecha corresponde la regla. Se usa la regla.</t>
      </text>
    </comment>
    <comment ref="AZ70" authorId="0" shapeId="0">
      <text>
        <t>Coches.net (ad.color)</t>
      </text>
    </comment>
    <comment ref="BK70" authorId="0" shapeId="0">
      <text>
        <t>Euro NCAP 2004: 5 estrellas (pre-2009); https://www.autocentrum.pl/euroncap/opel/vauxhall-astra-1.6-enjoy-lhd-2004/</t>
      </text>
    </comment>
    <comment ref="BL70" authorId="0" shapeId="0">
      <text>
        <t>anuncio/equipamiento</t>
      </text>
    </comment>
    <comment ref="CL70" authorId="0" shapeId="0">
      <text>
        <t>Publicada en el anuncio (cochesnet): https://www.coches.net/opel-astra-17-cdti-enjoy-sw-5p-diesel-2007-en-valencia-71241892-covo.aspx</t>
      </text>
    </comment>
    <comment ref="AZ71" authorId="0" shapeId="0">
      <text>
        <t>Coches.net (ad.color)</t>
      </text>
    </comment>
    <comment ref="BK71" authorId="0" shapeId="0">
      <text>
        <t>Euro NCAP 2003: 5 estrellas (pre-2009); https://www.autocentrum.pl/euroncap/renault/megane-2003/</t>
      </text>
    </comment>
    <comment ref="BL71" authorId="0" shapeId="0">
      <text>
        <t>anuncio/equipamiento</t>
      </text>
    </comment>
    <comment ref="CL71" authorId="0" shapeId="0">
      <text>
        <t>Publicada en el anuncio (cochesnet): https://www.coches.net/renault-megane-coupecabrio-dynamique-16-16v-2p-gasolina-2007-en-valencia-71508169-covo.aspx</t>
      </text>
    </comment>
    <comment ref="AZ72" authorId="0" shapeId="0">
      <text>
        <t>Coches.net (ad.color)</t>
      </text>
    </comment>
    <comment ref="BK72" authorId="0" shapeId="0">
      <text>
        <t>Euro NCAP 2003: 5 estrellas (pre-2009); https://www.autocentrum.pl/euroncap/renault/megane-2003/</t>
      </text>
    </comment>
    <comment ref="BL72" authorId="0" shapeId="0">
      <text>
        <t>anuncio/equipamiento</t>
      </text>
    </comment>
    <comment ref="CL72" authorId="0" shapeId="0">
      <text>
        <t>Publicada en el anuncio (cochesnet): https://www.coches.net/renault-megane-coupecabrio-dynamique-16-16v-2p-gasolina-2007-en-valencia-71662456-covo.aspx</t>
      </text>
    </comment>
    <comment ref="AZ73" authorId="0" shapeId="0">
      <text>
        <t>Coches.net (ad.color)</t>
      </text>
    </comment>
    <comment ref="BK73" authorId="0" shapeId="0">
      <text>
        <t>Euro NCAP 2005: 5 estrellas (pre-2009); https://www.autocentrum.pl/euroncap/renault/clio-2005/</t>
      </text>
    </comment>
    <comment ref="CL73" authorId="0" shapeId="0">
      <text>
        <t>Publicada en el anuncio (cochesnet): https://www.coches.net/renault-clio-expression-12-16v-5p-gasolina-2007-en-valencia-71693535-covo.aspx</t>
      </text>
    </comment>
    <comment ref="AZ74" authorId="0" shapeId="0">
      <text>
        <t>Coches.net (ad.color)</t>
      </text>
    </comment>
    <comment ref="CL74" authorId="0" shapeId="0">
      <text>
        <t>Publicada en el anuncio (cochesnet): https://www.coches.net/renault-megane-business-dci-110-5p-diesel-2012-en-valencia-71684364-covo.aspx</t>
      </text>
    </comment>
    <comment ref="AZ75" authorId="0" shapeId="0">
      <text>
        <t>Coches.net (ad.color)</t>
      </text>
    </comment>
    <comment ref="BL75" authorId="0" shapeId="0">
      <text>
        <t>anuncio/equipamiento</t>
      </text>
    </comment>
    <comment ref="CL75" authorId="0" shapeId="0">
      <text>
        <t>Publicada en el anuncio (cochesnet): https://www.coches.net/renault-megane-dynamique-energy-dci-110-ss-eco2-3p-diesel-2012-en-valencia-71537820-covo.aspx</t>
      </text>
    </comment>
    <comment ref="AZ76" authorId="0" shapeId="0">
      <text>
        <t>Coches.net (ad.color)</t>
      </text>
    </comment>
    <comment ref="BL76" authorId="0" shapeId="0">
      <text>
        <t>anuncio/equipamiento</t>
      </text>
    </comment>
    <comment ref="CL76" authorId="0" shapeId="0">
      <text>
        <t>Publicada en el anuncio (cochesnet): https://www.coches.net/renault-megane-sport-tourer-dynamique-15dci-105cv-eco2-5p-diesel-2009-en-valencia-71783816-covo.aspx</t>
      </text>
    </comment>
    <comment ref="AZ77" authorId="0" shapeId="0">
      <text>
        <t>Coches.net (ad.color)</t>
      </text>
    </comment>
    <comment ref="BL77" authorId="0" shapeId="0">
      <text>
        <t>anuncio/equipamiento</t>
      </text>
    </comment>
    <comment ref="CL77" authorId="0" shapeId="0">
      <text>
        <t>Publicada en el anuncio (cochesnet): https://www.coches.net/renault-modus-confort-dynamique-14-16v-5p-gasolina-2006-en-valencia-70833355-covo.aspx</t>
      </text>
    </comment>
    <comment ref="AZ78" authorId="0" shapeId="0">
      <text>
        <t>Coches.net (ad.color)</t>
      </text>
    </comment>
    <comment ref="AZ79" authorId="0" shapeId="0">
      <text>
        <t>Coches.net (ad.color)</t>
      </text>
    </comment>
    <comment ref="BK79" authorId="0" shapeId="0">
      <text>
        <t>Euro NCAP 2008: 3 estrellas (pre-2009); https://www.autocentrum.pl/euroncap/dacia/sandero-1.5-dci-2008/</t>
      </text>
    </comment>
    <comment ref="BL79" authorId="0" shapeId="0">
      <text>
        <t>no disponible de serie: https://www.km77.com/coches/dacia/sandero/2008/estandar/ambiance/sandero-ambiance-12-16v-75-cv2/datos/equipamiento</t>
      </text>
    </comment>
    <comment ref="CL79" authorId="0" shapeId="0">
      <text>
        <t>Publicada en el anuncio (cochesnet): https://www.coches.net/dacia-sandero-laureate-12-16v-75cv-5p-gasolina-2009-en-valencia-71749298-covo.aspx</t>
      </text>
    </comment>
    <comment ref="AZ80" authorId="0" shapeId="0">
      <text>
        <t>Coches.net (ad.color)</t>
      </text>
    </comment>
    <comment ref="BK80" authorId="0" shapeId="0">
      <text>
        <t>Euro NCAP 2006: 5 estrellas (pre-2009); https://www.autocentrum.pl/euroncap/peugeot/207-2006/</t>
      </text>
    </comment>
    <comment ref="CL80" authorId="0" shapeId="0">
      <text>
        <t>Publicada en el anuncio (cochesnet): https://www.coches.net/peugeot-207-confort-14-vti-16v-95-5p-gasolina-2008-en-valencia-71858806-covo.aspx</t>
      </text>
    </comment>
    <comment ref="AZ81" authorId="0" shapeId="0">
      <text>
        <t>Coches.net (ad.color)</t>
      </text>
    </comment>
    <comment ref="BK81" authorId="0" shapeId="0">
      <text>
        <t>Euro NCAP 2006: 5 estrellas (pre-2009); https://www.autocentrum.pl/euroncap/peugeot/207-2006/</t>
      </text>
    </comment>
    <comment ref="CL81" authorId="0" shapeId="0">
      <text>
        <t>Publicada en el anuncio (cochesnet): https://www.coches.net/peugeot-207-14-16v-xt-5p-gasolina-2006-en-valencia-71828437-covo.aspx</t>
      </text>
    </comment>
    <comment ref="AZ82" authorId="0" shapeId="0">
      <text>
        <t>Coches.net (ad.color)</t>
      </text>
    </comment>
    <comment ref="BK82" authorId="0" shapeId="0">
      <text>
        <t>Euro NCAP 2006: 5 estrellas (pre-2009); https://www.autocentrum.pl/euroncap/peugeot/207-2006/</t>
      </text>
    </comment>
    <comment ref="AZ83" authorId="0" shapeId="0">
      <text>
        <t>Coches.net (ad.color)</t>
      </text>
    </comment>
    <comment ref="BK83" authorId="0" shapeId="0">
      <text>
        <t>Euro NCAP 2006: 5 estrellas (pre-2009); https://www.autocentrum.pl/euroncap/peugeot/207-2006/</t>
      </text>
    </comment>
    <comment ref="CL83" authorId="0" shapeId="0">
      <text>
        <t>Publicada en el anuncio (cochesnet): https://www.coches.net/peugeot-207-confort-14-vti-16v-95-5p-gasolina-2008-en-valencia-71618681-covo.aspx</t>
      </text>
    </comment>
    <comment ref="AZ84" authorId="0" shapeId="0">
      <text>
        <t>Coches.net (ad.color)</t>
      </text>
    </comment>
    <comment ref="CL84" authorId="0" shapeId="0">
      <text>
        <t>Publicada en el anuncio (cochesnet): https://www.coches.net/citroen-c3-picasso-hdi-110cv-fap-airdream-exclusive-5p-diesel-2009-en-valencia-71733143-covo.aspx</t>
      </text>
    </comment>
    <comment ref="AZ85" authorId="0" shapeId="0">
      <text>
        <t>Coches.net (ad.color)</t>
      </text>
    </comment>
    <comment ref="BK85" authorId="0" shapeId="0">
      <text>
        <t>Euro NCAP 2003: 4 estrellas (pre-2009); https://www.autocentrum.pl/euroncap/citroen/c3-2003/</t>
      </text>
    </comment>
    <comment ref="BL85" authorId="0" shapeId="0">
      <text>
        <t>no disponible de serie: https://www.km77.com/coches/citroen/c3/2002/5-puertas/furio/c3-11i-furio/datos/equipamiento</t>
      </text>
    </comment>
    <comment ref="CL85" authorId="0" shapeId="0">
      <text>
        <t>Año a confirmar: el anuncio dice 2005 en la URL/título y 2006 como matriculación; se toma la peor etiqueta posible (anuncio).</t>
      </text>
    </comment>
    <comment ref="AZ86" authorId="0" shapeId="0">
      <text>
        <t>Coches.net (ad.color)</t>
      </text>
    </comment>
    <comment ref="BK86" authorId="0" shapeId="0">
      <text>
        <t>Euro NCAP 2009: 4 estrellas (2009+); https://www.autocentrum.pl/euroncap/citroen/c3-1.4-diesel-lhd-2009/</t>
      </text>
    </comment>
    <comment ref="CL86" authorId="0" shapeId="0">
      <text>
        <t>Publicada en el anuncio (cochesnet): https://www.coches.net/citroen-c3-hdi-70-attraction-5p-diesel-2011-en-valencia-71041894-covo.aspx</t>
      </text>
    </comment>
    <comment ref="AZ87" authorId="0" shapeId="0">
      <text>
        <t>Coches.net (ad.color)</t>
      </text>
    </comment>
    <comment ref="BK87" authorId="0" shapeId="0">
      <text>
        <t>Euro NCAP 2009: 4 estrellas (2009+); https://www.autocentrum.pl/euroncap/citroen/c3-1.4-diesel-lhd-2009/</t>
      </text>
    </comment>
    <comment ref="CL87" authorId="0" shapeId="0">
      <text>
        <t>Anuncio incoherente: el anuncio dice C; por combustible y fecha corresponde la regla. Se usa la regla.</t>
      </text>
    </comment>
    <comment ref="BK88" authorId="0" shapeId="0">
      <text>
        <t>Euro NCAP 2004: 5 estrellas (pre-2009); https://www.autocentrum.pl/euroncap/citroen/c4-2004/</t>
      </text>
    </comment>
    <comment ref="CL88" authorId="0" shapeId="0">
      <text>
        <t>Año a confirmar: el anuncio dice 2004 en la URL/título y 2007 como matriculación; se toma la peor etiqueta posible (anuncio).</t>
      </text>
    </comment>
    <comment ref="AZ89" authorId="0" shapeId="0">
      <text>
        <t>Coches.net (ad.color)</t>
      </text>
    </comment>
    <comment ref="BK89" authorId="0" shapeId="0">
      <text>
        <t>Euro NCAP 2004: 5 estrellas (pre-2009); https://www.autocentrum.pl/euroncap/citroen/c4-2004/</t>
      </text>
    </comment>
    <comment ref="CL89" authorId="0" shapeId="0">
      <text>
        <t>Año a confirmar: el anuncio dice 2005 en la URL/título y 2009 como matriculación; se toma la peor etiqueta posible (regla).</t>
      </text>
    </comment>
    <comment ref="AZ90" authorId="0" shapeId="0">
      <text>
        <t>Coches.net (ad.color)</t>
      </text>
    </comment>
    <comment ref="BK90" authorId="0" shapeId="0">
      <text>
        <t>Euro NCAP 2008: 5 estrellas (pre-2009); https://www.autocentrum.pl/euroncap/ford/fiesta-1.25-trend-2008/</t>
      </text>
    </comment>
    <comment ref="CL90" authorId="0" shapeId="0">
      <text>
        <t>Publicada en el anuncio (cochesnet): https://www.coches.net/ford-fiesta-14-tdci-trend-5p-diesel-2010-en-valencia-71618923-covo.aspx</t>
      </text>
    </comment>
    <comment ref="AZ91" authorId="0" shapeId="0">
      <text>
        <t>Coches.net (ad.color)</t>
      </text>
    </comment>
    <comment ref="BK91" authorId="0" shapeId="0">
      <text>
        <t>Euro NCAP 2004: 5 estrellas (pre-2009); https://www.autocentrum.pl/euroncap/ford/focus-2004/</t>
      </text>
    </comment>
    <comment ref="CL91" authorId="0" shapeId="0">
      <text>
        <t>Publicada en el anuncio (cochesnet): https://www.coches.net/ford-focus-18-tdci-trend-5p-diesel-2007-en-valencia-71863788-covo.aspx</t>
      </text>
    </comment>
    <comment ref="AZ92" authorId="0" shapeId="0">
      <text>
        <t>Coches.net (ad.color)</t>
      </text>
    </comment>
    <comment ref="CL92" authorId="0" shapeId="0">
      <text>
        <t>Año a confirmar: el anuncio dice 2005 en la URL/título y 2007 como matriculación; se toma la peor etiqueta posible (anuncio).</t>
      </text>
    </comment>
    <comment ref="AZ93" authorId="0" shapeId="0">
      <text>
        <t>Coches.net (ad.color)</t>
      </text>
    </comment>
    <comment ref="BK93" authorId="0" shapeId="0">
      <text>
        <t>Euro NCAP 2003: 4 estrellas (pre-2009); https://www.autocentrum.pl/euroncap/ford/fiesta-2003/</t>
      </text>
    </comment>
    <comment ref="BL93" authorId="0" shapeId="0">
      <text>
        <t>no disponible de serie: https://www.km77.com/coches/ford/fiesta/2002/5-puertas/ambiente/fiesta-5p-ambiente-13-70-cv/datos/equipamiento</t>
      </text>
    </comment>
    <comment ref="CL93" authorId="0" shapeId="0">
      <text>
        <t>Publicada en el anuncio (cochesnet): https://www.coches.net/ford-fiesta-13-newport-5p-gasolina-2006-en-valencia-71841456-covo.aspx</t>
      </text>
    </comment>
    <comment ref="AZ94" authorId="0" shapeId="0">
      <text>
        <t>Coches.net (ad.color)</t>
      </text>
    </comment>
    <comment ref="BK94" authorId="0" shapeId="0">
      <text>
        <t>Euro NCAP 2008: 5 estrellas (pre-2009); https://www.autocentrum.pl/euroncap/ford/fiesta-1.25-trend-2008/</t>
      </text>
    </comment>
    <comment ref="CL94" authorId="0" shapeId="0">
      <text>
        <t>Publicada en el anuncio (cochesnet): https://www.coches.net/ford-fiesta-14-tdci-trend-5p-diesel-2012-en-valencia-71654849-covo.aspx</t>
      </text>
    </comment>
    <comment ref="AZ95" authorId="0" shapeId="0">
      <text>
        <t>Coches.net (ad.color)</t>
      </text>
    </comment>
    <comment ref="BK95" authorId="0" shapeId="0">
      <text>
        <t>Euro NCAP 2008: 5 estrellas (pre-2009); https://www.autocentrum.pl/euroncap/ford/fiesta-1.25-trend-2008/</t>
      </text>
    </comment>
    <comment ref="CL95" authorId="0" shapeId="0">
      <text>
        <t>Publicada en el anuncio (cochesnet): https://www.coches.net/ford-fiesta-14-tdci-ghia-5p-diesel-2009-en-valencia-71579775-covo.aspx</t>
      </text>
    </comment>
    <comment ref="AZ96" authorId="0" shapeId="0">
      <text>
        <t>Coches.net (ad.color)</t>
      </text>
    </comment>
    <comment ref="BK96" authorId="0" shapeId="0">
      <text>
        <t>Euro NCAP 2004: 5 estrellas (pre-2009); https://www.autocentrum.pl/euroncap/ford/focus-2004/</t>
      </text>
    </comment>
    <comment ref="CL96" authorId="0" shapeId="0">
      <text>
        <t>Publicada en el anuncio (cochesnet): https://www.coches.net/ford-focus-18-tdci-ghia-5p-diesel-2007-en-valencia-71021526-covo.aspx</t>
      </text>
    </comment>
    <comment ref="AZ97" authorId="0" shapeId="0">
      <text>
        <t>Coches.net (ad.color)</t>
      </text>
    </comment>
    <comment ref="CL97" authorId="0" shapeId="0">
      <text>
        <t>Publicada en el anuncio (cochesnet): https://www.coches.net/ford-fusion-14-tdci-ambiente-5p-diesel-2009-en-valencia-71793171-covo.aspx</t>
      </text>
    </comment>
    <comment ref="AZ98" authorId="0" shapeId="0">
      <text>
        <t>Coches.net (ad.color)</t>
      </text>
    </comment>
    <comment ref="CL98" authorId="0" shapeId="0">
      <text>
        <t>Publicada en el anuncio (cochesnet): https://www.coches.net/fiat-linea-14-16v-tjet-120cv-dynamic-4p-gasolina-2007-en-valencia-70514152-covo.aspx</t>
      </text>
    </comment>
    <comment ref="AZ99" authorId="0" shapeId="0">
      <text>
        <t>Coches.net (ad.color)</t>
      </text>
    </comment>
    <comment ref="BL99" authorId="0" shapeId="0">
      <text>
        <t>anuncio/equipamiento</t>
      </text>
    </comment>
    <comment ref="CL99" authorId="0" shapeId="0">
      <text>
        <t>Publicada en el anuncio (cochesnet): https://www.coches.net/fiat-500-12-8v-69-cv-lounge-3p-gasolina-2014-en-valencia-62365434-covo.aspx</t>
      </text>
    </comment>
    <comment ref="AZ100" authorId="0" shapeId="0">
      <text>
        <t>Coches.net (ad.color)</t>
      </text>
    </comment>
    <comment ref="BK100" authorId="0" shapeId="0">
      <text>
        <t>Euro NCAP 2005: 5 estrellas (pre-2009); https://www.autocentrum.pl/euroncap/fiat/punto-2005/</t>
      </text>
    </comment>
    <comment ref="BL100" authorId="0" shapeId="0">
      <text>
        <t>no disponible de serie: https://www.km77.com/coches/fiat/grande-punto/2006/3-puertas/active/grande-punto-3p-12-65-cv-active/datos/equipamiento</t>
      </text>
    </comment>
    <comment ref="CL100" authorId="0" shapeId="0">
      <text>
        <t>Año a confirmar: el anuncio dice 2005 en la URL/título y 2007 como matriculación; se toma la peor etiqueta posible (anuncio).</t>
      </text>
    </comment>
    <comment ref="AZ101" authorId="0" shapeId="0">
      <text>
        <t>Coches.net (ad.color)</t>
      </text>
    </comment>
    <comment ref="AZ102" authorId="0" shapeId="0">
      <text>
        <t>Coches.net (ad.color)</t>
      </text>
    </comment>
    <comment ref="CL102" authorId="0" shapeId="0">
      <text>
        <t>Publicada en el anuncio (cochesnet): https://www.coches.net/mini-mini-one-3p-gasolina-2009-en-valencia-71332504-covo.aspx</t>
      </text>
    </comment>
    <comment ref="AZ103" authorId="0" shapeId="0">
      <text>
        <t>Coches.net (ad.color)</t>
      </text>
    </comment>
    <comment ref="BK103" authorId="0" shapeId="0">
      <text>
        <t>Euro NCAP 2006: 2 estrellas (pre-2009); https://www.autocentrum.pl/euroncap/chevrolet/aveo-2006/</t>
      </text>
    </comment>
    <comment ref="BL103" authorId="0" shapeId="0">
      <text>
        <t>no disponible de serie: https://www.km77.com/coches/chevrolet/aveo/2006/sedan/ls/aveo-14-16v-ls/datos/equipamiento</t>
      </text>
    </comment>
    <comment ref="CL103" authorId="0" shapeId="0">
      <text>
        <t>Publicada en el anuncio (cochesnet): https://www.coches.net/chevrolet-aveo-12-16v-ls-5p-gasolina-2010-en-valencia-71527060-covo.aspx</t>
      </text>
    </comment>
    <comment ref="AZ104" authorId="0" shapeId="0">
      <text>
        <t>Coches.net (ad.color)</t>
      </text>
    </comment>
    <comment ref="CL104" authorId="0" shapeId="0">
      <text>
        <t>Publicada en el anuncio (cochesnet): https://www.coches.net/chevrolet-epica-20-vcdi-16v-lt-4p-diesel-2008-en-valencia-71536876-covo.aspx</t>
      </text>
    </comment>
    <comment ref="AZ105" authorId="0" shapeId="0">
      <text>
        <t>Coches.net (ad.color)</t>
      </text>
    </comment>
    <comment ref="BK105" authorId="0" shapeId="0">
      <text>
        <t>Euro NCAP 2007: 5 estrellas (pre-2009); https://www.autocentrum.pl/euroncap/mazda/2-1.3-ge-2007/</t>
      </text>
    </comment>
    <comment ref="BL105" authorId="0" shapeId="0">
      <text>
        <t>no disponible de serie: https://www.km77.com/coches/mazda/mazda2/2011/5-puertas/active/2-5p-active-13-75-cv/datos/equipamiento</t>
      </text>
    </comment>
    <comment ref="AZ106" authorId="0" shapeId="0">
      <text>
        <t>Coches.net (ad.color)</t>
      </text>
    </comment>
    <comment ref="BK106" authorId="0" shapeId="0">
      <text>
        <t>Euro NCAP 2003: 4 estrellas (pre-2009); https://www.autocentrum.pl/euroncap/seat/ibiza-2003/</t>
      </text>
    </comment>
    <comment ref="BL106" authorId="0" shapeId="0">
      <text>
        <t>no disponible de serie: https://www.km77.com/coches/seat/ibiza/2002/3-puertas/cool/ibiza-3p-12-12v-64-cv-cool/datos/equipamiento</t>
      </text>
    </comment>
    <comment ref="CL106" authorId="0" shapeId="0">
      <text>
        <t>Publicada en el anuncio (cochesnet): https://www.coches.net/seat-ibiza-19-tdi-100cv-hit-5p-diesel-2007-en-castellon-62641273-covo.aspx</t>
      </text>
    </comment>
    <comment ref="AZ107" authorId="0" shapeId="0">
      <text>
        <t>Coches.net (ad.color)</t>
      </text>
    </comment>
    <comment ref="BK107" authorId="0" shapeId="0">
      <text>
        <t>Euro NCAP 2002: 4 estrellas (pre-2009); https://www.autocentrum.pl/euroncap/volkswagen/polo-2002-2002/</t>
      </text>
    </comment>
    <comment ref="AZ108" authorId="0" shapeId="0">
      <text>
        <t>Coches.net (ad.color)</t>
      </text>
    </comment>
    <comment ref="BL108" authorId="0" shapeId="0">
      <text>
        <t>obligatorio en turismos nuevos desde 1-11-2014 (Reglamento CE 661/2009)</t>
      </text>
    </comment>
    <comment ref="AZ109" authorId="0" shapeId="0">
      <text>
        <t>Coches.net (ad.color)</t>
      </text>
    </comment>
    <comment ref="BK109" authorId="0" shapeId="0">
      <text>
        <t>Euro NCAP 2007: 4 estrellas (pre-2009); https://www.autocentrum.pl/euroncap/renault/twingo-2007/</t>
      </text>
    </comment>
    <comment ref="BL109" authorId="0" shapeId="0">
      <text>
        <t>anuncio/equipamiento</t>
      </text>
    </comment>
    <comment ref="CL109" authorId="0" shapeId="0">
      <text>
        <t>Publicada en el anuncio (cochesnet): https://www.coches.net/renault-twingo-authentique-12-eco2-3p-gasolina-2008-en-castellon-70895846-covo.aspx</t>
      </text>
    </comment>
    <comment ref="AZ110" authorId="0" shapeId="0">
      <text>
        <t>Coches.net (ad.color)</t>
      </text>
    </comment>
    <comment ref="BK110" authorId="0" shapeId="0">
      <text>
        <t>Euro NCAP 2006: 5 estrellas (pre-2009); https://www.autocentrum.pl/euroncap/peugeot/207-2006/</t>
      </text>
    </comment>
    <comment ref="CL110" authorId="0" shapeId="0">
      <text>
        <t>Publicada en el anuncio (cochesnet): https://www.coches.net/peugeot-207-confort-14-vti-16v-95-5p-gasolina-2009-en-castellon-71576158-covo.aspx</t>
      </text>
    </comment>
    <comment ref="AZ111" authorId="0" shapeId="0">
      <text>
        <t>Coches.net (ad.color)</t>
      </text>
    </comment>
    <comment ref="CL111" authorId="0" shapeId="0">
      <text>
        <t>Publicada en el anuncio (cochesnet): https://www.coches.net/fiat-500-09-turbo-twinair-85cv-blackjack-3p-gasolina-2007-en-castellon-70833137-covo.aspx</t>
      </text>
    </comment>
    <comment ref="AZ112" authorId="0" shapeId="0">
      <text>
        <t>Coches.net (ad.color)</t>
      </text>
    </comment>
    <comment ref="BK112" authorId="0" shapeId="0">
      <text>
        <t>Euro NCAP 2006: 2 estrellas (pre-2009); https://www.autocentrum.pl/euroncap/chevrolet/aveo-2006/</t>
      </text>
    </comment>
    <comment ref="BL112" authorId="0" shapeId="0">
      <text>
        <t>no disponible de serie: https://www.km77.com/coches/chevrolet/aveo/2006/sedan/ls/aveo-14-16v-ls/datos/equipamiento</t>
      </text>
    </comment>
    <comment ref="CL112" authorId="0" shapeId="0">
      <text>
        <t>Publicada en el anuncio (cochesnet): https://www.coches.net/chevrolet-aveo-12-16v-ls-5p-gasolina-2011-en-castellon-71789822-covo.aspx</t>
      </text>
    </comment>
    <comment ref="AZ113" authorId="0" shapeId="0">
      <text>
        <t>Coches.net (ad.color)</t>
      </text>
    </comment>
    <comment ref="CL113" authorId="0" shapeId="0">
      <text>
        <t>Anuncio incoherente: el anuncio dice B; por combustible y fecha corresponde la regla. Se usa la regla.</t>
      </text>
    </comment>
    <comment ref="AZ114" authorId="0" shapeId="0">
      <text>
        <t>OcasionPlus (vehicle.color)</t>
      </text>
    </comment>
    <comment ref="BK114" authorId="0" shapeId="0">
      <text>
        <t>Euro NCAP 2002: 4 estrellas (pre-2009); https://www.autocentrum.pl/euroncap/opel/corsa-2002-2002/</t>
      </text>
    </comment>
    <comment ref="BL114" authorId="0" shapeId="0">
      <text>
        <t>no disponible de serie: https://www.km77.com/coches/opel/corsa/2004/5-puertas/blue-line/corsa-5p-blue-line-12-16v/datos/equipamiento</t>
      </text>
    </comment>
    <comment ref="CL114" authorId="0" shapeId="0">
      <text>
        <t>Fichero oficial DGT de distintivos (código 16TB, matrícula 6845CZN)</t>
      </text>
    </comment>
    <comment ref="AZ115" authorId="0" shapeId="0">
      <text>
        <t>OcasionPlus (vehicle.color)</t>
      </text>
    </comment>
    <comment ref="CL115" authorId="0" shapeId="0">
      <text>
        <t>Fichero oficial DGT de distintivos (código 16TB, matrícula 5931DFD)</t>
      </text>
    </comment>
    <comment ref="AZ116" authorId="0" shapeId="0">
      <text>
        <t>OcasionPlus (vehicle.color)</t>
      </text>
    </comment>
    <comment ref="BK116" authorId="0" shapeId="0">
      <text>
        <t>Euro NCAP 2004: 5 estrellas (pre-2009); https://www.autocentrum.pl/euroncap/ford/focus-2004/</t>
      </text>
    </comment>
    <comment ref="CL116" authorId="0" shapeId="0">
      <text>
        <t>Fichero oficial DGT de distintivos (código 16TB, matrícula 6166DKJ)</t>
      </text>
    </comment>
    <comment ref="AZ117" authorId="0" shapeId="0">
      <text>
        <t>AutoScout24 (vehicle.bodyColor)</t>
      </text>
    </comment>
    <comment ref="BK117" authorId="0" shapeId="0">
      <text>
        <t>Euro NCAP 2004: 3 estrellas (pre-2009); https://www.autocentrum.pl/euroncap/kia/picanto-2004/</t>
      </text>
    </comment>
    <comment ref="BL117" authorId="0" shapeId="0">
      <text>
        <t>no disponible de serie: https://www.km77.com/coches/kia/picanto/2004/5-puertas/concept/picanto-10-concept/datos/equipamiento</t>
      </text>
    </comment>
    <comment ref="AZ118" authorId="0" shapeId="0">
      <text>
        <t>AutoScout24 (vehicle.bodyColor)</t>
      </text>
    </comment>
    <comment ref="BL118" authorId="0" shapeId="0">
      <text>
        <t>anuncio/equipamiento</t>
      </text>
    </comment>
    <comment ref="CL118" authorId="0" shapeId="0">
      <text>
        <t>Fichero oficial DGT de distintivos (código 16TB, matrícula 1000KMS)</t>
      </text>
    </comment>
    <comment ref="AZ119" authorId="0" shapeId="0">
      <text>
        <t>AutoScout24 (vehicle.bodyColor)</t>
      </text>
    </comment>
    <comment ref="BK119" authorId="0" shapeId="0">
      <text>
        <t>Euro NCAP 2004: 5 estrellas (pre-2009); https://www.autocentrum.pl/euroncap/ford/focus-2004/</t>
      </text>
    </comment>
    <comment ref="AZ120" authorId="0" shapeId="0">
      <text>
        <t>AutoScout24 (vehicle.bodyColor)</t>
      </text>
    </comment>
    <comment ref="BK121" authorId="0" shapeId="0">
      <text>
        <t>Euro NCAP 2003: 4 estrellas (pre-2009); https://www.autocentrum.pl/euroncap/audi/a3-2003/</t>
      </text>
    </comment>
    <comment ref="BL121" authorId="0" shapeId="0">
      <text>
        <t>de serie: https://www.km77.com/coches/audi/a3/2003/3-puertas/ambiente/a3-16-ambiente/datos/equipamiento</t>
      </text>
    </comment>
    <comment ref="AZ122" authorId="0" shapeId="0">
      <text>
        <t>AutoScout24 (vehicle.bodyColor)</t>
      </text>
    </comment>
    <comment ref="AZ123" authorId="0" shapeId="0">
      <text>
        <t>Coches.net (ad.color)</t>
      </text>
    </comment>
    <comment ref="CL123" authorId="0" shapeId="0">
      <text>
        <t>Publicada en el anuncio (cochesnet): https://www.coches.net/kia-rio-15-16v-ls-5p-gasolina-2004-en-valencia-71021641-covo.aspx</t>
      </text>
    </comment>
    <comment ref="AZ124" authorId="0" shapeId="0">
      <text>
        <t>Coches.net (ad.color)</t>
      </text>
    </comment>
    <comment ref="BK124" authorId="0" shapeId="0">
      <text>
        <t>Euro NCAP 2004: 3 estrellas (pre-2009); https://www.autocentrum.pl/euroncap/kia/picanto-2004/</t>
      </text>
    </comment>
    <comment ref="BL124" authorId="0" shapeId="0">
      <text>
        <t>no disponible de serie: https://www.km77.com/coches/kia/picanto/2004/5-puertas/concept/picanto-10-concept/datos/equipamiento</t>
      </text>
    </comment>
    <comment ref="CL124" authorId="0" shapeId="0">
      <text>
        <t>Año a confirmar: el anuncio dice 2006 en la URL/título y 2005 como matriculación; se toma la peor etiqueta posible (regla).</t>
      </text>
    </comment>
    <comment ref="AZ125" authorId="0" shapeId="0">
      <text>
        <t>Coches.net (ad.color)</t>
      </text>
    </comment>
    <comment ref="CL125" authorId="0" shapeId="0">
      <text>
        <t>Publicada en el anuncio (cochesnet): https://www.coches.net/kia-rio-13-rs-5p-gasolina-2004-en-valencia-71476718-covo.aspx</t>
      </text>
    </comment>
    <comment ref="AZ126" authorId="0" shapeId="0">
      <text>
        <t>Coches.net (ad.color)</t>
      </text>
    </comment>
    <comment ref="BK126" authorId="0" shapeId="0">
      <text>
        <t>Euro NCAP 2005: 4 estrellas (pre-2009); https://www.autocentrum.pl/euroncap/kia/rio-2005/</t>
      </text>
    </comment>
    <comment ref="BL126" authorId="0" shapeId="0">
      <text>
        <t>no disponible de serie: https://www.km77.com/coches/kia/rio/2005/4-puertas/ex1/rio-14-dohc-ex1-4p/datos/equipamiento</t>
      </text>
    </comment>
    <comment ref="CL126" authorId="0" shapeId="0">
      <text>
        <t>Publicada en el anuncio (cochesnet): https://www.coches.net/kia-rio-15-16v-ls-5p-gasolina-2004-en-valencia-71758915-covo.aspx</t>
      </text>
    </comment>
    <comment ref="AZ128" authorId="0" shapeId="0">
      <text>
        <t>Coches.net (ad.color)</t>
      </text>
    </comment>
    <comment ref="BK128" authorId="0" shapeId="0">
      <text>
        <t>Euro NCAP 2002: 4 estrellas (pre-2009); https://www.autocentrum.pl/euroncap/volkswagen/polo-2002-2002/</t>
      </text>
    </comment>
    <comment ref="CL128" authorId="0" shapeId="0">
      <text>
        <t>Año a confirmar: el anuncio dice 2006 en la URL/título y 2005 como matriculación; se toma la peor etiqueta posible (anuncio).</t>
      </text>
    </comment>
    <comment ref="AZ129" authorId="0" shapeId="0">
      <text>
        <t>Coches.net (ad.color)</t>
      </text>
    </comment>
    <comment ref="BK129" authorId="0" shapeId="0">
      <text>
        <t>Euro NCAP 2004: 5 estrellas (pre-2009); https://www.autocentrum.pl/euroncap/volkswagen/golf-1.6-trendline-2004/</t>
      </text>
    </comment>
    <comment ref="BL129" authorId="0" shapeId="0">
      <text>
        <t>de serie: https://www.km77.com/coches/volkswagen/golf/2004/3-puertas/conceptline/golf-3p-conceptline-14-75-cv/datos/equipamiento</t>
      </text>
    </comment>
    <comment ref="CL129" authorId="0" shapeId="0">
      <text>
        <t>Publicada en el anuncio (cochesnet): https://www.coches.net/volkswagen-golf-16-trendline-3p-gasolina-2005-en-valencia-71783945-covo.aspx</t>
      </text>
    </comment>
    <comment ref="AZ130" authorId="0" shapeId="0">
      <text>
        <t>Coches.net (ad.color)</t>
      </text>
    </comment>
    <comment ref="BK130" authorId="0" shapeId="0">
      <text>
        <t>Euro NCAP 2003: 5 estrellas (pre-2009); https://www.autocentrum.pl/euroncap/renault/megane-2003/</t>
      </text>
    </comment>
    <comment ref="CL130" authorId="0" shapeId="0">
      <text>
        <t>Publicada en el anuncio (cochesnet): https://www.coches.net/renault-megane-confort-dynamique-14-16v-3p-gasolina-2004-en-valencia-71793733-covo.aspx</t>
      </text>
    </comment>
    <comment ref="AZ131" authorId="0" shapeId="0">
      <text>
        <t>Coches.net (ad.color)</t>
      </text>
    </comment>
    <comment ref="BK131" authorId="0" shapeId="0">
      <text>
        <t>Euro NCAP 2001: 5 estrellas (pre-2009); https://www.autocentrum.pl/euroncap/renault/laguna-2001/</t>
      </text>
    </comment>
    <comment ref="BL131" authorId="0" shapeId="0">
      <text>
        <t>de serie: https://www.km77.com/coches/renault/laguna/2001/berlina/authentique/laguna-16-16v-authentique/datos/equipamiento</t>
      </text>
    </comment>
    <comment ref="CL131" authorId="0" shapeId="0">
      <text>
        <t>Publicada en el anuncio (cochesnet): https://www.coches.net/renault-laguna-dynamique-20-16v-140cv-5p-gasolina-2008-en-valencia-71766881-covo.aspx</t>
      </text>
    </comment>
    <comment ref="AZ132" authorId="0" shapeId="0">
      <text>
        <t>Coches.net (ad.color)</t>
      </text>
    </comment>
    <comment ref="CL132" authorId="0" shapeId="0">
      <text>
        <t>Publicada en el anuncio (cochesnet): https://www.coches.net/peugeot-206-xr-refri-75-5p-gasolina-2002-en-valencia-71677639-covo.aspx</t>
      </text>
    </comment>
    <comment ref="AZ133" authorId="0" shapeId="0">
      <text>
        <t>Coches.net (ad.color)</t>
      </text>
    </comment>
    <comment ref="CL133" authorId="0" shapeId="0">
      <text>
        <t>Publicada en el anuncio (cochesnet): https://www.coches.net/peugeot-206-xline-75-5p-gasolina-2002-en-valencia-71681078-covo.aspx</t>
      </text>
    </comment>
    <comment ref="AZ134" authorId="0" shapeId="0">
      <text>
        <t>Coches.net (ad.color)</t>
      </text>
    </comment>
    <comment ref="BK134" authorId="0" shapeId="0">
      <text>
        <t>Euro NCAP 2003: 4 estrellas (pre-2009); https://www.autocentrum.pl/euroncap/citroen/c3-2003/</t>
      </text>
    </comment>
    <comment ref="BL134" authorId="0" shapeId="0">
      <text>
        <t>no disponible de serie: https://www.km77.com/coches/citroen/c3/2002/5-puertas/furio/c3-11i-furio/datos/equipamiento</t>
      </text>
    </comment>
    <comment ref="AZ135" authorId="0" shapeId="0">
      <text>
        <t>Coches.net (ad.color)</t>
      </text>
    </comment>
    <comment ref="BK135" authorId="0" shapeId="0">
      <text>
        <t>Euro NCAP 2003: 4 estrellas (pre-2009); https://www.autocentrum.pl/euroncap/citroen/c2-2003/</t>
      </text>
    </comment>
    <comment ref="BL135" authorId="0" shapeId="0">
      <text>
        <t>no disponible de serie: https://www.km77.com/coches/citroen/c2/2003/3-puertas/audace/c2-11i-audace/datos/equipamiento</t>
      </text>
    </comment>
    <comment ref="CL135" authorId="0" shapeId="0">
      <text>
        <t>Año a confirmar: el anuncio dice 2005 en la URL/título y 2007 como matriculación; se toma la peor etiqueta posible (regla).</t>
      </text>
    </comment>
    <comment ref="AZ136" authorId="0" shapeId="0">
      <text>
        <t>Coches.net (ad.color)</t>
      </text>
    </comment>
    <comment ref="BK136" authorId="0" shapeId="0">
      <text>
        <t>Euro NCAP 2003: 4 estrellas (pre-2009); https://www.autocentrum.pl/euroncap/citroen/c3-2003/</t>
      </text>
    </comment>
    <comment ref="BL136" authorId="0" shapeId="0">
      <text>
        <t>no disponible de serie: https://www.km77.com/coches/citroen/c3/2002/5-puertas/furio/c3-11i-furio/datos/equipamiento</t>
      </text>
    </comment>
    <comment ref="CL136" authorId="0" shapeId="0">
      <text>
        <t>Publicada en el anuncio (cochesnet): https://www.coches.net/citroen-c3-14i-exclusive-5p-gasolina-2005-en-valencia-71405714-covo.aspx</t>
      </text>
    </comment>
    <comment ref="AZ137" authorId="0" shapeId="0">
      <text>
        <t>Coches.net (ad.color)</t>
      </text>
    </comment>
    <comment ref="AZ138" authorId="0" shapeId="0">
      <text>
        <t>Coches.net (ad.color)</t>
      </text>
    </comment>
    <comment ref="BK138" authorId="0" shapeId="0">
      <text>
        <t>Euro NCAP 2003: 4 estrellas (pre-2009); https://www.autocentrum.pl/euroncap/ford/fiesta-2003/</t>
      </text>
    </comment>
    <comment ref="BL138" authorId="0" shapeId="0">
      <text>
        <t>no disponible de serie: https://www.km77.com/coches/ford/fiesta/2002/5-puertas/ambiente/fiesta-5p-ambiente-13-70-cv/datos/equipamiento</t>
      </text>
    </comment>
    <comment ref="CL138" authorId="0" shapeId="0">
      <text>
        <t>Anuncio incoherente: el anuncio dice C; por combustible y fecha corresponde la regla. Se usa la regla.</t>
      </text>
    </comment>
    <comment ref="AZ140" authorId="0" shapeId="0">
      <text>
        <t>Coches.net (ad.color)</t>
      </text>
    </comment>
    <comment ref="BK140" authorId="0" shapeId="0">
      <text>
        <t>Euro NCAP 2007: 5 estrellas (pre-2009); https://www.autocentrum.pl/euroncap/ford/mondeo-2007/</t>
      </text>
    </comment>
    <comment ref="BL140" authorId="0" shapeId="0">
      <text>
        <t>de serie: https://www.km77.com/coches/ford/mondeo/2007/4-puertas/ambiente/mondeo-4p-ambiente-16i-123-cv/datos/equipamiento</t>
      </text>
    </comment>
    <comment ref="CL140" authorId="0" shapeId="0">
      <text>
        <t>Publicada en el anuncio (cochesnet): https://www.coches.net/ford-mondeo-20-tdci-140-ghia-5p-diesel-2008-en-valencia-71830314-covo.aspx</t>
      </text>
    </comment>
    <comment ref="AZ141" authorId="0" shapeId="0">
      <text>
        <t>Coches.net (ad.color)</t>
      </text>
    </comment>
    <comment ref="BK141" authorId="0" shapeId="0">
      <text>
        <t>Euro NCAP 2001: 4 estrellas (pre-2009); https://www.autocentrum.pl/euroncap/ford/mondeo-2001/</t>
      </text>
    </comment>
    <comment ref="CL141" authorId="0" shapeId="0">
      <text>
        <t>Publicada en el anuncio (cochesnet): https://www.coches.net/ford-mondeo-18-tdci-125-trend-5p-diesel-2007-en-valencia-71545576-covo.aspx</t>
      </text>
    </comment>
    <comment ref="AZ142" authorId="0" shapeId="0">
      <text>
        <t>Coches.net (ad.color)</t>
      </text>
    </comment>
    <comment ref="CL142" authorId="0" shapeId="0">
      <text>
        <t>Anuncio incoherente: el anuncio dice C; por combustible y fecha corresponde la regla. Se usa la regla.</t>
      </text>
    </comment>
    <comment ref="AZ143" authorId="0" shapeId="0">
      <text>
        <t>Coches.net (ad.color)</t>
      </text>
    </comment>
    <comment ref="BK143" authorId="0" shapeId="0">
      <text>
        <t>Euro NCAP 2003: 4 estrellas (pre-2009); https://www.autocentrum.pl/euroncap/mazda/2-2003/</t>
      </text>
    </comment>
    <comment ref="BL143" authorId="0" shapeId="0">
      <text>
        <t>no disponible de serie: https://www.km77.com/coches/mazda/mazda2/2003/5-puertas/active/2-active-12/datos/equipamiento</t>
      </text>
    </comment>
    <comment ref="CL143" authorId="0" shapeId="0">
      <text>
        <t>Publicada en el anuncio (cochesnet): https://www.coches.net/mazda-mazda2-sportive-16-5p-gasolina-2003-en-castellon-71566674-covo.aspx</t>
      </text>
    </comment>
    <comment ref="AZ144" authorId="0" shapeId="0">
      <text>
        <t>Coches.net (ad.color)</t>
      </text>
    </comment>
    <comment ref="BK144" authorId="0" shapeId="0">
      <text>
        <t>Euro NCAP 2003: 4 estrellas (pre-2009); https://www.autocentrum.pl/euroncap/seat/ibiza-2003/</t>
      </text>
    </comment>
    <comment ref="BL144" authorId="0" shapeId="0">
      <text>
        <t>no disponible de serie: https://www.km77.com/coches/seat/ibiza/2002/3-puertas/cool/ibiza-3p-12-12v-64-cv-cool/datos/equipamiento</t>
      </text>
    </comment>
    <comment ref="CL144" authorId="0" shapeId="0">
      <text>
        <t>Publicada en el anuncio (cochesnet): https://www.coches.net/seat-ibiza-14-16v-75-cv-signa-3p-gasolina-2004-en-castellon-71837054-covo.aspx</t>
      </text>
    </comment>
    <comment ref="AZ145" authorId="0" shapeId="0">
      <text>
        <t>Coches.net (ad.color)</t>
      </text>
    </comment>
    <comment ref="BK145" authorId="0" shapeId="0">
      <text>
        <t>Euro NCAP 2003: 4 estrellas (pre-2009); https://www.autocentrum.pl/euroncap/opel/meriva-2003/</t>
      </text>
    </comment>
    <comment ref="CL145" authorId="0" shapeId="0">
      <text>
        <t>Publicada en el anuncio (cochesnet): https://www.coches.net/opel-meriva-enjoy-1.4-xep-5p-gasolina-2005-en-castellon-61732430-covo.aspx</t>
      </text>
    </comment>
    <comment ref="BK146" authorId="0" shapeId="0">
      <text>
        <t>Euro NCAP 2003: 4 estrellas (pre-2009); https://www.autocentrum.pl/euroncap/citroen/c3-2003/</t>
      </text>
    </comment>
    <comment ref="BL146" authorId="0" shapeId="0">
      <text>
        <t>no disponible de serie: https://www.km77.com/coches/citroen/c3/2002/5-puertas/furio/c3-11i-furio/datos/equipamiento</t>
      </text>
    </comment>
    <comment ref="CL146" authorId="0" shapeId="0">
      <text>
        <t>Publicada en el anuncio (cochesnet): https://www.coches.net/citroen-c3-14i-exclusive-5p-gasolina-2005-en-castellon-71585987-covo.aspx</t>
      </text>
    </comment>
    <comment ref="AZ147" authorId="0" shapeId="0">
      <text>
        <t>Coches.net (ad.color)</t>
      </text>
    </comment>
    <comment ref="CL147" authorId="0" shapeId="0">
      <text>
        <t>Publicada en el anuncio (cochesnet): https://www.coches.net/ford-focus-16-ghia-5p-gasolina-2003-en-castellon-71579420-covo.aspx</t>
      </text>
    </comment>
    <comment ref="BK148" authorId="0" shapeId="0">
      <text>
        <t>Euro NCAP 2003: 5 estrellas (pre-2009); https://www.autocentrum.pl/euroncap/renault/megane-2003/</t>
      </text>
    </comment>
    <comment ref="BK149" authorId="0" shapeId="0">
      <text>
        <t>Euro NCAP 2008: 3 estrellas (pre-2009); https://www.autocentrum.pl/euroncap/dacia/sandero-1.5-dci-2008/</t>
      </text>
    </comment>
    <comment ref="BL149" authorId="0" shapeId="0">
      <text>
        <t>no disponible de serie: https://www.km77.com/coches/dacia/sandero/2008/estandar/ambiance/sandero-ambiance-12-16v-75-cv2/datos/equipamiento</t>
      </text>
    </comment>
    <comment ref="CL149" authorId="0" shapeId="0">
      <text>
        <t>Fichero oficial DGT de distintivos (código 16TB, matrícula 1000KMS)</t>
      </text>
    </comment>
    <comment ref="AZ151" authorId="0" shapeId="0">
      <text>
        <t>texto del anuncio</t>
      </text>
    </comment>
    <comment ref="BK151" authorId="0" shapeId="0">
      <text>
        <t>Euro NCAP 2001: 4 estrellas (pre-2009); https://www.autocentrum.pl/euroncap/audi/a4-2001/</t>
      </text>
    </comment>
    <comment ref="BL151" authorId="0" shapeId="0">
      <text>
        <t>de serie: https://www.km77.com/coches/audi/a4/2005/berlina/estandar/a4-18-t/datos/equipamiento</t>
      </text>
    </comment>
    <comment ref="AZ152" authorId="0" shapeId="0">
      <text>
        <t>AutoScout24 (vehicle.bodyColor)</t>
      </text>
    </comment>
    <comment ref="BK152" authorId="0" shapeId="0">
      <text>
        <t>Euro NCAP 2007: 4 estrellas (pre-2009); https://www.autocentrum.pl/euroncap/skoda/fabia-2007/</t>
      </text>
    </comment>
    <comment ref="BL152" authorId="0" shapeId="0">
      <text>
        <t>anuncio/equipamiento</t>
      </text>
    </comment>
    <comment ref="AZ153" authorId="0" shapeId="0">
      <text>
        <t>AutoScout24 (vehicle.bodyColor)</t>
      </text>
    </comment>
    <comment ref="BK153" authorId="0" shapeId="0">
      <text>
        <t>Euro NCAP 2003: 4 estrellas (pre-2009); https://www.autocentrum.pl/euroncap/seat/ibiza-2003/</t>
      </text>
    </comment>
    <comment ref="BL153" authorId="0" shapeId="0">
      <text>
        <t>no disponible de serie: https://www.km77.com/coches/seat/ibiza/2002/3-puertas/cool/ibiza-3p-12-12v-64-cv-cool/datos/equipamiento</t>
      </text>
    </comment>
    <comment ref="AZ154" authorId="0" shapeId="0">
      <text>
        <t>AutoScout24 (vehicle.bodyColor)</t>
      </text>
    </comment>
    <comment ref="BL154" authorId="0" shapeId="0">
      <text>
        <t>anuncio/equipamiento</t>
      </text>
    </comment>
    <comment ref="AZ155" authorId="0" shapeId="0">
      <text>
        <t>AutoScout24 (vehicle.bodyColor)</t>
      </text>
    </comment>
    <comment ref="BL155" authorId="0" shapeId="0">
      <text>
        <t>anuncio/equipamiento</t>
      </text>
    </comment>
    <comment ref="CL155" authorId="0" shapeId="0">
      <text>
        <t>Fichero oficial DGT de distintivos (código 16TB, matrícula 1000KMS)</t>
      </text>
    </comment>
    <comment ref="AZ156" authorId="0" shapeId="0">
      <text>
        <t>AutoScout24 (vehicle.bodyColor)</t>
      </text>
    </comment>
    <comment ref="BL156" authorId="0" shapeId="0">
      <text>
        <t>anuncio/equipamiento</t>
      </text>
    </comment>
    <comment ref="AZ157" authorId="0" shapeId="0">
      <text>
        <t>AutoScout24 (vehicle.bodyColor)</t>
      </text>
    </comment>
    <comment ref="BL157" authorId="0" shapeId="0">
      <text>
        <t>anuncio/equipamiento</t>
      </text>
    </comment>
    <comment ref="AZ158" authorId="0" shapeId="0">
      <text>
        <t>AutoScout24 (vehicle.bodyColor)</t>
      </text>
    </comment>
    <comment ref="BK158" authorId="0" shapeId="0">
      <text>
        <t>Euro NCAP 2005: 5 estrellas (pre-2009); https://www.autocentrum.pl/euroncap/renault/clio-2005/</t>
      </text>
    </comment>
    <comment ref="AZ159" authorId="0" shapeId="0">
      <text>
        <t>AutoScout24 (vehicle.bodyColor)</t>
      </text>
    </comment>
    <comment ref="BL159" authorId="0" shapeId="0">
      <text>
        <t>obligatorio en turismos nuevos desde 1-11-2014 (Reglamento CE 661/2009)</t>
      </text>
    </comment>
    <comment ref="CL159" authorId="0" shapeId="0">
      <text>
        <t>Fichero oficial DGT de distintivos (código 16TB, matrícula 1000KMS)</t>
      </text>
    </comment>
    <comment ref="AZ160" authorId="0" shapeId="0">
      <text>
        <t>AutoScout24 (vehicle.bodyColor)</t>
      </text>
    </comment>
    <comment ref="BK160" authorId="0" shapeId="0">
      <text>
        <t>Euro NCAP 2006: 5 estrellas (pre-2009); https://www.autocentrum.pl/euroncap/peugeot/207-2006/</t>
      </text>
    </comment>
    <comment ref="BL160" authorId="0" shapeId="0">
      <text>
        <t>anuncio/equipamiento</t>
      </text>
    </comment>
    <comment ref="AZ161" authorId="0" shapeId="0">
      <text>
        <t>AutoScout24 (vehicle.bodyColor)</t>
      </text>
    </comment>
    <comment ref="AZ162" authorId="0" shapeId="0">
      <text>
        <t>AutoScout24 (vehicle.bodyColor)</t>
      </text>
    </comment>
    <comment ref="AZ163" authorId="0" shapeId="0">
      <text>
        <t>Coches.net (ad.color)</t>
      </text>
    </comment>
    <comment ref="CL163" authorId="0" shapeId="0">
      <text>
        <t>Fichero oficial DGT de distintivos (código 16TB, matrícula 1000KMS)</t>
      </text>
    </comment>
    <comment ref="AZ164" authorId="0" shapeId="0">
      <text>
        <t>Coches.net (ad.color)</t>
      </text>
    </comment>
    <comment ref="CL164" authorId="0" shapeId="0">
      <text>
        <t>Fichero oficial DGT de distintivos (código 16TB, matrícula 1000KMS)</t>
      </text>
    </comment>
    <comment ref="AZ165" authorId="0" shapeId="0">
      <text>
        <t>AutoScout24 (vehicle.bodyColor)</t>
      </text>
    </comment>
    <comment ref="BK166" authorId="0" shapeId="0">
      <text>
        <t>Euro NCAP 2003: 5 estrellas (pre-2009); https://www.autocentrum.pl/euroncap/toyota/avensis-2003/</t>
      </text>
    </comment>
    <comment ref="BL166" authorId="0" shapeId="0">
      <text>
        <t>anuncio/equipamiento</t>
      </text>
    </comment>
    <comment ref="AZ167" authorId="0" shapeId="0">
      <text>
        <t>Coches.net (ad.color)</t>
      </text>
    </comment>
    <comment ref="BK167" authorId="0" shapeId="0">
      <text>
        <t>Euro NCAP 2006: 4 estrellas (pre-2009); https://www.autocentrum.pl/euroncap/mazda/3-2006/</t>
      </text>
    </comment>
    <comment ref="CL167" authorId="0" shapeId="0">
      <text>
        <t>Publicada en el anuncio (cochesnet): https://www.coches.net/mazda-mazda3-16-vvt-105cv-active-5p-gasolina-2009-en-valencia-71667655-covo.aspx</t>
      </text>
    </comment>
    <comment ref="AZ168" authorId="0" shapeId="0">
      <text>
        <t>Coches.net (ad.color)</t>
      </text>
    </comment>
    <comment ref="BK168" authorId="0" shapeId="0">
      <text>
        <t>Euro NCAP 2009: 5 estrellas (2009+); https://www.autocentrum.pl/euroncap/hyundai/i20-1.4-gl-lhd-2009/</t>
      </text>
    </comment>
    <comment ref="CL168" authorId="0" shapeId="0">
      <text>
        <t>Publicada en el anuncio (cochesnet): https://www.coches.net/hyundai-i20-i20-12-l-pbt-classic-aa-key-5p-gasolina-2011-en-valencia-71877631-covo.aspx</t>
      </text>
    </comment>
    <comment ref="AZ169" authorId="0" shapeId="0">
      <text>
        <t>Coches.net (ad.color)</t>
      </text>
    </comment>
    <comment ref="BK169" authorId="0" shapeId="0">
      <text>
        <t>Euro NCAP 2009: 5 estrellas (2009+); https://www.autocentrum.pl/euroncap/hyundai/i20-1.4-gl-lhd-2009/</t>
      </text>
    </comment>
    <comment ref="CL169" authorId="0" shapeId="0">
      <text>
        <t>Publicada en el anuncio (cochesnet): https://www.coches.net/hyundai-i20-i20-12-comfort-aa-5p-gasolina-2009-en-valencia-71868945-covo.aspx</t>
      </text>
    </comment>
    <comment ref="AZ170" authorId="0" shapeId="0">
      <text>
        <t>Coches.net (ad.color)</t>
      </text>
    </comment>
    <comment ref="BK170" authorId="0" shapeId="0">
      <text>
        <t>Euro NCAP 2009: 5 estrellas (2009+); https://www.autocentrum.pl/euroncap/hyundai/i20-1.4-gl-lhd-2009/</t>
      </text>
    </comment>
    <comment ref="CL170" authorId="0" shapeId="0">
      <text>
        <t>Publicada en el anuncio (cochesnet): https://www.coches.net/hyundai-i20-12-pbt-classic-aa-key-5p-gasolina-2011-en-valencia-71755302-covo.aspx</t>
      </text>
    </comment>
    <comment ref="AZ171" authorId="0" shapeId="0">
      <text>
        <t>Coches.net (ad.color)</t>
      </text>
    </comment>
    <comment ref="BK171" authorId="0" shapeId="0">
      <text>
        <t>Euro NCAP 2007: 4 estrellas (pre-2009); https://www.autocentrum.pl/euroncap/skoda/fabia-2007/</t>
      </text>
    </comment>
    <comment ref="BL171" authorId="0" shapeId="0">
      <text>
        <t>anuncio/equipamiento</t>
      </text>
    </comment>
    <comment ref="CL171" authorId="0" shapeId="0">
      <text>
        <t>Publicada en el anuncio (cochesnet): https://www.coches.net/skoda-fabia-12-60cv-spirit-5p-gasolina-2010-en-valencia-71555706-covo.aspx</t>
      </text>
    </comment>
    <comment ref="BK172" authorId="0" shapeId="0">
      <text>
        <t>Euro NCAP 2003: 4 estrellas (pre-2009); https://www.autocentrum.pl/euroncap/seat/ibiza-2003/</t>
      </text>
    </comment>
    <comment ref="BL172" authorId="0" shapeId="0">
      <text>
        <t>no disponible de serie: https://www.km77.com/coches/seat/ibiza/2002/3-puertas/cool/ibiza-3p-12-12v-64-cv-cool/datos/equipamiento</t>
      </text>
    </comment>
    <comment ref="CL172" authorId="0" shapeId="0">
      <text>
        <t>Publicada en el anuncio (cochesnet): https://www.coches.net/seat-ibiza-19-tdi-100cv-sport-5p-diesel-2008-en-valencia-71860134-covo.aspx</t>
      </text>
    </comment>
    <comment ref="AZ173" authorId="0" shapeId="0">
      <text>
        <t>Coches.net (ad.color)</t>
      </text>
    </comment>
    <comment ref="BK173" authorId="0" shapeId="0">
      <text>
        <t>Euro NCAP 2008: 5 estrellas (pre-2009); https://www.autocentrum.pl/euroncap/seat/ibiza-1.4-reference-2008/</t>
      </text>
    </comment>
    <comment ref="BL173" authorId="0" shapeId="0">
      <text>
        <t>de serie: https://www.km77.com/coches/seat/ibiza/2008/5-puertas/reference/ibiza-5p-16-16v-105-cv-reference/datos/equipamiento</t>
      </text>
    </comment>
    <comment ref="CL173" authorId="0" shapeId="0">
      <text>
        <t>Publicada en el anuncio (cochesnet): https://www.coches.net/seat-ibiza-14-16v-85cv-style-5p-gasolina-2010-en-valencia-71614301-covo.aspx</t>
      </text>
    </comment>
    <comment ref="AZ174" authorId="0" shapeId="0">
      <text>
        <t>Coches.net (ad.color)</t>
      </text>
    </comment>
    <comment ref="BK174" authorId="0" shapeId="0">
      <text>
        <t>Euro NCAP 2002: 4 estrellas (pre-2009); https://www.autocentrum.pl/euroncap/volkswagen/polo-2002-2002/</t>
      </text>
    </comment>
    <comment ref="BL174" authorId="0" shapeId="0">
      <text>
        <t>anuncio/equipamiento</t>
      </text>
    </comment>
    <comment ref="CL174" authorId="0" shapeId="0">
      <text>
        <t>Publicada en el anuncio (cochesnet): https://www.coches.net/volkswagen-polo-14-tdi-bluemotion-80cv-5p-diesel-2010-en-valencia-71675589-covo.aspx</t>
      </text>
    </comment>
    <comment ref="AZ175" authorId="0" shapeId="0">
      <text>
        <t>Coches.net (ad.color)</t>
      </text>
    </comment>
    <comment ref="BK175" authorId="0" shapeId="0">
      <text>
        <t>Euro NCAP 2004: 5 estrellas (pre-2009); https://www.autocentrum.pl/euroncap/opel/vauxhall-astra-1.6-enjoy-lhd-2004/</t>
      </text>
    </comment>
    <comment ref="BL175" authorId="0" shapeId="0">
      <text>
        <t>anuncio/equipamiento</t>
      </text>
    </comment>
    <comment ref="CL175" authorId="0" shapeId="0">
      <text>
        <t>Publicada en el anuncio (cochesnet): https://www.coches.net/opel-astra-17-cdti-ecoe-edition-4p-diesel-2010-en-valencia-71815933-covo.aspx</t>
      </text>
    </comment>
    <comment ref="AZ176" authorId="0" shapeId="0">
      <text>
        <t>Coches.net (ad.color)</t>
      </text>
    </comment>
    <comment ref="CL176" authorId="0" shapeId="0">
      <text>
        <t>Publicada en el anuncio (cochesnet): https://www.coches.net/opel-insignia-sports-tourer-20-cdti-160-cv-sport-5p-diesel-2011-en-valencia-71790136-covo.aspx</t>
      </text>
    </comment>
    <comment ref="AZ177" authorId="0" shapeId="0">
      <text>
        <t>Coches.net (ad.color)</t>
      </text>
    </comment>
    <comment ref="BL177" authorId="0" shapeId="0">
      <text>
        <t>anuncio/equipamiento</t>
      </text>
    </comment>
    <comment ref="CL177" authorId="0" shapeId="0">
      <text>
        <t>Publicada en el anuncio (cochesnet): https://www.coches.net/opel-insignia-16-cdti-startstop-ecoflex-136-business-5p-diesel-2016-en-valencia-71763662-covo.aspx</t>
      </text>
    </comment>
    <comment ref="AZ178" authorId="0" shapeId="0">
      <text>
        <t>Coches.net (ad.color)</t>
      </text>
    </comment>
    <comment ref="BK178" authorId="0" shapeId="0">
      <text>
        <t>Euro NCAP 2007: 5 estrellas (pre-2009); https://www.autocentrum.pl/euroncap/renault/laguna-2007/</t>
      </text>
    </comment>
    <comment ref="BL178" authorId="0" shapeId="0">
      <text>
        <t>anuncio/equipamiento</t>
      </text>
    </comment>
    <comment ref="CL178" authorId="0" shapeId="0">
      <text>
        <t>Publicada en el anuncio (cochesnet): https://www.coches.net/renault-laguna-authentique-dci-110cv-5p-diesel-2010-en-valencia-71597486-covo.aspx</t>
      </text>
    </comment>
    <comment ref="AZ179" authorId="0" shapeId="0">
      <text>
        <t>Coches.net (ad.color)</t>
      </text>
    </comment>
    <comment ref="BL179" authorId="0" shapeId="0">
      <text>
        <t>anuncio/equipamiento</t>
      </text>
    </comment>
    <comment ref="CL179" authorId="0" shapeId="0">
      <text>
        <t>Publicada en el anuncio (cochesnet): https://www.coches.net/dacia-sandero-laureate-tce-90-5p-gasolina-2012-en-valencia-71435649-covo.aspx</t>
      </text>
    </comment>
    <comment ref="AZ180" authorId="0" shapeId="0">
      <text>
        <t>Coches.net (ad.color)</t>
      </text>
    </comment>
    <comment ref="CL180" authorId="0" shapeId="0">
      <text>
        <t>Publicada en el anuncio (cochesnet): https://www.coches.net/dacia-sandero-ambiance-12-75cv-5p-gasolina-2012-en-valencia-71399936-covo.aspx</t>
      </text>
    </comment>
    <comment ref="AZ181" authorId="0" shapeId="0">
      <text>
        <t>Coches.net (ad.color)</t>
      </text>
    </comment>
    <comment ref="BK181" authorId="0" shapeId="0">
      <text>
        <t>Euro NCAP 2009: 4 estrellas (2009+); https://www.autocentrum.pl/euroncap/citroen/c3-1.4-diesel-lhd-2009/</t>
      </text>
    </comment>
    <comment ref="CL181" authorId="0" shapeId="0">
      <text>
        <t>Publicada en el anuncio (cochesnet): https://www.coches.net/citroen-c3-hdi-90-exclusive-5p-diesel-2010-en-valencia-71466798-covo.aspx</t>
      </text>
    </comment>
    <comment ref="AZ182" authorId="0" shapeId="0">
      <text>
        <t>Coches.net (ad.color)</t>
      </text>
    </comment>
    <comment ref="BK182" authorId="0" shapeId="0">
      <text>
        <t>Euro NCAP 2009: 4 estrellas (2009+); https://www.autocentrum.pl/euroncap/citroen/c3-1.4-diesel-lhd-2009/</t>
      </text>
    </comment>
    <comment ref="BL182" authorId="0" shapeId="0">
      <text>
        <t>obligatorio en turismos nuevos desde 1-11-2014 (Reglamento CE 661/2009)</t>
      </text>
    </comment>
    <comment ref="AZ183" authorId="0" shapeId="0">
      <text>
        <t>Coches.net (ad.color)</t>
      </text>
    </comment>
    <comment ref="BK183" authorId="0" shapeId="0">
      <text>
        <t>Euro NCAP 2009: 4 estrellas (2009+); https://www.autocentrum.pl/euroncap/citroen/c3-1.4-diesel-lhd-2009/</t>
      </text>
    </comment>
    <comment ref="BL183" authorId="0" shapeId="0">
      <text>
        <t>obligatorio en turismos nuevos desde 1-11-2014 (Reglamento CE 661/2009)</t>
      </text>
    </comment>
    <comment ref="CL183" authorId="0" shapeId="0">
      <text>
        <t>Anuncio incoherente: el anuncio dice B; por combustible y fecha corresponde la regla. Se usa la regla.</t>
      </text>
    </comment>
    <comment ref="AZ184" authorId="0" shapeId="0">
      <text>
        <t>Coches.net (ad.color)</t>
      </text>
    </comment>
    <comment ref="BK184" authorId="0" shapeId="0">
      <text>
        <t>Euro NCAP 2009: 4 estrellas (2009+); https://www.autocentrum.pl/euroncap/citroen/c3-1.4-diesel-lhd-2009/</t>
      </text>
    </comment>
    <comment ref="CL184" authorId="0" shapeId="0">
      <text>
        <t>Publicada en el anuncio (cochesnet): https://www.coches.net/citroen-c3-vti-95-exclusive-5p-gasolina-2010-en-valencia-71483731-covo.aspx</t>
      </text>
    </comment>
    <comment ref="AZ185" authorId="0" shapeId="0">
      <text>
        <t>Coches.net (ad.color)</t>
      </text>
    </comment>
    <comment ref="BK185" authorId="0" shapeId="0">
      <text>
        <t>Euro NCAP 2009: 4 estrellas (2009+); https://www.autocentrum.pl/euroncap/citroen/c3-1.4-diesel-lhd-2009/</t>
      </text>
    </comment>
    <comment ref="BL185" authorId="0" shapeId="0">
      <text>
        <t>anuncio/equipamiento</t>
      </text>
    </comment>
    <comment ref="CL185" authorId="0" shapeId="0">
      <text>
        <t>Publicada en el anuncio (cochesnet): https://www.coches.net/citroen-c3-vti-82cv-collection-5p-gasolina-2014-en-valencia-71183232-covo.aspx</t>
      </text>
    </comment>
    <comment ref="AZ186" authorId="0" shapeId="0">
      <text>
        <t>Coches.net (ad.color)</t>
      </text>
    </comment>
    <comment ref="BK186" authorId="0" shapeId="0">
      <text>
        <t>Euro NCAP 2009: 4 estrellas (2009+); https://www.autocentrum.pl/euroncap/citroen/c3-1.4-diesel-lhd-2009/</t>
      </text>
    </comment>
    <comment ref="BL186" authorId="0" shapeId="0">
      <text>
        <t>obligatorio en turismos nuevos desde 1-11-2014 (Reglamento CE 661/2009)</t>
      </text>
    </comment>
    <comment ref="AZ187" authorId="0" shapeId="0">
      <text>
        <t>Coches.net (ad.color)</t>
      </text>
    </comment>
    <comment ref="BK187" authorId="0" shapeId="0">
      <text>
        <t>Euro NCAP 2003: 4 estrellas (pre-2009); https://www.autocentrum.pl/euroncap/ford/fiesta-2003/</t>
      </text>
    </comment>
    <comment ref="BL187" authorId="0" shapeId="0">
      <text>
        <t>anuncio/equipamiento</t>
      </text>
    </comment>
    <comment ref="CL187" authorId="0" shapeId="0">
      <text>
        <t>Publicada en el anuncio (cochesnet): https://www.coches.net/ford-fiesta-125-82cv-trend-3p-gasolina-2009-en-valencia-71819618-covo.aspx</t>
      </text>
    </comment>
    <comment ref="AZ188" authorId="0" shapeId="0">
      <text>
        <t>Coches.net (ad.color)</t>
      </text>
    </comment>
    <comment ref="CL188" authorId="0" shapeId="0">
      <text>
        <t>Publicada en el anuncio (cochesnet): https://www.coches.net/ford-ka-titanium-12-duratec-autostartstop-3p-gasolina-2012-en-valencia-71382237-covo.aspx</t>
      </text>
    </comment>
    <comment ref="AZ189" authorId="0" shapeId="0">
      <text>
        <t>Coches.net (ad.color)</t>
      </text>
    </comment>
    <comment ref="BK189" authorId="0" shapeId="0">
      <text>
        <t>Euro NCAP 2008: 5 estrellas (pre-2009); https://www.autocentrum.pl/euroncap/ford/fiesta-1.25-trend-2008/</t>
      </text>
    </comment>
    <comment ref="CL189" authorId="0" shapeId="0">
      <text>
        <t>Publicada en el anuncio (cochesnet): https://www.coches.net/ford-fiesta-125-82cv-trend-3p-gasolina-2009-en-valencia-71484790-covo.aspx</t>
      </text>
    </comment>
    <comment ref="AZ190" authorId="0" shapeId="0">
      <text>
        <t>Coches.net (ad.color)</t>
      </text>
    </comment>
    <comment ref="BK190" authorId="0" shapeId="0">
      <text>
        <t>Euro NCAP 2008: 5 estrellas (pre-2009); https://www.autocentrum.pl/euroncap/ford/fiesta-1.25-trend-2008/</t>
      </text>
    </comment>
    <comment ref="BL190" authorId="0" shapeId="0">
      <text>
        <t>anuncio/equipamiento</t>
      </text>
    </comment>
    <comment ref="BK191" authorId="0" shapeId="0">
      <text>
        <t>Euro NCAP 2004: 5 estrellas (pre-2009); https://www.autocentrum.pl/euroncap/ford/focus-2004/</t>
      </text>
    </comment>
    <comment ref="BL191" authorId="0" shapeId="0">
      <text>
        <t>anuncio/equipamiento</t>
      </text>
    </comment>
    <comment ref="AZ192" authorId="0" shapeId="0">
      <text>
        <t>Coches.net (ad.color)</t>
      </text>
    </comment>
    <comment ref="BK192" authorId="0" shapeId="0">
      <text>
        <t>Euro NCAP 2007: 5 estrellas (pre-2009); https://www.autocentrum.pl/euroncap/ford/mondeo-2007/</t>
      </text>
    </comment>
    <comment ref="BL192" authorId="0" shapeId="0">
      <text>
        <t>de serie: https://www.km77.com/coches/ford/mondeo/2007/4-puertas/ambiente/mondeo-4p-ambiente-16i-123-cv/datos/equipamiento</t>
      </text>
    </comment>
    <comment ref="CL192" authorId="0" shapeId="0">
      <text>
        <t>Publicada en el anuncio (cochesnet): https://www.coches.net/ford-mondeo-18-tdci-125-ambiente-5p-diesel-2009-en-valencia-71730076-covo.aspx</t>
      </text>
    </comment>
    <comment ref="AZ193" authorId="0" shapeId="0">
      <text>
        <t>Coches.net (ad.color)</t>
      </text>
    </comment>
    <comment ref="BL193" authorId="0" shapeId="0">
      <text>
        <t>anuncio/equipamiento</t>
      </text>
    </comment>
    <comment ref="CL193" authorId="0" shapeId="0">
      <text>
        <t>Publicada en el anuncio (cochesnet): https://www.coches.net/fiat-punto-12-8v-pop-69-cv-gasolina-ss-3p-gasolina-2013-en-valencia-71863235-covo.aspx</t>
      </text>
    </comment>
    <comment ref="AZ194" authorId="0" shapeId="0">
      <text>
        <t>Coches.net (ad.color)</t>
      </text>
    </comment>
    <comment ref="CL194" authorId="0" shapeId="0">
      <text>
        <t>Publicada en el anuncio (cochesnet): https://www.coches.net/fiat-punto-12-8v-easy-67-cv-gasolina-5p-gasolina-2013-en-valencia-71839140-covo.aspx</t>
      </text>
    </comment>
    <comment ref="AZ195" authorId="0" shapeId="0">
      <text>
        <t>Coches.net (ad.color)</t>
      </text>
    </comment>
    <comment ref="BL195" authorId="0" shapeId="0">
      <text>
        <t>anuncio/equipamiento</t>
      </text>
    </comment>
    <comment ref="CL195" authorId="0" shapeId="0">
      <text>
        <t>Año a confirmar: el anuncio dice 2014 en la URL/título y 2016 como matriculación; se toma la peor etiqueta posible (regla).</t>
      </text>
    </comment>
    <comment ref="AZ196" authorId="0" shapeId="0">
      <text>
        <t>Coches.net (ad.color)</t>
      </text>
    </comment>
    <comment ref="CL196" authorId="0" shapeId="0">
      <text>
        <t>Publicada en el anuncio (cochesnet): https://www.coches.net/mini-mini-one-3p-gasolina-2010-en-valencia-71834926-covo.aspx</t>
      </text>
    </comment>
    <comment ref="AZ197" authorId="0" shapeId="0">
      <text>
        <t>Coches.net (ad.color)</t>
      </text>
    </comment>
    <comment ref="CL197" authorId="0" shapeId="0">
      <text>
        <t>Publicada en el anuncio (cochesnet): https://www.coches.net/mini-mini-one-3p-gasolina-2009-en-valencia-71488883-covo.aspx</t>
      </text>
    </comment>
    <comment ref="AZ198" authorId="0" shapeId="0">
      <text>
        <t>Coches.net (ad.color)</t>
      </text>
    </comment>
    <comment ref="BL198" authorId="0" shapeId="0">
      <text>
        <t>obligatorio en turismos nuevos desde 1-11-2014 (Reglamento CE 661/2009)</t>
      </text>
    </comment>
    <comment ref="CL198" authorId="0" shapeId="0">
      <text>
        <t>Publicada en el anuncio (cochesnet): https://www.coches.net/citroen-c-elysee-bluehdi-100cv-exclusive-4p-diesel-2015-en-castellon-71596642-covo.aspx</t>
      </text>
    </comment>
    <comment ref="BK199" authorId="0" shapeId="0">
      <text>
        <t>Euro NCAP 2005: 5 estrellas (pre-2009); https://www.autocentrum.pl/euroncap/toyota/yaris-2005/</t>
      </text>
    </comment>
    <comment ref="BK200" authorId="0" shapeId="0">
      <text>
        <t>Euro NCAP 2006: 4 estrellas (pre-2009); https://www.autocentrum.pl/euroncap/honda/civic-2006/</t>
      </text>
    </comment>
    <comment ref="BL200" authorId="0" shapeId="0">
      <text>
        <t>de serie: https://www.km77.com/coches/honda/civic/2009/5-puertas/comfort/civic-5p-14-i-vtec-comfort2/datos/equipamiento</t>
      </text>
    </comment>
    <comment ref="BK201" authorId="0" shapeId="0">
      <text>
        <t>Euro NCAP 2006: 4 estrellas (pre-2009); https://www.autocentrum.pl/euroncap/mazda/3-2006/</t>
      </text>
    </comment>
    <comment ref="BK202" authorId="0" shapeId="0">
      <text>
        <t>Euro NCAP 2005: 4 estrellas (pre-2009); https://www.autocentrum.pl/euroncap/seat/leon-2005/</t>
      </text>
    </comment>
    <comment ref="BK204" authorId="0" shapeId="0">
      <text>
        <t>Euro NCAP 2007: 5 estrellas (pre-2009); https://www.autocentrum.pl/euroncap/opel/corsa-2007/</t>
      </text>
    </comment>
    <comment ref="BK205" authorId="0" shapeId="0">
      <text>
        <t>Euro NCAP 2006: 5 estrellas (pre-2009); https://www.autocentrum.pl/euroncap/peugeot/207-2006/</t>
      </text>
    </comment>
    <comment ref="BK206" authorId="0" shapeId="0">
      <text>
        <t>Euro NCAP 2009: 4 estrellas (2009+); https://www.autocentrum.pl/euroncap/citroen/c3-1.4-diesel-lhd-2009/</t>
      </text>
    </comment>
    <comment ref="CL206" authorId="0" shapeId="0">
      <text>
        <t>Fichero oficial DGT de distintivos (código 16TB, matrícula 1000KMS)</t>
      </text>
    </comment>
    <comment ref="BK207" authorId="0" shapeId="0">
      <text>
        <t>Euro NCAP 2009: 4 estrellas (2009+); https://www.autocentrum.pl/euroncap/citroen/c3-1.4-diesel-lhd-2009/</t>
      </text>
    </comment>
    <comment ref="CL207" authorId="0" shapeId="0">
      <text>
        <t>Fichero oficial DGT de distintivos (código 16TB, matrícula 1000KMS)</t>
      </text>
    </comment>
    <comment ref="BK208" authorId="0" shapeId="0">
      <text>
        <t>Euro NCAP 2001: 3 estrellas (pre-2009); https://www.autocentrum.pl/euroncap/alfa-romeo/147-2001/</t>
      </text>
    </comment>
    <comment ref="BK209" authorId="0" shapeId="0">
      <text>
        <t>Euro NCAP 2005: 5 estrellas (pre-2009); https://www.autocentrum.pl/euroncap/alfa-romeo/159-2005/</t>
      </text>
    </comment>
    <comment ref="BL209" authorId="0" shapeId="0">
      <text>
        <t>de serie: https://www.km77.com/coches/alfa-romeo/159/2006/sportwagon/distinctive/159-sportwagon-19-jtd-distinctive-120-cv/datos/equipamiento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ocasionplus.com/coches-segunda-mano/peugeot-207-14-confort-con-116183km-2008-b9auzqaa" TargetMode="External" Id="rId1"/><Relationship Type="http://schemas.openxmlformats.org/officeDocument/2006/relationships/hyperlink" Target="https://www.autoscout24.es/anuncios/volkswagen-polo-1-2-advance-bmt-gasolina-gris-cat_ma74mo2090-827f958f-8688-4b6d-8737-916b285573e8" TargetMode="External" Id="rId2"/><Relationship Type="http://schemas.openxmlformats.org/officeDocument/2006/relationships/hyperlink" Target="https://www.autoscout24.es/anuncios/opel-corsa-1-4-c-mon-139co2-gasolina-gris-cat_ma54mo1918-530a78a6-41a7-4caa-9407-81ae2c44ad35" TargetMode="External" Id="rId3"/><Relationship Type="http://schemas.openxmlformats.org/officeDocument/2006/relationships/hyperlink" Target="https://www.autoscout24.es/anuncios/opel-astra-1-7cdti-enjoy-diesel-azul-cat_ma54mo1916-eff1fd1c-995f-4e05-b13f-0025ae2ba8f5" TargetMode="External" Id="rId4"/><Relationship Type="http://schemas.openxmlformats.org/officeDocument/2006/relationships/hyperlink" Target="https://www.autoscout24.es/anuncios/opel-corsa-1-3cdti-c-mon-ecoflex-diesel-cat_ma54mo1918-9a094bfd-f634-4d5d-9612-b134882a2a0b" TargetMode="External" Id="rId5"/><Relationship Type="http://schemas.openxmlformats.org/officeDocument/2006/relationships/hyperlink" Target="https://es.wallapop.com/item/ford-fiesta-ford-fiesta-1-3-ambiente-1313427276" TargetMode="External" Id="rId6"/><Relationship Type="http://schemas.openxmlformats.org/officeDocument/2006/relationships/hyperlink" Target="https://www.autoscout24.es/anuncios/chevrolet-aveo-sedan-1-4-16v-lt-gasolina-gris-cat_ma19mo18685-5df9bdd9-27ce-4647-b70f-976633b13f7a" TargetMode="External" Id="rId7"/><Relationship Type="http://schemas.openxmlformats.org/officeDocument/2006/relationships/hyperlink" Target="https://www.coches.net/mazda-mazda2-active-14-crtd-5p-diesel-2007-en-valencia-71265682-covo.aspx" TargetMode="External" Id="rId8"/><Relationship Type="http://schemas.openxmlformats.org/officeDocument/2006/relationships/hyperlink" Target="https://www.coches.net/mazda-mazda2-style-16-crtd-3p-diesel-2009-en-valencia-71525978-covo.aspx" TargetMode="External" Id="rId9"/><Relationship Type="http://schemas.openxmlformats.org/officeDocument/2006/relationships/hyperlink" Target="https://www.coches.net/kia-picanto-10-sohc-concept-5p-gasolina-2010-en-valencia-71817386-covo.aspx" TargetMode="External" Id="rId10"/><Relationship Type="http://schemas.openxmlformats.org/officeDocument/2006/relationships/hyperlink" Target="https://www.coches.net/opel-corsa-13-ecoflex-75-cv-essentia-5p-diesel-2012-en-valencia-70216779-covo.aspx" TargetMode="External" Id="rId11"/><Relationship Type="http://schemas.openxmlformats.org/officeDocument/2006/relationships/hyperlink" Target="https://www.coches.net/opel-corsa-10-essentia-3p-gasolina-2011-en-valencia-71625576-covo.aspx" TargetMode="External" Id="rId12"/><Relationship Type="http://schemas.openxmlformats.org/officeDocument/2006/relationships/hyperlink" Target="https://www.coches.net/opel-astra-13-ecoflex-ss-selective-5p-diesel-2013-en-valencia-71339047-covo.aspx" TargetMode="External" Id="rId13"/><Relationship Type="http://schemas.openxmlformats.org/officeDocument/2006/relationships/hyperlink" Target="https://www.coches.net/renault-clio-business-15dci85-eco2-5p-diesel-2008-en-valencia-71725639-covo.aspx" TargetMode="External" Id="rId14"/><Relationship Type="http://schemas.openxmlformats.org/officeDocument/2006/relationships/hyperlink" Target="https://www.coches.net/renault-megane-emotion-2008-14-16v-5p-gasolina-2008-en-valencia-71399209-covo.aspx" TargetMode="External" Id="rId15"/><Relationship Type="http://schemas.openxmlformats.org/officeDocument/2006/relationships/hyperlink" Target="https://www.coches.net/renault-megane-dynamique-15dci85-eco2-5p-diesel-2008-en-valencia-71622320-covo.aspx" TargetMode="External" Id="rId16"/><Relationship Type="http://schemas.openxmlformats.org/officeDocument/2006/relationships/hyperlink" Target="https://www.coches.net/renault-megane-dynamique-16-16v-110-e5-5p-gasolina-2010-en-valencia-71224992-covo.aspx" TargetMode="External" Id="rId17"/><Relationship Type="http://schemas.openxmlformats.org/officeDocument/2006/relationships/hyperlink" Target="https://www.coches.net/dacia-sandero-ambiance-12-75cv-5p-gasolina-2012-en-valencia-70507667-covo.aspx" TargetMode="External" Id="rId18"/><Relationship Type="http://schemas.openxmlformats.org/officeDocument/2006/relationships/hyperlink" Target="https://www.coches.net/dacia-logan-laureate-14-4p-gasolina-2007-en-valencia-71571620-covo.aspx" TargetMode="External" Id="rId19"/><Relationship Type="http://schemas.openxmlformats.org/officeDocument/2006/relationships/hyperlink" Target="https://www.coches.net/peugeot-207-confort-14-75-5p-gasolina-2009-en-valencia-71833160-covo.aspx" TargetMode="External" Id="rId20"/><Relationship Type="http://schemas.openxmlformats.org/officeDocument/2006/relationships/hyperlink" Target="https://www.coches.net/citroen-c4-14-16v-lx-5p-gasolina-2005-en-valencia-71580818-covo.aspx" TargetMode="External" Id="rId21"/><Relationship Type="http://schemas.openxmlformats.org/officeDocument/2006/relationships/hyperlink" Target="https://www.coches.net/ford-ka-12-trend-3p-gasolina-2010-en-valencia-71569576-covo.aspx" TargetMode="External" Id="rId22"/><Relationship Type="http://schemas.openxmlformats.org/officeDocument/2006/relationships/hyperlink" Target="https://www.coches.net/ford-fiesta-14-tdci-trend-5p-diesel-2011-en-valencia-70592187-covo.aspx" TargetMode="External" Id="rId23"/><Relationship Type="http://schemas.openxmlformats.org/officeDocument/2006/relationships/hyperlink" Target="https://www.coches.net/ford-fiesta-14-tdci-trend-5p-diesel-2011-en-valencia-71146219-covo.aspx" TargetMode="External" Id="rId24"/><Relationship Type="http://schemas.openxmlformats.org/officeDocument/2006/relationships/hyperlink" Target="https://www.coches.net/chevrolet-aveo-14-16v-ls-5p-gasolina-2010-en-valencia-71533850-covo.aspx" TargetMode="External" Id="rId25"/><Relationship Type="http://schemas.openxmlformats.org/officeDocument/2006/relationships/hyperlink" Target="https://www.coches.net/chevrolet-cruze-16-ls-clima-4p-gasolina-2011-en-valencia-71678496-covo.aspx" TargetMode="External" Id="rId26"/><Relationship Type="http://schemas.openxmlformats.org/officeDocument/2006/relationships/hyperlink" Target="https://www.ocasionplus.com/coches-segunda-mano/lancia-ypsilon-14-8v-platino-con-126555km-2007-b1himqaq" TargetMode="External" Id="rId27"/><Relationship Type="http://schemas.openxmlformats.org/officeDocument/2006/relationships/hyperlink" Target="https://www.ocasionplus.com/coches-segunda-mano/ford-mondeo-20-tdci-ghia-con-142530km-2006-somqeqa3" TargetMode="External" Id="rId28"/><Relationship Type="http://schemas.openxmlformats.org/officeDocument/2006/relationships/hyperlink" Target="https://www.ocasionplus.com/coches-segunda-mano/seat-ibiza-14-16v-reference-con-70908km-2006-azeojqah" TargetMode="External" Id="rId29"/><Relationship Type="http://schemas.openxmlformats.org/officeDocument/2006/relationships/hyperlink" Target="https://www.ocasionplus.com/coches-segunda-mano/fiat-panda-12-dynamic-con-213136km-2006" TargetMode="External" Id="rId30"/><Relationship Type="http://schemas.openxmlformats.org/officeDocument/2006/relationships/hyperlink" Target="https://www.autoscout24.es/anuncios/toyota-avensis-wagon-1-8-sol-gasolina-cat_ma70mo15230-1a5a1cfa-8aa2-4eb2-becc-bd32ed1bb345" TargetMode="External" Id="rId31"/><Relationship Type="http://schemas.openxmlformats.org/officeDocument/2006/relationships/hyperlink" Target="https://www.autoscout24.es/anuncios/hyundai-i20-1-2-gasolina-100-emotion-gasolina-cat_ma33mo19188-a37432b1-37f1-494e-8619-bca54f407aa3" TargetMode="External" Id="rId32"/><Relationship Type="http://schemas.openxmlformats.org/officeDocument/2006/relationships/hyperlink" Target="https://www.autoscout24.es/anuncios/opel-meriva-1-7cdti-cosmo-110-diesel-blanco-cat_ma54mo18341-5db2cfac-b438-4efe-865b-c5e5c9526f20" TargetMode="External" Id="rId33"/><Relationship Type="http://schemas.openxmlformats.org/officeDocument/2006/relationships/hyperlink" Target="https://es.wallapop.com/item/peugeot-208-peugeot-208-5p-style-1-4-hdi-68-1292118678" TargetMode="External" Id="rId34"/><Relationship Type="http://schemas.openxmlformats.org/officeDocument/2006/relationships/hyperlink" Target="https://www.autoscout24.es/anuncios/citroen-c3-1-4i-16v-exclusive-gasolina-azul-cat_ma21mo18264-b12d74bc-f99b-46aa-8160-c375b65746c5" TargetMode="External" Id="rId35"/><Relationship Type="http://schemas.openxmlformats.org/officeDocument/2006/relationships/hyperlink" Target="https://www.coches.net/ford-focus-18-tdci-ghia-4p-diesel-2007-en-valencia-71753984-covo.aspx" TargetMode="External" Id="rId36"/><Relationship Type="http://schemas.openxmlformats.org/officeDocument/2006/relationships/hyperlink" Target="https://www.autoscout24.es/anuncios/ford-focus-1-8tdci-trend-diesel-plateado-cat_ma29mo15537-309efac1-c1bf-44d7-9fec-a231f0fb8dd4" TargetMode="External" Id="rId37"/><Relationship Type="http://schemas.openxmlformats.org/officeDocument/2006/relationships/hyperlink" Target="https://www.autoscout24.es/anuncios/nissan-pixo-1-0-acenta-gasolina-rojo-cat_ma52mo19222-7c82171e-675b-4fab-b114-97b5d9d6543d" TargetMode="External" Id="rId38"/><Relationship Type="http://schemas.openxmlformats.org/officeDocument/2006/relationships/hyperlink" Target="https://www.autoscout24.es/anuncios/nissan-micra-c+c-1-4i-tekna-gasolina-plateado-cat_ma52mo1904-14c4abf7-f10e-4e2e-8196-6f9a04f367f5" TargetMode="External" Id="rId39"/><Relationship Type="http://schemas.openxmlformats.org/officeDocument/2006/relationships/hyperlink" Target="https://www.autoscout24.es/anuncios/chevrolet-cruze-2-0vcdi-lt+-clima-diesel-blanco-cat_ma19mo19172-71abdbb4-80a2-4744-b90c-ca00a2a9d98c" TargetMode="External" Id="rId40"/><Relationship Type="http://schemas.openxmlformats.org/officeDocument/2006/relationships/hyperlink" Target="https://www.autoscout24.es/anuncios/chevrolet-kalos-1-4-16v-sx-gasolina-rojo-cat_ma19mo18571-3c813df0-fdf9-4779-88cc-cd1d22b47c92" TargetMode="External" Id="rId41"/><Relationship Type="http://schemas.openxmlformats.org/officeDocument/2006/relationships/hyperlink" Target="https://www.autoscout24.es/anuncios/chevrolet-aveo-1-2-16v-ls-gasolina-blanco-cat_ma19mo18685-cb92863f-e240-4427-af20-4d726bf3e8c3" TargetMode="External" Id="rId42"/><Relationship Type="http://schemas.openxmlformats.org/officeDocument/2006/relationships/hyperlink" Target="https://www.coches.net/mazda-mazda2-active-14-crtd-5p-diesel-2007-en-valencia-71732041-covo.aspx" TargetMode="External" Id="rId43"/><Relationship Type="http://schemas.openxmlformats.org/officeDocument/2006/relationships/hyperlink" Target="https://www.coches.net/kia-picanto-11-sohc-lx-5p-gasolina-2007-en-valencia-71778568-covo.aspx" TargetMode="External" Id="rId44"/><Relationship Type="http://schemas.openxmlformats.org/officeDocument/2006/relationships/hyperlink" Target="https://www.coches.net/kia-picanto-11-sohc-ex-5p-gasolina-2006-en-valencia-71687938-covo.aspx" TargetMode="External" Id="rId45"/><Relationship Type="http://schemas.openxmlformats.org/officeDocument/2006/relationships/hyperlink" Target="https://www.coches.net/kia-ceed-16-crdi-115cv-emotion-5p-diesel-2009-en-valencia-71704887-covo.aspx" TargetMode="External" Id="rId46"/><Relationship Type="http://schemas.openxmlformats.org/officeDocument/2006/relationships/hyperlink" Target="https://www.coches.net/skoda-citigo-10-mpi-60cv-ambition-3p-gasolina-2015-en-valencia-71648429-covo.aspx" TargetMode="External" Id="rId47"/><Relationship Type="http://schemas.openxmlformats.org/officeDocument/2006/relationships/hyperlink" Target="https://www.coches.net/skoda-fabia-sedan-14-tdi-80cv-comfort-4p-diesel-2006-en-valencia-71619015-covo.aspx" TargetMode="External" Id="rId48"/><Relationship Type="http://schemas.openxmlformats.org/officeDocument/2006/relationships/hyperlink" Target="https://www.coches.net/seat-ibiza-19-tdi-100cv-sport-5p-diesel-2008-en-valencia-71867781-covo.aspx" TargetMode="External" Id="rId49"/><Relationship Type="http://schemas.openxmlformats.org/officeDocument/2006/relationships/hyperlink" Target="https://www.coches.net/opel-corsa-enjoy-12-5p-gasolina-2008-en-valencia-71806576-covo.aspx" TargetMode="External" Id="rId50"/><Relationship Type="http://schemas.openxmlformats.org/officeDocument/2006/relationships/hyperlink" Target="https://www.coches.net/opel-corsa-13-cdti-color-edition-3p-diesel-2012-en-valencia-71248981-covo.aspx" TargetMode="External" Id="rId51"/><Relationship Type="http://schemas.openxmlformats.org/officeDocument/2006/relationships/hyperlink" Target="https://es.wallapop.com/item/kia-picanto-1-1-active-48-kw-65-cv-1286345810" TargetMode="External" Id="rId52"/><Relationship Type="http://schemas.openxmlformats.org/officeDocument/2006/relationships/hyperlink" Target="https://es.wallapop.com/item/seat-ibiza-1-4-16v-reference-55-kw-75-cv-1273247713" TargetMode="External" Id="rId53"/><Relationship Type="http://schemas.openxmlformats.org/officeDocument/2006/relationships/hyperlink" Target="https://es.wallapop.com/item/volkswagen-polo-2008-1315758352" TargetMode="External" Id="rId54"/><Relationship Type="http://schemas.openxmlformats.org/officeDocument/2006/relationships/hyperlink" Target="https://es.wallapop.com/item/opel-corsa-2007-1313126578" TargetMode="External" Id="rId55"/><Relationship Type="http://schemas.openxmlformats.org/officeDocument/2006/relationships/hyperlink" Target="https://es.wallapop.com/item/opel-corsa-1-2-111-years-63-kw-85-cv-1316246339" TargetMode="External" Id="rId56"/><Relationship Type="http://schemas.openxmlformats.org/officeDocument/2006/relationships/hyperlink" Target="https://es.wallapop.com/item/opel-astra-1-7-cdti-enjoy-74-kw-100-cv-1302134212" TargetMode="External" Id="rId57"/><Relationship Type="http://schemas.openxmlformats.org/officeDocument/2006/relationships/hyperlink" Target="https://es.wallapop.com/item/opel-astra-1-7-cdti-edition-81-kw-110-cv-1317875143" TargetMode="External" Id="rId58"/><Relationship Type="http://schemas.openxmlformats.org/officeDocument/2006/relationships/hyperlink" Target="https://www.autoscout24.es/anuncios/renault-clio-1-6-exception2-aut-gasolina-gris-cat_ma60mo1961-5bfc2106-d9ab-4c5d-84d4-6b212cf78574" TargetMode="External" Id="rId59"/><Relationship Type="http://schemas.openxmlformats.org/officeDocument/2006/relationships/hyperlink" Target="https://es.wallapop.com/item/renault-megane-sport-tourer-dynamique-dci-81-kw-110-cv-1283471685" TargetMode="External" Id="rId60"/><Relationship Type="http://schemas.openxmlformats.org/officeDocument/2006/relationships/hyperlink" Target="https://es.wallapop.com/item/ford-ka-2015-1317858980" TargetMode="External" Id="rId61"/><Relationship Type="http://schemas.openxmlformats.org/officeDocument/2006/relationships/hyperlink" Target="https://es.wallapop.com/item/fiat-punto-2006-1313124669" TargetMode="External" Id="rId62"/><Relationship Type="http://schemas.openxmlformats.org/officeDocument/2006/relationships/hyperlink" Target="https://es.wallapop.com/item/fiat-punto-2007-1308782246" TargetMode="External" Id="rId63"/><Relationship Type="http://schemas.openxmlformats.org/officeDocument/2006/relationships/hyperlink" Target="https://es.wallapop.com/item/fiat-punto-1-4-t-jet-sport-88-kw-120-cv-1305071192" TargetMode="External" Id="rId64"/><Relationship Type="http://schemas.openxmlformats.org/officeDocument/2006/relationships/hyperlink" Target="https://es.wallapop.com/item/mitsubishi-colt-1-3-16v-invite-70-kw-95-cv-1305417932" TargetMode="External" Id="rId65"/><Relationship Type="http://schemas.openxmlformats.org/officeDocument/2006/relationships/hyperlink" Target="https://www.coches.net/opel-astra-13-cdti-111-years-gtc-3p-diesel-2011-en-valencia-71799024-covo.aspx" TargetMode="External" Id="rId66"/><Relationship Type="http://schemas.openxmlformats.org/officeDocument/2006/relationships/hyperlink" Target="https://www.coches.net/opel-astra-19-cdti-enjoy-120-cv-5p-diesel-2007-en-valencia-71599225-covo.aspx" TargetMode="External" Id="rId67"/><Relationship Type="http://schemas.openxmlformats.org/officeDocument/2006/relationships/hyperlink" Target="https://www.coches.net/opel-astra-14-enjoy-5p-gasolina-2006-en-valencia-71722524-covo.aspx" TargetMode="External" Id="rId68"/><Relationship Type="http://schemas.openxmlformats.org/officeDocument/2006/relationships/hyperlink" Target="https://www.coches.net/opel-astra-17-cdti-enjoy-sw-5p-diesel-2007-en-valencia-71241892-covo.aspx" TargetMode="External" Id="rId69"/><Relationship Type="http://schemas.openxmlformats.org/officeDocument/2006/relationships/hyperlink" Target="https://www.coches.net/renault-megane-coupecabrio-dynamique-16-16v-2p-gasolina-2007-en-valencia-71508169-covo.aspx" TargetMode="External" Id="rId70"/><Relationship Type="http://schemas.openxmlformats.org/officeDocument/2006/relationships/hyperlink" Target="https://www.coches.net/renault-megane-coupecabrio-dynamique-16-16v-2p-gasolina-2007-en-valencia-71662456-covo.aspx" TargetMode="External" Id="rId71"/><Relationship Type="http://schemas.openxmlformats.org/officeDocument/2006/relationships/hyperlink" Target="https://www.coches.net/renault-clio-expression-12-16v-5p-gasolina-2007-en-valencia-71693535-covo.aspx" TargetMode="External" Id="rId72"/><Relationship Type="http://schemas.openxmlformats.org/officeDocument/2006/relationships/hyperlink" Target="https://www.coches.net/renault-megane-business-dci-110-5p-diesel-2012-en-valencia-71684364-covo.aspx" TargetMode="External" Id="rId73"/><Relationship Type="http://schemas.openxmlformats.org/officeDocument/2006/relationships/hyperlink" Target="https://www.coches.net/renault-megane-dynamique-energy-dci-110-ss-eco2-3p-diesel-2012-en-valencia-71537820-covo.aspx" TargetMode="External" Id="rId74"/><Relationship Type="http://schemas.openxmlformats.org/officeDocument/2006/relationships/hyperlink" Target="https://www.coches.net/renault-megane-sport-tourer-dynamique-15dci-105cv-eco2-5p-diesel-2009-en-valencia-71783816-covo.aspx" TargetMode="External" Id="rId75"/><Relationship Type="http://schemas.openxmlformats.org/officeDocument/2006/relationships/hyperlink" Target="https://www.coches.net/renault-modus-confort-dynamique-14-16v-5p-gasolina-2006-en-valencia-70833355-covo.aspx" TargetMode="External" Id="rId76"/><Relationship Type="http://schemas.openxmlformats.org/officeDocument/2006/relationships/hyperlink" Target="https://www.coches.net/renault-fluence-dynamique-dci-110cv-4p-diesel-2010-en-valencia-71604371-covo.aspx" TargetMode="External" Id="rId77"/><Relationship Type="http://schemas.openxmlformats.org/officeDocument/2006/relationships/hyperlink" Target="https://www.coches.net/dacia-sandero-laureate-12-16v-75cv-5p-gasolina-2009-en-valencia-71749298-covo.aspx" TargetMode="External" Id="rId78"/><Relationship Type="http://schemas.openxmlformats.org/officeDocument/2006/relationships/hyperlink" Target="https://www.coches.net/peugeot-207-confort-14-vti-16v-95-5p-gasolina-2008-en-valencia-71858806-covo.aspx" TargetMode="External" Id="rId79"/><Relationship Type="http://schemas.openxmlformats.org/officeDocument/2006/relationships/hyperlink" Target="https://www.coches.net/peugeot-207-14-16v-xt-5p-gasolina-2006-en-valencia-71828437-covo.aspx" TargetMode="External" Id="rId80"/><Relationship Type="http://schemas.openxmlformats.org/officeDocument/2006/relationships/hyperlink" Target="https://www.coches.net/peugeot-207-sw-confort-14-vti-16v-95-5p-gasolina-2009-en-valencia-71764589-covo.aspx" TargetMode="External" Id="rId81"/><Relationship Type="http://schemas.openxmlformats.org/officeDocument/2006/relationships/hyperlink" Target="https://www.coches.net/peugeot-207-confort-14-vti-16v-95-5p-gasolina-2008-en-valencia-71618681-covo.aspx" TargetMode="External" Id="rId82"/><Relationship Type="http://schemas.openxmlformats.org/officeDocument/2006/relationships/hyperlink" Target="https://www.coches.net/citroen-c3-picasso-hdi-110cv-fap-airdream-exclusive-5p-diesel-2009-en-valencia-71733143-covo.aspx" TargetMode="External" Id="rId83"/><Relationship Type="http://schemas.openxmlformats.org/officeDocument/2006/relationships/hyperlink" Target="https://www.coches.net/citroen-c3-11i-furio-5p-gasolina-2005-en-valencia-71492958-covo.aspx" TargetMode="External" Id="rId84"/><Relationship Type="http://schemas.openxmlformats.org/officeDocument/2006/relationships/hyperlink" Target="https://www.coches.net/citroen-c3-hdi-70-attraction-5p-diesel-2011-en-valencia-71041894-covo.aspx" TargetMode="External" Id="rId85"/><Relationship Type="http://schemas.openxmlformats.org/officeDocument/2006/relationships/hyperlink" Target="https://www.coches.net/citroen-c3-ehdi-115-exclusive-5p-diesel-2013-en-valencia-71039872-covo.aspx" TargetMode="External" Id="rId86"/><Relationship Type="http://schemas.openxmlformats.org/officeDocument/2006/relationships/hyperlink" Target="https://www.coches.net/citroen-c4-14-16v-lx-5p-gasolina-2004-en-valencia-71679274-covo.aspx" TargetMode="External" Id="rId87"/><Relationship Type="http://schemas.openxmlformats.org/officeDocument/2006/relationships/hyperlink" Target="https://www.coches.net/citroen-c4-14-16v-cool-5p-gasolina-2005-en-valencia-71777076-covo.aspx" TargetMode="External" Id="rId88"/><Relationship Type="http://schemas.openxmlformats.org/officeDocument/2006/relationships/hyperlink" Target="https://www.coches.net/ford-fiesta-14-tdci-trend-5p-diesel-2010-en-valencia-71618923-covo.aspx" TargetMode="External" Id="rId89"/><Relationship Type="http://schemas.openxmlformats.org/officeDocument/2006/relationships/hyperlink" Target="https://www.coches.net/ford-focus-18-tdci-trend-5p-diesel-2007-en-valencia-71863788-covo.aspx" TargetMode="External" Id="rId90"/><Relationship Type="http://schemas.openxmlformats.org/officeDocument/2006/relationships/hyperlink" Target="https://www.coches.net/ford-ka-16i-sportka-3p-gasolina-2005-en-valencia-71253044-covo.aspx" TargetMode="External" Id="rId91"/><Relationship Type="http://schemas.openxmlformats.org/officeDocument/2006/relationships/hyperlink" Target="https://www.coches.net/ford-fiesta-13-newport-5p-gasolina-2006-en-valencia-71841456-covo.aspx" TargetMode="External" Id="rId92"/><Relationship Type="http://schemas.openxmlformats.org/officeDocument/2006/relationships/hyperlink" Target="https://www.coches.net/ford-fiesta-14-tdci-trend-5p-diesel-2012-en-valencia-71654849-covo.aspx" TargetMode="External" Id="rId93"/><Relationship Type="http://schemas.openxmlformats.org/officeDocument/2006/relationships/hyperlink" Target="https://www.coches.net/ford-fiesta-14-tdci-ghia-5p-diesel-2009-en-valencia-71579775-covo.aspx" TargetMode="External" Id="rId94"/><Relationship Type="http://schemas.openxmlformats.org/officeDocument/2006/relationships/hyperlink" Target="https://www.coches.net/ford-focus-18-tdci-ghia-5p-diesel-2007-en-valencia-71021526-covo.aspx" TargetMode="External" Id="rId95"/><Relationship Type="http://schemas.openxmlformats.org/officeDocument/2006/relationships/hyperlink" Target="https://www.coches.net/ford-fusion-14-tdci-ambiente-5p-diesel-2009-en-valencia-71793171-covo.aspx" TargetMode="External" Id="rId96"/><Relationship Type="http://schemas.openxmlformats.org/officeDocument/2006/relationships/hyperlink" Target="https://www.coches.net/fiat-linea-14-16v-tjet-120cv-dynamic-4p-gasolina-2007-en-valencia-70514152-covo.aspx" TargetMode="External" Id="rId97"/><Relationship Type="http://schemas.openxmlformats.org/officeDocument/2006/relationships/hyperlink" Target="https://www.coches.net/fiat-500-12-8v-69-cv-lounge-3p-gasolina-2014-en-valencia-62365434-covo.aspx" TargetMode="External" Id="rId98"/><Relationship Type="http://schemas.openxmlformats.org/officeDocument/2006/relationships/hyperlink" Target="https://www.coches.net/fiat-punto-12-feel-5p-gasolina-2005-en-valencia-71702947-covo.aspx" TargetMode="External" Id="rId99"/><Relationship Type="http://schemas.openxmlformats.org/officeDocument/2006/relationships/hyperlink" Target="https://www.coches.net/mini-mini-cooper-3p-gasolina-2007-en-valencia-71805914-covo.aspx" TargetMode="External" Id="rId100"/><Relationship Type="http://schemas.openxmlformats.org/officeDocument/2006/relationships/hyperlink" Target="https://www.coches.net/mini-mini-one-3p-gasolina-2009-en-valencia-71332504-covo.aspx" TargetMode="External" Id="rId101"/><Relationship Type="http://schemas.openxmlformats.org/officeDocument/2006/relationships/hyperlink" Target="https://www.coches.net/chevrolet-aveo-12-16v-ls-5p-gasolina-2010-en-valencia-71527060-covo.aspx" TargetMode="External" Id="rId102"/><Relationship Type="http://schemas.openxmlformats.org/officeDocument/2006/relationships/hyperlink" Target="https://www.coches.net/chevrolet-epica-20-vcdi-16v-lt-4p-diesel-2008-en-valencia-71536876-covo.aspx" TargetMode="External" Id="rId103"/><Relationship Type="http://schemas.openxmlformats.org/officeDocument/2006/relationships/hyperlink" Target="https://www.coches.net/mazda-mazda2-active-14-crtd-5p-diesel-2007-en-castellon-71743921-covo.aspx" TargetMode="External" Id="rId104"/><Relationship Type="http://schemas.openxmlformats.org/officeDocument/2006/relationships/hyperlink" Target="https://www.coches.net/seat-ibiza-19-tdi-100cv-hit-5p-diesel-2007-en-castellon-62641273-covo.aspx" TargetMode="External" Id="rId105"/><Relationship Type="http://schemas.openxmlformats.org/officeDocument/2006/relationships/hyperlink" Target="https://www.coches.net/volkswagen-polo-14-advance-75cv-3p-gasolina-2006-en-castellon-71807828-covo.aspx" TargetMode="External" Id="rId106"/><Relationship Type="http://schemas.openxmlformats.org/officeDocument/2006/relationships/hyperlink" Target="https://www.coches.net/opel-corsa-14-expression-75-cv-3p-gasolina-2015-en-castellon-71743852-covo.aspx" TargetMode="External" Id="rId107"/><Relationship Type="http://schemas.openxmlformats.org/officeDocument/2006/relationships/hyperlink" Target="https://www.coches.net/renault-twingo-authentique-12-eco2-3p-gasolina-2008-en-castellon-70895846-covo.aspx" TargetMode="External" Id="rId108"/><Relationship Type="http://schemas.openxmlformats.org/officeDocument/2006/relationships/hyperlink" Target="https://www.coches.net/peugeot-207-confort-14-vti-16v-95-5p-gasolina-2009-en-castellon-71576158-covo.aspx" TargetMode="External" Id="rId109"/><Relationship Type="http://schemas.openxmlformats.org/officeDocument/2006/relationships/hyperlink" Target="https://www.coches.net/fiat-500-09-turbo-twinair-85cv-blackjack-3p-gasolina-2007-en-castellon-70833137-covo.aspx" TargetMode="External" Id="rId110"/><Relationship Type="http://schemas.openxmlformats.org/officeDocument/2006/relationships/hyperlink" Target="https://www.coches.net/chevrolet-aveo-12-16v-ls-5p-gasolina-2011-en-castellon-71789822-covo.aspx" TargetMode="External" Id="rId111"/><Relationship Type="http://schemas.openxmlformats.org/officeDocument/2006/relationships/hyperlink" Target="https://www.coches.net/chevrolet-matiz-10-s-5p-gasolina-2006-en-castellon-71686041-covo.aspx" TargetMode="External" Id="rId112"/><Relationship Type="http://schemas.openxmlformats.org/officeDocument/2006/relationships/hyperlink" Target="https://www.ocasionplus.com/coches-segunda-mano/opel-corsa-12-blue-line-con-35977km-2004-yk3xrqat" TargetMode="External" Id="rId113"/><Relationship Type="http://schemas.openxmlformats.org/officeDocument/2006/relationships/hyperlink" Target="https://www.ocasionplus.com/coches-segunda-mano/peugeot-206-75-refri-con-175786km-2004-woyn0qad" TargetMode="External" Id="rId114"/><Relationship Type="http://schemas.openxmlformats.org/officeDocument/2006/relationships/hyperlink" Target="https://www.ocasionplus.com/coches-segunda-mano/ford-focus-16-trend-con-124702km-2005-vvmwmqa1" TargetMode="External" Id="rId115"/><Relationship Type="http://schemas.openxmlformats.org/officeDocument/2006/relationships/hyperlink" Target="https://www.autoscout24.es/anuncios/kia-picanto-1-1-ex-gasolina-azul-cat_ma39mo18417-a5f130c9-c592-4650-9de1-2b5e7248cf67" TargetMode="External" Id="rId116"/><Relationship Type="http://schemas.openxmlformats.org/officeDocument/2006/relationships/hyperlink" Target="https://www.autoscout24.es/anuncios/peugeot-206-1-4-x-line-gasolina-rojo-cat_ma55mo15401-04d015db-2d48-4b66-9cad-7ee189965ecc" TargetMode="External" Id="rId117"/><Relationship Type="http://schemas.openxmlformats.org/officeDocument/2006/relationships/hyperlink" Target="https://www.autoscout24.es/anuncios/ford-focus-1-6-trend-gasolina-plateado-cat_ma29mo15537-b89b62f8-cd4b-44d1-86d7-99a0f0262148" TargetMode="External" Id="rId118"/><Relationship Type="http://schemas.openxmlformats.org/officeDocument/2006/relationships/hyperlink" Target="https://www.autoscout24.es/anuncios/ford-ka-ka+-sport-gasolina-azul-cat_ma29mo1761-1dc4e185-dbb1-4a11-859b-53f72824eaef" TargetMode="External" Id="rId119"/><Relationship Type="http://schemas.openxmlformats.org/officeDocument/2006/relationships/hyperlink" Target="https://www.autoscout24.es/anuncios/audi-a3-1-6-ambition-gasolina-cat_ma9mo1624-d5b27dfd-fed8-4a0b-82b9-c2080acadd7a" TargetMode="External" Id="rId120"/><Relationship Type="http://schemas.openxmlformats.org/officeDocument/2006/relationships/hyperlink" Target="https://www.autoscout24.es/anuncios/mini-one-gasolina-rojo-cat_ma16338mo16602-fa3cefd8-4f00-49cd-8e6b-90310eb4e1c6" TargetMode="External" Id="rId121"/><Relationship Type="http://schemas.openxmlformats.org/officeDocument/2006/relationships/hyperlink" Target="https://www.coches.net/kia-rio-15-16v-ls-5p-gasolina-2004-en-valencia-71021641-covo.aspx" TargetMode="External" Id="rId122"/><Relationship Type="http://schemas.openxmlformats.org/officeDocument/2006/relationships/hyperlink" Target="https://www.coches.net/kia-picanto-11-sohc-lx-5p-gasolina-2006-en-valencia-71596757-covo.aspx" TargetMode="External" Id="rId123"/><Relationship Type="http://schemas.openxmlformats.org/officeDocument/2006/relationships/hyperlink" Target="https://www.coches.net/kia-rio-13-rs-5p-gasolina-2004-en-valencia-71476718-covo.aspx" TargetMode="External" Id="rId124"/><Relationship Type="http://schemas.openxmlformats.org/officeDocument/2006/relationships/hyperlink" Target="https://www.coches.net/kia-rio-15-16v-ls-5p-gasolina-2004-en-valencia-71758915-covo.aspx" TargetMode="External" Id="rId125"/><Relationship Type="http://schemas.openxmlformats.org/officeDocument/2006/relationships/hyperlink" Target="https://es.wallapop.com/item/kia-rio-2003-solo-110-000km-1316428326" TargetMode="External" Id="rId126"/><Relationship Type="http://schemas.openxmlformats.org/officeDocument/2006/relationships/hyperlink" Target="https://www.coches.net/volkswagen-polo-14-advance-75cv-3p-gasolina-2006-en-valencia-71755414-covo.aspx" TargetMode="External" Id="rId127"/><Relationship Type="http://schemas.openxmlformats.org/officeDocument/2006/relationships/hyperlink" Target="https://www.coches.net/volkswagen-golf-16-trendline-3p-gasolina-2005-en-valencia-71783945-covo.aspx" TargetMode="External" Id="rId128"/><Relationship Type="http://schemas.openxmlformats.org/officeDocument/2006/relationships/hyperlink" Target="https://www.coches.net/renault-megane-confort-dynamique-14-16v-3p-gasolina-2004-en-valencia-71793733-covo.aspx" TargetMode="External" Id="rId129"/><Relationship Type="http://schemas.openxmlformats.org/officeDocument/2006/relationships/hyperlink" Target="https://www.coches.net/renault-laguna-dynamique-20-16v-140cv-5p-gasolina-2008-en-valencia-71766881-covo.aspx" TargetMode="External" Id="rId130"/><Relationship Type="http://schemas.openxmlformats.org/officeDocument/2006/relationships/hyperlink" Target="https://www.coches.net/peugeot-206-xr-refri-75-5p-gasolina-2002-en-valencia-71677639-covo.aspx" TargetMode="External" Id="rId131"/><Relationship Type="http://schemas.openxmlformats.org/officeDocument/2006/relationships/hyperlink" Target="https://www.coches.net/peugeot-206-xline-75-5p-gasolina-2002-en-valencia-71681078-covo.aspx" TargetMode="External" Id="rId132"/><Relationship Type="http://schemas.openxmlformats.org/officeDocument/2006/relationships/hyperlink" Target="https://www.coches.net/citroen-c3-14i-sx-plus-5p-gasolina-2003-en-valencia-71461316-covo.aspx" TargetMode="External" Id="rId133"/><Relationship Type="http://schemas.openxmlformats.org/officeDocument/2006/relationships/hyperlink" Target="https://www.coches.net/citroen-c2-11i-furio-3p-gasolina-2005-en-valencia-71550742-covo.aspx" TargetMode="External" Id="rId134"/><Relationship Type="http://schemas.openxmlformats.org/officeDocument/2006/relationships/hyperlink" Target="https://www.coches.net/citroen-c3-14i-exclusive-5p-gasolina-2005-en-valencia-71405714-covo.aspx" TargetMode="External" Id="rId135"/><Relationship Type="http://schemas.openxmlformats.org/officeDocument/2006/relationships/hyperlink" Target="https://www.coches.net/ford-ka-13-collection-3p-gasolina-2005-en-valencia-71877473-covo.aspx" TargetMode="External" Id="rId136"/><Relationship Type="http://schemas.openxmlformats.org/officeDocument/2006/relationships/hyperlink" Target="https://www.coches.net/ford-fiesta-13-ambiente-5p-gasolina-2003-en-valencia-71168369-covo.aspx" TargetMode="External" Id="rId137"/><Relationship Type="http://schemas.openxmlformats.org/officeDocument/2006/relationships/hyperlink" Target="https://es.wallapop.com/item/ford-fusion-2003-1305532346" TargetMode="External" Id="rId138"/><Relationship Type="http://schemas.openxmlformats.org/officeDocument/2006/relationships/hyperlink" Target="https://www.coches.net/ford-mondeo-20-tdci-140-ghia-5p-diesel-2008-en-valencia-71830314-covo.aspx" TargetMode="External" Id="rId139"/><Relationship Type="http://schemas.openxmlformats.org/officeDocument/2006/relationships/hyperlink" Target="https://www.coches.net/ford-mondeo-18-tdci-125-trend-5p-diesel-2007-en-valencia-71545576-covo.aspx" TargetMode="External" Id="rId140"/><Relationship Type="http://schemas.openxmlformats.org/officeDocument/2006/relationships/hyperlink" Target="https://www.coches.net/chevrolet-nubira-16-se-4p-gasolina-2005-en-valencia-70490221-covo.aspx" TargetMode="External" Id="rId141"/><Relationship Type="http://schemas.openxmlformats.org/officeDocument/2006/relationships/hyperlink" Target="https://www.coches.net/mazda-mazda2-sportive-16-5p-gasolina-2003-en-castellon-71566674-covo.aspx" TargetMode="External" Id="rId142"/><Relationship Type="http://schemas.openxmlformats.org/officeDocument/2006/relationships/hyperlink" Target="https://www.coches.net/seat-ibiza-14-16v-75-cv-signa-3p-gasolina-2004-en-castellon-71837054-covo.aspx" TargetMode="External" Id="rId143"/><Relationship Type="http://schemas.openxmlformats.org/officeDocument/2006/relationships/hyperlink" Target="https://www.coches.net/opel-meriva-enjoy-1.4-xep-5p-gasolina-2005-en-castellon-61732430-covo.aspx" TargetMode="External" Id="rId144"/><Relationship Type="http://schemas.openxmlformats.org/officeDocument/2006/relationships/hyperlink" Target="https://www.coches.net/citroen-c3-14i-exclusive-5p-gasolina-2005-en-castellon-71585987-covo.aspx" TargetMode="External" Id="rId145"/><Relationship Type="http://schemas.openxmlformats.org/officeDocument/2006/relationships/hyperlink" Target="https://www.coches.net/ford-focus-16-ghia-5p-gasolina-2003-en-castellon-71579420-covo.aspx" TargetMode="External" Id="rId146"/><Relationship Type="http://schemas.openxmlformats.org/officeDocument/2006/relationships/hyperlink" Target="https://es.wallapop.com/item/renault-megane-2005-1316422909" TargetMode="External" Id="rId147"/><Relationship Type="http://schemas.openxmlformats.org/officeDocument/2006/relationships/hyperlink" Target="https://es.wallapop.com/item/dacia-sandero-1-2-16v-base-55-kw-75-cv-1319022976" TargetMode="External" Id="rId148"/><Relationship Type="http://schemas.openxmlformats.org/officeDocument/2006/relationships/hyperlink" Target="https://es.wallapop.com/item/peugeot-206-2004-1308930723" TargetMode="External" Id="rId149"/><Relationship Type="http://schemas.openxmlformats.org/officeDocument/2006/relationships/hyperlink" Target="https://es.wallapop.com/item/audi-a4-3-0-tdi-quattro-automatico-1286177883" TargetMode="External" Id="rId150"/><Relationship Type="http://schemas.openxmlformats.org/officeDocument/2006/relationships/hyperlink" Target="https://www.autoscout24.es/anuncios/skoda-fabia-1-2-spirit-gasolina-blanco-cat_ma65mo15878-2528c455-49de-4234-bf19-aa358e92ee05" TargetMode="External" Id="rId151"/><Relationship Type="http://schemas.openxmlformats.org/officeDocument/2006/relationships/hyperlink" Target="https://www.autoscout24.es/anuncios/seat-ibiza-1-9-tdi-100cv-sport-diesel-rojo-cat_ma64mo2006-01905e88-fea5-4b70-b812-43bbb48a64c8" TargetMode="External" Id="rId152"/><Relationship Type="http://schemas.openxmlformats.org/officeDocument/2006/relationships/hyperlink" Target="https://www.autoscout24.es/anuncios/opel-astra-sedan-1-4t-elegance-140-gasolina-azul-cat_ma54mo1916-87815191-41a1-4861-940d-27880019176b" TargetMode="External" Id="rId153"/><Relationship Type="http://schemas.openxmlformats.org/officeDocument/2006/relationships/hyperlink" Target="https://www.autoscout24.es/anuncios/renault-megane-1-2-tce-energy-dynamique-ss-gasolina-azul-cat_ma60mo1965-dcf734e7-b06f-4873-8c2a-a26be965dbe9" TargetMode="External" Id="rId154"/><Relationship Type="http://schemas.openxmlformats.org/officeDocument/2006/relationships/hyperlink" Target="https://www.autoscout24.es/anuncios/renault-fluence-1-5dci-dynamique-110-eco2-diesel-gris-cat_ma60mo19250-682fe799-90a7-47c2-8845-cfba7d40563c" TargetMode="External" Id="rId155"/><Relationship Type="http://schemas.openxmlformats.org/officeDocument/2006/relationships/hyperlink" Target="https://www.autoscout24.es/anuncios/renault-megane-1-5dci-dynamique-110-diesel-azul-cat_ma60mo1965-a52f6c03-ffbc-4d50-a86c-77631d36c9a9" TargetMode="External" Id="rId156"/><Relationship Type="http://schemas.openxmlformats.org/officeDocument/2006/relationships/hyperlink" Target="https://www.autoscout24.es/anuncios/renault-clio-1-2-business-gasolina-burdeos-cat_ma60mo1961-0a491974-eb0b-4e52-aef9-279fd8045ac1" TargetMode="External" Id="rId157"/><Relationship Type="http://schemas.openxmlformats.org/officeDocument/2006/relationships/hyperlink" Target="https://www.autoscout24.es/anuncios/peugeot-208-1-2-puretech-ss-active-82-gasolina-gris-cat_ma55mo20057-bbe29d01-3db6-4f0d-95a0-24b286321907" TargetMode="External" Id="rId158"/><Relationship Type="http://schemas.openxmlformats.org/officeDocument/2006/relationships/hyperlink" Target="https://www.autoscout24.es/anuncios/peugeot-207-1-4-vti-16v-confort-gasolina-gris-cat_ma55mo18797-8fb7026e-627e-4f5e-ba25-2926cf11b165" TargetMode="External" Id="rId159"/><Relationship Type="http://schemas.openxmlformats.org/officeDocument/2006/relationships/hyperlink" Target="https://www.autoscout24.es/anuncios/peugeot-206-+-1-4-75cv-gasolina-gris-cat_ma55mo15401-db98863e-3a97-4c44-bf18-f5d2ea088b12" TargetMode="External" Id="rId160"/><Relationship Type="http://schemas.openxmlformats.org/officeDocument/2006/relationships/hyperlink" Target="https://www.autoscout24.es/anuncios/citroen-c4-grand-picasso-1-6-vti-seduction-gasolina-blanco-cat_ma21mo18545-d9b9a599-a45f-49ff-92d6-25aaf15b8ed1" TargetMode="External" Id="rId161"/><Relationship Type="http://schemas.openxmlformats.org/officeDocument/2006/relationships/hyperlink" Target="https://www.coches.net/citroen-c4-14-vti-95cv-tonic-5p-gasolina-2012-en-castellon-71785121-covo.aspx" TargetMode="External" Id="rId162"/><Relationship Type="http://schemas.openxmlformats.org/officeDocument/2006/relationships/hyperlink" Target="https://www.coches.net/fiat-500-12-8v-69-cv-lounge-3p-gasolina-2007-en-castellon-71584026-covo.aspx" TargetMode="External" Id="rId163"/><Relationship Type="http://schemas.openxmlformats.org/officeDocument/2006/relationships/hyperlink" Target="https://www.autoscout24.es/anuncios/mitsubishi-colt-1-1-cleartec-inform-gasolina-cat_ma50mo1877-e52cbf90-607a-4f94-8b9a-ac232691b711" TargetMode="External" Id="rId164"/><Relationship Type="http://schemas.openxmlformats.org/officeDocument/2006/relationships/hyperlink" Target="https://www.coches.net/toyota-avensis-gasolina-2005-en-valencia-71684077-covo.aspx" TargetMode="External" Id="rId165"/><Relationship Type="http://schemas.openxmlformats.org/officeDocument/2006/relationships/hyperlink" Target="https://www.coches.net/mazda-mazda3-16-vvt-105cv-active-5p-gasolina-2009-en-valencia-71667655-covo.aspx" TargetMode="External" Id="rId166"/><Relationship Type="http://schemas.openxmlformats.org/officeDocument/2006/relationships/hyperlink" Target="https://www.coches.net/hyundai-i20-i20-12-l-pbt-classic-aa-key-5p-gasolina-2011-en-valencia-71877631-covo.aspx" TargetMode="External" Id="rId167"/><Relationship Type="http://schemas.openxmlformats.org/officeDocument/2006/relationships/hyperlink" Target="https://www.coches.net/hyundai-i20-i20-12-comfort-aa-5p-gasolina-2009-en-valencia-71868945-covo.aspx" TargetMode="External" Id="rId168"/><Relationship Type="http://schemas.openxmlformats.org/officeDocument/2006/relationships/hyperlink" Target="https://www.coches.net/hyundai-i20-12-pbt-classic-aa-key-5p-gasolina-2011-en-valencia-71755302-covo.aspx" TargetMode="External" Id="rId169"/><Relationship Type="http://schemas.openxmlformats.org/officeDocument/2006/relationships/hyperlink" Target="https://www.coches.net/skoda-fabia-12-60cv-spirit-5p-gasolina-2010-en-valencia-71555706-covo.aspx" TargetMode="External" Id="rId170"/><Relationship Type="http://schemas.openxmlformats.org/officeDocument/2006/relationships/hyperlink" Target="https://www.coches.net/seat-ibiza-19-tdi-100cv-sport-5p-diesel-2008-en-valencia-71860134-covo.aspx" TargetMode="External" Id="rId171"/><Relationship Type="http://schemas.openxmlformats.org/officeDocument/2006/relationships/hyperlink" Target="https://www.coches.net/seat-ibiza-14-16v-85cv-style-5p-gasolina-2010-en-valencia-71614301-covo.aspx" TargetMode="External" Id="rId172"/><Relationship Type="http://schemas.openxmlformats.org/officeDocument/2006/relationships/hyperlink" Target="https://www.coches.net/volkswagen-polo-14-tdi-bluemotion-80cv-5p-diesel-2010-en-valencia-71675589-covo.aspx" TargetMode="External" Id="rId173"/><Relationship Type="http://schemas.openxmlformats.org/officeDocument/2006/relationships/hyperlink" Target="https://www.coches.net/opel-astra-17-cdti-ecoe-edition-4p-diesel-2010-en-valencia-71815933-covo.aspx" TargetMode="External" Id="rId174"/><Relationship Type="http://schemas.openxmlformats.org/officeDocument/2006/relationships/hyperlink" Target="https://www.coches.net/opel-insignia-sports-tourer-20-cdti-160-cv-sport-5p-diesel-2011-en-valencia-71790136-covo.aspx" TargetMode="External" Id="rId175"/><Relationship Type="http://schemas.openxmlformats.org/officeDocument/2006/relationships/hyperlink" Target="https://www.coches.net/opel-insignia-16-cdti-startstop-ecoflex-136-business-5p-diesel-2016-en-valencia-71763662-covo.aspx" TargetMode="External" Id="rId176"/><Relationship Type="http://schemas.openxmlformats.org/officeDocument/2006/relationships/hyperlink" Target="https://www.coches.net/renault-laguna-authentique-dci-110cv-5p-diesel-2010-en-valencia-71597486-covo.aspx" TargetMode="External" Id="rId177"/><Relationship Type="http://schemas.openxmlformats.org/officeDocument/2006/relationships/hyperlink" Target="https://www.coches.net/dacia-sandero-laureate-tce-90-5p-gasolina-2012-en-valencia-71435649-covo.aspx" TargetMode="External" Id="rId178"/><Relationship Type="http://schemas.openxmlformats.org/officeDocument/2006/relationships/hyperlink" Target="https://www.coches.net/dacia-sandero-ambiance-12-75cv-5p-gasolina-2012-en-valencia-71399936-covo.aspx" TargetMode="External" Id="rId179"/><Relationship Type="http://schemas.openxmlformats.org/officeDocument/2006/relationships/hyperlink" Target="https://www.coches.net/citroen-c3-hdi-90-exclusive-5p-diesel-2010-en-valencia-71466798-covo.aspx" TargetMode="External" Id="rId180"/><Relationship Type="http://schemas.openxmlformats.org/officeDocument/2006/relationships/hyperlink" Target="https://www.coches.net/citroen-c3-vti-120-exclusive-5p-gasolina-2014-en-valencia-70116660-covo.aspx" TargetMode="External" Id="rId181"/><Relationship Type="http://schemas.openxmlformats.org/officeDocument/2006/relationships/hyperlink" Target="https://www.coches.net/citroen-c3-bluehdi-55kw-75cv-ss-shine-5p-diesel-2016-en-valencia-71741251-covo.aspx" TargetMode="External" Id="rId182"/><Relationship Type="http://schemas.openxmlformats.org/officeDocument/2006/relationships/hyperlink" Target="https://www.coches.net/citroen-c3-vti-95-exclusive-5p-gasolina-2010-en-valencia-71483731-covo.aspx" TargetMode="External" Id="rId183"/><Relationship Type="http://schemas.openxmlformats.org/officeDocument/2006/relationships/hyperlink" Target="https://www.coches.net/citroen-c3-vti-82cv-collection-5p-gasolina-2014-en-valencia-71183232-covo.aspx" TargetMode="External" Id="rId184"/><Relationship Type="http://schemas.openxmlformats.org/officeDocument/2006/relationships/hyperlink" Target="https://www.coches.net/citroen-c3-puretech-68cv-tonic-5p-gasolina-2014-en-valencia-70359259-covo.aspx" TargetMode="External" Id="rId185"/><Relationship Type="http://schemas.openxmlformats.org/officeDocument/2006/relationships/hyperlink" Target="https://www.coches.net/ford-fiesta-125-82cv-trend-3p-gasolina-2009-en-valencia-71819618-covo.aspx" TargetMode="External" Id="rId186"/><Relationship Type="http://schemas.openxmlformats.org/officeDocument/2006/relationships/hyperlink" Target="https://www.coches.net/ford-ka-titanium-12-duratec-autostartstop-3p-gasolina-2012-en-valencia-71382237-covo.aspx" TargetMode="External" Id="rId187"/><Relationship Type="http://schemas.openxmlformats.org/officeDocument/2006/relationships/hyperlink" Target="https://www.coches.net/ford-fiesta-125-82cv-trend-3p-gasolina-2009-en-valencia-71484790-covo.aspx" TargetMode="External" Id="rId188"/><Relationship Type="http://schemas.openxmlformats.org/officeDocument/2006/relationships/hyperlink" Target="https://www.coches.net/ford-fiesta-10-ecoboost-100cv-trend-5p-5p-gasolina-2014-en-valencia-71231869-covo.aspx" TargetMode="External" Id="rId189"/><Relationship Type="http://schemas.openxmlformats.org/officeDocument/2006/relationships/hyperlink" Target="https://es.wallapop.com/item/ford-focus-2007-1317347149" TargetMode="External" Id="rId190"/><Relationship Type="http://schemas.openxmlformats.org/officeDocument/2006/relationships/hyperlink" Target="https://www.coches.net/ford-mondeo-18-tdci-125-ambiente-5p-diesel-2009-en-valencia-71730076-covo.aspx" TargetMode="External" Id="rId191"/><Relationship Type="http://schemas.openxmlformats.org/officeDocument/2006/relationships/hyperlink" Target="https://www.coches.net/fiat-punto-12-8v-pop-69-cv-gasolina-ss-3p-gasolina-2013-en-valencia-71863235-covo.aspx" TargetMode="External" Id="rId192"/><Relationship Type="http://schemas.openxmlformats.org/officeDocument/2006/relationships/hyperlink" Target="https://www.coches.net/fiat-punto-12-8v-easy-67-cv-gasolina-5p-gasolina-2013-en-valencia-71839140-covo.aspx" TargetMode="External" Id="rId193"/><Relationship Type="http://schemas.openxmlformats.org/officeDocument/2006/relationships/hyperlink" Target="https://www.coches.net/suzuki-swift-13-ddis-gl-5p-5p-diesel-2014-en-valencia-71021130-covo.aspx" TargetMode="External" Id="rId194"/><Relationship Type="http://schemas.openxmlformats.org/officeDocument/2006/relationships/hyperlink" Target="https://www.coches.net/mini-mini-one-3p-gasolina-2010-en-valencia-71834926-covo.aspx" TargetMode="External" Id="rId195"/><Relationship Type="http://schemas.openxmlformats.org/officeDocument/2006/relationships/hyperlink" Target="https://www.coches.net/mini-mini-one-3p-gasolina-2009-en-valencia-71488883-covo.aspx" TargetMode="External" Id="rId196"/><Relationship Type="http://schemas.openxmlformats.org/officeDocument/2006/relationships/hyperlink" Target="https://www.coches.net/citroen-c-elysee-bluehdi-100cv-exclusive-4p-diesel-2015-en-castellon-71596642-covo.aspx" TargetMode="External" Id="rId197"/><Relationship Type="http://schemas.openxmlformats.org/officeDocument/2006/relationships/hyperlink" Target="https://es.wallapop.com/item/toyota-yaris-2008-1300218822" TargetMode="External" Id="rId198"/><Relationship Type="http://schemas.openxmlformats.org/officeDocument/2006/relationships/hyperlink" Target="https://es.wallapop.com/item/honda-civic-1-8-i-vtec-140cv-gasolina-2009-1310368200" TargetMode="External" Id="rId199"/><Relationship Type="http://schemas.openxmlformats.org/officeDocument/2006/relationships/hyperlink" Target="https://es.wallapop.com/item/mazda-3-unico-propietario-solo-105-000km-1316404490" TargetMode="External" Id="rId200"/><Relationship Type="http://schemas.openxmlformats.org/officeDocument/2006/relationships/hyperlink" Target="https://es.wallapop.com/item/seat-leon-2009-1318828864" TargetMode="External" Id="rId201"/><Relationship Type="http://schemas.openxmlformats.org/officeDocument/2006/relationships/hyperlink" Target="https://es.wallapop.com/item/seat-toledo-1-9-tdi-sport-up-2007-xenon-1241960515" TargetMode="External" Id="rId202"/><Relationship Type="http://schemas.openxmlformats.org/officeDocument/2006/relationships/hyperlink" Target="https://es.wallapop.com/item/opel-corsa-1-3-ecoflex-75-cv-expression-1318406567" TargetMode="External" Id="rId203"/><Relationship Type="http://schemas.openxmlformats.org/officeDocument/2006/relationships/hyperlink" Target="https://es.wallapop.com/item/peugeot-207-1-4-vti-16v-sport-70-kw-95-cv-1283611345" TargetMode="External" Id="rId204"/><Relationship Type="http://schemas.openxmlformats.org/officeDocument/2006/relationships/hyperlink" Target="https://es.wallapop.com/item/citroen-c3-hdi-70-tonic-50-kw-68-cv-1316092128" TargetMode="External" Id="rId205"/><Relationship Type="http://schemas.openxmlformats.org/officeDocument/2006/relationships/hyperlink" Target="https://es.wallapop.com/item/citroen-c3-1-1i-attraction-44-kw-60-cv-1280027924" TargetMode="External" Id="rId206"/><Relationship Type="http://schemas.openxmlformats.org/officeDocument/2006/relationships/hyperlink" Target="https://es.wallapop.com/item/alfa-romeo-147-2006-1307578646" TargetMode="External" Id="rId207"/><Relationship Type="http://schemas.openxmlformats.org/officeDocument/2006/relationships/hyperlink" Target="https://es.wallapop.com/item/alfa-romeo-159-jtd-2009-1318617797" TargetMode="External" Id="rId208"/><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EK209"/>
  <sheetViews>
    <sheetView workbookViewId="0">
      <selection activeCell="A1" sqref="A1"/>
    </sheetView>
  </sheetViews>
  <sheetFormatPr baseColWidth="8" defaultRowHeight="15"/>
  <cols>
    <col width="13" customWidth="1" min="1" max="1"/>
    <col width="13" customWidth="1" min="2" max="2"/>
    <col width="30" customWidth="1" min="3" max="3"/>
    <col width="40"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30" customWidth="1" min="71" max="71"/>
    <col width="40" customWidth="1" min="72" max="72"/>
    <col width="60" customWidth="1" min="73" max="73"/>
    <col width="30"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 width="13" customWidth="1" min="110" max="110"/>
    <col width="13" customWidth="1" min="111" max="111"/>
    <col width="13" customWidth="1" min="112" max="112"/>
    <col width="13" customWidth="1" min="113" max="113"/>
    <col width="13" customWidth="1" min="114" max="114"/>
    <col width="13" customWidth="1" min="115" max="115"/>
    <col width="13" customWidth="1" min="116" max="116"/>
    <col width="13" customWidth="1" min="117" max="117"/>
    <col width="13" customWidth="1" min="118" max="118"/>
    <col width="13" customWidth="1" min="119" max="119"/>
    <col width="13" customWidth="1" min="120" max="120"/>
    <col width="13" customWidth="1" min="121" max="121"/>
    <col width="13" customWidth="1" min="122" max="122"/>
    <col width="13" customWidth="1" min="123" max="123"/>
    <col width="13" customWidth="1" min="124" max="124"/>
    <col width="13" customWidth="1" min="125" max="125"/>
    <col width="13" customWidth="1" min="126" max="126"/>
    <col width="13" customWidth="1" min="127" max="127"/>
    <col width="13" customWidth="1" min="128" max="128"/>
    <col width="13" customWidth="1" min="129" max="129"/>
    <col width="13" customWidth="1" min="130" max="130"/>
    <col width="13" customWidth="1" min="131" max="131"/>
    <col width="13" customWidth="1" min="132" max="132"/>
    <col width="13" customWidth="1" min="133" max="133"/>
    <col width="13" customWidth="1" min="134" max="134"/>
    <col width="13" customWidth="1" min="135" max="135"/>
    <col width="13" customWidth="1" min="136" max="136"/>
    <col width="13" customWidth="1" min="137" max="137"/>
    <col width="13" customWidth="1" min="138" max="138"/>
    <col width="13" customWidth="1" min="139" max="139"/>
    <col width="13" customWidth="1" min="140" max="140"/>
    <col width="13" customWidth="1" min="141" max="141"/>
  </cols>
  <sheetData>
    <row r="1">
      <c r="A1" s="1" t="inlineStr">
        <is>
          <t>ID</t>
        </is>
      </c>
      <c r="B1" s="1" t="inlineStr">
        <is>
          <t>Plataforma</t>
        </is>
      </c>
      <c r="C1" s="1" t="inlineStr">
        <is>
          <t>URL</t>
        </is>
      </c>
      <c r="D1" s="1" t="inlineStr">
        <is>
          <t>Título</t>
        </is>
      </c>
      <c r="E1" s="1" t="inlineStr">
        <is>
          <t>Marca</t>
        </is>
      </c>
      <c r="F1" s="1" t="inlineStr">
        <is>
          <t>Modelo</t>
        </is>
      </c>
      <c r="G1" s="1" t="inlineStr">
        <is>
          <t>Motor (normalizado)</t>
        </is>
      </c>
      <c r="H1" s="1" t="inlineStr">
        <is>
          <t>Versión</t>
        </is>
      </c>
      <c r="I1" s="1" t="inlineStr">
        <is>
          <t>Cilindrada (cc)</t>
        </is>
      </c>
      <c r="J1" s="1" t="inlineStr">
        <is>
          <t>Potencia (CV)</t>
        </is>
      </c>
      <c r="K1" s="1" t="inlineStr">
        <is>
          <t>Combustible</t>
        </is>
      </c>
      <c r="L1" s="1" t="inlineStr">
        <is>
          <t>Segmento</t>
        </is>
      </c>
      <c r="M1" s="1" t="inlineStr">
        <is>
          <t>Año</t>
        </is>
      </c>
      <c r="N1" s="1" t="inlineStr">
        <is>
          <t>Km</t>
        </is>
      </c>
      <c r="O1" s="1" t="inlineStr">
        <is>
          <t>Precio (€)</t>
        </is>
      </c>
      <c r="P1" s="1" t="inlineStr">
        <is>
          <t>Cambio</t>
        </is>
      </c>
      <c r="Q1" s="1" t="inlineStr">
        <is>
          <t>Automático</t>
        </is>
      </c>
      <c r="R1" s="1" t="inlineStr">
        <is>
          <t>Vendedor</t>
        </is>
      </c>
      <c r="S1" s="1" t="inlineStr">
        <is>
          <t>Ubicación</t>
        </is>
      </c>
      <c r="T1" s="1" t="inlineStr">
        <is>
          <t>Publicado</t>
        </is>
      </c>
      <c r="U1" s="1" t="inlineStr">
        <is>
          <t>Nº fotos</t>
        </is>
      </c>
      <c r="V1" s="1" t="inlineStr">
        <is>
          <t>ITV en vigor</t>
        </is>
      </c>
      <c r="W1" s="1" t="inlineStr">
        <is>
          <t>Libro mantenimiento</t>
        </is>
      </c>
      <c r="X1" s="1" t="inlineStr">
        <is>
          <t>Correa/distrib. cambiada</t>
        </is>
      </c>
      <c r="Y1" s="1" t="inlineStr">
        <is>
          <t>Nº propietarios</t>
        </is>
      </c>
      <c r="Z1" s="1" t="inlineStr">
        <is>
          <t>Garantía</t>
        </is>
      </c>
      <c r="AA1" s="1" t="inlineStr">
        <is>
          <t>Km justificados</t>
        </is>
      </c>
      <c r="AB1" s="1" t="inlineStr">
        <is>
          <t>Garantía incluida (meses)</t>
        </is>
      </c>
      <c r="AC1" s="1" t="inlineStr">
        <is>
          <t>Garantía ampliable</t>
        </is>
      </c>
      <c r="AD1" s="1" t="inlineStr">
        <is>
          <t>Precio ampliación garantía (€)</t>
        </is>
      </c>
      <c r="AE1" s="1" t="inlineStr">
        <is>
          <t>Revisión (puntos)</t>
        </is>
      </c>
      <c r="AF1" s="1" t="inlineStr">
        <is>
          <t>Km certificados</t>
        </is>
      </c>
      <c r="AG1" s="1" t="inlineStr">
        <is>
          <t>Devolución (días)</t>
        </is>
      </c>
      <c r="AH1" s="1" t="inlineStr">
        <is>
          <t>Precio al contado (€)</t>
        </is>
      </c>
      <c r="AI1" s="1" t="inlineStr">
        <is>
          <t>Precio financiado (€)</t>
        </is>
      </c>
      <c r="AJ1" s="1" t="inlineStr">
        <is>
          <t>Precio anunciado solo financiando</t>
        </is>
      </c>
      <c r="AK1" s="1" t="inlineStr">
        <is>
          <t>Gastos de gestión del vendedor (€)</t>
        </is>
      </c>
      <c r="AL1" s="1" t="inlineStr">
        <is>
          <t>Gastos incluyen transferencia</t>
        </is>
      </c>
      <c r="AM1" s="1" t="inlineStr">
        <is>
          <t>Distancia a València (km)</t>
        </is>
      </c>
      <c r="AN1" s="1" t="inlineStr">
        <is>
          <t>Matrícula</t>
        </is>
      </c>
      <c r="AO1" s="1" t="inlineStr">
        <is>
          <t>1.ª matriculación (anuncio)</t>
        </is>
      </c>
      <c r="AP1" s="1" t="inlineStr">
        <is>
          <t>Año 1.ª matric.</t>
        </is>
      </c>
      <c r="AQ1" s="1" t="inlineStr">
        <is>
          <t>Mes 1.ª matric.</t>
        </is>
      </c>
      <c r="AR1" s="1" t="inlineStr">
        <is>
          <t>Etiqueta DGT/anuncio</t>
        </is>
      </c>
      <c r="AS1" s="1" t="inlineStr">
        <is>
          <t>Fuente etiqueta</t>
        </is>
      </c>
      <c r="AT1" s="1" t="inlineStr">
        <is>
          <t>Año en URL/título distinto (a confirmar)</t>
        </is>
      </c>
      <c r="AU1" s="1" t="inlineStr">
        <is>
          <t>Etiqueta dudosa por año</t>
        </is>
      </c>
      <c r="AV1" s="1" t="inlineStr">
        <is>
          <t>Etiquetas posibles</t>
        </is>
      </c>
      <c r="AW1" s="1" t="inlineStr">
        <is>
          <t>Anuncio incoherente (etiqueta del anuncio)</t>
        </is>
      </c>
      <c r="AX1" s="1" t="inlineStr">
        <is>
          <t>Caja robotizada</t>
        </is>
      </c>
      <c r="AY1" s="1" t="inlineStr">
        <is>
          <t>Modelo de estetica.yaml admitido de particular</t>
        </is>
      </c>
      <c r="AZ1" s="1" t="inlineStr">
        <is>
          <t>Color (anuncio)</t>
        </is>
      </c>
      <c r="BA1" s="1" t="inlineStr">
        <is>
          <t>Color normalizado</t>
        </is>
      </c>
      <c r="BB1" s="1" t="inlineStr">
        <is>
          <t>Estética del modelo (1-5)</t>
        </is>
      </c>
      <c r="BC1" s="1" t="inlineStr">
        <is>
          <t>Entrada de estetica.yaml</t>
        </is>
      </c>
      <c r="BD1" s="1" t="inlineStr">
        <is>
          <t>Acabado alto/deportivo</t>
        </is>
      </c>
      <c r="BE1" s="1" t="inlineStr">
        <is>
          <t>Llantas (16+ / sí / chapa)</t>
        </is>
      </c>
      <c r="BF1" s="1" t="inlineStr">
        <is>
          <t>Faros xenón/LED</t>
        </is>
      </c>
      <c r="BG1" s="1" t="inlineStr">
        <is>
          <t>Cristales tintados</t>
        </is>
      </c>
      <c r="BH1" s="1" t="inlineStr">
        <is>
          <t>Correa con fecha o km</t>
        </is>
      </c>
      <c r="BI1" s="1" t="inlineStr">
        <is>
          <t>Facturas</t>
        </is>
      </c>
      <c r="BJ1" s="1" t="inlineStr">
        <is>
          <t>Neumáticos nuevos</t>
        </is>
      </c>
      <c r="BK1" s="1" t="inlineStr">
        <is>
          <t>Euro NCAP (estrellas)</t>
        </is>
      </c>
      <c r="BL1" s="1" t="inlineStr">
        <is>
          <t>ESP/ESC</t>
        </is>
      </c>
      <c r="BM1" s="1" t="inlineStr">
        <is>
          <t>Anuncios del modelo en el mercado</t>
        </is>
      </c>
      <c r="BN1" s="1" t="inlineStr">
        <is>
          <t>Días medianos hasta desaparecer</t>
        </is>
      </c>
      <c r="BO1" s="1" t="inlineStr">
        <is>
          <t>Ventas observadas del modelo</t>
        </is>
      </c>
      <c r="BP1" s="1" t="inlineStr">
        <is>
          <t>Mediana de mercado del segmento (€)</t>
        </is>
      </c>
      <c r="BQ1" s="1" t="inlineStr">
        <is>
          <t>N mercado</t>
        </is>
      </c>
      <c r="BR1" s="1" t="inlineStr">
        <is>
          <t>Nivel mediana mercado</t>
        </is>
      </c>
      <c r="BS1" s="1" t="inlineStr">
        <is>
          <t>Duplicados fusionados</t>
        </is>
      </c>
      <c r="BT1" s="1" t="inlineStr">
        <is>
          <t>Avisos</t>
        </is>
      </c>
      <c r="BU1" s="1" t="inlineStr">
        <is>
          <t>Descripción</t>
        </is>
      </c>
      <c r="BV1" s="1" t="inlineStr">
        <is>
          <t>Fuente (fichero /raw)</t>
        </is>
      </c>
      <c r="BW1" s="1" t="inlineStr">
        <is>
          <t>Edad (años)</t>
        </is>
      </c>
      <c r="BX1" s="1" t="inlineStr">
        <is>
          <t>Km/año</t>
        </is>
      </c>
      <c r="BY1" s="1" t="inlineStr">
        <is>
          <t>Seg. modelo</t>
        </is>
      </c>
      <c r="BZ1" s="1" t="inlineStr">
        <is>
          <t>Seg. modelo+año</t>
        </is>
      </c>
      <c r="CA1" s="1" t="inlineStr">
        <is>
          <t>Seg. modelo+año+km</t>
        </is>
      </c>
      <c r="CB1" s="1" t="inlineStr">
        <is>
          <t>N modelo</t>
        </is>
      </c>
      <c r="CC1" s="1" t="inlineStr">
        <is>
          <t>N modelo+año</t>
        </is>
      </c>
      <c r="CD1" s="1" t="inlineStr">
        <is>
          <t>N modelo+año+km</t>
        </is>
      </c>
      <c r="CE1" s="1" t="inlineStr">
        <is>
          <t>Mediana segmento (€)</t>
        </is>
      </c>
      <c r="CF1" s="1" t="inlineStr">
        <is>
          <t>Nivel mediana</t>
        </is>
      </c>
      <c r="CG1" s="1" t="inlineStr">
        <is>
          <t>Descuento vs mediana</t>
        </is>
      </c>
      <c r="CH1" s="1" t="inlineStr">
        <is>
          <t>Año frontera (1/0)</t>
        </is>
      </c>
      <c r="CI1" s="1" t="inlineStr">
        <is>
          <t>Año anterior frontera (1/0)</t>
        </is>
      </c>
      <c r="CJ1" s="1" t="inlineStr">
        <is>
          <t>AAAAMM para la regla</t>
        </is>
      </c>
      <c r="CK1" s="1" t="inlineStr">
        <is>
          <t>Etiqueta por regla</t>
        </is>
      </c>
      <c r="CL1" s="1" t="inlineStr">
        <is>
          <t>ETIQUETA</t>
        </is>
      </c>
      <c r="CM1" s="1" t="inlineStr">
        <is>
          <t>Etiqueta dudosa</t>
        </is>
      </c>
      <c r="CN1" s="1" t="inlineStr">
        <is>
          <t>Fiab. base modelo</t>
        </is>
      </c>
      <c r="CO1" s="1" t="inlineStr">
        <is>
          <t>Ajuste motor</t>
        </is>
      </c>
      <c r="CP1" s="1" t="inlineStr">
        <is>
          <t>Ajuste combustible</t>
        </is>
      </c>
      <c r="CQ1" s="1" t="inlineStr">
        <is>
          <t>Motor con fuente (nº entradas)</t>
        </is>
      </c>
      <c r="CR1" s="1" t="inlineStr">
        <is>
          <t>Fiab. base aplicada</t>
        </is>
      </c>
      <c r="CS1" s="1" t="inlineStr">
        <is>
          <t>P. Fiabilidad</t>
        </is>
      </c>
      <c r="CT1" s="1" t="inlineStr">
        <is>
          <t>Tope nota precio por km</t>
        </is>
      </c>
      <c r="CU1" s="1" t="inlineStr">
        <is>
          <t>P. Precio</t>
        </is>
      </c>
      <c r="CV1" s="1" t="inlineStr">
        <is>
          <t>P. km totales</t>
        </is>
      </c>
      <c r="CW1" s="1" t="inlineStr">
        <is>
          <t>P. km/año</t>
        </is>
      </c>
      <c r="CX1" s="1" t="inlineStr">
        <is>
          <t>P. edad</t>
        </is>
      </c>
      <c r="CY1" s="1" t="inlineStr">
        <is>
          <t>P. Km y edad</t>
        </is>
      </c>
      <c r="CZ1" s="1" t="inlineStr">
        <is>
          <t>Clave marca|motor</t>
        </is>
      </c>
      <c r="DA1" s="1" t="inlineStr">
        <is>
          <t>Distribución</t>
        </is>
      </c>
      <c r="DB1" s="1" t="inlineStr">
        <is>
          <t>P. Estado y mantenimiento</t>
        </is>
      </c>
      <c r="DC1" s="1" t="inlineStr">
        <is>
          <t>P. Etiqueta y ZBE</t>
        </is>
      </c>
      <c r="DD1" s="1" t="inlineStr">
        <is>
          <t>Consumo estimado l/100 km (aprox.)</t>
        </is>
      </c>
      <c r="DE1" s="1" t="inlineStr">
        <is>
          <t>P. consumo</t>
        </is>
      </c>
      <c r="DF1" s="1" t="inlineStr">
        <is>
          <t>Seguro estimado €/año (aprox.)</t>
        </is>
      </c>
      <c r="DG1" s="1" t="inlineStr">
        <is>
          <t>P. seguro</t>
        </is>
      </c>
      <c r="DH1" s="1" t="inlineStr">
        <is>
          <t>P. recambios marca</t>
        </is>
      </c>
      <c r="DI1" s="1" t="inlineStr">
        <is>
          <t>P. distribución</t>
        </is>
      </c>
      <c r="DJ1" s="1" t="inlineStr">
        <is>
          <t>P. mantenimiento</t>
        </is>
      </c>
      <c r="DK1" s="1" t="inlineStr">
        <is>
          <t>P. Coste uso</t>
        </is>
      </c>
      <c r="DL1" s="1" t="inlineStr">
        <is>
          <t>Garantía efectiva (meses)</t>
        </is>
      </c>
      <c r="DM1" s="1" t="inlineStr">
        <is>
          <t>P. Seguridad compra</t>
        </is>
      </c>
      <c r="DN1" s="1" t="inlineStr">
        <is>
          <t>P. Euro NCAP</t>
        </is>
      </c>
      <c r="DO1" s="1" t="inlineStr">
        <is>
          <t>P. ESP</t>
        </is>
      </c>
      <c r="DP1" s="1" t="inlineStr">
        <is>
          <t>P. Seguridad (NCAP + ESP)</t>
        </is>
      </c>
      <c r="DQ1" s="1" t="inlineStr">
        <is>
          <t>P. atributos</t>
        </is>
      </c>
      <c r="DR1" s="1" t="inlineStr">
        <is>
          <t>P. Estética</t>
        </is>
      </c>
      <c r="DS1" s="1" t="inlineStr">
        <is>
          <t>P. Color</t>
        </is>
      </c>
      <c r="DT1" s="1" t="inlineStr">
        <is>
          <t>P. liquidez</t>
        </is>
      </c>
      <c r="DU1" s="1" t="inlineStr">
        <is>
          <t>P. días de venta</t>
        </is>
      </c>
      <c r="DV1" s="1" t="inlineStr">
        <is>
          <t>P. Reventa y liquidez</t>
        </is>
      </c>
      <c r="DW1" s="1" t="inlineStr">
        <is>
          <t>Penalización carrocería (puntos)</t>
        </is>
      </c>
      <c r="DX1" s="1" t="inlineStr">
        <is>
          <t>PUNTUACIÓN</t>
        </is>
      </c>
      <c r="DY1" s="1" t="inlineStr">
        <is>
          <t>cc para ITP</t>
        </is>
      </c>
      <c r="DZ1" s="1" t="inlineStr">
        <is>
          <t>ITP (€)</t>
        </is>
      </c>
      <c r="EA1" s="1" t="inlineStr">
        <is>
          <t>Gastos vendedor en coste (€)</t>
        </is>
      </c>
      <c r="EB1" s="1" t="inlineStr">
        <is>
          <t>Tasa DGT (€)</t>
        </is>
      </c>
      <c r="EC1" s="1" t="inlineStr">
        <is>
          <t>Informe DGT (€)</t>
        </is>
      </c>
      <c r="ED1" s="1" t="inlineStr">
        <is>
          <t>COSTE TOTAL (€)</t>
        </is>
      </c>
      <c r="EE1" s="1" t="inlineStr">
        <is>
          <t>Coste 1er año con seguro (€)</t>
        </is>
      </c>
      <c r="EF1" s="1" t="inlineStr">
        <is>
          <t>Exceso sobre presupuesto = € a negociar</t>
        </is>
      </c>
      <c r="EG1" s="1" t="inlineStr">
        <is>
          <t>Penalización presupuesto (puntos)</t>
        </is>
      </c>
      <c r="EH1" s="1" t="inlineStr">
        <is>
          <t>Coste real estimado particular (€, informativo)</t>
        </is>
      </c>
      <c r="EI1" s="1" t="inlineStr">
        <is>
          <t>Presupuesto (sí / negociar / no)</t>
        </is>
      </c>
      <c r="EJ1" s="1" t="inlineStr">
        <is>
          <t>Puntuación redondeada (desempate)</t>
        </is>
      </c>
      <c r="EK1" s="1" t="inlineStr">
        <is>
          <t>Puesto</t>
        </is>
      </c>
    </row>
    <row r="2">
      <c r="A2" s="2" t="inlineStr">
        <is>
          <t>ocasionplus:b9auzqaa</t>
        </is>
      </c>
      <c r="B2" s="2" t="inlineStr">
        <is>
          <t>ocasionplus</t>
        </is>
      </c>
      <c r="C2" s="2" t="inlineStr">
        <is>
          <t>https://www.ocasionplus.com/coches-segunda-mano/peugeot-207-14-confort-con-116183km-2008-b9auzqaa</t>
        </is>
      </c>
      <c r="D2" s="2" t="inlineStr">
        <is>
          <t>Peugeot 207 1.4 Confort (75 CV)</t>
        </is>
      </c>
      <c r="E2" s="2" t="inlineStr">
        <is>
          <t>Peugeot</t>
        </is>
      </c>
      <c r="F2" s="2" t="inlineStr">
        <is>
          <t>Peugeot 207</t>
        </is>
      </c>
      <c r="G2" s="2" t="inlineStr">
        <is>
          <t>1.4</t>
        </is>
      </c>
      <c r="H2" s="2" t="inlineStr">
        <is>
          <t>Peugeot 207 1.4 Confort (75 CV)</t>
        </is>
      </c>
      <c r="I2" s="2" t="n">
        <v>1360</v>
      </c>
      <c r="J2" s="2" t="n">
        <v>75</v>
      </c>
      <c r="K2" s="2" t="inlineStr">
        <is>
          <t>gasolina</t>
        </is>
      </c>
      <c r="L2" s="2" t="inlineStr">
        <is>
          <t>utilitario</t>
        </is>
      </c>
      <c r="M2" s="2" t="n">
        <v>2008</v>
      </c>
      <c r="N2" s="2" t="n">
        <v>116183</v>
      </c>
      <c r="O2" s="2" t="n">
        <v>2900</v>
      </c>
      <c r="P2" s="2" t="inlineStr">
        <is>
          <t>manual</t>
        </is>
      </c>
      <c r="Q2" s="2" t="inlineStr">
        <is>
          <t>no</t>
        </is>
      </c>
      <c r="R2" s="2" t="inlineStr">
        <is>
          <t>profesional</t>
        </is>
      </c>
      <c r="S2" s="2" t="inlineStr">
        <is>
          <t>Valencia - Sagunto (Sagunto, 46500)</t>
        </is>
      </c>
      <c r="T2" s="2" t="inlineStr">
        <is>
          <t>2026-10-27T00:00:00.000Z</t>
        </is>
      </c>
      <c r="U2" s="2" t="n">
        <v>25</v>
      </c>
      <c r="V2" s="2" t="inlineStr">
        <is>
          <t>sí</t>
        </is>
      </c>
      <c r="W2" s="2" t="n"/>
      <c r="X2" s="2" t="n"/>
      <c r="Y2" s="2" t="n">
        <v>0</v>
      </c>
      <c r="Z2" s="2" t="n"/>
      <c r="AA2" s="2" t="n"/>
      <c r="AB2" s="2" t="n"/>
      <c r="AC2" s="2" t="inlineStr">
        <is>
          <t>sí</t>
        </is>
      </c>
      <c r="AD2" s="2" t="n">
        <v>500</v>
      </c>
      <c r="AE2" s="2" t="n"/>
      <c r="AF2" s="2" t="inlineStr">
        <is>
          <t>sí</t>
        </is>
      </c>
      <c r="AG2" s="2" t="n"/>
      <c r="AH2" s="2" t="n">
        <v>2900</v>
      </c>
      <c r="AI2" s="2" t="n">
        <v>2900</v>
      </c>
      <c r="AJ2" s="2" t="inlineStr">
        <is>
          <t>no</t>
        </is>
      </c>
      <c r="AK2" s="2" t="n">
        <v>350</v>
      </c>
      <c r="AL2" s="2" t="inlineStr">
        <is>
          <t>sí</t>
        </is>
      </c>
      <c r="AM2" s="2" t="n">
        <v>25.5</v>
      </c>
      <c r="AN2" s="2" t="inlineStr">
        <is>
          <t>8408GBN</t>
        </is>
      </c>
      <c r="AO2" s="2" t="inlineStr">
        <is>
          <t>2008-03-03</t>
        </is>
      </c>
      <c r="AP2" s="2" t="n">
        <v>2008</v>
      </c>
      <c r="AQ2" s="2" t="n">
        <v>3</v>
      </c>
      <c r="AR2" s="2" t="inlineStr">
        <is>
          <t>C</t>
        </is>
      </c>
      <c r="AS2" s="2" t="inlineStr">
        <is>
          <t>DGT</t>
        </is>
      </c>
      <c r="AT2" s="2" t="n"/>
      <c r="AU2" s="2" t="inlineStr">
        <is>
          <t>no</t>
        </is>
      </c>
      <c r="AV2" s="2" t="inlineStr">
        <is>
          <t>C</t>
        </is>
      </c>
      <c r="AW2" s="2" t="n"/>
      <c r="AX2" s="2" t="inlineStr">
        <is>
          <t>no</t>
        </is>
      </c>
      <c r="AY2" s="2" t="inlineStr">
        <is>
          <t>no</t>
        </is>
      </c>
      <c r="AZ2" s="2" t="inlineStr">
        <is>
          <t>Rojo</t>
        </is>
      </c>
      <c r="BA2" s="2" t="inlineStr">
        <is>
          <t>rojo</t>
        </is>
      </c>
      <c r="BB2" s="3" t="n">
        <v>2</v>
      </c>
      <c r="BC2" s="3" t="inlineStr">
        <is>
          <t>(por segmento)</t>
        </is>
      </c>
      <c r="BD2" s="2" t="n"/>
      <c r="BE2" s="2" t="inlineStr">
        <is>
          <t>chapa</t>
        </is>
      </c>
      <c r="BF2" s="2" t="n"/>
      <c r="BG2" s="2" t="inlineStr">
        <is>
          <t>sí</t>
        </is>
      </c>
      <c r="BH2" s="2" t="n"/>
      <c r="BI2" s="2" t="n"/>
      <c r="BJ2" s="2" t="n"/>
      <c r="BK2" s="2" t="n">
        <v>5</v>
      </c>
      <c r="BL2" s="2" t="n"/>
      <c r="BM2" s="2" t="n">
        <v>125</v>
      </c>
      <c r="BN2" s="2" t="n"/>
      <c r="BO2" s="2" t="n">
        <v>0</v>
      </c>
      <c r="BP2" s="2" t="n">
        <v>3650</v>
      </c>
      <c r="BQ2" s="2" t="n">
        <v>28</v>
      </c>
      <c r="BR2" s="2" t="inlineStr">
        <is>
          <t>modelo+año+km</t>
        </is>
      </c>
      <c r="BS2" s="2" t="n"/>
      <c r="BT2" s="2" t="inlineStr">
        <is>
          <t>vendedor profesional: sin ITP (operación con IVA/REBU, confirmar en factura); revisar: no menciona la ITV; fiabilidad del modelo PENDIENTE de fuente (puntuación neutra)</t>
        </is>
      </c>
      <c r="BU2" s="2" t="inlineStr">
        <is>
          <t>Peugeot 207 1.4 Confort (75 CV)</t>
        </is>
      </c>
      <c r="BV2" s="2" t="inlineStr">
        <is>
          <t>https://www.ocasionplus.com/coches-segunda-mano/peugeot-207-14-confort-con-116183km-2008-b9auzqaa (payload RSC 'vehicle') /home/user/Alopecia/buscador-coches/raw/ocasionplus/fc0eb20181760918.json</t>
        </is>
      </c>
      <c r="BW2" s="3">
        <f>MAX(ANIO_ACTUAL-M2,0)</f>
        <v/>
      </c>
      <c r="BX2" s="4">
        <f>N2/MAX(BW2,0.5)</f>
        <v/>
      </c>
      <c r="BY2" s="4">
        <f>F2</f>
        <v/>
      </c>
      <c r="BZ2" s="3">
        <f>BY2&amp;"|"&amp;INT(M2/SEG_ANIO)*SEG_ANIO</f>
        <v/>
      </c>
      <c r="CA2" s="3">
        <f>BZ2&amp;"|"&amp;INT(N2/SEG_KM)*SEG_KM</f>
        <v/>
      </c>
      <c r="CB2" s="4">
        <f>COUNTIF($BY$2:$BY$209,BY2)</f>
        <v/>
      </c>
      <c r="CC2" s="4">
        <f>COUNTIF($BZ$2:$BZ$209,BZ2)</f>
        <v/>
      </c>
      <c r="CD2" s="4">
        <f>COUNTIF($CA$2:$CA$209,CA2)</f>
        <v/>
      </c>
      <c r="CE2" s="3">
        <f t="array" ref="CE2">IF(N(BQ2)&gt;=MIN_N,BP2,IF(CD2&gt;=MIN_N,MEDIAN(IF($CA$2:$CA$209=CA2,$O$2:$O$209)),IF(CC2&gt;=MIN_N,MEDIAN(IF($BZ$2:$BZ$209=BZ2,$O$2:$O$209)),MEDIAN(IF($BY$2:$BY$209=BY2,$O$2:$O$209)))))</f>
        <v/>
      </c>
      <c r="CF2" s="3">
        <f>IF(N(BQ2)&gt;=MIN_N,"mercado "&amp;BR2,IF(CD2&gt;=MIN_N,"modelo+año+km",IF(CC2&gt;=MIN_N,"modelo+año","modelo")))</f>
        <v/>
      </c>
      <c r="CG2" s="4">
        <f>(CE2-O2)/CE2</f>
        <v/>
      </c>
      <c r="CH2" s="3">
        <f>IF(COUNTIFS(FR_FUEL,K2,FR_YEAR,AP2)&gt;0,1,0)</f>
        <v/>
      </c>
      <c r="CI2" s="3">
        <f>IF(COUNTIFS(FR_FUEL,K2,FR_YEAR,AP2-1)&gt;0,1,0)</f>
        <v/>
      </c>
      <c r="CJ2" s="4">
        <f>IF(N(AQ2)&gt;0,AP2*100+AQ2,IF(AND(CH2=1,CI2=1),(AP2-1)*100+1,AP2*100+1))</f>
        <v/>
      </c>
      <c r="CK2" s="3">
        <f>IF(OR(K2="hibrido",K2="glp",K2="gnc",K2="phev"),"ECO",IF(K2="electrico","CERO",IF(K2="gasolina",IF(CJ2&gt;=GAS_C_YM,"C",IF(CJ2&gt;=GAS_B_YM,"B","A")),IF(K2="diesel",IF(CJ2&gt;=DIE_C_YM,"C",IF(CJ2&gt;=DIE_B_YM,"B","A")),""))))</f>
        <v/>
      </c>
      <c r="CL2" s="2" t="inlineStr">
        <is>
          <t>C</t>
        </is>
      </c>
      <c r="CM2" s="4">
        <f>IF(AU2="sí","sí",IF(AS2="regla",IF(AND(N(AQ2)=0,CH2=1),"sí","no"),"no"))</f>
        <v/>
      </c>
      <c r="CN2" s="3">
        <f>IFERROR(VLOOKUP(F2,MOD_TBL,16,0),IFERROR(VLOOKUP(E2,OCU_TBL,2,0),NEUTRO))</f>
        <v/>
      </c>
      <c r="CO2" s="3">
        <f>SUMIFS(MOT_AJUSTE,MOT_MOTOR,G2,MOT_MARCA,E2,MOT_DESDE,"&lt;="&amp;M2,MOT_HASTA,"&gt;="&amp;M2)+SUMIFS(MOT_AJUSTE,MOT_MOTOR,G2,MOT_MARCA,"(todas)",MOT_DESDE,"&lt;="&amp;M2,MOT_HASTA,"&gt;="&amp;M2)+SUMIFS(MOT_AJUSTE,MOT_MOTOR,"(cualquiera)",MOT_MARCA,E2,MOT_DESDE,"&lt;="&amp;M2,MOT_HASTA,"&gt;="&amp;M2)</f>
        <v/>
      </c>
      <c r="CP2" s="3">
        <f>SUMIFS(COMB_AJUSTE,COMB_COMB,K2)</f>
        <v/>
      </c>
      <c r="CQ2" s="3">
        <f>COUNTIFS(MOT_MOTOR,G2,MOT_MARCA,E2,MOT_DESDE,"&lt;="&amp;M2,MOT_HASTA,"&gt;="&amp;M2)+COUNTIFS(MOT_MOTOR,G2,MOT_MARCA,"(todas)",MOT_DESDE,"&lt;="&amp;M2,MOT_HASTA,"&gt;="&amp;M2)+COUNTIFS(MOT_MOTOR,"(cualquiera)",MOT_MARCA,E2,MOT_DESDE,"&lt;="&amp;M2,MOT_HASTA,"&gt;="&amp;M2)</f>
        <v/>
      </c>
      <c r="CR2" s="3">
        <f>IF(AND(K2="diesel",CQ2=0),MIN(CN2,NEUTRO),CN2)</f>
        <v/>
      </c>
      <c r="CS2" s="3">
        <f>MAX(0,MIN(100,CR2+CO2+CP2-IF(AX2="sí",ROB_PEN,0)))</f>
        <v/>
      </c>
      <c r="CT2" s="3">
        <f>100-MAX(0,N2-KM_TOPE_DESDE)/1000*KM_TOPE_PTS</f>
        <v/>
      </c>
      <c r="CU2" s="3">
        <f>MAX(0,MIN(100,50+CG2*PRECIO_PEND,CT2))</f>
        <v/>
      </c>
      <c r="CV2" s="3">
        <f>MAX(0,100*(1-N2/KM_MAX))</f>
        <v/>
      </c>
      <c r="CW2" s="3">
        <f>IF(BX2&lt;KMA_SOSP,IF(AA2="sí",100,KMA_PEN),IF(BX2&lt;=KMA_IDEAL_MAX,100,MAX(0,100*(KMA_CERO-BX2)/(KMA_CERO-KMA_IDEAL_MAX))))</f>
        <v/>
      </c>
      <c r="CX2" s="3">
        <f>MAX(0,MIN(100,100*(M2-ANIO_MIN)/(ANIO_ACTUAL-ANIO_MIN)))</f>
        <v/>
      </c>
      <c r="CY2" s="3">
        <f>W_KMT*CV2+W_KMA*CW2+W_EDAD*CX2</f>
        <v/>
      </c>
      <c r="CZ2" s="4">
        <f>E2&amp;"|"&amp;G2</f>
        <v/>
      </c>
      <c r="DA2" s="3">
        <f>IFERROR(VLOOKUP(CZ2,DIST_TBL,2,0),"")</f>
        <v/>
      </c>
      <c r="DB2" s="3">
        <f>E_ITV*(V2="sí")+E_LIBRO*(W2="sí")+E_PROP*IF(Y2=1,1,IF(Y2=2,0.5,0))+E_CORREA*IF(OR(DA2="cadena",AND(X2="sí",BH2="sí")),1,IF(X2="sí",0.5,0))+E_FACT*(BI2="sí")</f>
        <v/>
      </c>
      <c r="DC2" s="3">
        <f>MAX(0,MIN(100,IFERROR(VLOOKUP(CL2,ETQ_TBL,2,0),0)-IF(CM2="sí",ETQ_PEN_DUD,IF(AS2="regla",ETQ_PEN_REGLA,0))))</f>
        <v/>
      </c>
      <c r="DD2" s="3">
        <f>IF(K2&lt;&gt;"gasolina","",IFERROR(VLOOKUP(F2,CONS_MOD_TBL,2,0),IFERROR(VLOOKUP(L2,CONS_SEG_TBL,2,0),"")))</f>
        <v/>
      </c>
      <c r="DE2" s="3">
        <f>IF(DD2="",NEUTRO,MAX(0,MIN(100,100*(CONS_REF_MAX-DD2)/(CONS_REF_MAX-CONS_REF_MIN))))</f>
        <v/>
      </c>
      <c r="DF2" s="3">
        <f>IFERROR(VLOOKUP(L2,SEGURO_TBL,3,0),"")</f>
        <v/>
      </c>
      <c r="DG2" s="3">
        <f>IF(DF2="",NEUTRO,MAX(0,MIN(100,100*(SEG_REF_MAX-DF2)/(SEG_REF_MAX-SEG_REF_MIN))))</f>
        <v/>
      </c>
      <c r="DH2" s="3">
        <f>IFERROR(VLOOKUP(E2,MANT_MARCA_TBL,2,0)+0,NEUTRO)</f>
        <v/>
      </c>
      <c r="DI2" s="3">
        <f>IF(DA2="",NEUTRO,IFERROR(VLOOKUP(DA2,DIST_PTS_TBL,2,0)+0,NEUTRO))</f>
        <v/>
      </c>
      <c r="DJ2" s="4">
        <f>(DH2+DI2)/2</f>
        <v/>
      </c>
      <c r="DK2" s="3">
        <f>W_CONS*DE2+W_SEG*DG2+W_MANT*DJ2</f>
        <v/>
      </c>
      <c r="DL2" s="3">
        <f>IF(N(AB2)&gt;0,AB2,IF(AND(R2="profesional",SG_LEGAL_ON=1),GAR_LEGAL,0))</f>
        <v/>
      </c>
      <c r="DM2" s="3">
        <f>MAX(0,MIN(100,SG_GAR*MIN(1,DL2/SG_GAR_FULL)+SG_AMPL*(AC2="sí")+SG_KMC*(AF2="sí")+SG_REV*(N(AE2)&gt;0)+SG_DEV*MIN(1,N(AG2)/SG_DEV_FULL)+SG_HIST*(W2="sí")-IF(AND(R2="particular",DL2=0),SG_PART_PEN,0)))</f>
        <v/>
      </c>
      <c r="DN2" s="3">
        <f>IF(BK2="",NEUTRO,MAX(0,MIN(100,BK2/5*100)))</f>
        <v/>
      </c>
      <c r="DO2" s="3">
        <f>IF(BL2="sí",100,IF(BL2="no",0,NEUTRO))</f>
        <v/>
      </c>
      <c r="DP2" s="3">
        <f>SV_W_NCAP*DN2+SV_W_ESP*DO2</f>
        <v/>
      </c>
      <c r="DQ2" s="3">
        <f>MAX(0,MIN(100,ATR_BASE+ATR_ACAB*(BD2&lt;&gt;"")+IF(BE2="16+",ATR_LL16,IF(BE2="sí",ATR_LL,0))+ATR_FAROS*(BF2="sí")+ATR_TINT*(BG2="sí")-ATR_CHAPA*(BE2="chapa")))</f>
        <v/>
      </c>
      <c r="DR2" s="3">
        <f>EST_W_MOD*(BB2-1)/4*100+EST_W_ATR*DQ2</f>
        <v/>
      </c>
      <c r="DS2" s="3">
        <f>IF(BA2="",NEUTRO,IFERROR(VLOOKUP(BA2,COLOR_TBL,2,0)+0,NEUTRO))</f>
        <v/>
      </c>
      <c r="DT2" s="3">
        <f>MAX(0,MIN(100,100*N(BM2)/RV_N_FULL))</f>
        <v/>
      </c>
      <c r="DU2" s="3">
        <f>IF(OR(BN2="",N(BO2)&lt;RV_DIAS_MIN),NEUTRO,MAX(0,MIN(100,100*(RV_DIAS_CERO-BN2)/(RV_DIAS_CERO-RV_DIAS_FULL))))</f>
        <v/>
      </c>
      <c r="DV2" s="3">
        <f>RV_W_LIQ*DT2+RV_W_DIAS*DU2+RV_W_ETQ*DC2</f>
        <v/>
      </c>
      <c r="DW2" s="3">
        <f>IFERROR(VLOOKUP(L2,CARR_PEN_TBL,2,0),0)</f>
        <v/>
      </c>
      <c r="DX2" s="3">
        <f>W_FIAB*CS2+W_PRECIO*CU2+W_KMEDAD*CY2+W_ESTADO*DB2+W_USO*DK2+W_SEGURIDAD*DM2+W_SEGVIAL*DP2+W_ESTETICA*DR2+W_COLOR*DS2+W_REVENTA*DV2-DW2-EG2</f>
        <v/>
      </c>
      <c r="DY2" s="4">
        <f>IF(N(I2)&gt;0,I2,IFERROR(ROUND(_xlfn.NUMBERVALUE(LEFT(G2,FIND(" ",G2&amp;" ")-1),".")*1000,0),99999))</f>
        <v/>
      </c>
      <c r="DZ2" s="3">
        <f>IF(R2="profesional",0,IF(O2&lt;CUOTA_VALOR_MAX,IF(BW2&gt;ITP_TRAMO_ALTO,SUMIFS(CF_CUOTA,CF_MAS,ITP_TRAMO_ALTO,CF_CCMIN,"&lt;="&amp;DY2,CF_CCMAX,"&gt;="&amp;DY2),IF(BW2&gt;ITP_TRAMO_BAJO,SUMIFS(CF_CUOTA,CF_MAS,ITP_TRAMO_BAJO,CF_CCMIN,"&lt;="&amp;DY2,CF_CCMAX,"&gt;="&amp;DY2),O2*ITP_TIPO)),O2*ITP_TIPO))</f>
        <v/>
      </c>
      <c r="EA2" s="4">
        <f>IF(R2="profesional",N(AK2),0)</f>
        <v/>
      </c>
      <c r="EB2" s="3">
        <f>IF(AND(R2="profesional",ISNUMBER(AK2),AL2="sí"),0,TASA_DGT)</f>
        <v/>
      </c>
      <c r="EC2" s="3">
        <f>INFORME_DGT</f>
        <v/>
      </c>
      <c r="ED2" s="4">
        <f>O2+EA2+DZ2+EB2+EC2</f>
        <v/>
      </c>
      <c r="EE2" s="4">
        <f>ED2+N(DF2)</f>
        <v/>
      </c>
      <c r="EF2" s="3">
        <f>MAX(0,ED2-TOTAL_MAX)</f>
        <v/>
      </c>
      <c r="EG2" s="3">
        <f>EF2/100*PEN_100</f>
        <v/>
      </c>
      <c r="EH2" s="3">
        <f>IF(R2="particular",ED2+IF(AND(DA2&lt;&gt;"cadena",X2&lt;&gt;"sí"),RES_CORREA,0)+IF(AND(BJ2&lt;&gt;"sí",BW2&gt;=RES_NEUM_EDAD),RES_NEUM,0),"")</f>
        <v/>
      </c>
      <c r="EI2" s="3">
        <f>IF(ED2&lt;=TOTAL_MAX,"sí",IF(ED2&lt;=TECHO,"negociar","no"))</f>
        <v/>
      </c>
      <c r="EJ2" s="4">
        <f>ROUND(DX2,9)</f>
        <v/>
      </c>
      <c r="EK2" s="4">
        <f>IF(EI2&lt;&gt;"no",SUMPRODUCT(($EI$2:$EI$209&lt;&gt;"no")*($EJ$2:$EJ$209&gt;EJ2))+SUMPRODUCT(($EI$2:EI2&lt;&gt;"no")*($EJ$2:EJ2=EJ2)),"")</f>
        <v/>
      </c>
    </row>
    <row r="3">
      <c r="A3" s="2" t="inlineStr">
        <is>
          <t>autoscout24:827f958f-8688-4b6d-8737-916b285573e8</t>
        </is>
      </c>
      <c r="B3" s="2" t="inlineStr">
        <is>
          <t>autoscout24</t>
        </is>
      </c>
      <c r="C3" s="2" t="inlineStr">
        <is>
          <t>https://www.autoscout24.es/anuncios/volkswagen-polo-1-2-advance-bmt-gasolina-gris-cat_ma74mo2090-827f958f-8688-4b6d-8737-916b285573e8</t>
        </is>
      </c>
      <c r="D3" s="2" t="inlineStr">
        <is>
          <t>Volkswagen Polo 1.2 Advance BMT</t>
        </is>
      </c>
      <c r="E3" s="2" t="inlineStr">
        <is>
          <t>Volkswagen</t>
        </is>
      </c>
      <c r="F3" s="2" t="inlineStr">
        <is>
          <t>Volkswagen Polo</t>
        </is>
      </c>
      <c r="G3" s="2" t="inlineStr">
        <is>
          <t>1.2</t>
        </is>
      </c>
      <c r="H3" s="2" t="inlineStr">
        <is>
          <t>1.2 Advance BMT 1.2</t>
        </is>
      </c>
      <c r="I3" s="2" t="n">
        <v>1198</v>
      </c>
      <c r="J3" s="2" t="n">
        <v>69</v>
      </c>
      <c r="K3" s="2" t="inlineStr">
        <is>
          <t>gasolina</t>
        </is>
      </c>
      <c r="L3" s="2" t="inlineStr">
        <is>
          <t>utilitario</t>
        </is>
      </c>
      <c r="M3" s="2" t="n">
        <v>2011</v>
      </c>
      <c r="N3" s="2" t="n">
        <v>211000</v>
      </c>
      <c r="O3" s="2" t="n">
        <v>4400</v>
      </c>
      <c r="P3" s="2" t="inlineStr">
        <is>
          <t>manual</t>
        </is>
      </c>
      <c r="Q3" s="2" t="inlineStr">
        <is>
          <t>no</t>
        </is>
      </c>
      <c r="R3" s="2" t="inlineStr">
        <is>
          <t>profesional</t>
        </is>
      </c>
      <c r="S3" s="2" t="inlineStr">
        <is>
          <t>Star Car Valencia — ALDAIA (46960)</t>
        </is>
      </c>
      <c r="T3" s="2" t="n"/>
      <c r="U3" s="2" t="n">
        <v>8</v>
      </c>
      <c r="V3" s="2" t="n"/>
      <c r="W3" s="2" t="n"/>
      <c r="X3" s="2" t="n"/>
      <c r="Y3" s="2" t="n"/>
      <c r="Z3" s="2" t="inlineStr">
        <is>
          <t>sí</t>
        </is>
      </c>
      <c r="AA3" s="2" t="n"/>
      <c r="AB3" s="2" t="n">
        <v>24</v>
      </c>
      <c r="AC3" s="2" t="n"/>
      <c r="AD3" s="2" t="n"/>
      <c r="AE3" s="2" t="n"/>
      <c r="AF3" s="2" t="n"/>
      <c r="AG3" s="2" t="n"/>
      <c r="AH3" s="2" t="n">
        <v>4400</v>
      </c>
      <c r="AI3" s="2" t="n"/>
      <c r="AJ3" s="2" t="n"/>
      <c r="AK3" s="2" t="n"/>
      <c r="AL3" s="2" t="n"/>
      <c r="AM3" s="2" t="n">
        <v>6.8</v>
      </c>
      <c r="AN3" s="2" t="n"/>
      <c r="AO3" s="2" t="inlineStr">
        <is>
          <t>2011-07</t>
        </is>
      </c>
      <c r="AP3" s="2" t="n">
        <v>2011</v>
      </c>
      <c r="AQ3" s="2" t="n">
        <v>7</v>
      </c>
      <c r="AR3" s="2" t="n"/>
      <c r="AS3" s="2" t="inlineStr">
        <is>
          <t>regla</t>
        </is>
      </c>
      <c r="AT3" s="2" t="n"/>
      <c r="AU3" s="2" t="inlineStr">
        <is>
          <t>no</t>
        </is>
      </c>
      <c r="AV3" s="2" t="inlineStr">
        <is>
          <t>C</t>
        </is>
      </c>
      <c r="AW3" s="2" t="n"/>
      <c r="AX3" s="2" t="inlineStr">
        <is>
          <t>no</t>
        </is>
      </c>
      <c r="AY3" s="2" t="inlineStr">
        <is>
          <t>no</t>
        </is>
      </c>
      <c r="AZ3" s="2" t="inlineStr">
        <is>
          <t>Gris</t>
        </is>
      </c>
      <c r="BA3" s="2" t="inlineStr">
        <is>
          <t>gris_medio</t>
        </is>
      </c>
      <c r="BB3" s="3" t="n">
        <v>2</v>
      </c>
      <c r="BC3" s="3" t="inlineStr">
        <is>
          <t>(por segmento)</t>
        </is>
      </c>
      <c r="BD3" s="2" t="n"/>
      <c r="BE3" s="2" t="n"/>
      <c r="BF3" s="2" t="n"/>
      <c r="BG3" s="2" t="n"/>
      <c r="BH3" s="2" t="n"/>
      <c r="BI3" s="2" t="n"/>
      <c r="BJ3" s="2" t="n"/>
      <c r="BK3" s="2" t="n">
        <v>5</v>
      </c>
      <c r="BL3" s="2" t="inlineStr">
        <is>
          <t>sí</t>
        </is>
      </c>
      <c r="BM3" s="2" t="n">
        <v>321</v>
      </c>
      <c r="BN3" s="2" t="n">
        <v>0.05126157402992249</v>
      </c>
      <c r="BO3" s="2" t="n">
        <v>3</v>
      </c>
      <c r="BP3" s="2" t="n">
        <v>4900</v>
      </c>
      <c r="BQ3" s="2" t="n">
        <v>9</v>
      </c>
      <c r="BR3" s="2" t="inlineStr">
        <is>
          <t>modelo+año+km</t>
        </is>
      </c>
      <c r="BS3" s="2" t="n"/>
      <c r="BT3" s="2" t="inlineStr">
        <is>
          <t>vendedor profesional: sin ITP (operación con IVA/REBU, confirmar en factura); gastos de gestión del vendedor no indicados: se suma la tasa DGT; preguntar el precio final; etiqueta C deducida por fecha (sin matrícula ni dato del anuncio)</t>
        </is>
      </c>
      <c r="BU3" s="2" t="inlineStr">
        <is>
          <t>&lt;strong&gt;Precio al contado: 4400 euros&lt;/strong&gt; &lt;br /&gt;&lt;br /&gt;&lt;strong&gt;Condiciones de la financiación&lt;/strong&gt; &lt;br /&gt;&lt;br /&gt;REQUISITOS&lt;br /&gt;LTIMA NOMINA&lt;br /&gt;TITULARIDAD BANCARIA&lt;br /&gt;DNI&lt;br /&gt;TELEFONO&lt;br /&gt;⅕&lt;br /&gt; &lt;br /&gt;&lt;br /&gt;1 AÑO DE GARANTÍA  o 2 AÑOS DE GARANTÍA DE MOTOR&lt;br /&gt;POSIBILIDAD DE FINANCIACION 100%&lt;br /&gt;MANTENIMIENTO REALIZADO&lt;br /&gt;ENTREGA INMEDIATA&lt;br /&gt;1ª Matriculación:	02/2011&lt;br /&gt;Lectura cuentakilómetros:	211.407 km&lt;br /&gt;Combustible:	Gasolina&lt;br /&gt;Potencia:	51 KW / 70 CV&lt;br /&gt;Cilindrada:	1.198 cc&lt;br /&gt;Caja de cambios:	Cambio tipo manual&lt;br /&gt;Fecha de vencimiento ITV:	01/2027&lt;br /&gt; Si necesitas cualquier coche — modelo, color, año y kilómetros — te lo traemos.&lt;br /&gt;Dinos qué necesitas y lo tendrás. &lt;br /&gt;&lt;br /&gt; El anuncio puede contener errores.&lt;br /&gt;&lt;br /&gt;</t>
        </is>
      </c>
      <c r="BV3" s="2" t="inlineStr">
        <is>
          <t>https://www.autoscout24.es/anuncios/volkswagen-polo-1-2-advance-bmt-gasolina-gris-cat_ma74mo2090-827f958f-8688-4b6d-8737-916b285573e8 (__NEXT_DATA__ listingDetails) /home/user/Alopecia/buscador-coches/raw/autoscout24/d6fff8df76fd308b.json</t>
        </is>
      </c>
      <c r="BW3" s="3">
        <f>MAX(ANIO_ACTUAL-M3,0)</f>
        <v/>
      </c>
      <c r="BX3" s="4">
        <f>N3/MAX(BW3,0.5)</f>
        <v/>
      </c>
      <c r="BY3" s="4">
        <f>F3</f>
        <v/>
      </c>
      <c r="BZ3" s="3">
        <f>BY3&amp;"|"&amp;INT(M3/SEG_ANIO)*SEG_ANIO</f>
        <v/>
      </c>
      <c r="CA3" s="3">
        <f>BZ3&amp;"|"&amp;INT(N3/SEG_KM)*SEG_KM</f>
        <v/>
      </c>
      <c r="CB3" s="4">
        <f>COUNTIF($BY$2:$BY$209,BY3)</f>
        <v/>
      </c>
      <c r="CC3" s="4">
        <f>COUNTIF($BZ$2:$BZ$209,BZ3)</f>
        <v/>
      </c>
      <c r="CD3" s="4">
        <f>COUNTIF($CA$2:$CA$209,CA3)</f>
        <v/>
      </c>
      <c r="CE3" s="3">
        <f t="array" ref="CE3">IF(N(BQ3)&gt;=MIN_N,BP3,IF(CD3&gt;=MIN_N,MEDIAN(IF($CA$2:$CA$209=CA3,$O$2:$O$209)),IF(CC3&gt;=MIN_N,MEDIAN(IF($BZ$2:$BZ$209=BZ3,$O$2:$O$209)),MEDIAN(IF($BY$2:$BY$209=BY3,$O$2:$O$209)))))</f>
        <v/>
      </c>
      <c r="CF3" s="3">
        <f>IF(N(BQ3)&gt;=MIN_N,"mercado "&amp;BR3,IF(CD3&gt;=MIN_N,"modelo+año+km",IF(CC3&gt;=MIN_N,"modelo+año","modelo")))</f>
        <v/>
      </c>
      <c r="CG3" s="4">
        <f>(CE3-O3)/CE3</f>
        <v/>
      </c>
      <c r="CH3" s="3">
        <f>IF(COUNTIFS(FR_FUEL,K3,FR_YEAR,AP3)&gt;0,1,0)</f>
        <v/>
      </c>
      <c r="CI3" s="3">
        <f>IF(COUNTIFS(FR_FUEL,K3,FR_YEAR,AP3-1)&gt;0,1,0)</f>
        <v/>
      </c>
      <c r="CJ3" s="4">
        <f>IF(N(AQ3)&gt;0,AP3*100+AQ3,IF(AND(CH3=1,CI3=1),(AP3-1)*100+1,AP3*100+1))</f>
        <v/>
      </c>
      <c r="CK3" s="3">
        <f>IF(OR(K3="hibrido",K3="glp",K3="gnc",K3="phev"),"ECO",IF(K3="electrico","CERO",IF(K3="gasolina",IF(CJ3&gt;=GAS_C_YM,"C",IF(CJ3&gt;=GAS_B_YM,"B","A")),IF(K3="diesel",IF(CJ3&gt;=DIE_C_YM,"C",IF(CJ3&gt;=DIE_B_YM,"B","A")),""))))</f>
        <v/>
      </c>
      <c r="CL3" s="4">
        <f>CK3</f>
        <v/>
      </c>
      <c r="CM3" s="4">
        <f>IF(AU3="sí","sí",IF(AS3="regla",IF(AND(N(AQ3)=0,CH3=1),"sí","no"),"no"))</f>
        <v/>
      </c>
      <c r="CN3" s="3">
        <f>IFERROR(VLOOKUP(F3,MOD_TBL,16,0),IFERROR(VLOOKUP(E3,OCU_TBL,2,0),NEUTRO))</f>
        <v/>
      </c>
      <c r="CO3" s="3">
        <f>SUMIFS(MOT_AJUSTE,MOT_MOTOR,G3,MOT_MARCA,E3,MOT_DESDE,"&lt;="&amp;M3,MOT_HASTA,"&gt;="&amp;M3)+SUMIFS(MOT_AJUSTE,MOT_MOTOR,G3,MOT_MARCA,"(todas)",MOT_DESDE,"&lt;="&amp;M3,MOT_HASTA,"&gt;="&amp;M3)+SUMIFS(MOT_AJUSTE,MOT_MOTOR,"(cualquiera)",MOT_MARCA,E3,MOT_DESDE,"&lt;="&amp;M3,MOT_HASTA,"&gt;="&amp;M3)</f>
        <v/>
      </c>
      <c r="CP3" s="3">
        <f>SUMIFS(COMB_AJUSTE,COMB_COMB,K3)</f>
        <v/>
      </c>
      <c r="CQ3" s="3">
        <f>COUNTIFS(MOT_MOTOR,G3,MOT_MARCA,E3,MOT_DESDE,"&lt;="&amp;M3,MOT_HASTA,"&gt;="&amp;M3)+COUNTIFS(MOT_MOTOR,G3,MOT_MARCA,"(todas)",MOT_DESDE,"&lt;="&amp;M3,MOT_HASTA,"&gt;="&amp;M3)+COUNTIFS(MOT_MOTOR,"(cualquiera)",MOT_MARCA,E3,MOT_DESDE,"&lt;="&amp;M3,MOT_HASTA,"&gt;="&amp;M3)</f>
        <v/>
      </c>
      <c r="CR3" s="3">
        <f>IF(AND(K3="diesel",CQ3=0),MIN(CN3,NEUTRO),CN3)</f>
        <v/>
      </c>
      <c r="CS3" s="3">
        <f>MAX(0,MIN(100,CR3+CO3+CP3-IF(AX3="sí",ROB_PEN,0)))</f>
        <v/>
      </c>
      <c r="CT3" s="3">
        <f>100-MAX(0,N3-KM_TOPE_DESDE)/1000*KM_TOPE_PTS</f>
        <v/>
      </c>
      <c r="CU3" s="3">
        <f>MAX(0,MIN(100,50+CG3*PRECIO_PEND,CT3))</f>
        <v/>
      </c>
      <c r="CV3" s="3">
        <f>MAX(0,100*(1-N3/KM_MAX))</f>
        <v/>
      </c>
      <c r="CW3" s="3">
        <f>IF(BX3&lt;KMA_SOSP,IF(AA3="sí",100,KMA_PEN),IF(BX3&lt;=KMA_IDEAL_MAX,100,MAX(0,100*(KMA_CERO-BX3)/(KMA_CERO-KMA_IDEAL_MAX))))</f>
        <v/>
      </c>
      <c r="CX3" s="3">
        <f>MAX(0,MIN(100,100*(M3-ANIO_MIN)/(ANIO_ACTUAL-ANIO_MIN)))</f>
        <v/>
      </c>
      <c r="CY3" s="3">
        <f>W_KMT*CV3+W_KMA*CW3+W_EDAD*CX3</f>
        <v/>
      </c>
      <c r="CZ3" s="4">
        <f>E3&amp;"|"&amp;G3</f>
        <v/>
      </c>
      <c r="DA3" s="3">
        <f>IFERROR(VLOOKUP(CZ3,DIST_TBL,2,0),"")</f>
        <v/>
      </c>
      <c r="DB3" s="3">
        <f>E_ITV*(V3="sí")+E_LIBRO*(W3="sí")+E_PROP*IF(Y3=1,1,IF(Y3=2,0.5,0))+E_CORREA*IF(OR(DA3="cadena",AND(X3="sí",BH3="sí")),1,IF(X3="sí",0.5,0))+E_FACT*(BI3="sí")</f>
        <v/>
      </c>
      <c r="DC3" s="3">
        <f>MAX(0,MIN(100,IFERROR(VLOOKUP(CL3,ETQ_TBL,2,0),0)-IF(CM3="sí",ETQ_PEN_DUD,IF(AS3="regla",ETQ_PEN_REGLA,0))))</f>
        <v/>
      </c>
      <c r="DD3" s="3">
        <f>IF(K3&lt;&gt;"gasolina","",IFERROR(VLOOKUP(F3,CONS_MOD_TBL,2,0),IFERROR(VLOOKUP(L3,CONS_SEG_TBL,2,0),"")))</f>
        <v/>
      </c>
      <c r="DE3" s="3">
        <f>IF(DD3="",NEUTRO,MAX(0,MIN(100,100*(CONS_REF_MAX-DD3)/(CONS_REF_MAX-CONS_REF_MIN))))</f>
        <v/>
      </c>
      <c r="DF3" s="3">
        <f>IFERROR(VLOOKUP(L3,SEGURO_TBL,3,0),"")</f>
        <v/>
      </c>
      <c r="DG3" s="3">
        <f>IF(DF3="",NEUTRO,MAX(0,MIN(100,100*(SEG_REF_MAX-DF3)/(SEG_REF_MAX-SEG_REF_MIN))))</f>
        <v/>
      </c>
      <c r="DH3" s="3">
        <f>IFERROR(VLOOKUP(E3,MANT_MARCA_TBL,2,0)+0,NEUTRO)</f>
        <v/>
      </c>
      <c r="DI3" s="3">
        <f>IF(DA3="",NEUTRO,IFERROR(VLOOKUP(DA3,DIST_PTS_TBL,2,0)+0,NEUTRO))</f>
        <v/>
      </c>
      <c r="DJ3" s="4">
        <f>(DH3+DI3)/2</f>
        <v/>
      </c>
      <c r="DK3" s="3">
        <f>W_CONS*DE3+W_SEG*DG3+W_MANT*DJ3</f>
        <v/>
      </c>
      <c r="DL3" s="3">
        <f>IF(N(AB3)&gt;0,AB3,IF(AND(R3="profesional",SG_LEGAL_ON=1),GAR_LEGAL,0))</f>
        <v/>
      </c>
      <c r="DM3" s="3">
        <f>MAX(0,MIN(100,SG_GAR*MIN(1,DL3/SG_GAR_FULL)+SG_AMPL*(AC3="sí")+SG_KMC*(AF3="sí")+SG_REV*(N(AE3)&gt;0)+SG_DEV*MIN(1,N(AG3)/SG_DEV_FULL)+SG_HIST*(W3="sí")-IF(AND(R3="particular",DL3=0),SG_PART_PEN,0)))</f>
        <v/>
      </c>
      <c r="DN3" s="3">
        <f>IF(BK3="",NEUTRO,MAX(0,MIN(100,BK3/5*100)))</f>
        <v/>
      </c>
      <c r="DO3" s="3">
        <f>IF(BL3="sí",100,IF(BL3="no",0,NEUTRO))</f>
        <v/>
      </c>
      <c r="DP3" s="3">
        <f>SV_W_NCAP*DN3+SV_W_ESP*DO3</f>
        <v/>
      </c>
      <c r="DQ3" s="3">
        <f>MAX(0,MIN(100,ATR_BASE+ATR_ACAB*(BD3&lt;&gt;"")+IF(BE3="16+",ATR_LL16,IF(BE3="sí",ATR_LL,0))+ATR_FAROS*(BF3="sí")+ATR_TINT*(BG3="sí")-ATR_CHAPA*(BE3="chapa")))</f>
        <v/>
      </c>
      <c r="DR3" s="3">
        <f>EST_W_MOD*(BB3-1)/4*100+EST_W_ATR*DQ3</f>
        <v/>
      </c>
      <c r="DS3" s="3">
        <f>IF(BA3="",NEUTRO,IFERROR(VLOOKUP(BA3,COLOR_TBL,2,0)+0,NEUTRO))</f>
        <v/>
      </c>
      <c r="DT3" s="3">
        <f>MAX(0,MIN(100,100*N(BM3)/RV_N_FULL))</f>
        <v/>
      </c>
      <c r="DU3" s="3">
        <f>IF(OR(BN3="",N(BO3)&lt;RV_DIAS_MIN),NEUTRO,MAX(0,MIN(100,100*(RV_DIAS_CERO-BN3)/(RV_DIAS_CERO-RV_DIAS_FULL))))</f>
        <v/>
      </c>
      <c r="DV3" s="3">
        <f>RV_W_LIQ*DT3+RV_W_DIAS*DU3+RV_W_ETQ*DC3</f>
        <v/>
      </c>
      <c r="DW3" s="3">
        <f>IFERROR(VLOOKUP(L3,CARR_PEN_TBL,2,0),0)</f>
        <v/>
      </c>
      <c r="DX3" s="3">
        <f>W_FIAB*CS3+W_PRECIO*CU3+W_KMEDAD*CY3+W_ESTADO*DB3+W_USO*DK3+W_SEGURIDAD*DM3+W_SEGVIAL*DP3+W_ESTETICA*DR3+W_COLOR*DS3+W_REVENTA*DV3-DW3-EG3</f>
        <v/>
      </c>
      <c r="DY3" s="4">
        <f>IF(N(I3)&gt;0,I3,IFERROR(ROUND(_xlfn.NUMBERVALUE(LEFT(G3,FIND(" ",G3&amp;" ")-1),".")*1000,0),99999))</f>
        <v/>
      </c>
      <c r="DZ3" s="3">
        <f>IF(R3="profesional",0,IF(O3&lt;CUOTA_VALOR_MAX,IF(BW3&gt;ITP_TRAMO_ALTO,SUMIFS(CF_CUOTA,CF_MAS,ITP_TRAMO_ALTO,CF_CCMIN,"&lt;="&amp;DY3,CF_CCMAX,"&gt;="&amp;DY3),IF(BW3&gt;ITP_TRAMO_BAJO,SUMIFS(CF_CUOTA,CF_MAS,ITP_TRAMO_BAJO,CF_CCMIN,"&lt;="&amp;DY3,CF_CCMAX,"&gt;="&amp;DY3),O3*ITP_TIPO)),O3*ITP_TIPO))</f>
        <v/>
      </c>
      <c r="EA3" s="4">
        <f>IF(R3="profesional",N(AK3),0)</f>
        <v/>
      </c>
      <c r="EB3" s="3">
        <f>IF(AND(R3="profesional",ISNUMBER(AK3),AL3="sí"),0,TASA_DGT)</f>
        <v/>
      </c>
      <c r="EC3" s="3">
        <f>INFORME_DGT</f>
        <v/>
      </c>
      <c r="ED3" s="4">
        <f>O3+EA3+DZ3+EB3+EC3</f>
        <v/>
      </c>
      <c r="EE3" s="4">
        <f>ED3+N(DF3)</f>
        <v/>
      </c>
      <c r="EF3" s="3">
        <f>MAX(0,ED3-TOTAL_MAX)</f>
        <v/>
      </c>
      <c r="EG3" s="3">
        <f>EF3/100*PEN_100</f>
        <v/>
      </c>
      <c r="EH3" s="3">
        <f>IF(R3="particular",ED3+IF(AND(DA3&lt;&gt;"cadena",X3&lt;&gt;"sí"),RES_CORREA,0)+IF(AND(BJ3&lt;&gt;"sí",BW3&gt;=RES_NEUM_EDAD),RES_NEUM,0),"")</f>
        <v/>
      </c>
      <c r="EI3" s="3">
        <f>IF(ED3&lt;=TOTAL_MAX,"sí",IF(ED3&lt;=TECHO,"negociar","no"))</f>
        <v/>
      </c>
      <c r="EJ3" s="4">
        <f>ROUND(DX3,9)</f>
        <v/>
      </c>
      <c r="EK3" s="4">
        <f>IF(EI3&lt;&gt;"no",SUMPRODUCT(($EI$2:$EI$209&lt;&gt;"no")*($EJ$2:$EJ$209&gt;EJ3))+SUMPRODUCT(($EI$2:EI3&lt;&gt;"no")*($EJ$2:EJ3=EJ3)),"")</f>
        <v/>
      </c>
    </row>
    <row r="4">
      <c r="A4" s="2" t="inlineStr">
        <is>
          <t>autoscout24:530a78a6-41a7-4caa-9407-81ae2c44ad35</t>
        </is>
      </c>
      <c r="B4" s="2" t="inlineStr">
        <is>
          <t>autoscout24</t>
        </is>
      </c>
      <c r="C4" s="2" t="inlineStr">
        <is>
          <t>https://www.autoscout24.es/anuncios/opel-corsa-1-4-c-mon-139co2-gasolina-gris-cat_ma54mo1918-530a78a6-41a7-4caa-9407-81ae2c44ad35</t>
        </is>
      </c>
      <c r="D4" s="2" t="inlineStr">
        <is>
          <t>Opel Corsa 1.4 C Mon (139CO2)</t>
        </is>
      </c>
      <c r="E4" s="2" t="inlineStr">
        <is>
          <t>Opel</t>
        </is>
      </c>
      <c r="F4" s="2" t="inlineStr">
        <is>
          <t>Opel Corsa</t>
        </is>
      </c>
      <c r="G4" s="2" t="inlineStr">
        <is>
          <t>1.4</t>
        </is>
      </c>
      <c r="H4" s="2" t="inlineStr">
        <is>
          <t>1.4 C Mon (139CO2) 1.4</t>
        </is>
      </c>
      <c r="I4" s="2" t="n">
        <v>1364</v>
      </c>
      <c r="J4" s="2" t="n">
        <v>90</v>
      </c>
      <c r="K4" s="2" t="inlineStr">
        <is>
          <t>gasolina</t>
        </is>
      </c>
      <c r="L4" s="2" t="inlineStr">
        <is>
          <t>utilitario</t>
        </is>
      </c>
      <c r="M4" s="2" t="n">
        <v>2009</v>
      </c>
      <c r="N4" s="2" t="n">
        <v>136000</v>
      </c>
      <c r="O4" s="2" t="n">
        <v>4500</v>
      </c>
      <c r="P4" s="2" t="inlineStr">
        <is>
          <t>manual</t>
        </is>
      </c>
      <c r="Q4" s="2" t="inlineStr">
        <is>
          <t>no</t>
        </is>
      </c>
      <c r="R4" s="2" t="inlineStr">
        <is>
          <t>profesional</t>
        </is>
      </c>
      <c r="S4" s="2" t="inlineStr">
        <is>
          <t>EUROREPAR AUTOS MERCHAN — MASANASSA (46470)</t>
        </is>
      </c>
      <c r="T4" s="2" t="n"/>
      <c r="U4" s="2" t="n">
        <v>8</v>
      </c>
      <c r="V4" s="2" t="inlineStr">
        <is>
          <t>sí</t>
        </is>
      </c>
      <c r="W4" s="2" t="n"/>
      <c r="X4" s="2" t="n"/>
      <c r="Y4" s="2" t="n"/>
      <c r="Z4" s="2" t="inlineStr">
        <is>
          <t>sí</t>
        </is>
      </c>
      <c r="AA4" s="2" t="n"/>
      <c r="AB4" s="2" t="n">
        <v>12</v>
      </c>
      <c r="AC4" s="2" t="n"/>
      <c r="AD4" s="2" t="n"/>
      <c r="AE4" s="2" t="n"/>
      <c r="AF4" s="2" t="n"/>
      <c r="AG4" s="2" t="n"/>
      <c r="AH4" s="2" t="n"/>
      <c r="AI4" s="2" t="n"/>
      <c r="AJ4" s="2" t="n"/>
      <c r="AK4" s="2" t="n"/>
      <c r="AL4" s="2" t="n"/>
      <c r="AM4" s="2" t="n">
        <v>6.7</v>
      </c>
      <c r="AN4" s="2" t="n"/>
      <c r="AO4" s="2" t="inlineStr">
        <is>
          <t>2009-01</t>
        </is>
      </c>
      <c r="AP4" s="2" t="n">
        <v>2009</v>
      </c>
      <c r="AQ4" s="2" t="n">
        <v>1</v>
      </c>
      <c r="AR4" s="2" t="n"/>
      <c r="AS4" s="2" t="inlineStr">
        <is>
          <t>regla</t>
        </is>
      </c>
      <c r="AT4" s="2" t="n"/>
      <c r="AU4" s="2" t="inlineStr">
        <is>
          <t>no</t>
        </is>
      </c>
      <c r="AV4" s="2" t="inlineStr">
        <is>
          <t>C</t>
        </is>
      </c>
      <c r="AW4" s="2" t="n"/>
      <c r="AX4" s="2" t="inlineStr">
        <is>
          <t>no</t>
        </is>
      </c>
      <c r="AY4" s="2" t="inlineStr">
        <is>
          <t>no</t>
        </is>
      </c>
      <c r="AZ4" s="2" t="inlineStr">
        <is>
          <t>Gris Metalizado</t>
        </is>
      </c>
      <c r="BA4" s="2" t="inlineStr">
        <is>
          <t>gris_medio</t>
        </is>
      </c>
      <c r="BB4" s="3" t="n">
        <v>2</v>
      </c>
      <c r="BC4" s="3" t="inlineStr">
        <is>
          <t>(por segmento)</t>
        </is>
      </c>
      <c r="BD4" s="2" t="n"/>
      <c r="BE4" s="2" t="inlineStr">
        <is>
          <t>sí</t>
        </is>
      </c>
      <c r="BF4" s="2" t="n"/>
      <c r="BG4" s="2" t="n"/>
      <c r="BH4" s="2" t="n"/>
      <c r="BI4" s="2" t="n"/>
      <c r="BJ4" s="2" t="inlineStr">
        <is>
          <t>sí</t>
        </is>
      </c>
      <c r="BK4" s="2" t="n">
        <v>5</v>
      </c>
      <c r="BL4" s="2" t="n"/>
      <c r="BM4" s="2" t="n">
        <v>456</v>
      </c>
      <c r="BN4" s="2" t="n">
        <v>0.05126157402992249</v>
      </c>
      <c r="BO4" s="2" t="n">
        <v>11</v>
      </c>
      <c r="BP4" s="2" t="n">
        <v>3600</v>
      </c>
      <c r="BQ4" s="2" t="n">
        <v>9</v>
      </c>
      <c r="BR4" s="2" t="inlineStr">
        <is>
          <t>modelo+año+km</t>
        </is>
      </c>
      <c r="BS4" s="2" t="inlineStr">
        <is>
          <t>cochesnet:71842537 (https://www.coches.net/opel-corsa-cmon-14-3p-gasolina-2009-en-valencia-71842537-covo.aspx)</t>
        </is>
      </c>
      <c r="BT4" s="2" t="inlineStr">
        <is>
          <t>vendedor profesional: sin ITP (operación con IVA/REBU, confirmar en factura); gastos de gestión del vendedor no indicados: se suma la tasa DGT; preguntar el precio final; etiqueta C deducida por fecha (sin matrícula ni dato del anuncio)</t>
        </is>
      </c>
      <c r="BU4" s="2" t="inlineStr">
        <is>
          <t>Se vende Opel Corsa 1.4 Gasolina (90CV) y fecha matriculación Enero 2009. Vehiculo muy bien cuidado tanto interior como exterior y motor . Se entrega con revisión completa aceite y filtros, bujías , 4 neumáticos nuevos, 2 llaves e itv recién pasada.&lt;br /&gt;&lt;br /&gt;</t>
        </is>
      </c>
      <c r="BV4" s="2" t="inlineStr">
        <is>
          <t>https://www.autoscout24.es/anuncios/opel-corsa-1-4-c-mon-139co2-gasolina-gris-cat_ma54mo1918-530a78a6-41a7-4caa-9407-81ae2c44ad35 (__NEXT_DATA__ listingDetails) /home/user/Alopecia/buscador-coches/raw/autoscout24/ea1df8b55d5dba3e.json</t>
        </is>
      </c>
      <c r="BW4" s="3">
        <f>MAX(ANIO_ACTUAL-M4,0)</f>
        <v/>
      </c>
      <c r="BX4" s="4">
        <f>N4/MAX(BW4,0.5)</f>
        <v/>
      </c>
      <c r="BY4" s="4">
        <f>F4</f>
        <v/>
      </c>
      <c r="BZ4" s="3">
        <f>BY4&amp;"|"&amp;INT(M4/SEG_ANIO)*SEG_ANIO</f>
        <v/>
      </c>
      <c r="CA4" s="3">
        <f>BZ4&amp;"|"&amp;INT(N4/SEG_KM)*SEG_KM</f>
        <v/>
      </c>
      <c r="CB4" s="4">
        <f>COUNTIF($BY$2:$BY$209,BY4)</f>
        <v/>
      </c>
      <c r="CC4" s="4">
        <f>COUNTIF($BZ$2:$BZ$209,BZ4)</f>
        <v/>
      </c>
      <c r="CD4" s="4">
        <f>COUNTIF($CA$2:$CA$209,CA4)</f>
        <v/>
      </c>
      <c r="CE4" s="3">
        <f t="array" ref="CE4">IF(N(BQ4)&gt;=MIN_N,BP4,IF(CD4&gt;=MIN_N,MEDIAN(IF($CA$2:$CA$209=CA4,$O$2:$O$209)),IF(CC4&gt;=MIN_N,MEDIAN(IF($BZ$2:$BZ$209=BZ4,$O$2:$O$209)),MEDIAN(IF($BY$2:$BY$209=BY4,$O$2:$O$209)))))</f>
        <v/>
      </c>
      <c r="CF4" s="3">
        <f>IF(N(BQ4)&gt;=MIN_N,"mercado "&amp;BR4,IF(CD4&gt;=MIN_N,"modelo+año+km",IF(CC4&gt;=MIN_N,"modelo+año","modelo")))</f>
        <v/>
      </c>
      <c r="CG4" s="4">
        <f>(CE4-O4)/CE4</f>
        <v/>
      </c>
      <c r="CH4" s="3">
        <f>IF(COUNTIFS(FR_FUEL,K4,FR_YEAR,AP4)&gt;0,1,0)</f>
        <v/>
      </c>
      <c r="CI4" s="3">
        <f>IF(COUNTIFS(FR_FUEL,K4,FR_YEAR,AP4-1)&gt;0,1,0)</f>
        <v/>
      </c>
      <c r="CJ4" s="4">
        <f>IF(N(AQ4)&gt;0,AP4*100+AQ4,IF(AND(CH4=1,CI4=1),(AP4-1)*100+1,AP4*100+1))</f>
        <v/>
      </c>
      <c r="CK4" s="3">
        <f>IF(OR(K4="hibrido",K4="glp",K4="gnc",K4="phev"),"ECO",IF(K4="electrico","CERO",IF(K4="gasolina",IF(CJ4&gt;=GAS_C_YM,"C",IF(CJ4&gt;=GAS_B_YM,"B","A")),IF(K4="diesel",IF(CJ4&gt;=DIE_C_YM,"C",IF(CJ4&gt;=DIE_B_YM,"B","A")),""))))</f>
        <v/>
      </c>
      <c r="CL4" s="4">
        <f>CK4</f>
        <v/>
      </c>
      <c r="CM4" s="4">
        <f>IF(AU4="sí","sí",IF(AS4="regla",IF(AND(N(AQ4)=0,CH4=1),"sí","no"),"no"))</f>
        <v/>
      </c>
      <c r="CN4" s="3">
        <f>IFERROR(VLOOKUP(F4,MOD_TBL,16,0),IFERROR(VLOOKUP(E4,OCU_TBL,2,0),NEUTRO))</f>
        <v/>
      </c>
      <c r="CO4" s="3">
        <f>SUMIFS(MOT_AJUSTE,MOT_MOTOR,G4,MOT_MARCA,E4,MOT_DESDE,"&lt;="&amp;M4,MOT_HASTA,"&gt;="&amp;M4)+SUMIFS(MOT_AJUSTE,MOT_MOTOR,G4,MOT_MARCA,"(todas)",MOT_DESDE,"&lt;="&amp;M4,MOT_HASTA,"&gt;="&amp;M4)+SUMIFS(MOT_AJUSTE,MOT_MOTOR,"(cualquiera)",MOT_MARCA,E4,MOT_DESDE,"&lt;="&amp;M4,MOT_HASTA,"&gt;="&amp;M4)</f>
        <v/>
      </c>
      <c r="CP4" s="3">
        <f>SUMIFS(COMB_AJUSTE,COMB_COMB,K4)</f>
        <v/>
      </c>
      <c r="CQ4" s="3">
        <f>COUNTIFS(MOT_MOTOR,G4,MOT_MARCA,E4,MOT_DESDE,"&lt;="&amp;M4,MOT_HASTA,"&gt;="&amp;M4)+COUNTIFS(MOT_MOTOR,G4,MOT_MARCA,"(todas)",MOT_DESDE,"&lt;="&amp;M4,MOT_HASTA,"&gt;="&amp;M4)+COUNTIFS(MOT_MOTOR,"(cualquiera)",MOT_MARCA,E4,MOT_DESDE,"&lt;="&amp;M4,MOT_HASTA,"&gt;="&amp;M4)</f>
        <v/>
      </c>
      <c r="CR4" s="3">
        <f>IF(AND(K4="diesel",CQ4=0),MIN(CN4,NEUTRO),CN4)</f>
        <v/>
      </c>
      <c r="CS4" s="3">
        <f>MAX(0,MIN(100,CR4+CO4+CP4-IF(AX4="sí",ROB_PEN,0)))</f>
        <v/>
      </c>
      <c r="CT4" s="3">
        <f>100-MAX(0,N4-KM_TOPE_DESDE)/1000*KM_TOPE_PTS</f>
        <v/>
      </c>
      <c r="CU4" s="3">
        <f>MAX(0,MIN(100,50+CG4*PRECIO_PEND,CT4))</f>
        <v/>
      </c>
      <c r="CV4" s="3">
        <f>MAX(0,100*(1-N4/KM_MAX))</f>
        <v/>
      </c>
      <c r="CW4" s="3">
        <f>IF(BX4&lt;KMA_SOSP,IF(AA4="sí",100,KMA_PEN),IF(BX4&lt;=KMA_IDEAL_MAX,100,MAX(0,100*(KMA_CERO-BX4)/(KMA_CERO-KMA_IDEAL_MAX))))</f>
        <v/>
      </c>
      <c r="CX4" s="3">
        <f>MAX(0,MIN(100,100*(M4-ANIO_MIN)/(ANIO_ACTUAL-ANIO_MIN)))</f>
        <v/>
      </c>
      <c r="CY4" s="3">
        <f>W_KMT*CV4+W_KMA*CW4+W_EDAD*CX4</f>
        <v/>
      </c>
      <c r="CZ4" s="4">
        <f>E4&amp;"|"&amp;G4</f>
        <v/>
      </c>
      <c r="DA4" s="3">
        <f>IFERROR(VLOOKUP(CZ4,DIST_TBL,2,0),"")</f>
        <v/>
      </c>
      <c r="DB4" s="3">
        <f>E_ITV*(V4="sí")+E_LIBRO*(W4="sí")+E_PROP*IF(Y4=1,1,IF(Y4=2,0.5,0))+E_CORREA*IF(OR(DA4="cadena",AND(X4="sí",BH4="sí")),1,IF(X4="sí",0.5,0))+E_FACT*(BI4="sí")</f>
        <v/>
      </c>
      <c r="DC4" s="3">
        <f>MAX(0,MIN(100,IFERROR(VLOOKUP(CL4,ETQ_TBL,2,0),0)-IF(CM4="sí",ETQ_PEN_DUD,IF(AS4="regla",ETQ_PEN_REGLA,0))))</f>
        <v/>
      </c>
      <c r="DD4" s="3">
        <f>IF(K4&lt;&gt;"gasolina","",IFERROR(VLOOKUP(F4,CONS_MOD_TBL,2,0),IFERROR(VLOOKUP(L4,CONS_SEG_TBL,2,0),"")))</f>
        <v/>
      </c>
      <c r="DE4" s="3">
        <f>IF(DD4="",NEUTRO,MAX(0,MIN(100,100*(CONS_REF_MAX-DD4)/(CONS_REF_MAX-CONS_REF_MIN))))</f>
        <v/>
      </c>
      <c r="DF4" s="3">
        <f>IFERROR(VLOOKUP(L4,SEGURO_TBL,3,0),"")</f>
        <v/>
      </c>
      <c r="DG4" s="3">
        <f>IF(DF4="",NEUTRO,MAX(0,MIN(100,100*(SEG_REF_MAX-DF4)/(SEG_REF_MAX-SEG_REF_MIN))))</f>
        <v/>
      </c>
      <c r="DH4" s="3">
        <f>IFERROR(VLOOKUP(E4,MANT_MARCA_TBL,2,0)+0,NEUTRO)</f>
        <v/>
      </c>
      <c r="DI4" s="3">
        <f>IF(DA4="",NEUTRO,IFERROR(VLOOKUP(DA4,DIST_PTS_TBL,2,0)+0,NEUTRO))</f>
        <v/>
      </c>
      <c r="DJ4" s="4">
        <f>(DH4+DI4)/2</f>
        <v/>
      </c>
      <c r="DK4" s="3">
        <f>W_CONS*DE4+W_SEG*DG4+W_MANT*DJ4</f>
        <v/>
      </c>
      <c r="DL4" s="3">
        <f>IF(N(AB4)&gt;0,AB4,IF(AND(R4="profesional",SG_LEGAL_ON=1),GAR_LEGAL,0))</f>
        <v/>
      </c>
      <c r="DM4" s="3">
        <f>MAX(0,MIN(100,SG_GAR*MIN(1,DL4/SG_GAR_FULL)+SG_AMPL*(AC4="sí")+SG_KMC*(AF4="sí")+SG_REV*(N(AE4)&gt;0)+SG_DEV*MIN(1,N(AG4)/SG_DEV_FULL)+SG_HIST*(W4="sí")-IF(AND(R4="particular",DL4=0),SG_PART_PEN,0)))</f>
        <v/>
      </c>
      <c r="DN4" s="3">
        <f>IF(BK4="",NEUTRO,MAX(0,MIN(100,BK4/5*100)))</f>
        <v/>
      </c>
      <c r="DO4" s="3">
        <f>IF(BL4="sí",100,IF(BL4="no",0,NEUTRO))</f>
        <v/>
      </c>
      <c r="DP4" s="3">
        <f>SV_W_NCAP*DN4+SV_W_ESP*DO4</f>
        <v/>
      </c>
      <c r="DQ4" s="3">
        <f>MAX(0,MIN(100,ATR_BASE+ATR_ACAB*(BD4&lt;&gt;"")+IF(BE4="16+",ATR_LL16,IF(BE4="sí",ATR_LL,0))+ATR_FAROS*(BF4="sí")+ATR_TINT*(BG4="sí")-ATR_CHAPA*(BE4="chapa")))</f>
        <v/>
      </c>
      <c r="DR4" s="3">
        <f>EST_W_MOD*(BB4-1)/4*100+EST_W_ATR*DQ4</f>
        <v/>
      </c>
      <c r="DS4" s="3">
        <f>IF(BA4="",NEUTRO,IFERROR(VLOOKUP(BA4,COLOR_TBL,2,0)+0,NEUTRO))</f>
        <v/>
      </c>
      <c r="DT4" s="3">
        <f>MAX(0,MIN(100,100*N(BM4)/RV_N_FULL))</f>
        <v/>
      </c>
      <c r="DU4" s="3">
        <f>IF(OR(BN4="",N(BO4)&lt;RV_DIAS_MIN),NEUTRO,MAX(0,MIN(100,100*(RV_DIAS_CERO-BN4)/(RV_DIAS_CERO-RV_DIAS_FULL))))</f>
        <v/>
      </c>
      <c r="DV4" s="3">
        <f>RV_W_LIQ*DT4+RV_W_DIAS*DU4+RV_W_ETQ*DC4</f>
        <v/>
      </c>
      <c r="DW4" s="3">
        <f>IFERROR(VLOOKUP(L4,CARR_PEN_TBL,2,0),0)</f>
        <v/>
      </c>
      <c r="DX4" s="3">
        <f>W_FIAB*CS4+W_PRECIO*CU4+W_KMEDAD*CY4+W_ESTADO*DB4+W_USO*DK4+W_SEGURIDAD*DM4+W_SEGVIAL*DP4+W_ESTETICA*DR4+W_COLOR*DS4+W_REVENTA*DV4-DW4-EG4</f>
        <v/>
      </c>
      <c r="DY4" s="4">
        <f>IF(N(I4)&gt;0,I4,IFERROR(ROUND(_xlfn.NUMBERVALUE(LEFT(G4,FIND(" ",G4&amp;" ")-1),".")*1000,0),99999))</f>
        <v/>
      </c>
      <c r="DZ4" s="3">
        <f>IF(R4="profesional",0,IF(O4&lt;CUOTA_VALOR_MAX,IF(BW4&gt;ITP_TRAMO_ALTO,SUMIFS(CF_CUOTA,CF_MAS,ITP_TRAMO_ALTO,CF_CCMIN,"&lt;="&amp;DY4,CF_CCMAX,"&gt;="&amp;DY4),IF(BW4&gt;ITP_TRAMO_BAJO,SUMIFS(CF_CUOTA,CF_MAS,ITP_TRAMO_BAJO,CF_CCMIN,"&lt;="&amp;DY4,CF_CCMAX,"&gt;="&amp;DY4),O4*ITP_TIPO)),O4*ITP_TIPO))</f>
        <v/>
      </c>
      <c r="EA4" s="4">
        <f>IF(R4="profesional",N(AK4),0)</f>
        <v/>
      </c>
      <c r="EB4" s="3">
        <f>IF(AND(R4="profesional",ISNUMBER(AK4),AL4="sí"),0,TASA_DGT)</f>
        <v/>
      </c>
      <c r="EC4" s="3">
        <f>INFORME_DGT</f>
        <v/>
      </c>
      <c r="ED4" s="4">
        <f>O4+EA4+DZ4+EB4+EC4</f>
        <v/>
      </c>
      <c r="EE4" s="4">
        <f>ED4+N(DF4)</f>
        <v/>
      </c>
      <c r="EF4" s="3">
        <f>MAX(0,ED4-TOTAL_MAX)</f>
        <v/>
      </c>
      <c r="EG4" s="3">
        <f>EF4/100*PEN_100</f>
        <v/>
      </c>
      <c r="EH4" s="3">
        <f>IF(R4="particular",ED4+IF(AND(DA4&lt;&gt;"cadena",X4&lt;&gt;"sí"),RES_CORREA,0)+IF(AND(BJ4&lt;&gt;"sí",BW4&gt;=RES_NEUM_EDAD),RES_NEUM,0),"")</f>
        <v/>
      </c>
      <c r="EI4" s="3">
        <f>IF(ED4&lt;=TOTAL_MAX,"sí",IF(ED4&lt;=TECHO,"negociar","no"))</f>
        <v/>
      </c>
      <c r="EJ4" s="4">
        <f>ROUND(DX4,9)</f>
        <v/>
      </c>
      <c r="EK4" s="4">
        <f>IF(EI4&lt;&gt;"no",SUMPRODUCT(($EI$2:$EI$209&lt;&gt;"no")*($EJ$2:$EJ$209&gt;EJ4))+SUMPRODUCT(($EI$2:EI4&lt;&gt;"no")*($EJ$2:EJ4=EJ4)),"")</f>
        <v/>
      </c>
    </row>
    <row r="5">
      <c r="A5" s="2" t="inlineStr">
        <is>
          <t>autoscout24:eff1fd1c-995f-4e05-b13f-0025ae2ba8f5</t>
        </is>
      </c>
      <c r="B5" s="2" t="inlineStr">
        <is>
          <t>autoscout24</t>
        </is>
      </c>
      <c r="C5" s="2" t="inlineStr">
        <is>
          <t>https://www.autoscout24.es/anuncios/opel-astra-1-7cdti-enjoy-diesel-azul-cat_ma54mo1916-eff1fd1c-995f-4e05-b13f-0025ae2ba8f5</t>
        </is>
      </c>
      <c r="D5" s="2" t="inlineStr">
        <is>
          <t>Opel Astra 1.7CDTi Enjoy</t>
        </is>
      </c>
      <c r="E5" s="2" t="inlineStr">
        <is>
          <t>Opel</t>
        </is>
      </c>
      <c r="F5" s="2" t="inlineStr">
        <is>
          <t>Opel Astra</t>
        </is>
      </c>
      <c r="G5" s="2" t="inlineStr">
        <is>
          <t>1.7</t>
        </is>
      </c>
      <c r="H5" s="2" t="inlineStr">
        <is>
          <t>1.7CDTi Enjoy 1.7</t>
        </is>
      </c>
      <c r="I5" s="2" t="n">
        <v>1686</v>
      </c>
      <c r="J5" s="2" t="n">
        <v>99</v>
      </c>
      <c r="K5" s="2" t="inlineStr">
        <is>
          <t>diesel</t>
        </is>
      </c>
      <c r="L5" s="2" t="inlineStr">
        <is>
          <t>compacto</t>
        </is>
      </c>
      <c r="M5" s="2" t="n">
        <v>2008</v>
      </c>
      <c r="N5" s="2" t="n">
        <v>180065</v>
      </c>
      <c r="O5" s="2" t="n">
        <v>3599</v>
      </c>
      <c r="P5" s="2" t="inlineStr">
        <is>
          <t>manual</t>
        </is>
      </c>
      <c r="Q5" s="2" t="inlineStr">
        <is>
          <t>no</t>
        </is>
      </c>
      <c r="R5" s="2" t="inlineStr">
        <is>
          <t>profesional</t>
        </is>
      </c>
      <c r="S5" s="2" t="inlineStr">
        <is>
          <t>AUTOS XUQUER — SUECA (46410)</t>
        </is>
      </c>
      <c r="T5" s="2" t="n"/>
      <c r="U5" s="2" t="n">
        <v>12</v>
      </c>
      <c r="V5" s="2" t="inlineStr">
        <is>
          <t>sí</t>
        </is>
      </c>
      <c r="W5" s="2" t="n"/>
      <c r="X5" s="2" t="n"/>
      <c r="Y5" s="2" t="n"/>
      <c r="Z5" s="2" t="inlineStr">
        <is>
          <t>sí</t>
        </is>
      </c>
      <c r="AA5" s="2" t="n"/>
      <c r="AB5" s="2" t="n">
        <v>12</v>
      </c>
      <c r="AC5" s="2" t="n"/>
      <c r="AD5" s="2" t="n"/>
      <c r="AE5" s="2" t="n"/>
      <c r="AF5" s="2" t="n"/>
      <c r="AG5" s="2" t="n"/>
      <c r="AH5" s="2" t="n"/>
      <c r="AI5" s="2" t="n"/>
      <c r="AJ5" s="2" t="n"/>
      <c r="AK5" s="2" t="n"/>
      <c r="AL5" s="2" t="n"/>
      <c r="AM5" s="2" t="n">
        <v>30.8</v>
      </c>
      <c r="AN5" s="2" t="n"/>
      <c r="AO5" s="2" t="inlineStr">
        <is>
          <t>2008-03</t>
        </is>
      </c>
      <c r="AP5" s="2" t="n">
        <v>2008</v>
      </c>
      <c r="AQ5" s="2" t="n">
        <v>3</v>
      </c>
      <c r="AR5" s="2" t="n"/>
      <c r="AS5" s="2" t="inlineStr">
        <is>
          <t>regla</t>
        </is>
      </c>
      <c r="AT5" s="2" t="n"/>
      <c r="AU5" s="2" t="inlineStr">
        <is>
          <t>no</t>
        </is>
      </c>
      <c r="AV5" s="2" t="inlineStr">
        <is>
          <t>B</t>
        </is>
      </c>
      <c r="AW5" s="2" t="n"/>
      <c r="AX5" s="2" t="inlineStr">
        <is>
          <t>no</t>
        </is>
      </c>
      <c r="AY5" s="2" t="inlineStr">
        <is>
          <t>no</t>
        </is>
      </c>
      <c r="AZ5" s="2" t="inlineStr">
        <is>
          <t>Azul</t>
        </is>
      </c>
      <c r="BA5" s="2" t="inlineStr">
        <is>
          <t>azul</t>
        </is>
      </c>
      <c r="BB5" s="3" t="n">
        <v>3</v>
      </c>
      <c r="BC5" s="3" t="inlineStr">
        <is>
          <t>(por segmento)</t>
        </is>
      </c>
      <c r="BD5" s="2" t="n"/>
      <c r="BE5" s="2" t="inlineStr">
        <is>
          <t>sí</t>
        </is>
      </c>
      <c r="BF5" s="2" t="n"/>
      <c r="BG5" s="2" t="n"/>
      <c r="BH5" s="2" t="n"/>
      <c r="BI5" s="2" t="n"/>
      <c r="BJ5" s="2" t="n"/>
      <c r="BK5" s="2" t="n">
        <v>5</v>
      </c>
      <c r="BL5" s="2" t="n"/>
      <c r="BM5" s="2" t="n">
        <v>402</v>
      </c>
      <c r="BN5" s="2" t="n">
        <v>0.06280092592351139</v>
      </c>
      <c r="BO5" s="2" t="n">
        <v>4</v>
      </c>
      <c r="BP5" s="2" t="n">
        <v>4300</v>
      </c>
      <c r="BQ5" s="2" t="n">
        <v>18</v>
      </c>
      <c r="BR5" s="2" t="inlineStr">
        <is>
          <t>modelo+año+km</t>
        </is>
      </c>
      <c r="BS5" s="2" t="n"/>
      <c r="BT5" s="2" t="inlineStr">
        <is>
          <t>vendedor profesional: sin ITP (operación con IVA/REBU, confirmar en factura); gastos de gestión del vendedor no indicados: se suma la tasa DGT; preguntar el precio final; diésel: motor sin fuente de fiabilidad (fiabilidad limitada a neutra); etiqueta B deducida por fecha (sin matrícula ni dato del anuncio)</t>
        </is>
      </c>
      <c r="BU5" s="2" t="inlineStr">
        <is>
          <t>Opel Astra SW 1.7 CDTI Familiar, espacioso y muy económico&lt;br /&gt;¿Buscas un coche espacioso, fiable y que no te haga temblar cada vez que vas a la gasolinera? Este Opel Astra SW es la combinación perfecta entre practicidad para el día a día y confort para viajar.&lt;br /&gt;Con su motor 1.7 CDTI de 100 CV, te llevas uno de los motores diésel más duros y contrastados del mercado: consumo muy ajustado y mantenimiento económico. Además, su carrocería familiar te ofrece un maletero amplísimo con boca de carga baja, ideal para familias, viajes con equipaje o para quien necesita espacio extra sin renunciar a la agilidad de un turismo.&lt;br /&gt;Volante con control velocidad de crucero, Radio CD, Aire Acondicionado, llantas de aleación, amplio maletero, elevalunas eléctricos. Cuenta con Baca porta equipajes.&lt;br /&gt;Coche económico, con revisiones e ITV al dia.&lt;br /&gt;En Autos Xúquer Albelda entregamos todos nuestros vehículos totalmente revisados y con garantía de 12 meses incluida. La financiación es 100 % flexible y sin trámites complicados, y te asesoramos en todo el proceso, antes y después de la compra. &lt;br /&gt;Cambio de nombre no incluido (+200 €). &lt;br /&gt;Visítanos en Sueca (Valencia) o escríbenos para concertar una prueba sin ningún compromiso.&lt;br /&gt;Este anuncio no es vinculante y puede contener errores.&lt;br /&gt;&lt;br /&gt;&lt;br /&gt;</t>
        </is>
      </c>
      <c r="BV5" s="2" t="inlineStr">
        <is>
          <t>https://www.autoscout24.es/anuncios/opel-astra-1-7cdti-enjoy-diesel-azul-cat_ma54mo1916-eff1fd1c-995f-4e05-b13f-0025ae2ba8f5 (__NEXT_DATA__ listingDetails) /home/user/Alopecia/buscador-coches/raw/autoscout24/f2becdc4ebbeca89.json</t>
        </is>
      </c>
      <c r="BW5" s="3">
        <f>MAX(ANIO_ACTUAL-M5,0)</f>
        <v/>
      </c>
      <c r="BX5" s="4">
        <f>N5/MAX(BW5,0.5)</f>
        <v/>
      </c>
      <c r="BY5" s="4">
        <f>F5</f>
        <v/>
      </c>
      <c r="BZ5" s="3">
        <f>BY5&amp;"|"&amp;INT(M5/SEG_ANIO)*SEG_ANIO</f>
        <v/>
      </c>
      <c r="CA5" s="3">
        <f>BZ5&amp;"|"&amp;INT(N5/SEG_KM)*SEG_KM</f>
        <v/>
      </c>
      <c r="CB5" s="4">
        <f>COUNTIF($BY$2:$BY$209,BY5)</f>
        <v/>
      </c>
      <c r="CC5" s="4">
        <f>COUNTIF($BZ$2:$BZ$209,BZ5)</f>
        <v/>
      </c>
      <c r="CD5" s="4">
        <f>COUNTIF($CA$2:$CA$209,CA5)</f>
        <v/>
      </c>
      <c r="CE5" s="3">
        <f t="array" ref="CE5">IF(N(BQ5)&gt;=MIN_N,BP5,IF(CD5&gt;=MIN_N,MEDIAN(IF($CA$2:$CA$209=CA5,$O$2:$O$209)),IF(CC5&gt;=MIN_N,MEDIAN(IF($BZ$2:$BZ$209=BZ5,$O$2:$O$209)),MEDIAN(IF($BY$2:$BY$209=BY5,$O$2:$O$209)))))</f>
        <v/>
      </c>
      <c r="CF5" s="3">
        <f>IF(N(BQ5)&gt;=MIN_N,"mercado "&amp;BR5,IF(CD5&gt;=MIN_N,"modelo+año+km",IF(CC5&gt;=MIN_N,"modelo+año","modelo")))</f>
        <v/>
      </c>
      <c r="CG5" s="4">
        <f>(CE5-O5)/CE5</f>
        <v/>
      </c>
      <c r="CH5" s="3">
        <f>IF(COUNTIFS(FR_FUEL,K5,FR_YEAR,AP5)&gt;0,1,0)</f>
        <v/>
      </c>
      <c r="CI5" s="3">
        <f>IF(COUNTIFS(FR_FUEL,K5,FR_YEAR,AP5-1)&gt;0,1,0)</f>
        <v/>
      </c>
      <c r="CJ5" s="4">
        <f>IF(N(AQ5)&gt;0,AP5*100+AQ5,IF(AND(CH5=1,CI5=1),(AP5-1)*100+1,AP5*100+1))</f>
        <v/>
      </c>
      <c r="CK5" s="3">
        <f>IF(OR(K5="hibrido",K5="glp",K5="gnc",K5="phev"),"ECO",IF(K5="electrico","CERO",IF(K5="gasolina",IF(CJ5&gt;=GAS_C_YM,"C",IF(CJ5&gt;=GAS_B_YM,"B","A")),IF(K5="diesel",IF(CJ5&gt;=DIE_C_YM,"C",IF(CJ5&gt;=DIE_B_YM,"B","A")),""))))</f>
        <v/>
      </c>
      <c r="CL5" s="4">
        <f>CK5</f>
        <v/>
      </c>
      <c r="CM5" s="4">
        <f>IF(AU5="sí","sí",IF(AS5="regla",IF(AND(N(AQ5)=0,CH5=1),"sí","no"),"no"))</f>
        <v/>
      </c>
      <c r="CN5" s="3">
        <f>IFERROR(VLOOKUP(F5,MOD_TBL,16,0),IFERROR(VLOOKUP(E5,OCU_TBL,2,0),NEUTRO))</f>
        <v/>
      </c>
      <c r="CO5" s="3">
        <f>SUMIFS(MOT_AJUSTE,MOT_MOTOR,G5,MOT_MARCA,E5,MOT_DESDE,"&lt;="&amp;M5,MOT_HASTA,"&gt;="&amp;M5)+SUMIFS(MOT_AJUSTE,MOT_MOTOR,G5,MOT_MARCA,"(todas)",MOT_DESDE,"&lt;="&amp;M5,MOT_HASTA,"&gt;="&amp;M5)+SUMIFS(MOT_AJUSTE,MOT_MOTOR,"(cualquiera)",MOT_MARCA,E5,MOT_DESDE,"&lt;="&amp;M5,MOT_HASTA,"&gt;="&amp;M5)</f>
        <v/>
      </c>
      <c r="CP5" s="3">
        <f>SUMIFS(COMB_AJUSTE,COMB_COMB,K5)</f>
        <v/>
      </c>
      <c r="CQ5" s="3">
        <f>COUNTIFS(MOT_MOTOR,G5,MOT_MARCA,E5,MOT_DESDE,"&lt;="&amp;M5,MOT_HASTA,"&gt;="&amp;M5)+COUNTIFS(MOT_MOTOR,G5,MOT_MARCA,"(todas)",MOT_DESDE,"&lt;="&amp;M5,MOT_HASTA,"&gt;="&amp;M5)+COUNTIFS(MOT_MOTOR,"(cualquiera)",MOT_MARCA,E5,MOT_DESDE,"&lt;="&amp;M5,MOT_HASTA,"&gt;="&amp;M5)</f>
        <v/>
      </c>
      <c r="CR5" s="3">
        <f>IF(AND(K5="diesel",CQ5=0),MIN(CN5,NEUTRO),CN5)</f>
        <v/>
      </c>
      <c r="CS5" s="3">
        <f>MAX(0,MIN(100,CR5+CO5+CP5-IF(AX5="sí",ROB_PEN,0)))</f>
        <v/>
      </c>
      <c r="CT5" s="3">
        <f>100-MAX(0,N5-KM_TOPE_DESDE)/1000*KM_TOPE_PTS</f>
        <v/>
      </c>
      <c r="CU5" s="3">
        <f>MAX(0,MIN(100,50+CG5*PRECIO_PEND,CT5))</f>
        <v/>
      </c>
      <c r="CV5" s="3">
        <f>MAX(0,100*(1-N5/KM_MAX))</f>
        <v/>
      </c>
      <c r="CW5" s="3">
        <f>IF(BX5&lt;KMA_SOSP,IF(AA5="sí",100,KMA_PEN),IF(BX5&lt;=KMA_IDEAL_MAX,100,MAX(0,100*(KMA_CERO-BX5)/(KMA_CERO-KMA_IDEAL_MAX))))</f>
        <v/>
      </c>
      <c r="CX5" s="3">
        <f>MAX(0,MIN(100,100*(M5-ANIO_MIN)/(ANIO_ACTUAL-ANIO_MIN)))</f>
        <v/>
      </c>
      <c r="CY5" s="3">
        <f>W_KMT*CV5+W_KMA*CW5+W_EDAD*CX5</f>
        <v/>
      </c>
      <c r="CZ5" s="4">
        <f>E5&amp;"|"&amp;G5</f>
        <v/>
      </c>
      <c r="DA5" s="3">
        <f>IFERROR(VLOOKUP(CZ5,DIST_TBL,2,0),"")</f>
        <v/>
      </c>
      <c r="DB5" s="3">
        <f>E_ITV*(V5="sí")+E_LIBRO*(W5="sí")+E_PROP*IF(Y5=1,1,IF(Y5=2,0.5,0))+E_CORREA*IF(OR(DA5="cadena",AND(X5="sí",BH5="sí")),1,IF(X5="sí",0.5,0))+E_FACT*(BI5="sí")</f>
        <v/>
      </c>
      <c r="DC5" s="3">
        <f>MAX(0,MIN(100,IFERROR(VLOOKUP(CL5,ETQ_TBL,2,0),0)-IF(CM5="sí",ETQ_PEN_DUD,IF(AS5="regla",ETQ_PEN_REGLA,0))))</f>
        <v/>
      </c>
      <c r="DD5" s="3">
        <f>IF(K5&lt;&gt;"gasolina","",IFERROR(VLOOKUP(F5,CONS_MOD_TBL,2,0),IFERROR(VLOOKUP(L5,CONS_SEG_TBL,2,0),"")))</f>
        <v/>
      </c>
      <c r="DE5" s="3">
        <f>IF(DD5="",NEUTRO,MAX(0,MIN(100,100*(CONS_REF_MAX-DD5)/(CONS_REF_MAX-CONS_REF_MIN))))</f>
        <v/>
      </c>
      <c r="DF5" s="3">
        <f>IFERROR(VLOOKUP(L5,SEGURO_TBL,3,0),"")</f>
        <v/>
      </c>
      <c r="DG5" s="3">
        <f>IF(DF5="",NEUTRO,MAX(0,MIN(100,100*(SEG_REF_MAX-DF5)/(SEG_REF_MAX-SEG_REF_MIN))))</f>
        <v/>
      </c>
      <c r="DH5" s="3">
        <f>IFERROR(VLOOKUP(E5,MANT_MARCA_TBL,2,0)+0,NEUTRO)</f>
        <v/>
      </c>
      <c r="DI5" s="3">
        <f>IF(DA5="",NEUTRO,IFERROR(VLOOKUP(DA5,DIST_PTS_TBL,2,0)+0,NEUTRO))</f>
        <v/>
      </c>
      <c r="DJ5" s="4">
        <f>(DH5+DI5)/2</f>
        <v/>
      </c>
      <c r="DK5" s="3">
        <f>W_CONS*DE5+W_SEG*DG5+W_MANT*DJ5</f>
        <v/>
      </c>
      <c r="DL5" s="3">
        <f>IF(N(AB5)&gt;0,AB5,IF(AND(R5="profesional",SG_LEGAL_ON=1),GAR_LEGAL,0))</f>
        <v/>
      </c>
      <c r="DM5" s="3">
        <f>MAX(0,MIN(100,SG_GAR*MIN(1,DL5/SG_GAR_FULL)+SG_AMPL*(AC5="sí")+SG_KMC*(AF5="sí")+SG_REV*(N(AE5)&gt;0)+SG_DEV*MIN(1,N(AG5)/SG_DEV_FULL)+SG_HIST*(W5="sí")-IF(AND(R5="particular",DL5=0),SG_PART_PEN,0)))</f>
        <v/>
      </c>
      <c r="DN5" s="3">
        <f>IF(BK5="",NEUTRO,MAX(0,MIN(100,BK5/5*100)))</f>
        <v/>
      </c>
      <c r="DO5" s="3">
        <f>IF(BL5="sí",100,IF(BL5="no",0,NEUTRO))</f>
        <v/>
      </c>
      <c r="DP5" s="3">
        <f>SV_W_NCAP*DN5+SV_W_ESP*DO5</f>
        <v/>
      </c>
      <c r="DQ5" s="3">
        <f>MAX(0,MIN(100,ATR_BASE+ATR_ACAB*(BD5&lt;&gt;"")+IF(BE5="16+",ATR_LL16,IF(BE5="sí",ATR_LL,0))+ATR_FAROS*(BF5="sí")+ATR_TINT*(BG5="sí")-ATR_CHAPA*(BE5="chapa")))</f>
        <v/>
      </c>
      <c r="DR5" s="3">
        <f>EST_W_MOD*(BB5-1)/4*100+EST_W_ATR*DQ5</f>
        <v/>
      </c>
      <c r="DS5" s="3">
        <f>IF(BA5="",NEUTRO,IFERROR(VLOOKUP(BA5,COLOR_TBL,2,0)+0,NEUTRO))</f>
        <v/>
      </c>
      <c r="DT5" s="3">
        <f>MAX(0,MIN(100,100*N(BM5)/RV_N_FULL))</f>
        <v/>
      </c>
      <c r="DU5" s="3">
        <f>IF(OR(BN5="",N(BO5)&lt;RV_DIAS_MIN),NEUTRO,MAX(0,MIN(100,100*(RV_DIAS_CERO-BN5)/(RV_DIAS_CERO-RV_DIAS_FULL))))</f>
        <v/>
      </c>
      <c r="DV5" s="3">
        <f>RV_W_LIQ*DT5+RV_W_DIAS*DU5+RV_W_ETQ*DC5</f>
        <v/>
      </c>
      <c r="DW5" s="3">
        <f>IFERROR(VLOOKUP(L5,CARR_PEN_TBL,2,0),0)</f>
        <v/>
      </c>
      <c r="DX5" s="3">
        <f>W_FIAB*CS5+W_PRECIO*CU5+W_KMEDAD*CY5+W_ESTADO*DB5+W_USO*DK5+W_SEGURIDAD*DM5+W_SEGVIAL*DP5+W_ESTETICA*DR5+W_COLOR*DS5+W_REVENTA*DV5-DW5-EG5</f>
        <v/>
      </c>
      <c r="DY5" s="4">
        <f>IF(N(I5)&gt;0,I5,IFERROR(ROUND(_xlfn.NUMBERVALUE(LEFT(G5,FIND(" ",G5&amp;" ")-1),".")*1000,0),99999))</f>
        <v/>
      </c>
      <c r="DZ5" s="3">
        <f>IF(R5="profesional",0,IF(O5&lt;CUOTA_VALOR_MAX,IF(BW5&gt;ITP_TRAMO_ALTO,SUMIFS(CF_CUOTA,CF_MAS,ITP_TRAMO_ALTO,CF_CCMIN,"&lt;="&amp;DY5,CF_CCMAX,"&gt;="&amp;DY5),IF(BW5&gt;ITP_TRAMO_BAJO,SUMIFS(CF_CUOTA,CF_MAS,ITP_TRAMO_BAJO,CF_CCMIN,"&lt;="&amp;DY5,CF_CCMAX,"&gt;="&amp;DY5),O5*ITP_TIPO)),O5*ITP_TIPO))</f>
        <v/>
      </c>
      <c r="EA5" s="4">
        <f>IF(R5="profesional",N(AK5),0)</f>
        <v/>
      </c>
      <c r="EB5" s="3">
        <f>IF(AND(R5="profesional",ISNUMBER(AK5),AL5="sí"),0,TASA_DGT)</f>
        <v/>
      </c>
      <c r="EC5" s="3">
        <f>INFORME_DGT</f>
        <v/>
      </c>
      <c r="ED5" s="4">
        <f>O5+EA5+DZ5+EB5+EC5</f>
        <v/>
      </c>
      <c r="EE5" s="4">
        <f>ED5+N(DF5)</f>
        <v/>
      </c>
      <c r="EF5" s="3">
        <f>MAX(0,ED5-TOTAL_MAX)</f>
        <v/>
      </c>
      <c r="EG5" s="3">
        <f>EF5/100*PEN_100</f>
        <v/>
      </c>
      <c r="EH5" s="3">
        <f>IF(R5="particular",ED5+IF(AND(DA5&lt;&gt;"cadena",X5&lt;&gt;"sí"),RES_CORREA,0)+IF(AND(BJ5&lt;&gt;"sí",BW5&gt;=RES_NEUM_EDAD),RES_NEUM,0),"")</f>
        <v/>
      </c>
      <c r="EI5" s="3">
        <f>IF(ED5&lt;=TOTAL_MAX,"sí",IF(ED5&lt;=TECHO,"negociar","no"))</f>
        <v/>
      </c>
      <c r="EJ5" s="4">
        <f>ROUND(DX5,9)</f>
        <v/>
      </c>
      <c r="EK5" s="4">
        <f>IF(EI5&lt;&gt;"no",SUMPRODUCT(($EI$2:$EI$209&lt;&gt;"no")*($EJ$2:$EJ$209&gt;EJ5))+SUMPRODUCT(($EI$2:EI5&lt;&gt;"no")*($EJ$2:EJ5=EJ5)),"")</f>
        <v/>
      </c>
    </row>
    <row r="6">
      <c r="A6" s="2" t="inlineStr">
        <is>
          <t>autoscout24:9a094bfd-f634-4d5d-9612-b134882a2a0b</t>
        </is>
      </c>
      <c r="B6" s="2" t="inlineStr">
        <is>
          <t>autoscout24</t>
        </is>
      </c>
      <c r="C6" s="2" t="inlineStr">
        <is>
          <t>https://www.autoscout24.es/anuncios/opel-corsa-1-3cdti-c-mon-ecoflex-diesel-cat_ma54mo1918-9a094bfd-f634-4d5d-9612-b134882a2a0b</t>
        </is>
      </c>
      <c r="D6" s="2" t="inlineStr">
        <is>
          <t>Opel Corsa 1.3CDTi C Mon ecoFlex</t>
        </is>
      </c>
      <c r="E6" s="2" t="inlineStr">
        <is>
          <t>Opel</t>
        </is>
      </c>
      <c r="F6" s="2" t="inlineStr">
        <is>
          <t>Opel Corsa</t>
        </is>
      </c>
      <c r="G6" s="2" t="inlineStr">
        <is>
          <t>1.2 CDTi</t>
        </is>
      </c>
      <c r="H6" s="2" t="inlineStr">
        <is>
          <t>1.3CDTi C Mon ecoFlex 1.3 CDTI</t>
        </is>
      </c>
      <c r="I6" s="2" t="n">
        <v>1248</v>
      </c>
      <c r="J6" s="2" t="n">
        <v>75</v>
      </c>
      <c r="K6" s="2" t="inlineStr">
        <is>
          <t>diesel</t>
        </is>
      </c>
      <c r="L6" s="2" t="inlineStr">
        <is>
          <t>utilitario</t>
        </is>
      </c>
      <c r="M6" s="2" t="n">
        <v>2009</v>
      </c>
      <c r="N6" s="2" t="n">
        <v>172000</v>
      </c>
      <c r="O6" s="2" t="n">
        <v>3990</v>
      </c>
      <c r="P6" s="2" t="inlineStr">
        <is>
          <t>manual</t>
        </is>
      </c>
      <c r="Q6" s="2" t="inlineStr">
        <is>
          <t>no</t>
        </is>
      </c>
      <c r="R6" s="2" t="inlineStr">
        <is>
          <t>profesional</t>
        </is>
      </c>
      <c r="S6" s="2" t="inlineStr">
        <is>
          <t>ORLANDO CARS — PATERNA (46980)</t>
        </is>
      </c>
      <c r="T6" s="2" t="n"/>
      <c r="U6" s="2" t="n">
        <v>37</v>
      </c>
      <c r="V6" s="2" t="inlineStr">
        <is>
          <t>sí</t>
        </is>
      </c>
      <c r="W6" s="2" t="n"/>
      <c r="X6" s="2" t="n"/>
      <c r="Y6" s="2" t="n"/>
      <c r="Z6" s="2" t="inlineStr">
        <is>
          <t>sí</t>
        </is>
      </c>
      <c r="AA6" s="2" t="n"/>
      <c r="AB6" s="2" t="n">
        <v>12</v>
      </c>
      <c r="AC6" s="2" t="n"/>
      <c r="AD6" s="2" t="n"/>
      <c r="AE6" s="2" t="n"/>
      <c r="AF6" s="2" t="n"/>
      <c r="AG6" s="2" t="n"/>
      <c r="AH6" s="2" t="n">
        <v>3990</v>
      </c>
      <c r="AI6" s="2" t="n">
        <v>3990</v>
      </c>
      <c r="AJ6" s="2" t="n"/>
      <c r="AK6" s="2" t="n"/>
      <c r="AL6" s="2" t="n"/>
      <c r="AM6" s="2" t="n">
        <v>9.4</v>
      </c>
      <c r="AN6" s="2" t="n"/>
      <c r="AO6" s="2" t="inlineStr">
        <is>
          <t>2009-06</t>
        </is>
      </c>
      <c r="AP6" s="2" t="n">
        <v>2009</v>
      </c>
      <c r="AQ6" s="2" t="n">
        <v>6</v>
      </c>
      <c r="AR6" s="2" t="n"/>
      <c r="AS6" s="2" t="inlineStr">
        <is>
          <t>regla</t>
        </is>
      </c>
      <c r="AT6" s="2" t="n"/>
      <c r="AU6" s="2" t="inlineStr">
        <is>
          <t>no</t>
        </is>
      </c>
      <c r="AV6" s="2" t="inlineStr">
        <is>
          <t>B</t>
        </is>
      </c>
      <c r="AW6" s="2" t="n"/>
      <c r="AX6" s="2" t="inlineStr">
        <is>
          <t>no</t>
        </is>
      </c>
      <c r="AY6" s="2" t="inlineStr">
        <is>
          <t>no</t>
        </is>
      </c>
      <c r="AZ6" s="2" t="n"/>
      <c r="BA6" s="2" t="n"/>
      <c r="BB6" s="3" t="n">
        <v>2</v>
      </c>
      <c r="BC6" s="3" t="inlineStr">
        <is>
          <t>(por segmento)</t>
        </is>
      </c>
      <c r="BD6" s="2" t="n"/>
      <c r="BE6" s="2" t="inlineStr">
        <is>
          <t>sí</t>
        </is>
      </c>
      <c r="BF6" s="2" t="n"/>
      <c r="BG6" s="2" t="n"/>
      <c r="BH6" s="2" t="n"/>
      <c r="BI6" s="2" t="n"/>
      <c r="BJ6" s="2" t="n"/>
      <c r="BK6" s="2" t="n">
        <v>5</v>
      </c>
      <c r="BL6" s="2" t="n"/>
      <c r="BM6" s="2" t="n">
        <v>456</v>
      </c>
      <c r="BN6" s="2" t="n">
        <v>0.05126157402992249</v>
      </c>
      <c r="BO6" s="2" t="n">
        <v>11</v>
      </c>
      <c r="BP6" s="2" t="n">
        <v>3150</v>
      </c>
      <c r="BQ6" s="2" t="n">
        <v>8</v>
      </c>
      <c r="BR6" s="2" t="inlineStr">
        <is>
          <t>modelo+año+km</t>
        </is>
      </c>
      <c r="BS6" s="2" t="n"/>
      <c r="BT6" s="2" t="inlineStr">
        <is>
          <t>vendedor profesional: sin ITP (operación con IVA/REBU, confirmar en factura); gastos de gestión del vendedor no indicados: se suma la tasa DGT; preguntar el precio final; diésel: motor sin fuente de fiabilidad (fiabilidad limitada a neutra); etiqueta B deducida por fecha (sin matrícula ni dato del anuncio)</t>
        </is>
      </c>
      <c r="BU6" s="2" t="inlineStr">
        <is>
          <t>&lt;strong&gt;Precio al contado: 3990 euros&lt;/strong&gt; &lt;br /&gt;&lt;br /&gt;&lt;strong&gt;Condiciones de la financiación&lt;/strong&gt; &lt;br /&gt;&lt;br /&gt;Precio al contado: 3.990€&lt;br /&gt;Precio financiado: 3.990€&lt;br /&gt;&lt;br /&gt; &lt;br /&gt;&lt;br /&gt;&lt;strong&gt;OPEL CORSA ECOFLEX 1.3 75CV&lt;/strong&gt;&lt;br /&gt;&lt;strong&gt; &lt;/strong&gt;&lt;br /&gt;&lt;strong&gt;Nacional – Año 2009&lt;/strong&gt;&lt;br /&gt;&lt;strong&gt;Diesel – Con  172.000Km&lt;/strong&gt;&lt;br /&gt;&lt;strong&gt; &lt;/strong&gt;&lt;br /&gt;Equipado con: -3 Puertas. -2 Llaves. -Bajo consumo. -Radio. -CD. -USB. -AUX. . -Aire acondicionado. -Cierre centralizado. -Airbag. -Elevalunas eléctricos. -Retrovisores eléctricos. -Rueda de repuesto.&lt;br /&gt; &lt;br /&gt;Precio al contado: 3.990€&lt;br /&gt;Precio financiado: 3.990€&lt;br /&gt; &lt;br /&gt; &lt;br /&gt;Aceptamos vehículo como parte de pago. Financiación a medida. Se entrega totalmente revisado, con ITV al día, y 12 meses de garantía. Para más información, estaremos encantados de atenderle en nuestras instalaciones en c/ Ciutat de Llíria, Nº 61 en polígono industrial fuente del jarro, paterna. (cerca de Mislata, Burjasot, Llíria, Bétera, Manises).&lt;br /&gt; &lt;br /&gt;Este anuncio es de carácter informativo. Las especificaciones sobre equipamiento, modelo y precio no tienen carácter vinculante, ni puede constituir base de un futuro contrato ya que pueden contener algún error. Consulte con nuestros comerciales la información detallada de este vehículo.&lt;br /&gt;</t>
        </is>
      </c>
      <c r="BV6" s="2" t="inlineStr">
        <is>
          <t>https://www.autoscout24.es/anuncios/opel-corsa-1-3cdti-c-mon-ecoflex-diesel-cat_ma54mo1918-9a094bfd-f634-4d5d-9612-b134882a2a0b (__NEXT_DATA__ listingDetails) /home/user/Alopecia/buscador-coches/raw/autoscout24/1927e479532d8469.json</t>
        </is>
      </c>
      <c r="BW6" s="3">
        <f>MAX(ANIO_ACTUAL-M6,0)</f>
        <v/>
      </c>
      <c r="BX6" s="4">
        <f>N6/MAX(BW6,0.5)</f>
        <v/>
      </c>
      <c r="BY6" s="4">
        <f>F6</f>
        <v/>
      </c>
      <c r="BZ6" s="3">
        <f>BY6&amp;"|"&amp;INT(M6/SEG_ANIO)*SEG_ANIO</f>
        <v/>
      </c>
      <c r="CA6" s="3">
        <f>BZ6&amp;"|"&amp;INT(N6/SEG_KM)*SEG_KM</f>
        <v/>
      </c>
      <c r="CB6" s="4">
        <f>COUNTIF($BY$2:$BY$209,BY6)</f>
        <v/>
      </c>
      <c r="CC6" s="4">
        <f>COUNTIF($BZ$2:$BZ$209,BZ6)</f>
        <v/>
      </c>
      <c r="CD6" s="4">
        <f>COUNTIF($CA$2:$CA$209,CA6)</f>
        <v/>
      </c>
      <c r="CE6" s="3">
        <f t="array" ref="CE6">IF(N(BQ6)&gt;=MIN_N,BP6,IF(CD6&gt;=MIN_N,MEDIAN(IF($CA$2:$CA$209=CA6,$O$2:$O$209)),IF(CC6&gt;=MIN_N,MEDIAN(IF($BZ$2:$BZ$209=BZ6,$O$2:$O$209)),MEDIAN(IF($BY$2:$BY$209=BY6,$O$2:$O$209)))))</f>
        <v/>
      </c>
      <c r="CF6" s="3">
        <f>IF(N(BQ6)&gt;=MIN_N,"mercado "&amp;BR6,IF(CD6&gt;=MIN_N,"modelo+año+km",IF(CC6&gt;=MIN_N,"modelo+año","modelo")))</f>
        <v/>
      </c>
      <c r="CG6" s="4">
        <f>(CE6-O6)/CE6</f>
        <v/>
      </c>
      <c r="CH6" s="3">
        <f>IF(COUNTIFS(FR_FUEL,K6,FR_YEAR,AP6)&gt;0,1,0)</f>
        <v/>
      </c>
      <c r="CI6" s="3">
        <f>IF(COUNTIFS(FR_FUEL,K6,FR_YEAR,AP6-1)&gt;0,1,0)</f>
        <v/>
      </c>
      <c r="CJ6" s="4">
        <f>IF(N(AQ6)&gt;0,AP6*100+AQ6,IF(AND(CH6=1,CI6=1),(AP6-1)*100+1,AP6*100+1))</f>
        <v/>
      </c>
      <c r="CK6" s="3">
        <f>IF(OR(K6="hibrido",K6="glp",K6="gnc",K6="phev"),"ECO",IF(K6="electrico","CERO",IF(K6="gasolina",IF(CJ6&gt;=GAS_C_YM,"C",IF(CJ6&gt;=GAS_B_YM,"B","A")),IF(K6="diesel",IF(CJ6&gt;=DIE_C_YM,"C",IF(CJ6&gt;=DIE_B_YM,"B","A")),""))))</f>
        <v/>
      </c>
      <c r="CL6" s="4">
        <f>CK6</f>
        <v/>
      </c>
      <c r="CM6" s="4">
        <f>IF(AU6="sí","sí",IF(AS6="regla",IF(AND(N(AQ6)=0,CH6=1),"sí","no"),"no"))</f>
        <v/>
      </c>
      <c r="CN6" s="3">
        <f>IFERROR(VLOOKUP(F6,MOD_TBL,16,0),IFERROR(VLOOKUP(E6,OCU_TBL,2,0),NEUTRO))</f>
        <v/>
      </c>
      <c r="CO6" s="3">
        <f>SUMIFS(MOT_AJUSTE,MOT_MOTOR,G6,MOT_MARCA,E6,MOT_DESDE,"&lt;="&amp;M6,MOT_HASTA,"&gt;="&amp;M6)+SUMIFS(MOT_AJUSTE,MOT_MOTOR,G6,MOT_MARCA,"(todas)",MOT_DESDE,"&lt;="&amp;M6,MOT_HASTA,"&gt;="&amp;M6)+SUMIFS(MOT_AJUSTE,MOT_MOTOR,"(cualquiera)",MOT_MARCA,E6,MOT_DESDE,"&lt;="&amp;M6,MOT_HASTA,"&gt;="&amp;M6)</f>
        <v/>
      </c>
      <c r="CP6" s="3">
        <f>SUMIFS(COMB_AJUSTE,COMB_COMB,K6)</f>
        <v/>
      </c>
      <c r="CQ6" s="3">
        <f>COUNTIFS(MOT_MOTOR,G6,MOT_MARCA,E6,MOT_DESDE,"&lt;="&amp;M6,MOT_HASTA,"&gt;="&amp;M6)+COUNTIFS(MOT_MOTOR,G6,MOT_MARCA,"(todas)",MOT_DESDE,"&lt;="&amp;M6,MOT_HASTA,"&gt;="&amp;M6)+COUNTIFS(MOT_MOTOR,"(cualquiera)",MOT_MARCA,E6,MOT_DESDE,"&lt;="&amp;M6,MOT_HASTA,"&gt;="&amp;M6)</f>
        <v/>
      </c>
      <c r="CR6" s="3">
        <f>IF(AND(K6="diesel",CQ6=0),MIN(CN6,NEUTRO),CN6)</f>
        <v/>
      </c>
      <c r="CS6" s="3">
        <f>MAX(0,MIN(100,CR6+CO6+CP6-IF(AX6="sí",ROB_PEN,0)))</f>
        <v/>
      </c>
      <c r="CT6" s="3">
        <f>100-MAX(0,N6-KM_TOPE_DESDE)/1000*KM_TOPE_PTS</f>
        <v/>
      </c>
      <c r="CU6" s="3">
        <f>MAX(0,MIN(100,50+CG6*PRECIO_PEND,CT6))</f>
        <v/>
      </c>
      <c r="CV6" s="3">
        <f>MAX(0,100*(1-N6/KM_MAX))</f>
        <v/>
      </c>
      <c r="CW6" s="3">
        <f>IF(BX6&lt;KMA_SOSP,IF(AA6="sí",100,KMA_PEN),IF(BX6&lt;=KMA_IDEAL_MAX,100,MAX(0,100*(KMA_CERO-BX6)/(KMA_CERO-KMA_IDEAL_MAX))))</f>
        <v/>
      </c>
      <c r="CX6" s="3">
        <f>MAX(0,MIN(100,100*(M6-ANIO_MIN)/(ANIO_ACTUAL-ANIO_MIN)))</f>
        <v/>
      </c>
      <c r="CY6" s="3">
        <f>W_KMT*CV6+W_KMA*CW6+W_EDAD*CX6</f>
        <v/>
      </c>
      <c r="CZ6" s="4">
        <f>E6&amp;"|"&amp;G6</f>
        <v/>
      </c>
      <c r="DA6" s="3">
        <f>IFERROR(VLOOKUP(CZ6,DIST_TBL,2,0),"")</f>
        <v/>
      </c>
      <c r="DB6" s="3">
        <f>E_ITV*(V6="sí")+E_LIBRO*(W6="sí")+E_PROP*IF(Y6=1,1,IF(Y6=2,0.5,0))+E_CORREA*IF(OR(DA6="cadena",AND(X6="sí",BH6="sí")),1,IF(X6="sí",0.5,0))+E_FACT*(BI6="sí")</f>
        <v/>
      </c>
      <c r="DC6" s="3">
        <f>MAX(0,MIN(100,IFERROR(VLOOKUP(CL6,ETQ_TBL,2,0),0)-IF(CM6="sí",ETQ_PEN_DUD,IF(AS6="regla",ETQ_PEN_REGLA,0))))</f>
        <v/>
      </c>
      <c r="DD6" s="3">
        <f>IF(K6&lt;&gt;"gasolina","",IFERROR(VLOOKUP(F6,CONS_MOD_TBL,2,0),IFERROR(VLOOKUP(L6,CONS_SEG_TBL,2,0),"")))</f>
        <v/>
      </c>
      <c r="DE6" s="3">
        <f>IF(DD6="",NEUTRO,MAX(0,MIN(100,100*(CONS_REF_MAX-DD6)/(CONS_REF_MAX-CONS_REF_MIN))))</f>
        <v/>
      </c>
      <c r="DF6" s="3">
        <f>IFERROR(VLOOKUP(L6,SEGURO_TBL,3,0),"")</f>
        <v/>
      </c>
      <c r="DG6" s="3">
        <f>IF(DF6="",NEUTRO,MAX(0,MIN(100,100*(SEG_REF_MAX-DF6)/(SEG_REF_MAX-SEG_REF_MIN))))</f>
        <v/>
      </c>
      <c r="DH6" s="3">
        <f>IFERROR(VLOOKUP(E6,MANT_MARCA_TBL,2,0)+0,NEUTRO)</f>
        <v/>
      </c>
      <c r="DI6" s="3">
        <f>IF(DA6="",NEUTRO,IFERROR(VLOOKUP(DA6,DIST_PTS_TBL,2,0)+0,NEUTRO))</f>
        <v/>
      </c>
      <c r="DJ6" s="4">
        <f>(DH6+DI6)/2</f>
        <v/>
      </c>
      <c r="DK6" s="3">
        <f>W_CONS*DE6+W_SEG*DG6+W_MANT*DJ6</f>
        <v/>
      </c>
      <c r="DL6" s="3">
        <f>IF(N(AB6)&gt;0,AB6,IF(AND(R6="profesional",SG_LEGAL_ON=1),GAR_LEGAL,0))</f>
        <v/>
      </c>
      <c r="DM6" s="3">
        <f>MAX(0,MIN(100,SG_GAR*MIN(1,DL6/SG_GAR_FULL)+SG_AMPL*(AC6="sí")+SG_KMC*(AF6="sí")+SG_REV*(N(AE6)&gt;0)+SG_DEV*MIN(1,N(AG6)/SG_DEV_FULL)+SG_HIST*(W6="sí")-IF(AND(R6="particular",DL6=0),SG_PART_PEN,0)))</f>
        <v/>
      </c>
      <c r="DN6" s="3">
        <f>IF(BK6="",NEUTRO,MAX(0,MIN(100,BK6/5*100)))</f>
        <v/>
      </c>
      <c r="DO6" s="3">
        <f>IF(BL6="sí",100,IF(BL6="no",0,NEUTRO))</f>
        <v/>
      </c>
      <c r="DP6" s="3">
        <f>SV_W_NCAP*DN6+SV_W_ESP*DO6</f>
        <v/>
      </c>
      <c r="DQ6" s="3">
        <f>MAX(0,MIN(100,ATR_BASE+ATR_ACAB*(BD6&lt;&gt;"")+IF(BE6="16+",ATR_LL16,IF(BE6="sí",ATR_LL,0))+ATR_FAROS*(BF6="sí")+ATR_TINT*(BG6="sí")-ATR_CHAPA*(BE6="chapa")))</f>
        <v/>
      </c>
      <c r="DR6" s="3">
        <f>EST_W_MOD*(BB6-1)/4*100+EST_W_ATR*DQ6</f>
        <v/>
      </c>
      <c r="DS6" s="3">
        <f>IF(BA6="",NEUTRO,IFERROR(VLOOKUP(BA6,COLOR_TBL,2,0)+0,NEUTRO))</f>
        <v/>
      </c>
      <c r="DT6" s="3">
        <f>MAX(0,MIN(100,100*N(BM6)/RV_N_FULL))</f>
        <v/>
      </c>
      <c r="DU6" s="3">
        <f>IF(OR(BN6="",N(BO6)&lt;RV_DIAS_MIN),NEUTRO,MAX(0,MIN(100,100*(RV_DIAS_CERO-BN6)/(RV_DIAS_CERO-RV_DIAS_FULL))))</f>
        <v/>
      </c>
      <c r="DV6" s="3">
        <f>RV_W_LIQ*DT6+RV_W_DIAS*DU6+RV_W_ETQ*DC6</f>
        <v/>
      </c>
      <c r="DW6" s="3">
        <f>IFERROR(VLOOKUP(L6,CARR_PEN_TBL,2,0),0)</f>
        <v/>
      </c>
      <c r="DX6" s="3">
        <f>W_FIAB*CS6+W_PRECIO*CU6+W_KMEDAD*CY6+W_ESTADO*DB6+W_USO*DK6+W_SEGURIDAD*DM6+W_SEGVIAL*DP6+W_ESTETICA*DR6+W_COLOR*DS6+W_REVENTA*DV6-DW6-EG6</f>
        <v/>
      </c>
      <c r="DY6" s="4">
        <f>IF(N(I6)&gt;0,I6,IFERROR(ROUND(_xlfn.NUMBERVALUE(LEFT(G6,FIND(" ",G6&amp;" ")-1),".")*1000,0),99999))</f>
        <v/>
      </c>
      <c r="DZ6" s="3">
        <f>IF(R6="profesional",0,IF(O6&lt;CUOTA_VALOR_MAX,IF(BW6&gt;ITP_TRAMO_ALTO,SUMIFS(CF_CUOTA,CF_MAS,ITP_TRAMO_ALTO,CF_CCMIN,"&lt;="&amp;DY6,CF_CCMAX,"&gt;="&amp;DY6),IF(BW6&gt;ITP_TRAMO_BAJO,SUMIFS(CF_CUOTA,CF_MAS,ITP_TRAMO_BAJO,CF_CCMIN,"&lt;="&amp;DY6,CF_CCMAX,"&gt;="&amp;DY6),O6*ITP_TIPO)),O6*ITP_TIPO))</f>
        <v/>
      </c>
      <c r="EA6" s="4">
        <f>IF(R6="profesional",N(AK6),0)</f>
        <v/>
      </c>
      <c r="EB6" s="3">
        <f>IF(AND(R6="profesional",ISNUMBER(AK6),AL6="sí"),0,TASA_DGT)</f>
        <v/>
      </c>
      <c r="EC6" s="3">
        <f>INFORME_DGT</f>
        <v/>
      </c>
      <c r="ED6" s="4">
        <f>O6+EA6+DZ6+EB6+EC6</f>
        <v/>
      </c>
      <c r="EE6" s="4">
        <f>ED6+N(DF6)</f>
        <v/>
      </c>
      <c r="EF6" s="3">
        <f>MAX(0,ED6-TOTAL_MAX)</f>
        <v/>
      </c>
      <c r="EG6" s="3">
        <f>EF6/100*PEN_100</f>
        <v/>
      </c>
      <c r="EH6" s="3">
        <f>IF(R6="particular",ED6+IF(AND(DA6&lt;&gt;"cadena",X6&lt;&gt;"sí"),RES_CORREA,0)+IF(AND(BJ6&lt;&gt;"sí",BW6&gt;=RES_NEUM_EDAD),RES_NEUM,0),"")</f>
        <v/>
      </c>
      <c r="EI6" s="3">
        <f>IF(ED6&lt;=TOTAL_MAX,"sí",IF(ED6&lt;=TECHO,"negociar","no"))</f>
        <v/>
      </c>
      <c r="EJ6" s="4">
        <f>ROUND(DX6,9)</f>
        <v/>
      </c>
      <c r="EK6" s="4">
        <f>IF(EI6&lt;&gt;"no",SUMPRODUCT(($EI$2:$EI$209&lt;&gt;"no")*($EJ$2:$EJ$209&gt;EJ6))+SUMPRODUCT(($EI$2:EI6&lt;&gt;"no")*($EJ$2:EJ6=EJ6)),"")</f>
        <v/>
      </c>
    </row>
    <row r="7">
      <c r="A7" s="2" t="inlineStr">
        <is>
          <t>wallapop:1313427276</t>
        </is>
      </c>
      <c r="B7" s="2" t="inlineStr">
        <is>
          <t>wallapop</t>
        </is>
      </c>
      <c r="C7" s="2" t="inlineStr">
        <is>
          <t>https://es.wallapop.com/item/ford-fiesta-ford-fiesta-1-3-ambiente-1313427276</t>
        </is>
      </c>
      <c r="D7" s="2" t="inlineStr">
        <is>
          <t>Ford Fiesta Ford Fiesta 1.3 Ambiente</t>
        </is>
      </c>
      <c r="E7" s="2" t="inlineStr">
        <is>
          <t>Ford</t>
        </is>
      </c>
      <c r="F7" s="2" t="inlineStr">
        <is>
          <t>Ford Fiesta</t>
        </is>
      </c>
      <c r="G7" s="2" t="inlineStr">
        <is>
          <t>1.3</t>
        </is>
      </c>
      <c r="H7" s="2" t="inlineStr">
        <is>
          <t>Ford Fiesta 1.3 Ambiente</t>
        </is>
      </c>
      <c r="I7" s="2" t="n"/>
      <c r="J7" s="2" t="n">
        <v>70</v>
      </c>
      <c r="K7" s="2" t="inlineStr">
        <is>
          <t>gasolina</t>
        </is>
      </c>
      <c r="L7" s="2" t="inlineStr">
        <is>
          <t>utilitario</t>
        </is>
      </c>
      <c r="M7" s="2" t="n">
        <v>2008</v>
      </c>
      <c r="N7" s="2" t="n">
        <v>82000</v>
      </c>
      <c r="O7" s="2" t="n">
        <v>3500</v>
      </c>
      <c r="P7" s="2" t="inlineStr">
        <is>
          <t>manual</t>
        </is>
      </c>
      <c r="Q7" s="2" t="inlineStr">
        <is>
          <t>no</t>
        </is>
      </c>
      <c r="R7" s="2" t="inlineStr">
        <is>
          <t>profesional</t>
        </is>
      </c>
      <c r="S7" s="2" t="inlineStr">
        <is>
          <t>Manises (46940)</t>
        </is>
      </c>
      <c r="T7" s="2" t="inlineStr">
        <is>
          <t>2026-10-30T18:10:07</t>
        </is>
      </c>
      <c r="U7" s="2" t="n">
        <v>9</v>
      </c>
      <c r="V7" s="2" t="n"/>
      <c r="W7" s="2" t="n"/>
      <c r="X7" s="2" t="n"/>
      <c r="Y7" s="2" t="n"/>
      <c r="Z7" s="2" t="n"/>
      <c r="AA7" s="2" t="n"/>
      <c r="AB7" s="2" t="n"/>
      <c r="AC7" s="2" t="n"/>
      <c r="AD7" s="2" t="n"/>
      <c r="AE7" s="2" t="n"/>
      <c r="AF7" s="2" t="n"/>
      <c r="AG7" s="2" t="n"/>
      <c r="AH7" s="2" t="n"/>
      <c r="AI7" s="2" t="n"/>
      <c r="AJ7" s="2" t="n"/>
      <c r="AK7" s="2" t="n"/>
      <c r="AL7" s="2" t="n"/>
      <c r="AM7" s="2" t="n">
        <v>7.2</v>
      </c>
      <c r="AN7" s="2" t="n"/>
      <c r="AO7" s="2" t="inlineStr">
        <is>
          <t>2008</t>
        </is>
      </c>
      <c r="AP7" s="2" t="n">
        <v>2008</v>
      </c>
      <c r="AQ7" s="2" t="n"/>
      <c r="AR7" s="2" t="n"/>
      <c r="AS7" s="2" t="inlineStr">
        <is>
          <t>regla</t>
        </is>
      </c>
      <c r="AT7" s="2" t="n"/>
      <c r="AU7" s="2" t="inlineStr">
        <is>
          <t>no</t>
        </is>
      </c>
      <c r="AV7" s="2" t="inlineStr">
        <is>
          <t>C</t>
        </is>
      </c>
      <c r="AW7" s="2" t="n"/>
      <c r="AX7" s="2" t="inlineStr">
        <is>
          <t>no</t>
        </is>
      </c>
      <c r="AY7" s="2" t="inlineStr">
        <is>
          <t>no</t>
        </is>
      </c>
      <c r="AZ7" s="2" t="n"/>
      <c r="BA7" s="2" t="n"/>
      <c r="BB7" s="3" t="n">
        <v>2</v>
      </c>
      <c r="BC7" s="3" t="inlineStr">
        <is>
          <t>(por segmento)</t>
        </is>
      </c>
      <c r="BD7" s="2" t="n"/>
      <c r="BE7" s="2" t="n"/>
      <c r="BF7" s="2" t="n"/>
      <c r="BG7" s="2" t="n"/>
      <c r="BH7" s="2" t="n"/>
      <c r="BI7" s="2" t="n"/>
      <c r="BJ7" s="2" t="n"/>
      <c r="BK7" s="2" t="n">
        <v>4</v>
      </c>
      <c r="BL7" s="2" t="inlineStr">
        <is>
          <t>no</t>
        </is>
      </c>
      <c r="BM7" s="2" t="n">
        <v>302</v>
      </c>
      <c r="BN7" s="2" t="n">
        <v>0.07434027781710029</v>
      </c>
      <c r="BO7" s="2" t="n">
        <v>3</v>
      </c>
      <c r="BP7" s="2" t="n">
        <v>3500</v>
      </c>
      <c r="BQ7" s="2" t="n">
        <v>48</v>
      </c>
      <c r="BR7" s="2" t="inlineStr">
        <is>
          <t>modelo+año</t>
        </is>
      </c>
      <c r="BS7" s="2" t="inlineStr">
        <is>
          <t>autoscout24:cb47557d-00cb-449b-8153-e5de1e64bdaf (https://www.autoscout24.es/anuncios/ford-fiesta-1-3-ambiente-gasolina-gris-cat_ma29mo1758-cb47557d-00cb-449b-8153-e5de1e64bdaf)</t>
        </is>
      </c>
      <c r="BT7" s="2" t="inlineStr">
        <is>
          <t>vendedor profesional: sin ITP (operación con IVA/REBU, confirmar en factura); gastos de gestión del vendedor no indicados: se suma la tasa DGT; preguntar el precio final; etiqueta C deducida por fecha (sin matrícula ni dato del anuncio); revisar: no menciona la ITV</t>
        </is>
      </c>
      <c r="BU7" s="2" t="inlineStr">
        <is>
          <t>🔹- con posibilidad de financiar desde 🔹79€ al mes-🤝🚗
🔹-Ford fiesta 2008 
🔹-1.3 60cv gasolina( a cadena)
🔹-82.000 kilómetros 
🔹-se entrega totalmente al día
🔹- 1 año de garantía 
🔺-3.500€🔻
-SE ACEPTA COCHE INFERIOR COMO PARTE DE PAGO!!🤝🚗
-tiktok @eurocochesmanival
-instam eloy_manival 
(Mini,208,Clío,micra,Ibiza,kalos,picanto,i10,i20,Mazda 2,Golf,polo,a3,Leon,Ibiza,i30,Astra,Megane,307)</t>
        </is>
      </c>
      <c r="BV7" s="2" t="inlineStr">
        <is>
          <t>https://es.wallapop.com/item/ford-fiesta-ford-fiesta-1-3-ambiente-1313427276 (__NEXT_DATA__ item) /home/user/Alopecia/buscador-coches/raw/wallapop/564731e59dcd7515.json</t>
        </is>
      </c>
      <c r="BW7" s="3">
        <f>MAX(ANIO_ACTUAL-M7,0)</f>
        <v/>
      </c>
      <c r="BX7" s="4">
        <f>N7/MAX(BW7,0.5)</f>
        <v/>
      </c>
      <c r="BY7" s="4">
        <f>F7</f>
        <v/>
      </c>
      <c r="BZ7" s="3">
        <f>BY7&amp;"|"&amp;INT(M7/SEG_ANIO)*SEG_ANIO</f>
        <v/>
      </c>
      <c r="CA7" s="3">
        <f>BZ7&amp;"|"&amp;INT(N7/SEG_KM)*SEG_KM</f>
        <v/>
      </c>
      <c r="CB7" s="4">
        <f>COUNTIF($BY$2:$BY$209,BY7)</f>
        <v/>
      </c>
      <c r="CC7" s="4">
        <f>COUNTIF($BZ$2:$BZ$209,BZ7)</f>
        <v/>
      </c>
      <c r="CD7" s="4">
        <f>COUNTIF($CA$2:$CA$209,CA7)</f>
        <v/>
      </c>
      <c r="CE7" s="3">
        <f t="array" ref="CE7">IF(N(BQ7)&gt;=MIN_N,BP7,IF(CD7&gt;=MIN_N,MEDIAN(IF($CA$2:$CA$209=CA7,$O$2:$O$209)),IF(CC7&gt;=MIN_N,MEDIAN(IF($BZ$2:$BZ$209=BZ7,$O$2:$O$209)),MEDIAN(IF($BY$2:$BY$209=BY7,$O$2:$O$209)))))</f>
        <v/>
      </c>
      <c r="CF7" s="3">
        <f>IF(N(BQ7)&gt;=MIN_N,"mercado "&amp;BR7,IF(CD7&gt;=MIN_N,"modelo+año+km",IF(CC7&gt;=MIN_N,"modelo+año","modelo")))</f>
        <v/>
      </c>
      <c r="CG7" s="4">
        <f>(CE7-O7)/CE7</f>
        <v/>
      </c>
      <c r="CH7" s="3">
        <f>IF(COUNTIFS(FR_FUEL,K7,FR_YEAR,AP7)&gt;0,1,0)</f>
        <v/>
      </c>
      <c r="CI7" s="3">
        <f>IF(COUNTIFS(FR_FUEL,K7,FR_YEAR,AP7-1)&gt;0,1,0)</f>
        <v/>
      </c>
      <c r="CJ7" s="4">
        <f>IF(N(AQ7)&gt;0,AP7*100+AQ7,IF(AND(CH7=1,CI7=1),(AP7-1)*100+1,AP7*100+1))</f>
        <v/>
      </c>
      <c r="CK7" s="3">
        <f>IF(OR(K7="hibrido",K7="glp",K7="gnc",K7="phev"),"ECO",IF(K7="electrico","CERO",IF(K7="gasolina",IF(CJ7&gt;=GAS_C_YM,"C",IF(CJ7&gt;=GAS_B_YM,"B","A")),IF(K7="diesel",IF(CJ7&gt;=DIE_C_YM,"C",IF(CJ7&gt;=DIE_B_YM,"B","A")),""))))</f>
        <v/>
      </c>
      <c r="CL7" s="4">
        <f>CK7</f>
        <v/>
      </c>
      <c r="CM7" s="4">
        <f>IF(AU7="sí","sí",IF(AS7="regla",IF(AND(N(AQ7)=0,CH7=1),"sí","no"),"no"))</f>
        <v/>
      </c>
      <c r="CN7" s="3">
        <f>IFERROR(VLOOKUP(F7,MOD_TBL,16,0),IFERROR(VLOOKUP(E7,OCU_TBL,2,0),NEUTRO))</f>
        <v/>
      </c>
      <c r="CO7" s="3">
        <f>SUMIFS(MOT_AJUSTE,MOT_MOTOR,G7,MOT_MARCA,E7,MOT_DESDE,"&lt;="&amp;M7,MOT_HASTA,"&gt;="&amp;M7)+SUMIFS(MOT_AJUSTE,MOT_MOTOR,G7,MOT_MARCA,"(todas)",MOT_DESDE,"&lt;="&amp;M7,MOT_HASTA,"&gt;="&amp;M7)+SUMIFS(MOT_AJUSTE,MOT_MOTOR,"(cualquiera)",MOT_MARCA,E7,MOT_DESDE,"&lt;="&amp;M7,MOT_HASTA,"&gt;="&amp;M7)</f>
        <v/>
      </c>
      <c r="CP7" s="3">
        <f>SUMIFS(COMB_AJUSTE,COMB_COMB,K7)</f>
        <v/>
      </c>
      <c r="CQ7" s="3">
        <f>COUNTIFS(MOT_MOTOR,G7,MOT_MARCA,E7,MOT_DESDE,"&lt;="&amp;M7,MOT_HASTA,"&gt;="&amp;M7)+COUNTIFS(MOT_MOTOR,G7,MOT_MARCA,"(todas)",MOT_DESDE,"&lt;="&amp;M7,MOT_HASTA,"&gt;="&amp;M7)+COUNTIFS(MOT_MOTOR,"(cualquiera)",MOT_MARCA,E7,MOT_DESDE,"&lt;="&amp;M7,MOT_HASTA,"&gt;="&amp;M7)</f>
        <v/>
      </c>
      <c r="CR7" s="3">
        <f>IF(AND(K7="diesel",CQ7=0),MIN(CN7,NEUTRO),CN7)</f>
        <v/>
      </c>
      <c r="CS7" s="3">
        <f>MAX(0,MIN(100,CR7+CO7+CP7-IF(AX7="sí",ROB_PEN,0)))</f>
        <v/>
      </c>
      <c r="CT7" s="3">
        <f>100-MAX(0,N7-KM_TOPE_DESDE)/1000*KM_TOPE_PTS</f>
        <v/>
      </c>
      <c r="CU7" s="3">
        <f>MAX(0,MIN(100,50+CG7*PRECIO_PEND,CT7))</f>
        <v/>
      </c>
      <c r="CV7" s="3">
        <f>MAX(0,100*(1-N7/KM_MAX))</f>
        <v/>
      </c>
      <c r="CW7" s="3">
        <f>IF(BX7&lt;KMA_SOSP,IF(AA7="sí",100,KMA_PEN),IF(BX7&lt;=KMA_IDEAL_MAX,100,MAX(0,100*(KMA_CERO-BX7)/(KMA_CERO-KMA_IDEAL_MAX))))</f>
        <v/>
      </c>
      <c r="CX7" s="3">
        <f>MAX(0,MIN(100,100*(M7-ANIO_MIN)/(ANIO_ACTUAL-ANIO_MIN)))</f>
        <v/>
      </c>
      <c r="CY7" s="3">
        <f>W_KMT*CV7+W_KMA*CW7+W_EDAD*CX7</f>
        <v/>
      </c>
      <c r="CZ7" s="4">
        <f>E7&amp;"|"&amp;G7</f>
        <v/>
      </c>
      <c r="DA7" s="3">
        <f>IFERROR(VLOOKUP(CZ7,DIST_TBL,2,0),"")</f>
        <v/>
      </c>
      <c r="DB7" s="3">
        <f>E_ITV*(V7="sí")+E_LIBRO*(W7="sí")+E_PROP*IF(Y7=1,1,IF(Y7=2,0.5,0))+E_CORREA*IF(OR(DA7="cadena",AND(X7="sí",BH7="sí")),1,IF(X7="sí",0.5,0))+E_FACT*(BI7="sí")</f>
        <v/>
      </c>
      <c r="DC7" s="3">
        <f>MAX(0,MIN(100,IFERROR(VLOOKUP(CL7,ETQ_TBL,2,0),0)-IF(CM7="sí",ETQ_PEN_DUD,IF(AS7="regla",ETQ_PEN_REGLA,0))))</f>
        <v/>
      </c>
      <c r="DD7" s="3">
        <f>IF(K7&lt;&gt;"gasolina","",IFERROR(VLOOKUP(F7,CONS_MOD_TBL,2,0),IFERROR(VLOOKUP(L7,CONS_SEG_TBL,2,0),"")))</f>
        <v/>
      </c>
      <c r="DE7" s="3">
        <f>IF(DD7="",NEUTRO,MAX(0,MIN(100,100*(CONS_REF_MAX-DD7)/(CONS_REF_MAX-CONS_REF_MIN))))</f>
        <v/>
      </c>
      <c r="DF7" s="3">
        <f>IFERROR(VLOOKUP(L7,SEGURO_TBL,3,0),"")</f>
        <v/>
      </c>
      <c r="DG7" s="3">
        <f>IF(DF7="",NEUTRO,MAX(0,MIN(100,100*(SEG_REF_MAX-DF7)/(SEG_REF_MAX-SEG_REF_MIN))))</f>
        <v/>
      </c>
      <c r="DH7" s="3">
        <f>IFERROR(VLOOKUP(E7,MANT_MARCA_TBL,2,0)+0,NEUTRO)</f>
        <v/>
      </c>
      <c r="DI7" s="3">
        <f>IF(DA7="",NEUTRO,IFERROR(VLOOKUP(DA7,DIST_PTS_TBL,2,0)+0,NEUTRO))</f>
        <v/>
      </c>
      <c r="DJ7" s="4">
        <f>(DH7+DI7)/2</f>
        <v/>
      </c>
      <c r="DK7" s="3">
        <f>W_CONS*DE7+W_SEG*DG7+W_MANT*DJ7</f>
        <v/>
      </c>
      <c r="DL7" s="3">
        <f>IF(N(AB7)&gt;0,AB7,IF(AND(R7="profesional",SG_LEGAL_ON=1),GAR_LEGAL,0))</f>
        <v/>
      </c>
      <c r="DM7" s="3">
        <f>MAX(0,MIN(100,SG_GAR*MIN(1,DL7/SG_GAR_FULL)+SG_AMPL*(AC7="sí")+SG_KMC*(AF7="sí")+SG_REV*(N(AE7)&gt;0)+SG_DEV*MIN(1,N(AG7)/SG_DEV_FULL)+SG_HIST*(W7="sí")-IF(AND(R7="particular",DL7=0),SG_PART_PEN,0)))</f>
        <v/>
      </c>
      <c r="DN7" s="3">
        <f>IF(BK7="",NEUTRO,MAX(0,MIN(100,BK7/5*100)))</f>
        <v/>
      </c>
      <c r="DO7" s="3">
        <f>IF(BL7="sí",100,IF(BL7="no",0,NEUTRO))</f>
        <v/>
      </c>
      <c r="DP7" s="3">
        <f>SV_W_NCAP*DN7+SV_W_ESP*DO7</f>
        <v/>
      </c>
      <c r="DQ7" s="3">
        <f>MAX(0,MIN(100,ATR_BASE+ATR_ACAB*(BD7&lt;&gt;"")+IF(BE7="16+",ATR_LL16,IF(BE7="sí",ATR_LL,0))+ATR_FAROS*(BF7="sí")+ATR_TINT*(BG7="sí")-ATR_CHAPA*(BE7="chapa")))</f>
        <v/>
      </c>
      <c r="DR7" s="3">
        <f>EST_W_MOD*(BB7-1)/4*100+EST_W_ATR*DQ7</f>
        <v/>
      </c>
      <c r="DS7" s="3">
        <f>IF(BA7="",NEUTRO,IFERROR(VLOOKUP(BA7,COLOR_TBL,2,0)+0,NEUTRO))</f>
        <v/>
      </c>
      <c r="DT7" s="3">
        <f>MAX(0,MIN(100,100*N(BM7)/RV_N_FULL))</f>
        <v/>
      </c>
      <c r="DU7" s="3">
        <f>IF(OR(BN7="",N(BO7)&lt;RV_DIAS_MIN),NEUTRO,MAX(0,MIN(100,100*(RV_DIAS_CERO-BN7)/(RV_DIAS_CERO-RV_DIAS_FULL))))</f>
        <v/>
      </c>
      <c r="DV7" s="3">
        <f>RV_W_LIQ*DT7+RV_W_DIAS*DU7+RV_W_ETQ*DC7</f>
        <v/>
      </c>
      <c r="DW7" s="3">
        <f>IFERROR(VLOOKUP(L7,CARR_PEN_TBL,2,0),0)</f>
        <v/>
      </c>
      <c r="DX7" s="3">
        <f>W_FIAB*CS7+W_PRECIO*CU7+W_KMEDAD*CY7+W_ESTADO*DB7+W_USO*DK7+W_SEGURIDAD*DM7+W_SEGVIAL*DP7+W_ESTETICA*DR7+W_COLOR*DS7+W_REVENTA*DV7-DW7-EG7</f>
        <v/>
      </c>
      <c r="DY7" s="4">
        <f>IF(N(I7)&gt;0,I7,IFERROR(ROUND(_xlfn.NUMBERVALUE(LEFT(G7,FIND(" ",G7&amp;" ")-1),".")*1000,0),99999))</f>
        <v/>
      </c>
      <c r="DZ7" s="3">
        <f>IF(R7="profesional",0,IF(O7&lt;CUOTA_VALOR_MAX,IF(BW7&gt;ITP_TRAMO_ALTO,SUMIFS(CF_CUOTA,CF_MAS,ITP_TRAMO_ALTO,CF_CCMIN,"&lt;="&amp;DY7,CF_CCMAX,"&gt;="&amp;DY7),IF(BW7&gt;ITP_TRAMO_BAJO,SUMIFS(CF_CUOTA,CF_MAS,ITP_TRAMO_BAJO,CF_CCMIN,"&lt;="&amp;DY7,CF_CCMAX,"&gt;="&amp;DY7),O7*ITP_TIPO)),O7*ITP_TIPO))</f>
        <v/>
      </c>
      <c r="EA7" s="4">
        <f>IF(R7="profesional",N(AK7),0)</f>
        <v/>
      </c>
      <c r="EB7" s="3">
        <f>IF(AND(R7="profesional",ISNUMBER(AK7),AL7="sí"),0,TASA_DGT)</f>
        <v/>
      </c>
      <c r="EC7" s="3">
        <f>INFORME_DGT</f>
        <v/>
      </c>
      <c r="ED7" s="4">
        <f>O7+EA7+DZ7+EB7+EC7</f>
        <v/>
      </c>
      <c r="EE7" s="4">
        <f>ED7+N(DF7)</f>
        <v/>
      </c>
      <c r="EF7" s="3">
        <f>MAX(0,ED7-TOTAL_MAX)</f>
        <v/>
      </c>
      <c r="EG7" s="3">
        <f>EF7/100*PEN_100</f>
        <v/>
      </c>
      <c r="EH7" s="3">
        <f>IF(R7="particular",ED7+IF(AND(DA7&lt;&gt;"cadena",X7&lt;&gt;"sí"),RES_CORREA,0)+IF(AND(BJ7&lt;&gt;"sí",BW7&gt;=RES_NEUM_EDAD),RES_NEUM,0),"")</f>
        <v/>
      </c>
      <c r="EI7" s="3">
        <f>IF(ED7&lt;=TOTAL_MAX,"sí",IF(ED7&lt;=TECHO,"negociar","no"))</f>
        <v/>
      </c>
      <c r="EJ7" s="4">
        <f>ROUND(DX7,9)</f>
        <v/>
      </c>
      <c r="EK7" s="4">
        <f>IF(EI7&lt;&gt;"no",SUMPRODUCT(($EI$2:$EI$209&lt;&gt;"no")*($EJ$2:$EJ$209&gt;EJ7))+SUMPRODUCT(($EI$2:EI7&lt;&gt;"no")*($EJ$2:EJ7=EJ7)),"")</f>
        <v/>
      </c>
    </row>
    <row r="8">
      <c r="A8" s="2" t="inlineStr">
        <is>
          <t>autoscout24:5df9bdd9-27ce-4647-b70f-976633b13f7a</t>
        </is>
      </c>
      <c r="B8" s="2" t="inlineStr">
        <is>
          <t>autoscout24</t>
        </is>
      </c>
      <c r="C8" s="2" t="inlineStr">
        <is>
          <t>https://www.autoscout24.es/anuncios/chevrolet-aveo-sedan-1-4-16v-lt-gasolina-gris-cat_ma19mo18685-5df9bdd9-27ce-4647-b70f-976633b13f7a</t>
        </is>
      </c>
      <c r="D8" s="2" t="inlineStr">
        <is>
          <t>Chevrolet Aveo Sedán 1.4 16v LT</t>
        </is>
      </c>
      <c r="E8" s="2" t="inlineStr">
        <is>
          <t>Chevrolet</t>
        </is>
      </c>
      <c r="F8" s="2" t="inlineStr">
        <is>
          <t>Chevrolet Aveo</t>
        </is>
      </c>
      <c r="G8" s="2" t="inlineStr">
        <is>
          <t>1.4</t>
        </is>
      </c>
      <c r="H8" s="2" t="inlineStr">
        <is>
          <t>Sedán 1.4 16v LT 1.4</t>
        </is>
      </c>
      <c r="I8" s="2" t="n">
        <v>1399</v>
      </c>
      <c r="J8" s="2" t="n">
        <v>94</v>
      </c>
      <c r="K8" s="2" t="inlineStr">
        <is>
          <t>gasolina</t>
        </is>
      </c>
      <c r="L8" s="2" t="inlineStr">
        <is>
          <t>berlina</t>
        </is>
      </c>
      <c r="M8" s="2" t="n">
        <v>2008</v>
      </c>
      <c r="N8" s="2" t="n">
        <v>138000</v>
      </c>
      <c r="O8" s="2" t="n">
        <v>3990</v>
      </c>
      <c r="P8" s="2" t="inlineStr">
        <is>
          <t>manual</t>
        </is>
      </c>
      <c r="Q8" s="2" t="inlineStr">
        <is>
          <t>no</t>
        </is>
      </c>
      <c r="R8" s="2" t="inlineStr">
        <is>
          <t>profesional</t>
        </is>
      </c>
      <c r="S8" s="2" t="inlineStr">
        <is>
          <t>SAGA VEHICULOS — MASSANASSA (46470)</t>
        </is>
      </c>
      <c r="T8" s="2" t="n"/>
      <c r="U8" s="2" t="n">
        <v>26</v>
      </c>
      <c r="V8" s="2" t="n"/>
      <c r="W8" s="2" t="n"/>
      <c r="X8" s="2" t="n"/>
      <c r="Y8" s="2" t="n"/>
      <c r="Z8" s="2" t="inlineStr">
        <is>
          <t>sí</t>
        </is>
      </c>
      <c r="AA8" s="2" t="n"/>
      <c r="AB8" s="2" t="n">
        <v>12</v>
      </c>
      <c r="AC8" s="2" t="inlineStr">
        <is>
          <t>sí</t>
        </is>
      </c>
      <c r="AD8" s="2" t="n"/>
      <c r="AE8" s="2" t="n"/>
      <c r="AF8" s="2" t="n"/>
      <c r="AG8" s="2" t="n"/>
      <c r="AH8" s="2" t="n"/>
      <c r="AI8" s="2" t="n"/>
      <c r="AJ8" s="2" t="n"/>
      <c r="AK8" s="2" t="n">
        <v>350</v>
      </c>
      <c r="AL8" s="2" t="inlineStr">
        <is>
          <t>no</t>
        </is>
      </c>
      <c r="AM8" s="2" t="n">
        <v>7.1</v>
      </c>
      <c r="AN8" s="2" t="n"/>
      <c r="AO8" s="2" t="inlineStr">
        <is>
          <t>2008-10</t>
        </is>
      </c>
      <c r="AP8" s="2" t="n">
        <v>2008</v>
      </c>
      <c r="AQ8" s="2" t="n">
        <v>10</v>
      </c>
      <c r="AR8" s="2" t="n"/>
      <c r="AS8" s="2" t="inlineStr">
        <is>
          <t>regla</t>
        </is>
      </c>
      <c r="AT8" s="2" t="n"/>
      <c r="AU8" s="2" t="inlineStr">
        <is>
          <t>no</t>
        </is>
      </c>
      <c r="AV8" s="2" t="inlineStr">
        <is>
          <t>C</t>
        </is>
      </c>
      <c r="AW8" s="2" t="n"/>
      <c r="AX8" s="2" t="inlineStr">
        <is>
          <t>no</t>
        </is>
      </c>
      <c r="AY8" s="2" t="inlineStr">
        <is>
          <t>no</t>
        </is>
      </c>
      <c r="AZ8" s="2" t="inlineStr">
        <is>
          <t>Gris</t>
        </is>
      </c>
      <c r="BA8" s="2" t="inlineStr">
        <is>
          <t>gris_medio</t>
        </is>
      </c>
      <c r="BB8" s="3" t="n">
        <v>3</v>
      </c>
      <c r="BC8" s="3" t="inlineStr">
        <is>
          <t>(por segmento)</t>
        </is>
      </c>
      <c r="BD8" s="2" t="n"/>
      <c r="BE8" s="2" t="n"/>
      <c r="BF8" s="2" t="n"/>
      <c r="BG8" s="2" t="n"/>
      <c r="BH8" s="2" t="n"/>
      <c r="BI8" s="2" t="n"/>
      <c r="BJ8" s="2" t="n"/>
      <c r="BK8" s="2" t="n">
        <v>2</v>
      </c>
      <c r="BL8" s="2" t="inlineStr">
        <is>
          <t>no</t>
        </is>
      </c>
      <c r="BM8" s="2" t="n">
        <v>27</v>
      </c>
      <c r="BN8" s="2" t="n"/>
      <c r="BO8" s="2" t="n">
        <v>0</v>
      </c>
      <c r="BP8" s="2" t="n">
        <v>3990</v>
      </c>
      <c r="BQ8" s="2" t="n">
        <v>4</v>
      </c>
      <c r="BR8" s="2" t="inlineStr">
        <is>
          <t>modelo+año+km</t>
        </is>
      </c>
      <c r="BS8" s="2" t="inlineStr">
        <is>
          <t>cochesnet:71651301 (https://www.coches.net/chevrolet-aveo-14-16v-lt-4p-gasolina-2008-en-valencia-71651301-covo.aspx)</t>
        </is>
      </c>
      <c r="BT8" s="2" t="inlineStr">
        <is>
          <t>vendedor profesional: sin ITP (operación con IVA/REBU, confirmar en factura); gastos del vendedor sin indicar si incluyen la transferencia: se suma la tasa DGT; etiqueta C deducida por fecha (sin matrícula ni dato del anuncio); revisar: no menciona la ITV; fiabilidad del modelo PENDIENTE de fuente (puntuación neutra)</t>
        </is>
      </c>
      <c r="BU8" s="2" t="inlineStr">
        <is>
          <t>Chevrolet Aveo LT 1.4 E-TEC ll, 95CV, Gasolina, vehículo muy bien cuidado.&lt;br /&gt;Más de 100 coches en stock, Por favor llámenos para más información, atendemos SOLO CON CITA PREVIA. Gracias!!!!&lt;br /&gt;Financiacíon de hasta el 100% del vehículo!&lt;br /&gt;Gestión documental no incluido 350€ &lt;br /&gt;Garantía Premium 12 Meses con cobertura a nivel nacional 399€&lt;br /&gt;Saga Vehículos, estamos en C/ Motor Sant Agustí, 41, 46470 Massanassa, Valencia.&lt;br /&gt;Horario: De lunes a viernes de 10:00 a 14:00 y de 16:00 a 19:00.&lt;br /&gt;Sabado de 10:00 a 14:00.&lt;br /&gt;- Aire acondicionado &lt;br /&gt;- Dirección asistida&lt;br /&gt;- Frenos ABS/EBD&lt;br /&gt;- Airbags&lt;br /&gt;- Ordenador abordo&lt;br /&gt;- Android Auto / Apple CarPlay &lt;br /&gt;- Sistema multimedia Bluetooth&lt;br /&gt;- GPS navegación &lt;br /&gt;- Camara trasera &lt;br /&gt;- Llaves presencial con mandos a distancia y mucho mas....&lt;br /&gt;Este anuncio no es vinculante, se muestra a titulo informativo y no contractual.&lt;br /&gt;&lt;br /&gt;&lt;br /&gt;&lt;br /&gt; &lt;strong&gt;Extras&lt;/strong&gt; &lt;br /&gt; &lt;strong&gt;Equipamiento destacado seleccionado por el usuario&lt;/strong&gt; &lt;br /&gt; &lt;br /&gt;- Pintura metalizada&lt;br /&gt;</t>
        </is>
      </c>
      <c r="BV8" s="2" t="inlineStr">
        <is>
          <t>https://www.autoscout24.es/anuncios/chevrolet-aveo-sedan-1-4-16v-lt-gasolina-gris-cat_ma19mo18685-5df9bdd9-27ce-4647-b70f-976633b13f7a (__NEXT_DATA__ listingDetails) /home/user/Alopecia/buscador-coches/raw/autoscout24/b2dc71ccfcad6c3c.json</t>
        </is>
      </c>
      <c r="BW8" s="3">
        <f>MAX(ANIO_ACTUAL-M8,0)</f>
        <v/>
      </c>
      <c r="BX8" s="4">
        <f>N8/MAX(BW8,0.5)</f>
        <v/>
      </c>
      <c r="BY8" s="4">
        <f>F8</f>
        <v/>
      </c>
      <c r="BZ8" s="3">
        <f>BY8&amp;"|"&amp;INT(M8/SEG_ANIO)*SEG_ANIO</f>
        <v/>
      </c>
      <c r="CA8" s="3">
        <f>BZ8&amp;"|"&amp;INT(N8/SEG_KM)*SEG_KM</f>
        <v/>
      </c>
      <c r="CB8" s="4">
        <f>COUNTIF($BY$2:$BY$209,BY8)</f>
        <v/>
      </c>
      <c r="CC8" s="4">
        <f>COUNTIF($BZ$2:$BZ$209,BZ8)</f>
        <v/>
      </c>
      <c r="CD8" s="4">
        <f>COUNTIF($CA$2:$CA$209,CA8)</f>
        <v/>
      </c>
      <c r="CE8" s="3">
        <f t="array" ref="CE8">IF(N(BQ8)&gt;=MIN_N,BP8,IF(CD8&gt;=MIN_N,MEDIAN(IF($CA$2:$CA$209=CA8,$O$2:$O$209)),IF(CC8&gt;=MIN_N,MEDIAN(IF($BZ$2:$BZ$209=BZ8,$O$2:$O$209)),MEDIAN(IF($BY$2:$BY$209=BY8,$O$2:$O$209)))))</f>
        <v/>
      </c>
      <c r="CF8" s="3">
        <f>IF(N(BQ8)&gt;=MIN_N,"mercado "&amp;BR8,IF(CD8&gt;=MIN_N,"modelo+año+km",IF(CC8&gt;=MIN_N,"modelo+año","modelo")))</f>
        <v/>
      </c>
      <c r="CG8" s="4">
        <f>(CE8-O8)/CE8</f>
        <v/>
      </c>
      <c r="CH8" s="3">
        <f>IF(COUNTIFS(FR_FUEL,K8,FR_YEAR,AP8)&gt;0,1,0)</f>
        <v/>
      </c>
      <c r="CI8" s="3">
        <f>IF(COUNTIFS(FR_FUEL,K8,FR_YEAR,AP8-1)&gt;0,1,0)</f>
        <v/>
      </c>
      <c r="CJ8" s="4">
        <f>IF(N(AQ8)&gt;0,AP8*100+AQ8,IF(AND(CH8=1,CI8=1),(AP8-1)*100+1,AP8*100+1))</f>
        <v/>
      </c>
      <c r="CK8" s="3">
        <f>IF(OR(K8="hibrido",K8="glp",K8="gnc",K8="phev"),"ECO",IF(K8="electrico","CERO",IF(K8="gasolina",IF(CJ8&gt;=GAS_C_YM,"C",IF(CJ8&gt;=GAS_B_YM,"B","A")),IF(K8="diesel",IF(CJ8&gt;=DIE_C_YM,"C",IF(CJ8&gt;=DIE_B_YM,"B","A")),""))))</f>
        <v/>
      </c>
      <c r="CL8" s="4">
        <f>CK8</f>
        <v/>
      </c>
      <c r="CM8" s="4">
        <f>IF(AU8="sí","sí",IF(AS8="regla",IF(AND(N(AQ8)=0,CH8=1),"sí","no"),"no"))</f>
        <v/>
      </c>
      <c r="CN8" s="3">
        <f>IFERROR(VLOOKUP(F8,MOD_TBL,16,0),IFERROR(VLOOKUP(E8,OCU_TBL,2,0),NEUTRO))</f>
        <v/>
      </c>
      <c r="CO8" s="3">
        <f>SUMIFS(MOT_AJUSTE,MOT_MOTOR,G8,MOT_MARCA,E8,MOT_DESDE,"&lt;="&amp;M8,MOT_HASTA,"&gt;="&amp;M8)+SUMIFS(MOT_AJUSTE,MOT_MOTOR,G8,MOT_MARCA,"(todas)",MOT_DESDE,"&lt;="&amp;M8,MOT_HASTA,"&gt;="&amp;M8)+SUMIFS(MOT_AJUSTE,MOT_MOTOR,"(cualquiera)",MOT_MARCA,E8,MOT_DESDE,"&lt;="&amp;M8,MOT_HASTA,"&gt;="&amp;M8)</f>
        <v/>
      </c>
      <c r="CP8" s="3">
        <f>SUMIFS(COMB_AJUSTE,COMB_COMB,K8)</f>
        <v/>
      </c>
      <c r="CQ8" s="3">
        <f>COUNTIFS(MOT_MOTOR,G8,MOT_MARCA,E8,MOT_DESDE,"&lt;="&amp;M8,MOT_HASTA,"&gt;="&amp;M8)+COUNTIFS(MOT_MOTOR,G8,MOT_MARCA,"(todas)",MOT_DESDE,"&lt;="&amp;M8,MOT_HASTA,"&gt;="&amp;M8)+COUNTIFS(MOT_MOTOR,"(cualquiera)",MOT_MARCA,E8,MOT_DESDE,"&lt;="&amp;M8,MOT_HASTA,"&gt;="&amp;M8)</f>
        <v/>
      </c>
      <c r="CR8" s="3">
        <f>IF(AND(K8="diesel",CQ8=0),MIN(CN8,NEUTRO),CN8)</f>
        <v/>
      </c>
      <c r="CS8" s="3">
        <f>MAX(0,MIN(100,CR8+CO8+CP8-IF(AX8="sí",ROB_PEN,0)))</f>
        <v/>
      </c>
      <c r="CT8" s="3">
        <f>100-MAX(0,N8-KM_TOPE_DESDE)/1000*KM_TOPE_PTS</f>
        <v/>
      </c>
      <c r="CU8" s="3">
        <f>MAX(0,MIN(100,50+CG8*PRECIO_PEND,CT8))</f>
        <v/>
      </c>
      <c r="CV8" s="3">
        <f>MAX(0,100*(1-N8/KM_MAX))</f>
        <v/>
      </c>
      <c r="CW8" s="3">
        <f>IF(BX8&lt;KMA_SOSP,IF(AA8="sí",100,KMA_PEN),IF(BX8&lt;=KMA_IDEAL_MAX,100,MAX(0,100*(KMA_CERO-BX8)/(KMA_CERO-KMA_IDEAL_MAX))))</f>
        <v/>
      </c>
      <c r="CX8" s="3">
        <f>MAX(0,MIN(100,100*(M8-ANIO_MIN)/(ANIO_ACTUAL-ANIO_MIN)))</f>
        <v/>
      </c>
      <c r="CY8" s="3">
        <f>W_KMT*CV8+W_KMA*CW8+W_EDAD*CX8</f>
        <v/>
      </c>
      <c r="CZ8" s="4">
        <f>E8&amp;"|"&amp;G8</f>
        <v/>
      </c>
      <c r="DA8" s="3">
        <f>IFERROR(VLOOKUP(CZ8,DIST_TBL,2,0),"")</f>
        <v/>
      </c>
      <c r="DB8" s="3">
        <f>E_ITV*(V8="sí")+E_LIBRO*(W8="sí")+E_PROP*IF(Y8=1,1,IF(Y8=2,0.5,0))+E_CORREA*IF(OR(DA8="cadena",AND(X8="sí",BH8="sí")),1,IF(X8="sí",0.5,0))+E_FACT*(BI8="sí")</f>
        <v/>
      </c>
      <c r="DC8" s="3">
        <f>MAX(0,MIN(100,IFERROR(VLOOKUP(CL8,ETQ_TBL,2,0),0)-IF(CM8="sí",ETQ_PEN_DUD,IF(AS8="regla",ETQ_PEN_REGLA,0))))</f>
        <v/>
      </c>
      <c r="DD8" s="3">
        <f>IF(K8&lt;&gt;"gasolina","",IFERROR(VLOOKUP(F8,CONS_MOD_TBL,2,0),IFERROR(VLOOKUP(L8,CONS_SEG_TBL,2,0),"")))</f>
        <v/>
      </c>
      <c r="DE8" s="3">
        <f>IF(DD8="",NEUTRO,MAX(0,MIN(100,100*(CONS_REF_MAX-DD8)/(CONS_REF_MAX-CONS_REF_MIN))))</f>
        <v/>
      </c>
      <c r="DF8" s="3">
        <f>IFERROR(VLOOKUP(L8,SEGURO_TBL,3,0),"")</f>
        <v/>
      </c>
      <c r="DG8" s="3">
        <f>IF(DF8="",NEUTRO,MAX(0,MIN(100,100*(SEG_REF_MAX-DF8)/(SEG_REF_MAX-SEG_REF_MIN))))</f>
        <v/>
      </c>
      <c r="DH8" s="3">
        <f>IFERROR(VLOOKUP(E8,MANT_MARCA_TBL,2,0)+0,NEUTRO)</f>
        <v/>
      </c>
      <c r="DI8" s="3">
        <f>IF(DA8="",NEUTRO,IFERROR(VLOOKUP(DA8,DIST_PTS_TBL,2,0)+0,NEUTRO))</f>
        <v/>
      </c>
      <c r="DJ8" s="4">
        <f>(DH8+DI8)/2</f>
        <v/>
      </c>
      <c r="DK8" s="3">
        <f>W_CONS*DE8+W_SEG*DG8+W_MANT*DJ8</f>
        <v/>
      </c>
      <c r="DL8" s="3">
        <f>IF(N(AB8)&gt;0,AB8,IF(AND(R8="profesional",SG_LEGAL_ON=1),GAR_LEGAL,0))</f>
        <v/>
      </c>
      <c r="DM8" s="3">
        <f>MAX(0,MIN(100,SG_GAR*MIN(1,DL8/SG_GAR_FULL)+SG_AMPL*(AC8="sí")+SG_KMC*(AF8="sí")+SG_REV*(N(AE8)&gt;0)+SG_DEV*MIN(1,N(AG8)/SG_DEV_FULL)+SG_HIST*(W8="sí")-IF(AND(R8="particular",DL8=0),SG_PART_PEN,0)))</f>
        <v/>
      </c>
      <c r="DN8" s="3">
        <f>IF(BK8="",NEUTRO,MAX(0,MIN(100,BK8/5*100)))</f>
        <v/>
      </c>
      <c r="DO8" s="3">
        <f>IF(BL8="sí",100,IF(BL8="no",0,NEUTRO))</f>
        <v/>
      </c>
      <c r="DP8" s="3">
        <f>SV_W_NCAP*DN8+SV_W_ESP*DO8</f>
        <v/>
      </c>
      <c r="DQ8" s="3">
        <f>MAX(0,MIN(100,ATR_BASE+ATR_ACAB*(BD8&lt;&gt;"")+IF(BE8="16+",ATR_LL16,IF(BE8="sí",ATR_LL,0))+ATR_FAROS*(BF8="sí")+ATR_TINT*(BG8="sí")-ATR_CHAPA*(BE8="chapa")))</f>
        <v/>
      </c>
      <c r="DR8" s="3">
        <f>EST_W_MOD*(BB8-1)/4*100+EST_W_ATR*DQ8</f>
        <v/>
      </c>
      <c r="DS8" s="3">
        <f>IF(BA8="",NEUTRO,IFERROR(VLOOKUP(BA8,COLOR_TBL,2,0)+0,NEUTRO))</f>
        <v/>
      </c>
      <c r="DT8" s="3">
        <f>MAX(0,MIN(100,100*N(BM8)/RV_N_FULL))</f>
        <v/>
      </c>
      <c r="DU8" s="3">
        <f>IF(OR(BN8="",N(BO8)&lt;RV_DIAS_MIN),NEUTRO,MAX(0,MIN(100,100*(RV_DIAS_CERO-BN8)/(RV_DIAS_CERO-RV_DIAS_FULL))))</f>
        <v/>
      </c>
      <c r="DV8" s="3">
        <f>RV_W_LIQ*DT8+RV_W_DIAS*DU8+RV_W_ETQ*DC8</f>
        <v/>
      </c>
      <c r="DW8" s="3">
        <f>IFERROR(VLOOKUP(L8,CARR_PEN_TBL,2,0),0)</f>
        <v/>
      </c>
      <c r="DX8" s="3">
        <f>W_FIAB*CS8+W_PRECIO*CU8+W_KMEDAD*CY8+W_ESTADO*DB8+W_USO*DK8+W_SEGURIDAD*DM8+W_SEGVIAL*DP8+W_ESTETICA*DR8+W_COLOR*DS8+W_REVENTA*DV8-DW8-EG8</f>
        <v/>
      </c>
      <c r="DY8" s="4">
        <f>IF(N(I8)&gt;0,I8,IFERROR(ROUND(_xlfn.NUMBERVALUE(LEFT(G8,FIND(" ",G8&amp;" ")-1),".")*1000,0),99999))</f>
        <v/>
      </c>
      <c r="DZ8" s="3">
        <f>IF(R8="profesional",0,IF(O8&lt;CUOTA_VALOR_MAX,IF(BW8&gt;ITP_TRAMO_ALTO,SUMIFS(CF_CUOTA,CF_MAS,ITP_TRAMO_ALTO,CF_CCMIN,"&lt;="&amp;DY8,CF_CCMAX,"&gt;="&amp;DY8),IF(BW8&gt;ITP_TRAMO_BAJO,SUMIFS(CF_CUOTA,CF_MAS,ITP_TRAMO_BAJO,CF_CCMIN,"&lt;="&amp;DY8,CF_CCMAX,"&gt;="&amp;DY8),O8*ITP_TIPO)),O8*ITP_TIPO))</f>
        <v/>
      </c>
      <c r="EA8" s="4">
        <f>IF(R8="profesional",N(AK8),0)</f>
        <v/>
      </c>
      <c r="EB8" s="3">
        <f>IF(AND(R8="profesional",ISNUMBER(AK8),AL8="sí"),0,TASA_DGT)</f>
        <v/>
      </c>
      <c r="EC8" s="3">
        <f>INFORME_DGT</f>
        <v/>
      </c>
      <c r="ED8" s="4">
        <f>O8+EA8+DZ8+EB8+EC8</f>
        <v/>
      </c>
      <c r="EE8" s="4">
        <f>ED8+N(DF8)</f>
        <v/>
      </c>
      <c r="EF8" s="3">
        <f>MAX(0,ED8-TOTAL_MAX)</f>
        <v/>
      </c>
      <c r="EG8" s="3">
        <f>EF8/100*PEN_100</f>
        <v/>
      </c>
      <c r="EH8" s="3">
        <f>IF(R8="particular",ED8+IF(AND(DA8&lt;&gt;"cadena",X8&lt;&gt;"sí"),RES_CORREA,0)+IF(AND(BJ8&lt;&gt;"sí",BW8&gt;=RES_NEUM_EDAD),RES_NEUM,0),"")</f>
        <v/>
      </c>
      <c r="EI8" s="3">
        <f>IF(ED8&lt;=TOTAL_MAX,"sí",IF(ED8&lt;=TECHO,"negociar","no"))</f>
        <v/>
      </c>
      <c r="EJ8" s="4">
        <f>ROUND(DX8,9)</f>
        <v/>
      </c>
      <c r="EK8" s="4">
        <f>IF(EI8&lt;&gt;"no",SUMPRODUCT(($EI$2:$EI$209&lt;&gt;"no")*($EJ$2:$EJ$209&gt;EJ8))+SUMPRODUCT(($EI$2:EI8&lt;&gt;"no")*($EJ$2:EJ8=EJ8)),"")</f>
        <v/>
      </c>
    </row>
    <row r="9">
      <c r="A9" s="2" t="inlineStr">
        <is>
          <t>cochesnet:71265682</t>
        </is>
      </c>
      <c r="B9" s="2" t="inlineStr">
        <is>
          <t>cochesnet</t>
        </is>
      </c>
      <c r="C9" s="2" t="inlineStr">
        <is>
          <t>https://www.coches.net/mazda-mazda2-active-14-crtd-5p-diesel-2007-en-valencia-71265682-covo.aspx</t>
        </is>
      </c>
      <c r="D9" s="2" t="inlineStr">
        <is>
          <t>MAZDA Mazda2 Active 1.4 CRTD</t>
        </is>
      </c>
      <c r="E9" s="2" t="inlineStr">
        <is>
          <t>Mazda</t>
        </is>
      </c>
      <c r="F9" s="2" t="inlineStr">
        <is>
          <t>Mazda 2</t>
        </is>
      </c>
      <c r="G9" s="2" t="inlineStr">
        <is>
          <t>1.4</t>
        </is>
      </c>
      <c r="H9" s="2" t="inlineStr">
        <is>
          <t>Active 1.4 CRTD</t>
        </is>
      </c>
      <c r="I9" s="2" t="n"/>
      <c r="J9" s="2" t="n"/>
      <c r="K9" s="2" t="inlineStr">
        <is>
          <t>diesel</t>
        </is>
      </c>
      <c r="L9" s="2" t="inlineStr">
        <is>
          <t>utilitario</t>
        </is>
      </c>
      <c r="M9" s="2" t="n">
        <v>2008</v>
      </c>
      <c r="N9" s="2" t="n">
        <v>145000</v>
      </c>
      <c r="O9" s="2" t="n">
        <v>4500</v>
      </c>
      <c r="P9" s="2" t="inlineStr">
        <is>
          <t>manual</t>
        </is>
      </c>
      <c r="Q9" s="2" t="inlineStr">
        <is>
          <t>no</t>
        </is>
      </c>
      <c r="R9" s="2" t="inlineStr">
        <is>
          <t>profesional</t>
        </is>
      </c>
      <c r="S9" s="2" t="inlineStr">
        <is>
          <t>Beniparrell</t>
        </is>
      </c>
      <c r="T9" s="2" t="inlineStr">
        <is>
          <t>2026-08-10T16:34:09Z</t>
        </is>
      </c>
      <c r="U9" s="2" t="n">
        <v>13</v>
      </c>
      <c r="V9" s="2" t="n"/>
      <c r="W9" s="2" t="n"/>
      <c r="X9" s="2" t="n"/>
      <c r="Y9" s="2" t="n"/>
      <c r="Z9" s="2" t="inlineStr">
        <is>
          <t>sí</t>
        </is>
      </c>
      <c r="AA9" s="2" t="n"/>
      <c r="AB9" s="2" t="n">
        <v>12</v>
      </c>
      <c r="AC9" s="2" t="n"/>
      <c r="AD9" s="2" t="n"/>
      <c r="AE9" s="2" t="n"/>
      <c r="AF9" s="2" t="n"/>
      <c r="AG9" s="2" t="n"/>
      <c r="AH9" s="2" t="n">
        <v>4500</v>
      </c>
      <c r="AI9" s="2" t="n"/>
      <c r="AJ9" s="2" t="n"/>
      <c r="AK9" s="2" t="n"/>
      <c r="AL9" s="2" t="n"/>
      <c r="AM9" s="2" t="n">
        <v>10.2</v>
      </c>
      <c r="AN9" s="2" t="n"/>
      <c r="AO9" s="2" t="inlineStr">
        <is>
          <t>2008</t>
        </is>
      </c>
      <c r="AP9" s="2" t="n">
        <v>2008</v>
      </c>
      <c r="AQ9" s="2" t="n"/>
      <c r="AR9" s="2" t="inlineStr">
        <is>
          <t>B</t>
        </is>
      </c>
      <c r="AS9" s="2" t="inlineStr">
        <is>
          <t>anuncio</t>
        </is>
      </c>
      <c r="AT9" s="2" t="n">
        <v>2007</v>
      </c>
      <c r="AU9" s="2" t="inlineStr">
        <is>
          <t>no</t>
        </is>
      </c>
      <c r="AV9" s="2" t="inlineStr">
        <is>
          <t>B</t>
        </is>
      </c>
      <c r="AW9" s="2" t="n"/>
      <c r="AX9" s="2" t="inlineStr">
        <is>
          <t>no</t>
        </is>
      </c>
      <c r="AY9" s="2" t="inlineStr">
        <is>
          <t>no</t>
        </is>
      </c>
      <c r="AZ9" s="2" t="inlineStr">
        <is>
          <t>COMMON.COLOR_GRAY</t>
        </is>
      </c>
      <c r="BA9" s="2" t="inlineStr">
        <is>
          <t>gris_medio</t>
        </is>
      </c>
      <c r="BB9" s="3" t="n">
        <v>2</v>
      </c>
      <c r="BC9" s="3" t="inlineStr">
        <is>
          <t>(por segmento)</t>
        </is>
      </c>
      <c r="BD9" s="2" t="n"/>
      <c r="BE9" s="2" t="n"/>
      <c r="BF9" s="2" t="n"/>
      <c r="BG9" s="2" t="inlineStr">
        <is>
          <t>sí</t>
        </is>
      </c>
      <c r="BH9" s="2" t="n"/>
      <c r="BI9" s="2" t="n"/>
      <c r="BJ9" s="2" t="n"/>
      <c r="BK9" s="2" t="n">
        <v>5</v>
      </c>
      <c r="BL9" s="2" t="inlineStr">
        <is>
          <t>no</t>
        </is>
      </c>
      <c r="BM9" s="2" t="n">
        <v>136</v>
      </c>
      <c r="BN9" s="2" t="n">
        <v>0.02939236117526889</v>
      </c>
      <c r="BO9" s="2" t="n">
        <v>2</v>
      </c>
      <c r="BP9" s="2" t="n">
        <v>5000</v>
      </c>
      <c r="BQ9" s="2" t="n">
        <v>11</v>
      </c>
      <c r="BR9" s="2" t="inlineStr">
        <is>
          <t>modelo+año</t>
        </is>
      </c>
      <c r="BS9" s="2" t="n"/>
      <c r="BT9" s="2" t="inlineStr">
        <is>
          <t>año a confirmar: la URL/título dice 2007; vendedor profesional: sin ITP (operación con IVA/REBU, confirmar en factura); gastos de gestión del vendedor no indicados: se suma la tasa DGT; preguntar el precio final; diésel: motor sin fuente de fiabilidad (fiabilidad limitada a neutra); revisar: no menciona la ITV</t>
        </is>
      </c>
      <c r="BU9" s="2" t="inlineStr">
        <is>
          <t>Este Mazda2 Active 1.4 CRTD es un compacto versátil y eficiente, diseñado para quienes buscan un vehículo manejable en ciudad sin renunciar a la practicidad. Su motor diésel de 1.4 litros ofrece un consumo moderado —4,3 l/100 km en ciclo mixto— con par disponible desde bajas revoluciones, lo que facilita la conducción en tráfico urbano y en carreteras secundarias.
El interior aprovecha bien el espacio disponible con asientos delanteros individuales ajustables en altura y respaldo trasero abatible asimétrico, permitiendo ampliar la capacidad de carga hasta 787 litros con los asientos plegados. La dirección asistida con endurecimiento progresivo y la suspensión independiente delantera proporcionan una respuesta equilibrada en diferentes condiciones de circulación.
En cuanto a equipamiento, este vehículo integra climatizador automático, elevalunas eléctricos en todas las puertas, cierre centralizado con mando a distancia, y un sistema de audio con radio AM/FM, lector de CD para MP3 y mandos en el volante. La seguridad se refuerza con airbags frontales inteligentes, laterales delanteros y de cortina, además de ABS en las cuatro ruedas y preparación Isofix para sistemas de retención infantil.
Los cristales tintados, retrovisores exteriores eléctricos y desempañables, así como los limpiaparabrisas con intermitencia, completan el equipamiento de confort. Este ejemplar cuenta con etiqueta medioambiental B, lo que permite acceso a las ciudades con regulación de zonas de bajas emisi</t>
        </is>
      </c>
      <c r="BV9" s="2" t="inlineStr">
        <is>
          <t>https://www.coches.net/mazda-mazda2-active-14-crtd-5p-diesel-2007-en-valencia-71265682-covo.aspx (window.__INITIAL_PROPS__.ad) /home/user/Alopecia/buscador-coches/raw/cochesnet/5cd5d6b176a66f9b.json</t>
        </is>
      </c>
      <c r="BW9" s="3">
        <f>MAX(ANIO_ACTUAL-M9,0)</f>
        <v/>
      </c>
      <c r="BX9" s="4">
        <f>N9/MAX(BW9,0.5)</f>
        <v/>
      </c>
      <c r="BY9" s="4">
        <f>F9</f>
        <v/>
      </c>
      <c r="BZ9" s="3">
        <f>BY9&amp;"|"&amp;INT(M9/SEG_ANIO)*SEG_ANIO</f>
        <v/>
      </c>
      <c r="CA9" s="3">
        <f>BZ9&amp;"|"&amp;INT(N9/SEG_KM)*SEG_KM</f>
        <v/>
      </c>
      <c r="CB9" s="4">
        <f>COUNTIF($BY$2:$BY$209,BY9)</f>
        <v/>
      </c>
      <c r="CC9" s="4">
        <f>COUNTIF($BZ$2:$BZ$209,BZ9)</f>
        <v/>
      </c>
      <c r="CD9" s="4">
        <f>COUNTIF($CA$2:$CA$209,CA9)</f>
        <v/>
      </c>
      <c r="CE9" s="3">
        <f t="array" ref="CE9">IF(N(BQ9)&gt;=MIN_N,BP9,IF(CD9&gt;=MIN_N,MEDIAN(IF($CA$2:$CA$209=CA9,$O$2:$O$209)),IF(CC9&gt;=MIN_N,MEDIAN(IF($BZ$2:$BZ$209=BZ9,$O$2:$O$209)),MEDIAN(IF($BY$2:$BY$209=BY9,$O$2:$O$209)))))</f>
        <v/>
      </c>
      <c r="CF9" s="3">
        <f>IF(N(BQ9)&gt;=MIN_N,"mercado "&amp;BR9,IF(CD9&gt;=MIN_N,"modelo+año+km",IF(CC9&gt;=MIN_N,"modelo+año","modelo")))</f>
        <v/>
      </c>
      <c r="CG9" s="4">
        <f>(CE9-O9)/CE9</f>
        <v/>
      </c>
      <c r="CH9" s="3">
        <f>IF(COUNTIFS(FR_FUEL,K9,FR_YEAR,AP9)&gt;0,1,0)</f>
        <v/>
      </c>
      <c r="CI9" s="3">
        <f>IF(COUNTIFS(FR_FUEL,K9,FR_YEAR,AP9-1)&gt;0,1,0)</f>
        <v/>
      </c>
      <c r="CJ9" s="4">
        <f>IF(N(AQ9)&gt;0,AP9*100+AQ9,IF(AND(CH9=1,CI9=1),(AP9-1)*100+1,AP9*100+1))</f>
        <v/>
      </c>
      <c r="CK9" s="3">
        <f>IF(OR(K9="hibrido",K9="glp",K9="gnc",K9="phev"),"ECO",IF(K9="electrico","CERO",IF(K9="gasolina",IF(CJ9&gt;=GAS_C_YM,"C",IF(CJ9&gt;=GAS_B_YM,"B","A")),IF(K9="diesel",IF(CJ9&gt;=DIE_C_YM,"C",IF(CJ9&gt;=DIE_B_YM,"B","A")),""))))</f>
        <v/>
      </c>
      <c r="CL9" s="2" t="inlineStr">
        <is>
          <t>B</t>
        </is>
      </c>
      <c r="CM9" s="4">
        <f>IF(AU9="sí","sí",IF(AS9="regla",IF(AND(N(AQ9)=0,CH9=1),"sí","no"),"no"))</f>
        <v/>
      </c>
      <c r="CN9" s="3">
        <f>IFERROR(VLOOKUP(F9,MOD_TBL,16,0),IFERROR(VLOOKUP(E9,OCU_TBL,2,0),NEUTRO))</f>
        <v/>
      </c>
      <c r="CO9" s="3">
        <f>SUMIFS(MOT_AJUSTE,MOT_MOTOR,G9,MOT_MARCA,E9,MOT_DESDE,"&lt;="&amp;M9,MOT_HASTA,"&gt;="&amp;M9)+SUMIFS(MOT_AJUSTE,MOT_MOTOR,G9,MOT_MARCA,"(todas)",MOT_DESDE,"&lt;="&amp;M9,MOT_HASTA,"&gt;="&amp;M9)+SUMIFS(MOT_AJUSTE,MOT_MOTOR,"(cualquiera)",MOT_MARCA,E9,MOT_DESDE,"&lt;="&amp;M9,MOT_HASTA,"&gt;="&amp;M9)</f>
        <v/>
      </c>
      <c r="CP9" s="3">
        <f>SUMIFS(COMB_AJUSTE,COMB_COMB,K9)</f>
        <v/>
      </c>
      <c r="CQ9" s="3">
        <f>COUNTIFS(MOT_MOTOR,G9,MOT_MARCA,E9,MOT_DESDE,"&lt;="&amp;M9,MOT_HASTA,"&gt;="&amp;M9)+COUNTIFS(MOT_MOTOR,G9,MOT_MARCA,"(todas)",MOT_DESDE,"&lt;="&amp;M9,MOT_HASTA,"&gt;="&amp;M9)+COUNTIFS(MOT_MOTOR,"(cualquiera)",MOT_MARCA,E9,MOT_DESDE,"&lt;="&amp;M9,MOT_HASTA,"&gt;="&amp;M9)</f>
        <v/>
      </c>
      <c r="CR9" s="3">
        <f>IF(AND(K9="diesel",CQ9=0),MIN(CN9,NEUTRO),CN9)</f>
        <v/>
      </c>
      <c r="CS9" s="3">
        <f>MAX(0,MIN(100,CR9+CO9+CP9-IF(AX9="sí",ROB_PEN,0)))</f>
        <v/>
      </c>
      <c r="CT9" s="3">
        <f>100-MAX(0,N9-KM_TOPE_DESDE)/1000*KM_TOPE_PTS</f>
        <v/>
      </c>
      <c r="CU9" s="3">
        <f>MAX(0,MIN(100,50+CG9*PRECIO_PEND,CT9))</f>
        <v/>
      </c>
      <c r="CV9" s="3">
        <f>MAX(0,100*(1-N9/KM_MAX))</f>
        <v/>
      </c>
      <c r="CW9" s="3">
        <f>IF(BX9&lt;KMA_SOSP,IF(AA9="sí",100,KMA_PEN),IF(BX9&lt;=KMA_IDEAL_MAX,100,MAX(0,100*(KMA_CERO-BX9)/(KMA_CERO-KMA_IDEAL_MAX))))</f>
        <v/>
      </c>
      <c r="CX9" s="3">
        <f>MAX(0,MIN(100,100*(M9-ANIO_MIN)/(ANIO_ACTUAL-ANIO_MIN)))</f>
        <v/>
      </c>
      <c r="CY9" s="3">
        <f>W_KMT*CV9+W_KMA*CW9+W_EDAD*CX9</f>
        <v/>
      </c>
      <c r="CZ9" s="4">
        <f>E9&amp;"|"&amp;G9</f>
        <v/>
      </c>
      <c r="DA9" s="3">
        <f>IFERROR(VLOOKUP(CZ9,DIST_TBL,2,0),"")</f>
        <v/>
      </c>
      <c r="DB9" s="3">
        <f>E_ITV*(V9="sí")+E_LIBRO*(W9="sí")+E_PROP*IF(Y9=1,1,IF(Y9=2,0.5,0))+E_CORREA*IF(OR(DA9="cadena",AND(X9="sí",BH9="sí")),1,IF(X9="sí",0.5,0))+E_FACT*(BI9="sí")</f>
        <v/>
      </c>
      <c r="DC9" s="3">
        <f>MAX(0,MIN(100,IFERROR(VLOOKUP(CL9,ETQ_TBL,2,0),0)-IF(CM9="sí",ETQ_PEN_DUD,IF(AS9="regla",ETQ_PEN_REGLA,0))))</f>
        <v/>
      </c>
      <c r="DD9" s="3">
        <f>IF(K9&lt;&gt;"gasolina","",IFERROR(VLOOKUP(F9,CONS_MOD_TBL,2,0),IFERROR(VLOOKUP(L9,CONS_SEG_TBL,2,0),"")))</f>
        <v/>
      </c>
      <c r="DE9" s="3">
        <f>IF(DD9="",NEUTRO,MAX(0,MIN(100,100*(CONS_REF_MAX-DD9)/(CONS_REF_MAX-CONS_REF_MIN))))</f>
        <v/>
      </c>
      <c r="DF9" s="3">
        <f>IFERROR(VLOOKUP(L9,SEGURO_TBL,3,0),"")</f>
        <v/>
      </c>
      <c r="DG9" s="3">
        <f>IF(DF9="",NEUTRO,MAX(0,MIN(100,100*(SEG_REF_MAX-DF9)/(SEG_REF_MAX-SEG_REF_MIN))))</f>
        <v/>
      </c>
      <c r="DH9" s="3">
        <f>IFERROR(VLOOKUP(E9,MANT_MARCA_TBL,2,0)+0,NEUTRO)</f>
        <v/>
      </c>
      <c r="DI9" s="3">
        <f>IF(DA9="",NEUTRO,IFERROR(VLOOKUP(DA9,DIST_PTS_TBL,2,0)+0,NEUTRO))</f>
        <v/>
      </c>
      <c r="DJ9" s="4">
        <f>(DH9+DI9)/2</f>
        <v/>
      </c>
      <c r="DK9" s="3">
        <f>W_CONS*DE9+W_SEG*DG9+W_MANT*DJ9</f>
        <v/>
      </c>
      <c r="DL9" s="3">
        <f>IF(N(AB9)&gt;0,AB9,IF(AND(R9="profesional",SG_LEGAL_ON=1),GAR_LEGAL,0))</f>
        <v/>
      </c>
      <c r="DM9" s="3">
        <f>MAX(0,MIN(100,SG_GAR*MIN(1,DL9/SG_GAR_FULL)+SG_AMPL*(AC9="sí")+SG_KMC*(AF9="sí")+SG_REV*(N(AE9)&gt;0)+SG_DEV*MIN(1,N(AG9)/SG_DEV_FULL)+SG_HIST*(W9="sí")-IF(AND(R9="particular",DL9=0),SG_PART_PEN,0)))</f>
        <v/>
      </c>
      <c r="DN9" s="3">
        <f>IF(BK9="",NEUTRO,MAX(0,MIN(100,BK9/5*100)))</f>
        <v/>
      </c>
      <c r="DO9" s="3">
        <f>IF(BL9="sí",100,IF(BL9="no",0,NEUTRO))</f>
        <v/>
      </c>
      <c r="DP9" s="3">
        <f>SV_W_NCAP*DN9+SV_W_ESP*DO9</f>
        <v/>
      </c>
      <c r="DQ9" s="3">
        <f>MAX(0,MIN(100,ATR_BASE+ATR_ACAB*(BD9&lt;&gt;"")+IF(BE9="16+",ATR_LL16,IF(BE9="sí",ATR_LL,0))+ATR_FAROS*(BF9="sí")+ATR_TINT*(BG9="sí")-ATR_CHAPA*(BE9="chapa")))</f>
        <v/>
      </c>
      <c r="DR9" s="3">
        <f>EST_W_MOD*(BB9-1)/4*100+EST_W_ATR*DQ9</f>
        <v/>
      </c>
      <c r="DS9" s="3">
        <f>IF(BA9="",NEUTRO,IFERROR(VLOOKUP(BA9,COLOR_TBL,2,0)+0,NEUTRO))</f>
        <v/>
      </c>
      <c r="DT9" s="3">
        <f>MAX(0,MIN(100,100*N(BM9)/RV_N_FULL))</f>
        <v/>
      </c>
      <c r="DU9" s="3">
        <f>IF(OR(BN9="",N(BO9)&lt;RV_DIAS_MIN),NEUTRO,MAX(0,MIN(100,100*(RV_DIAS_CERO-BN9)/(RV_DIAS_CERO-RV_DIAS_FULL))))</f>
        <v/>
      </c>
      <c r="DV9" s="3">
        <f>RV_W_LIQ*DT9+RV_W_DIAS*DU9+RV_W_ETQ*DC9</f>
        <v/>
      </c>
      <c r="DW9" s="3">
        <f>IFERROR(VLOOKUP(L9,CARR_PEN_TBL,2,0),0)</f>
        <v/>
      </c>
      <c r="DX9" s="3">
        <f>W_FIAB*CS9+W_PRECIO*CU9+W_KMEDAD*CY9+W_ESTADO*DB9+W_USO*DK9+W_SEGURIDAD*DM9+W_SEGVIAL*DP9+W_ESTETICA*DR9+W_COLOR*DS9+W_REVENTA*DV9-DW9-EG9</f>
        <v/>
      </c>
      <c r="DY9" s="4">
        <f>IF(N(I9)&gt;0,I9,IFERROR(ROUND(_xlfn.NUMBERVALUE(LEFT(G9,FIND(" ",G9&amp;" ")-1),".")*1000,0),99999))</f>
        <v/>
      </c>
      <c r="DZ9" s="3">
        <f>IF(R9="profesional",0,IF(O9&lt;CUOTA_VALOR_MAX,IF(BW9&gt;ITP_TRAMO_ALTO,SUMIFS(CF_CUOTA,CF_MAS,ITP_TRAMO_ALTO,CF_CCMIN,"&lt;="&amp;DY9,CF_CCMAX,"&gt;="&amp;DY9),IF(BW9&gt;ITP_TRAMO_BAJO,SUMIFS(CF_CUOTA,CF_MAS,ITP_TRAMO_BAJO,CF_CCMIN,"&lt;="&amp;DY9,CF_CCMAX,"&gt;="&amp;DY9),O9*ITP_TIPO)),O9*ITP_TIPO))</f>
        <v/>
      </c>
      <c r="EA9" s="4">
        <f>IF(R9="profesional",N(AK9),0)</f>
        <v/>
      </c>
      <c r="EB9" s="3">
        <f>IF(AND(R9="profesional",ISNUMBER(AK9),AL9="sí"),0,TASA_DGT)</f>
        <v/>
      </c>
      <c r="EC9" s="3">
        <f>INFORME_DGT</f>
        <v/>
      </c>
      <c r="ED9" s="4">
        <f>O9+EA9+DZ9+EB9+EC9</f>
        <v/>
      </c>
      <c r="EE9" s="4">
        <f>ED9+N(DF9)</f>
        <v/>
      </c>
      <c r="EF9" s="3">
        <f>MAX(0,ED9-TOTAL_MAX)</f>
        <v/>
      </c>
      <c r="EG9" s="3">
        <f>EF9/100*PEN_100</f>
        <v/>
      </c>
      <c r="EH9" s="3">
        <f>IF(R9="particular",ED9+IF(AND(DA9&lt;&gt;"cadena",X9&lt;&gt;"sí"),RES_CORREA,0)+IF(AND(BJ9&lt;&gt;"sí",BW9&gt;=RES_NEUM_EDAD),RES_NEUM,0),"")</f>
        <v/>
      </c>
      <c r="EI9" s="3">
        <f>IF(ED9&lt;=TOTAL_MAX,"sí",IF(ED9&lt;=TECHO,"negociar","no"))</f>
        <v/>
      </c>
      <c r="EJ9" s="4">
        <f>ROUND(DX9,9)</f>
        <v/>
      </c>
      <c r="EK9" s="4">
        <f>IF(EI9&lt;&gt;"no",SUMPRODUCT(($EI$2:$EI$209&lt;&gt;"no")*($EJ$2:$EJ$209&gt;EJ9))+SUMPRODUCT(($EI$2:EI9&lt;&gt;"no")*($EJ$2:EJ9=EJ9)),"")</f>
        <v/>
      </c>
    </row>
    <row r="10">
      <c r="A10" s="2" t="inlineStr">
        <is>
          <t>cochesnet:71525978</t>
        </is>
      </c>
      <c r="B10" s="2" t="inlineStr">
        <is>
          <t>cochesnet</t>
        </is>
      </c>
      <c r="C10" s="2" t="inlineStr">
        <is>
          <t>https://www.coches.net/mazda-mazda2-style-16-crtd-3p-diesel-2009-en-valencia-71525978-covo.aspx</t>
        </is>
      </c>
      <c r="D10" s="2" t="inlineStr">
        <is>
          <t>MAZDA Mazda2 Style 1.6 CRTD</t>
        </is>
      </c>
      <c r="E10" s="2" t="inlineStr">
        <is>
          <t>Mazda</t>
        </is>
      </c>
      <c r="F10" s="2" t="inlineStr">
        <is>
          <t>Mazda 2</t>
        </is>
      </c>
      <c r="G10" s="2" t="inlineStr">
        <is>
          <t>1.6</t>
        </is>
      </c>
      <c r="H10" s="2" t="inlineStr">
        <is>
          <t>Style 1.6 CRTD</t>
        </is>
      </c>
      <c r="I10" s="2" t="n"/>
      <c r="J10" s="2" t="n"/>
      <c r="K10" s="2" t="inlineStr">
        <is>
          <t>diesel</t>
        </is>
      </c>
      <c r="L10" s="2" t="inlineStr">
        <is>
          <t>utilitario</t>
        </is>
      </c>
      <c r="M10" s="2" t="n">
        <v>2011</v>
      </c>
      <c r="N10" s="2" t="n">
        <v>214000</v>
      </c>
      <c r="O10" s="2" t="n">
        <v>3800</v>
      </c>
      <c r="P10" s="2" t="inlineStr">
        <is>
          <t>manual</t>
        </is>
      </c>
      <c r="Q10" s="2" t="inlineStr">
        <is>
          <t>no</t>
        </is>
      </c>
      <c r="R10" s="2" t="inlineStr">
        <is>
          <t>profesional</t>
        </is>
      </c>
      <c r="S10" s="2" t="inlineStr">
        <is>
          <t>Coches Venar Valencia</t>
        </is>
      </c>
      <c r="T10" s="2" t="inlineStr">
        <is>
          <t>2026-09-16T11:48:49Z</t>
        </is>
      </c>
      <c r="U10" s="2" t="n">
        <v>8</v>
      </c>
      <c r="V10" s="2" t="n"/>
      <c r="W10" s="2" t="n"/>
      <c r="X10" s="2" t="n"/>
      <c r="Y10" s="2" t="n"/>
      <c r="Z10" s="2" t="inlineStr">
        <is>
          <t>sí</t>
        </is>
      </c>
      <c r="AA10" s="2" t="n"/>
      <c r="AB10" s="2" t="n">
        <v>12</v>
      </c>
      <c r="AC10" s="2" t="n"/>
      <c r="AD10" s="2" t="n"/>
      <c r="AE10" s="2" t="n"/>
      <c r="AF10" s="2" t="n"/>
      <c r="AG10" s="2" t="n"/>
      <c r="AH10" s="2" t="n">
        <v>3800</v>
      </c>
      <c r="AI10" s="2" t="n"/>
      <c r="AJ10" s="2" t="n"/>
      <c r="AK10" s="2" t="n"/>
      <c r="AL10" s="2" t="n"/>
      <c r="AM10" s="2" t="n">
        <v>0.1</v>
      </c>
      <c r="AN10" s="2" t="n"/>
      <c r="AO10" s="2" t="inlineStr">
        <is>
          <t>2011</t>
        </is>
      </c>
      <c r="AP10" s="2" t="n">
        <v>2011</v>
      </c>
      <c r="AQ10" s="2" t="n"/>
      <c r="AR10" s="2" t="n"/>
      <c r="AS10" s="2" t="inlineStr">
        <is>
          <t>regla</t>
        </is>
      </c>
      <c r="AT10" s="2" t="n">
        <v>2009</v>
      </c>
      <c r="AU10" s="2" t="inlineStr">
        <is>
          <t>no</t>
        </is>
      </c>
      <c r="AV10" s="2" t="inlineStr">
        <is>
          <t>B</t>
        </is>
      </c>
      <c r="AW10" s="2" t="n"/>
      <c r="AX10" s="2" t="inlineStr">
        <is>
          <t>no</t>
        </is>
      </c>
      <c r="AY10" s="2" t="inlineStr">
        <is>
          <t>no</t>
        </is>
      </c>
      <c r="AZ10" s="2" t="inlineStr">
        <is>
          <t>COMMON.COLOR_WHITE</t>
        </is>
      </c>
      <c r="BA10" s="2" t="inlineStr">
        <is>
          <t>blanco</t>
        </is>
      </c>
      <c r="BB10" s="3" t="n">
        <v>2</v>
      </c>
      <c r="BC10" s="3" t="inlineStr">
        <is>
          <t>(por segmento)</t>
        </is>
      </c>
      <c r="BD10" s="2" t="n"/>
      <c r="BE10" s="2" t="n"/>
      <c r="BF10" s="2" t="n"/>
      <c r="BG10" s="2" t="inlineStr">
        <is>
          <t>sí</t>
        </is>
      </c>
      <c r="BH10" s="2" t="n"/>
      <c r="BI10" s="2" t="n"/>
      <c r="BJ10" s="2" t="n"/>
      <c r="BK10" s="2" t="n">
        <v>5</v>
      </c>
      <c r="BL10" s="2" t="inlineStr">
        <is>
          <t>no</t>
        </is>
      </c>
      <c r="BM10" s="2" t="n">
        <v>136</v>
      </c>
      <c r="BN10" s="2" t="n">
        <v>0.02939236117526889</v>
      </c>
      <c r="BO10" s="2" t="n">
        <v>2</v>
      </c>
      <c r="BP10" s="2" t="n">
        <v>5000</v>
      </c>
      <c r="BQ10" s="2" t="n">
        <v>6</v>
      </c>
      <c r="BR10" s="2" t="inlineStr">
        <is>
          <t>modelo+año</t>
        </is>
      </c>
      <c r="BS10" s="2" t="n"/>
      <c r="BT10" s="2" t="inlineStr">
        <is>
          <t>año a confirmar: la URL/título dice 2009; vendedor profesional: sin ITP (operación con IVA/REBU, confirmar en factura); gastos de gestión del vendedor no indicados: se suma la tasa DGT; preguntar el precio final; diésel: motor sin fuente de fiabilidad (fiabilidad limitada a neutra); etiqueta B deducida por fecha (sin matrícula ni dato del anuncio); revisar: no menciona la ITV</t>
        </is>
      </c>
      <c r="BU10" s="2" t="inlineStr">
        <is>
          <t>Este Mazda2 Style 1.6 CRTD combina practicidad urbana con equipamiento de confort pensado para el uso diario. Destaca por su aire acondicionado automático, dirección asistida eléctrica con endurecimiento progresivo, y volante multifunción ajustable que facilitan la conducción. Dispone de cierre centralizado con mando a distancia, elevalunas eléctricos delanteros con función de un solo toque, y retrovisores exteriores eléctricos desempañables. El interior ofrece asientos ajustables en altura, reposacabezas regulables en todas las plazas, y sistema de ventilación con filtro de polen. Incluye ordenador de viaje con datos de consumo y autonomía, equipo de audio con radio AM/FM/LW, reproductor de CD y lector MP3 con control remoto en volante. Cristales tintados y climatización automática completan un habitáculo versátil para desplazamientos cotidianos.</t>
        </is>
      </c>
      <c r="BV10" s="2" t="inlineStr">
        <is>
          <t>https://www.coches.net/mazda-mazda2-style-16-crtd-3p-diesel-2009-en-valencia-71525978-covo.aspx (window.__INITIAL_PROPS__.ad) /home/user/Alopecia/buscador-coches/raw/cochesnet/680bda08a6c8bde6.json</t>
        </is>
      </c>
      <c r="BW10" s="3">
        <f>MAX(ANIO_ACTUAL-M10,0)</f>
        <v/>
      </c>
      <c r="BX10" s="4">
        <f>N10/MAX(BW10,0.5)</f>
        <v/>
      </c>
      <c r="BY10" s="4">
        <f>F10</f>
        <v/>
      </c>
      <c r="BZ10" s="3">
        <f>BY10&amp;"|"&amp;INT(M10/SEG_ANIO)*SEG_ANIO</f>
        <v/>
      </c>
      <c r="CA10" s="3">
        <f>BZ10&amp;"|"&amp;INT(N10/SEG_KM)*SEG_KM</f>
        <v/>
      </c>
      <c r="CB10" s="4">
        <f>COUNTIF($BY$2:$BY$209,BY10)</f>
        <v/>
      </c>
      <c r="CC10" s="4">
        <f>COUNTIF($BZ$2:$BZ$209,BZ10)</f>
        <v/>
      </c>
      <c r="CD10" s="4">
        <f>COUNTIF($CA$2:$CA$209,CA10)</f>
        <v/>
      </c>
      <c r="CE10" s="3">
        <f t="array" ref="CE10">IF(N(BQ10)&gt;=MIN_N,BP10,IF(CD10&gt;=MIN_N,MEDIAN(IF($CA$2:$CA$209=CA10,$O$2:$O$209)),IF(CC10&gt;=MIN_N,MEDIAN(IF($BZ$2:$BZ$209=BZ10,$O$2:$O$209)),MEDIAN(IF($BY$2:$BY$209=BY10,$O$2:$O$209)))))</f>
        <v/>
      </c>
      <c r="CF10" s="3">
        <f>IF(N(BQ10)&gt;=MIN_N,"mercado "&amp;BR10,IF(CD10&gt;=MIN_N,"modelo+año+km",IF(CC10&gt;=MIN_N,"modelo+año","modelo")))</f>
        <v/>
      </c>
      <c r="CG10" s="4">
        <f>(CE10-O10)/CE10</f>
        <v/>
      </c>
      <c r="CH10" s="3">
        <f>IF(COUNTIFS(FR_FUEL,K10,FR_YEAR,AP10)&gt;0,1,0)</f>
        <v/>
      </c>
      <c r="CI10" s="3">
        <f>IF(COUNTIFS(FR_FUEL,K10,FR_YEAR,AP10-1)&gt;0,1,0)</f>
        <v/>
      </c>
      <c r="CJ10" s="4">
        <f>IF(N(AQ10)&gt;0,AP10*100+AQ10,IF(AND(CH10=1,CI10=1),(AP10-1)*100+1,AP10*100+1))</f>
        <v/>
      </c>
      <c r="CK10" s="3">
        <f>IF(OR(K10="hibrido",K10="glp",K10="gnc",K10="phev"),"ECO",IF(K10="electrico","CERO",IF(K10="gasolina",IF(CJ10&gt;=GAS_C_YM,"C",IF(CJ10&gt;=GAS_B_YM,"B","A")),IF(K10="diesel",IF(CJ10&gt;=DIE_C_YM,"C",IF(CJ10&gt;=DIE_B_YM,"B","A")),""))))</f>
        <v/>
      </c>
      <c r="CL10" s="4">
        <f>CK10</f>
        <v/>
      </c>
      <c r="CM10" s="4">
        <f>IF(AU10="sí","sí",IF(AS10="regla",IF(AND(N(AQ10)=0,CH10=1),"sí","no"),"no"))</f>
        <v/>
      </c>
      <c r="CN10" s="3">
        <f>IFERROR(VLOOKUP(F10,MOD_TBL,16,0),IFERROR(VLOOKUP(E10,OCU_TBL,2,0),NEUTRO))</f>
        <v/>
      </c>
      <c r="CO10" s="3">
        <f>SUMIFS(MOT_AJUSTE,MOT_MOTOR,G10,MOT_MARCA,E10,MOT_DESDE,"&lt;="&amp;M10,MOT_HASTA,"&gt;="&amp;M10)+SUMIFS(MOT_AJUSTE,MOT_MOTOR,G10,MOT_MARCA,"(todas)",MOT_DESDE,"&lt;="&amp;M10,MOT_HASTA,"&gt;="&amp;M10)+SUMIFS(MOT_AJUSTE,MOT_MOTOR,"(cualquiera)",MOT_MARCA,E10,MOT_DESDE,"&lt;="&amp;M10,MOT_HASTA,"&gt;="&amp;M10)</f>
        <v/>
      </c>
      <c r="CP10" s="3">
        <f>SUMIFS(COMB_AJUSTE,COMB_COMB,K10)</f>
        <v/>
      </c>
      <c r="CQ10" s="3">
        <f>COUNTIFS(MOT_MOTOR,G10,MOT_MARCA,E10,MOT_DESDE,"&lt;="&amp;M10,MOT_HASTA,"&gt;="&amp;M10)+COUNTIFS(MOT_MOTOR,G10,MOT_MARCA,"(todas)",MOT_DESDE,"&lt;="&amp;M10,MOT_HASTA,"&gt;="&amp;M10)+COUNTIFS(MOT_MOTOR,"(cualquiera)",MOT_MARCA,E10,MOT_DESDE,"&lt;="&amp;M10,MOT_HASTA,"&gt;="&amp;M10)</f>
        <v/>
      </c>
      <c r="CR10" s="3">
        <f>IF(AND(K10="diesel",CQ10=0),MIN(CN10,NEUTRO),CN10)</f>
        <v/>
      </c>
      <c r="CS10" s="3">
        <f>MAX(0,MIN(100,CR10+CO10+CP10-IF(AX10="sí",ROB_PEN,0)))</f>
        <v/>
      </c>
      <c r="CT10" s="3">
        <f>100-MAX(0,N10-KM_TOPE_DESDE)/1000*KM_TOPE_PTS</f>
        <v/>
      </c>
      <c r="CU10" s="3">
        <f>MAX(0,MIN(100,50+CG10*PRECIO_PEND,CT10))</f>
        <v/>
      </c>
      <c r="CV10" s="3">
        <f>MAX(0,100*(1-N10/KM_MAX))</f>
        <v/>
      </c>
      <c r="CW10" s="3">
        <f>IF(BX10&lt;KMA_SOSP,IF(AA10="sí",100,KMA_PEN),IF(BX10&lt;=KMA_IDEAL_MAX,100,MAX(0,100*(KMA_CERO-BX10)/(KMA_CERO-KMA_IDEAL_MAX))))</f>
        <v/>
      </c>
      <c r="CX10" s="3">
        <f>MAX(0,MIN(100,100*(M10-ANIO_MIN)/(ANIO_ACTUAL-ANIO_MIN)))</f>
        <v/>
      </c>
      <c r="CY10" s="3">
        <f>W_KMT*CV10+W_KMA*CW10+W_EDAD*CX10</f>
        <v/>
      </c>
      <c r="CZ10" s="4">
        <f>E10&amp;"|"&amp;G10</f>
        <v/>
      </c>
      <c r="DA10" s="3">
        <f>IFERROR(VLOOKUP(CZ10,DIST_TBL,2,0),"")</f>
        <v/>
      </c>
      <c r="DB10" s="3">
        <f>E_ITV*(V10="sí")+E_LIBRO*(W10="sí")+E_PROP*IF(Y10=1,1,IF(Y10=2,0.5,0))+E_CORREA*IF(OR(DA10="cadena",AND(X10="sí",BH10="sí")),1,IF(X10="sí",0.5,0))+E_FACT*(BI10="sí")</f>
        <v/>
      </c>
      <c r="DC10" s="3">
        <f>MAX(0,MIN(100,IFERROR(VLOOKUP(CL10,ETQ_TBL,2,0),0)-IF(CM10="sí",ETQ_PEN_DUD,IF(AS10="regla",ETQ_PEN_REGLA,0))))</f>
        <v/>
      </c>
      <c r="DD10" s="3">
        <f>IF(K10&lt;&gt;"gasolina","",IFERROR(VLOOKUP(F10,CONS_MOD_TBL,2,0),IFERROR(VLOOKUP(L10,CONS_SEG_TBL,2,0),"")))</f>
        <v/>
      </c>
      <c r="DE10" s="3">
        <f>IF(DD10="",NEUTRO,MAX(0,MIN(100,100*(CONS_REF_MAX-DD10)/(CONS_REF_MAX-CONS_REF_MIN))))</f>
        <v/>
      </c>
      <c r="DF10" s="3">
        <f>IFERROR(VLOOKUP(L10,SEGURO_TBL,3,0),"")</f>
        <v/>
      </c>
      <c r="DG10" s="3">
        <f>IF(DF10="",NEUTRO,MAX(0,MIN(100,100*(SEG_REF_MAX-DF10)/(SEG_REF_MAX-SEG_REF_MIN))))</f>
        <v/>
      </c>
      <c r="DH10" s="3">
        <f>IFERROR(VLOOKUP(E10,MANT_MARCA_TBL,2,0)+0,NEUTRO)</f>
        <v/>
      </c>
      <c r="DI10" s="3">
        <f>IF(DA10="",NEUTRO,IFERROR(VLOOKUP(DA10,DIST_PTS_TBL,2,0)+0,NEUTRO))</f>
        <v/>
      </c>
      <c r="DJ10" s="4">
        <f>(DH10+DI10)/2</f>
        <v/>
      </c>
      <c r="DK10" s="3">
        <f>W_CONS*DE10+W_SEG*DG10+W_MANT*DJ10</f>
        <v/>
      </c>
      <c r="DL10" s="3">
        <f>IF(N(AB10)&gt;0,AB10,IF(AND(R10="profesional",SG_LEGAL_ON=1),GAR_LEGAL,0))</f>
        <v/>
      </c>
      <c r="DM10" s="3">
        <f>MAX(0,MIN(100,SG_GAR*MIN(1,DL10/SG_GAR_FULL)+SG_AMPL*(AC10="sí")+SG_KMC*(AF10="sí")+SG_REV*(N(AE10)&gt;0)+SG_DEV*MIN(1,N(AG10)/SG_DEV_FULL)+SG_HIST*(W10="sí")-IF(AND(R10="particular",DL10=0),SG_PART_PEN,0)))</f>
        <v/>
      </c>
      <c r="DN10" s="3">
        <f>IF(BK10="",NEUTRO,MAX(0,MIN(100,BK10/5*100)))</f>
        <v/>
      </c>
      <c r="DO10" s="3">
        <f>IF(BL10="sí",100,IF(BL10="no",0,NEUTRO))</f>
        <v/>
      </c>
      <c r="DP10" s="3">
        <f>SV_W_NCAP*DN10+SV_W_ESP*DO10</f>
        <v/>
      </c>
      <c r="DQ10" s="3">
        <f>MAX(0,MIN(100,ATR_BASE+ATR_ACAB*(BD10&lt;&gt;"")+IF(BE10="16+",ATR_LL16,IF(BE10="sí",ATR_LL,0))+ATR_FAROS*(BF10="sí")+ATR_TINT*(BG10="sí")-ATR_CHAPA*(BE10="chapa")))</f>
        <v/>
      </c>
      <c r="DR10" s="3">
        <f>EST_W_MOD*(BB10-1)/4*100+EST_W_ATR*DQ10</f>
        <v/>
      </c>
      <c r="DS10" s="3">
        <f>IF(BA10="",NEUTRO,IFERROR(VLOOKUP(BA10,COLOR_TBL,2,0)+0,NEUTRO))</f>
        <v/>
      </c>
      <c r="DT10" s="3">
        <f>MAX(0,MIN(100,100*N(BM10)/RV_N_FULL))</f>
        <v/>
      </c>
      <c r="DU10" s="3">
        <f>IF(OR(BN10="",N(BO10)&lt;RV_DIAS_MIN),NEUTRO,MAX(0,MIN(100,100*(RV_DIAS_CERO-BN10)/(RV_DIAS_CERO-RV_DIAS_FULL))))</f>
        <v/>
      </c>
      <c r="DV10" s="3">
        <f>RV_W_LIQ*DT10+RV_W_DIAS*DU10+RV_W_ETQ*DC10</f>
        <v/>
      </c>
      <c r="DW10" s="3">
        <f>IFERROR(VLOOKUP(L10,CARR_PEN_TBL,2,0),0)</f>
        <v/>
      </c>
      <c r="DX10" s="3">
        <f>W_FIAB*CS10+W_PRECIO*CU10+W_KMEDAD*CY10+W_ESTADO*DB10+W_USO*DK10+W_SEGURIDAD*DM10+W_SEGVIAL*DP10+W_ESTETICA*DR10+W_COLOR*DS10+W_REVENTA*DV10-DW10-EG10</f>
        <v/>
      </c>
      <c r="DY10" s="4">
        <f>IF(N(I10)&gt;0,I10,IFERROR(ROUND(_xlfn.NUMBERVALUE(LEFT(G10,FIND(" ",G10&amp;" ")-1),".")*1000,0),99999))</f>
        <v/>
      </c>
      <c r="DZ10" s="3">
        <f>IF(R10="profesional",0,IF(O10&lt;CUOTA_VALOR_MAX,IF(BW10&gt;ITP_TRAMO_ALTO,SUMIFS(CF_CUOTA,CF_MAS,ITP_TRAMO_ALTO,CF_CCMIN,"&lt;="&amp;DY10,CF_CCMAX,"&gt;="&amp;DY10),IF(BW10&gt;ITP_TRAMO_BAJO,SUMIFS(CF_CUOTA,CF_MAS,ITP_TRAMO_BAJO,CF_CCMIN,"&lt;="&amp;DY10,CF_CCMAX,"&gt;="&amp;DY10),O10*ITP_TIPO)),O10*ITP_TIPO))</f>
        <v/>
      </c>
      <c r="EA10" s="4">
        <f>IF(R10="profesional",N(AK10),0)</f>
        <v/>
      </c>
      <c r="EB10" s="3">
        <f>IF(AND(R10="profesional",ISNUMBER(AK10),AL10="sí"),0,TASA_DGT)</f>
        <v/>
      </c>
      <c r="EC10" s="3">
        <f>INFORME_DGT</f>
        <v/>
      </c>
      <c r="ED10" s="4">
        <f>O10+EA10+DZ10+EB10+EC10</f>
        <v/>
      </c>
      <c r="EE10" s="4">
        <f>ED10+N(DF10)</f>
        <v/>
      </c>
      <c r="EF10" s="3">
        <f>MAX(0,ED10-TOTAL_MAX)</f>
        <v/>
      </c>
      <c r="EG10" s="3">
        <f>EF10/100*PEN_100</f>
        <v/>
      </c>
      <c r="EH10" s="3">
        <f>IF(R10="particular",ED10+IF(AND(DA10&lt;&gt;"cadena",X10&lt;&gt;"sí"),RES_CORREA,0)+IF(AND(BJ10&lt;&gt;"sí",BW10&gt;=RES_NEUM_EDAD),RES_NEUM,0),"")</f>
        <v/>
      </c>
      <c r="EI10" s="3">
        <f>IF(ED10&lt;=TOTAL_MAX,"sí",IF(ED10&lt;=TECHO,"negociar","no"))</f>
        <v/>
      </c>
      <c r="EJ10" s="4">
        <f>ROUND(DX10,9)</f>
        <v/>
      </c>
      <c r="EK10" s="4">
        <f>IF(EI10&lt;&gt;"no",SUMPRODUCT(($EI$2:$EI$209&lt;&gt;"no")*($EJ$2:$EJ$209&gt;EJ10))+SUMPRODUCT(($EI$2:EI10&lt;&gt;"no")*($EJ$2:EJ10=EJ10)),"")</f>
        <v/>
      </c>
    </row>
    <row r="11">
      <c r="A11" s="2" t="inlineStr">
        <is>
          <t>cochesnet:71817386</t>
        </is>
      </c>
      <c r="B11" s="2" t="inlineStr">
        <is>
          <t>cochesnet</t>
        </is>
      </c>
      <c r="C11" s="2" t="inlineStr">
        <is>
          <t>https://www.coches.net/kia-picanto-10-sohc-concept-5p-gasolina-2010-en-valencia-71817386-covo.aspx</t>
        </is>
      </c>
      <c r="D11" s="2" t="inlineStr">
        <is>
          <t>KIA Picanto 1.0 SOHC Concept</t>
        </is>
      </c>
      <c r="E11" s="2" t="inlineStr">
        <is>
          <t>Kia</t>
        </is>
      </c>
      <c r="F11" s="2" t="inlineStr">
        <is>
          <t>Kia Picanto</t>
        </is>
      </c>
      <c r="G11" s="2" t="inlineStr">
        <is>
          <t>1.0</t>
        </is>
      </c>
      <c r="H11" s="2" t="inlineStr">
        <is>
          <t>1.0 SOHC Concept</t>
        </is>
      </c>
      <c r="I11" s="2" t="n"/>
      <c r="J11" s="2" t="n"/>
      <c r="K11" s="2" t="inlineStr">
        <is>
          <t>gasolina</t>
        </is>
      </c>
      <c r="L11" s="2" t="inlineStr">
        <is>
          <t>utilitario</t>
        </is>
      </c>
      <c r="M11" s="2" t="n">
        <v>2010</v>
      </c>
      <c r="N11" s="2" t="n">
        <v>99500</v>
      </c>
      <c r="O11" s="2" t="n">
        <v>4490</v>
      </c>
      <c r="P11" s="2" t="inlineStr">
        <is>
          <t>manual</t>
        </is>
      </c>
      <c r="Q11" s="2" t="inlineStr">
        <is>
          <t>no</t>
        </is>
      </c>
      <c r="R11" s="2" t="inlineStr">
        <is>
          <t>profesional</t>
        </is>
      </c>
      <c r="S11" s="2" t="inlineStr">
        <is>
          <t>JM Automóviles Alboraya</t>
        </is>
      </c>
      <c r="T11" s="2" t="inlineStr">
        <is>
          <t>2026-10-23T14:17:23Z</t>
        </is>
      </c>
      <c r="U11" s="2" t="n">
        <v>17</v>
      </c>
      <c r="V11" s="2" t="n"/>
      <c r="W11" s="2" t="n"/>
      <c r="X11" s="2" t="n"/>
      <c r="Y11" s="2" t="n"/>
      <c r="Z11" s="2" t="inlineStr">
        <is>
          <t>sí</t>
        </is>
      </c>
      <c r="AA11" s="2" t="n"/>
      <c r="AB11" s="2" t="n">
        <v>12</v>
      </c>
      <c r="AC11" s="2" t="n"/>
      <c r="AD11" s="2" t="n"/>
      <c r="AE11" s="2" t="n"/>
      <c r="AF11" s="2" t="n"/>
      <c r="AG11" s="2" t="n"/>
      <c r="AH11" s="2" t="n">
        <v>4490</v>
      </c>
      <c r="AI11" s="2" t="n">
        <v>4490</v>
      </c>
      <c r="AJ11" s="2" t="n"/>
      <c r="AK11" s="2" t="n"/>
      <c r="AL11" s="2" t="n"/>
      <c r="AM11" s="2" t="n">
        <v>4</v>
      </c>
      <c r="AN11" s="2" t="n"/>
      <c r="AO11" s="2" t="inlineStr">
        <is>
          <t>2010</t>
        </is>
      </c>
      <c r="AP11" s="2" t="n">
        <v>2010</v>
      </c>
      <c r="AQ11" s="2" t="n"/>
      <c r="AR11" s="2" t="inlineStr">
        <is>
          <t>C</t>
        </is>
      </c>
      <c r="AS11" s="2" t="inlineStr">
        <is>
          <t>anuncio</t>
        </is>
      </c>
      <c r="AT11" s="2" t="n"/>
      <c r="AU11" s="2" t="inlineStr">
        <is>
          <t>no</t>
        </is>
      </c>
      <c r="AV11" s="2" t="inlineStr">
        <is>
          <t>C</t>
        </is>
      </c>
      <c r="AW11" s="2" t="n"/>
      <c r="AX11" s="2" t="inlineStr">
        <is>
          <t>no</t>
        </is>
      </c>
      <c r="AY11" s="2" t="inlineStr">
        <is>
          <t>no</t>
        </is>
      </c>
      <c r="AZ11" s="2" t="inlineStr">
        <is>
          <t>COMMON.COLOR_BLUE</t>
        </is>
      </c>
      <c r="BA11" s="2" t="inlineStr">
        <is>
          <t>azul</t>
        </is>
      </c>
      <c r="BB11" s="3" t="n">
        <v>2</v>
      </c>
      <c r="BC11" s="3" t="inlineStr">
        <is>
          <t>(por segmento)</t>
        </is>
      </c>
      <c r="BD11" s="2" t="n"/>
      <c r="BE11" s="2" t="n"/>
      <c r="BF11" s="2" t="n"/>
      <c r="BG11" s="2" t="n"/>
      <c r="BH11" s="2" t="n"/>
      <c r="BI11" s="2" t="n"/>
      <c r="BJ11" s="2" t="n"/>
      <c r="BK11" s="2" t="n">
        <v>3</v>
      </c>
      <c r="BL11" s="2" t="inlineStr">
        <is>
          <t>no</t>
        </is>
      </c>
      <c r="BM11" s="2" t="n">
        <v>130</v>
      </c>
      <c r="BN11" s="2" t="n"/>
      <c r="BO11" s="2" t="n">
        <v>0</v>
      </c>
      <c r="BP11" s="2" t="n"/>
      <c r="BQ11" s="2" t="n"/>
      <c r="BR11" s="2" t="n"/>
      <c r="BS11" s="2" t="n"/>
      <c r="BT11" s="2" t="inlineStr">
        <is>
          <t>vendedor profesional: sin ITP (operación con IVA/REBU, confirmar en factura); gastos de gestión del vendedor no indicados: se suma la tasa DGT; preguntar el precio final; revisar: no menciona la ITV</t>
        </is>
      </c>
      <c r="BU11" s="2" t="inlineStr">
        <is>
          <t>KIA PICANTO GASOLINA – 2010 – 99.500 KM
Kia Picanto del año 2010, con motor de gasolina y 99.500 km. Un vehículo urbano, práctico y económico, ideal para el día a día, con un tamaño perfecto para moverse por ciudad y aparcar fácilmente.
DATOS PRINCIPALES
Año: 2010
Combustible: Gasolina
Kilómetros: 99.500 km
Motor: Gasolina
Cambio: Manual (por confirmar)
EQUIPAMIENTO DESTACADO
Aire acondicionado
Radio
Elevalunas eléctricos
Cierre centralizado
Dirección asistida
ABS
Interior práctico y funcional
LO MEJOR
Solo 99.500 km
Motor de gasolina
Tamaño compacto, ideal para ciudad
Fácil de aparcar
Mantenimiento económico
Vehículo en buen estado, cuidado y preparado para su entrega.</t>
        </is>
      </c>
      <c r="BV11" s="2" t="inlineStr">
        <is>
          <t>https://www.coches.net/kia-picanto-10-sohc-concept-5p-gasolina-2010-en-valencia-71817386-covo.aspx (window.__INITIAL_PROPS__.ad) /home/user/Alopecia/buscador-coches/raw/cochesnet/7d779d6ecf209f81.json</t>
        </is>
      </c>
      <c r="BW11" s="3">
        <f>MAX(ANIO_ACTUAL-M11,0)</f>
        <v/>
      </c>
      <c r="BX11" s="4">
        <f>N11/MAX(BW11,0.5)</f>
        <v/>
      </c>
      <c r="BY11" s="4">
        <f>F11</f>
        <v/>
      </c>
      <c r="BZ11" s="3">
        <f>BY11&amp;"|"&amp;INT(M11/SEG_ANIO)*SEG_ANIO</f>
        <v/>
      </c>
      <c r="CA11" s="3">
        <f>BZ11&amp;"|"&amp;INT(N11/SEG_KM)*SEG_KM</f>
        <v/>
      </c>
      <c r="CB11" s="4">
        <f>COUNTIF($BY$2:$BY$209,BY11)</f>
        <v/>
      </c>
      <c r="CC11" s="4">
        <f>COUNTIF($BZ$2:$BZ$209,BZ11)</f>
        <v/>
      </c>
      <c r="CD11" s="4">
        <f>COUNTIF($CA$2:$CA$209,CA11)</f>
        <v/>
      </c>
      <c r="CE11" s="3">
        <f t="array" ref="CE11">IF(N(BQ11)&gt;=MIN_N,BP11,IF(CD11&gt;=MIN_N,MEDIAN(IF($CA$2:$CA$209=CA11,$O$2:$O$209)),IF(CC11&gt;=MIN_N,MEDIAN(IF($BZ$2:$BZ$209=BZ11,$O$2:$O$209)),MEDIAN(IF($BY$2:$BY$209=BY11,$O$2:$O$209)))))</f>
        <v/>
      </c>
      <c r="CF11" s="3">
        <f>IF(N(BQ11)&gt;=MIN_N,"mercado "&amp;BR11,IF(CD11&gt;=MIN_N,"modelo+año+km",IF(CC11&gt;=MIN_N,"modelo+año","modelo")))</f>
        <v/>
      </c>
      <c r="CG11" s="4">
        <f>(CE11-O11)/CE11</f>
        <v/>
      </c>
      <c r="CH11" s="3">
        <f>IF(COUNTIFS(FR_FUEL,K11,FR_YEAR,AP11)&gt;0,1,0)</f>
        <v/>
      </c>
      <c r="CI11" s="3">
        <f>IF(COUNTIFS(FR_FUEL,K11,FR_YEAR,AP11-1)&gt;0,1,0)</f>
        <v/>
      </c>
      <c r="CJ11" s="4">
        <f>IF(N(AQ11)&gt;0,AP11*100+AQ11,IF(AND(CH11=1,CI11=1),(AP11-1)*100+1,AP11*100+1))</f>
        <v/>
      </c>
      <c r="CK11" s="3">
        <f>IF(OR(K11="hibrido",K11="glp",K11="gnc",K11="phev"),"ECO",IF(K11="electrico","CERO",IF(K11="gasolina",IF(CJ11&gt;=GAS_C_YM,"C",IF(CJ11&gt;=GAS_B_YM,"B","A")),IF(K11="diesel",IF(CJ11&gt;=DIE_C_YM,"C",IF(CJ11&gt;=DIE_B_YM,"B","A")),""))))</f>
        <v/>
      </c>
      <c r="CL11" s="2" t="inlineStr">
        <is>
          <t>C</t>
        </is>
      </c>
      <c r="CM11" s="4">
        <f>IF(AU11="sí","sí",IF(AS11="regla",IF(AND(N(AQ11)=0,CH11=1),"sí","no"),"no"))</f>
        <v/>
      </c>
      <c r="CN11" s="3">
        <f>IFERROR(VLOOKUP(F11,MOD_TBL,16,0),IFERROR(VLOOKUP(E11,OCU_TBL,2,0),NEUTRO))</f>
        <v/>
      </c>
      <c r="CO11" s="3">
        <f>SUMIFS(MOT_AJUSTE,MOT_MOTOR,G11,MOT_MARCA,E11,MOT_DESDE,"&lt;="&amp;M11,MOT_HASTA,"&gt;="&amp;M11)+SUMIFS(MOT_AJUSTE,MOT_MOTOR,G11,MOT_MARCA,"(todas)",MOT_DESDE,"&lt;="&amp;M11,MOT_HASTA,"&gt;="&amp;M11)+SUMIFS(MOT_AJUSTE,MOT_MOTOR,"(cualquiera)",MOT_MARCA,E11,MOT_DESDE,"&lt;="&amp;M11,MOT_HASTA,"&gt;="&amp;M11)</f>
        <v/>
      </c>
      <c r="CP11" s="3">
        <f>SUMIFS(COMB_AJUSTE,COMB_COMB,K11)</f>
        <v/>
      </c>
      <c r="CQ11" s="3">
        <f>COUNTIFS(MOT_MOTOR,G11,MOT_MARCA,E11,MOT_DESDE,"&lt;="&amp;M11,MOT_HASTA,"&gt;="&amp;M11)+COUNTIFS(MOT_MOTOR,G11,MOT_MARCA,"(todas)",MOT_DESDE,"&lt;="&amp;M11,MOT_HASTA,"&gt;="&amp;M11)+COUNTIFS(MOT_MOTOR,"(cualquiera)",MOT_MARCA,E11,MOT_DESDE,"&lt;="&amp;M11,MOT_HASTA,"&gt;="&amp;M11)</f>
        <v/>
      </c>
      <c r="CR11" s="3">
        <f>IF(AND(K11="diesel",CQ11=0),MIN(CN11,NEUTRO),CN11)</f>
        <v/>
      </c>
      <c r="CS11" s="3">
        <f>MAX(0,MIN(100,CR11+CO11+CP11-IF(AX11="sí",ROB_PEN,0)))</f>
        <v/>
      </c>
      <c r="CT11" s="3">
        <f>100-MAX(0,N11-KM_TOPE_DESDE)/1000*KM_TOPE_PTS</f>
        <v/>
      </c>
      <c r="CU11" s="3">
        <f>MAX(0,MIN(100,50+CG11*PRECIO_PEND,CT11))</f>
        <v/>
      </c>
      <c r="CV11" s="3">
        <f>MAX(0,100*(1-N11/KM_MAX))</f>
        <v/>
      </c>
      <c r="CW11" s="3">
        <f>IF(BX11&lt;KMA_SOSP,IF(AA11="sí",100,KMA_PEN),IF(BX11&lt;=KMA_IDEAL_MAX,100,MAX(0,100*(KMA_CERO-BX11)/(KMA_CERO-KMA_IDEAL_MAX))))</f>
        <v/>
      </c>
      <c r="CX11" s="3">
        <f>MAX(0,MIN(100,100*(M11-ANIO_MIN)/(ANIO_ACTUAL-ANIO_MIN)))</f>
        <v/>
      </c>
      <c r="CY11" s="3">
        <f>W_KMT*CV11+W_KMA*CW11+W_EDAD*CX11</f>
        <v/>
      </c>
      <c r="CZ11" s="4">
        <f>E11&amp;"|"&amp;G11</f>
        <v/>
      </c>
      <c r="DA11" s="3">
        <f>IFERROR(VLOOKUP(CZ11,DIST_TBL,2,0),"")</f>
        <v/>
      </c>
      <c r="DB11" s="3">
        <f>E_ITV*(V11="sí")+E_LIBRO*(W11="sí")+E_PROP*IF(Y11=1,1,IF(Y11=2,0.5,0))+E_CORREA*IF(OR(DA11="cadena",AND(X11="sí",BH11="sí")),1,IF(X11="sí",0.5,0))+E_FACT*(BI11="sí")</f>
        <v/>
      </c>
      <c r="DC11" s="3">
        <f>MAX(0,MIN(100,IFERROR(VLOOKUP(CL11,ETQ_TBL,2,0),0)-IF(CM11="sí",ETQ_PEN_DUD,IF(AS11="regla",ETQ_PEN_REGLA,0))))</f>
        <v/>
      </c>
      <c r="DD11" s="3">
        <f>IF(K11&lt;&gt;"gasolina","",IFERROR(VLOOKUP(F11,CONS_MOD_TBL,2,0),IFERROR(VLOOKUP(L11,CONS_SEG_TBL,2,0),"")))</f>
        <v/>
      </c>
      <c r="DE11" s="3">
        <f>IF(DD11="",NEUTRO,MAX(0,MIN(100,100*(CONS_REF_MAX-DD11)/(CONS_REF_MAX-CONS_REF_MIN))))</f>
        <v/>
      </c>
      <c r="DF11" s="3">
        <f>IFERROR(VLOOKUP(L11,SEGURO_TBL,3,0),"")</f>
        <v/>
      </c>
      <c r="DG11" s="3">
        <f>IF(DF11="",NEUTRO,MAX(0,MIN(100,100*(SEG_REF_MAX-DF11)/(SEG_REF_MAX-SEG_REF_MIN))))</f>
        <v/>
      </c>
      <c r="DH11" s="3">
        <f>IFERROR(VLOOKUP(E11,MANT_MARCA_TBL,2,0)+0,NEUTRO)</f>
        <v/>
      </c>
      <c r="DI11" s="3">
        <f>IF(DA11="",NEUTRO,IFERROR(VLOOKUP(DA11,DIST_PTS_TBL,2,0)+0,NEUTRO))</f>
        <v/>
      </c>
      <c r="DJ11" s="4">
        <f>(DH11+DI11)/2</f>
        <v/>
      </c>
      <c r="DK11" s="3">
        <f>W_CONS*DE11+W_SEG*DG11+W_MANT*DJ11</f>
        <v/>
      </c>
      <c r="DL11" s="3">
        <f>IF(N(AB11)&gt;0,AB11,IF(AND(R11="profesional",SG_LEGAL_ON=1),GAR_LEGAL,0))</f>
        <v/>
      </c>
      <c r="DM11" s="3">
        <f>MAX(0,MIN(100,SG_GAR*MIN(1,DL11/SG_GAR_FULL)+SG_AMPL*(AC11="sí")+SG_KMC*(AF11="sí")+SG_REV*(N(AE11)&gt;0)+SG_DEV*MIN(1,N(AG11)/SG_DEV_FULL)+SG_HIST*(W11="sí")-IF(AND(R11="particular",DL11=0),SG_PART_PEN,0)))</f>
        <v/>
      </c>
      <c r="DN11" s="3">
        <f>IF(BK11="",NEUTRO,MAX(0,MIN(100,BK11/5*100)))</f>
        <v/>
      </c>
      <c r="DO11" s="3">
        <f>IF(BL11="sí",100,IF(BL11="no",0,NEUTRO))</f>
        <v/>
      </c>
      <c r="DP11" s="3">
        <f>SV_W_NCAP*DN11+SV_W_ESP*DO11</f>
        <v/>
      </c>
      <c r="DQ11" s="3">
        <f>MAX(0,MIN(100,ATR_BASE+ATR_ACAB*(BD11&lt;&gt;"")+IF(BE11="16+",ATR_LL16,IF(BE11="sí",ATR_LL,0))+ATR_FAROS*(BF11="sí")+ATR_TINT*(BG11="sí")-ATR_CHAPA*(BE11="chapa")))</f>
        <v/>
      </c>
      <c r="DR11" s="3">
        <f>EST_W_MOD*(BB11-1)/4*100+EST_W_ATR*DQ11</f>
        <v/>
      </c>
      <c r="DS11" s="3">
        <f>IF(BA11="",NEUTRO,IFERROR(VLOOKUP(BA11,COLOR_TBL,2,0)+0,NEUTRO))</f>
        <v/>
      </c>
      <c r="DT11" s="3">
        <f>MAX(0,MIN(100,100*N(BM11)/RV_N_FULL))</f>
        <v/>
      </c>
      <c r="DU11" s="3">
        <f>IF(OR(BN11="",N(BO11)&lt;RV_DIAS_MIN),NEUTRO,MAX(0,MIN(100,100*(RV_DIAS_CERO-BN11)/(RV_DIAS_CERO-RV_DIAS_FULL))))</f>
        <v/>
      </c>
      <c r="DV11" s="3">
        <f>RV_W_LIQ*DT11+RV_W_DIAS*DU11+RV_W_ETQ*DC11</f>
        <v/>
      </c>
      <c r="DW11" s="3">
        <f>IFERROR(VLOOKUP(L11,CARR_PEN_TBL,2,0),0)</f>
        <v/>
      </c>
      <c r="DX11" s="3">
        <f>W_FIAB*CS11+W_PRECIO*CU11+W_KMEDAD*CY11+W_ESTADO*DB11+W_USO*DK11+W_SEGURIDAD*DM11+W_SEGVIAL*DP11+W_ESTETICA*DR11+W_COLOR*DS11+W_REVENTA*DV11-DW11-EG11</f>
        <v/>
      </c>
      <c r="DY11" s="4">
        <f>IF(N(I11)&gt;0,I11,IFERROR(ROUND(_xlfn.NUMBERVALUE(LEFT(G11,FIND(" ",G11&amp;" ")-1),".")*1000,0),99999))</f>
        <v/>
      </c>
      <c r="DZ11" s="3">
        <f>IF(R11="profesional",0,IF(O11&lt;CUOTA_VALOR_MAX,IF(BW11&gt;ITP_TRAMO_ALTO,SUMIFS(CF_CUOTA,CF_MAS,ITP_TRAMO_ALTO,CF_CCMIN,"&lt;="&amp;DY11,CF_CCMAX,"&gt;="&amp;DY11),IF(BW11&gt;ITP_TRAMO_BAJO,SUMIFS(CF_CUOTA,CF_MAS,ITP_TRAMO_BAJO,CF_CCMIN,"&lt;="&amp;DY11,CF_CCMAX,"&gt;="&amp;DY11),O11*ITP_TIPO)),O11*ITP_TIPO))</f>
        <v/>
      </c>
      <c r="EA11" s="4">
        <f>IF(R11="profesional",N(AK11),0)</f>
        <v/>
      </c>
      <c r="EB11" s="3">
        <f>IF(AND(R11="profesional",ISNUMBER(AK11),AL11="sí"),0,TASA_DGT)</f>
        <v/>
      </c>
      <c r="EC11" s="3">
        <f>INFORME_DGT</f>
        <v/>
      </c>
      <c r="ED11" s="4">
        <f>O11+EA11+DZ11+EB11+EC11</f>
        <v/>
      </c>
      <c r="EE11" s="4">
        <f>ED11+N(DF11)</f>
        <v/>
      </c>
      <c r="EF11" s="3">
        <f>MAX(0,ED11-TOTAL_MAX)</f>
        <v/>
      </c>
      <c r="EG11" s="3">
        <f>EF11/100*PEN_100</f>
        <v/>
      </c>
      <c r="EH11" s="3">
        <f>IF(R11="particular",ED11+IF(AND(DA11&lt;&gt;"cadena",X11&lt;&gt;"sí"),RES_CORREA,0)+IF(AND(BJ11&lt;&gt;"sí",BW11&gt;=RES_NEUM_EDAD),RES_NEUM,0),"")</f>
        <v/>
      </c>
      <c r="EI11" s="3">
        <f>IF(ED11&lt;=TOTAL_MAX,"sí",IF(ED11&lt;=TECHO,"negociar","no"))</f>
        <v/>
      </c>
      <c r="EJ11" s="4">
        <f>ROUND(DX11,9)</f>
        <v/>
      </c>
      <c r="EK11" s="4">
        <f>IF(EI11&lt;&gt;"no",SUMPRODUCT(($EI$2:$EI$209&lt;&gt;"no")*($EJ$2:$EJ$209&gt;EJ11))+SUMPRODUCT(($EI$2:EI11&lt;&gt;"no")*($EJ$2:EJ11=EJ11)),"")</f>
        <v/>
      </c>
    </row>
    <row r="12">
      <c r="A12" s="2" t="inlineStr">
        <is>
          <t>cochesnet:70216779</t>
        </is>
      </c>
      <c r="B12" s="2" t="inlineStr">
        <is>
          <t>cochesnet</t>
        </is>
      </c>
      <c r="C12" s="2" t="inlineStr">
        <is>
          <t>https://www.coches.net/opel-corsa-13-ecoflex-75-cv-essentia-5p-diesel-2012-en-valencia-70216779-covo.aspx</t>
        </is>
      </c>
      <c r="D12" s="2" t="inlineStr">
        <is>
          <t>OPEL Corsa 1.3 ecoFLEX 75 CV Essentia</t>
        </is>
      </c>
      <c r="E12" s="2" t="inlineStr">
        <is>
          <t>Opel</t>
        </is>
      </c>
      <c r="F12" s="2" t="inlineStr">
        <is>
          <t>Opel Corsa</t>
        </is>
      </c>
      <c r="G12" s="2" t="inlineStr">
        <is>
          <t>1.3</t>
        </is>
      </c>
      <c r="H12" s="2" t="inlineStr">
        <is>
          <t>1.3 ecoFLEX 75 CV Essentia</t>
        </is>
      </c>
      <c r="I12" s="2" t="n"/>
      <c r="J12" s="2" t="n">
        <v>75</v>
      </c>
      <c r="K12" s="2" t="inlineStr">
        <is>
          <t>diesel</t>
        </is>
      </c>
      <c r="L12" s="2" t="inlineStr">
        <is>
          <t>utilitario</t>
        </is>
      </c>
      <c r="M12" s="2" t="n">
        <v>2011</v>
      </c>
      <c r="N12" s="2" t="n">
        <v>193600</v>
      </c>
      <c r="O12" s="2" t="n">
        <v>4300</v>
      </c>
      <c r="P12" s="2" t="inlineStr">
        <is>
          <t>manual</t>
        </is>
      </c>
      <c r="Q12" s="2" t="inlineStr">
        <is>
          <t>no</t>
        </is>
      </c>
      <c r="R12" s="2" t="inlineStr">
        <is>
          <t>profesional</t>
        </is>
      </c>
      <c r="S12" s="2" t="inlineStr">
        <is>
          <t>Motor Valencia Alaquàs</t>
        </is>
      </c>
      <c r="T12" s="2" t="inlineStr">
        <is>
          <t>2026-09-11T18:55:45Z</t>
        </is>
      </c>
      <c r="U12" s="2" t="n">
        <v>16</v>
      </c>
      <c r="V12" s="2" t="inlineStr">
        <is>
          <t>sí</t>
        </is>
      </c>
      <c r="W12" s="2" t="n"/>
      <c r="X12" s="2" t="n"/>
      <c r="Y12" s="2" t="n"/>
      <c r="Z12" s="2" t="inlineStr">
        <is>
          <t>sí</t>
        </is>
      </c>
      <c r="AA12" s="2" t="n"/>
      <c r="AB12" s="2" t="n">
        <v>12</v>
      </c>
      <c r="AC12" s="2" t="n"/>
      <c r="AD12" s="2" t="n"/>
      <c r="AE12" s="2" t="n"/>
      <c r="AF12" s="2" t="n"/>
      <c r="AG12" s="2" t="n"/>
      <c r="AH12" s="2" t="n">
        <v>4300</v>
      </c>
      <c r="AI12" s="2" t="n">
        <v>4300</v>
      </c>
      <c r="AJ12" s="2" t="n"/>
      <c r="AK12" s="2" t="n"/>
      <c r="AL12" s="2" t="n"/>
      <c r="AM12" s="2" t="n">
        <v>7.4</v>
      </c>
      <c r="AN12" s="2" t="n"/>
      <c r="AO12" s="2" t="inlineStr">
        <is>
          <t>2011</t>
        </is>
      </c>
      <c r="AP12" s="2" t="n">
        <v>2011</v>
      </c>
      <c r="AQ12" s="2" t="n"/>
      <c r="AR12" s="2" t="n"/>
      <c r="AS12" s="2" t="inlineStr">
        <is>
          <t>regla</t>
        </is>
      </c>
      <c r="AT12" s="2" t="n">
        <v>2012</v>
      </c>
      <c r="AU12" s="2" t="inlineStr">
        <is>
          <t>no</t>
        </is>
      </c>
      <c r="AV12" s="2" t="inlineStr">
        <is>
          <t>B</t>
        </is>
      </c>
      <c r="AW12" s="2" t="n"/>
      <c r="AX12" s="2" t="inlineStr">
        <is>
          <t>no</t>
        </is>
      </c>
      <c r="AY12" s="2" t="inlineStr">
        <is>
          <t>no</t>
        </is>
      </c>
      <c r="AZ12" s="2" t="inlineStr">
        <is>
          <t>COMMON.COLOR_BLUE</t>
        </is>
      </c>
      <c r="BA12" s="2" t="inlineStr">
        <is>
          <t>azul</t>
        </is>
      </c>
      <c r="BB12" s="3" t="n">
        <v>2</v>
      </c>
      <c r="BC12" s="3" t="inlineStr">
        <is>
          <t>(por segmento)</t>
        </is>
      </c>
      <c r="BD12" s="2" t="n"/>
      <c r="BE12" s="2" t="n"/>
      <c r="BF12" s="2" t="n"/>
      <c r="BG12" s="2" t="n"/>
      <c r="BH12" s="2" t="n"/>
      <c r="BI12" s="2" t="n"/>
      <c r="BJ12" s="2" t="n"/>
      <c r="BK12" s="2" t="n">
        <v>5</v>
      </c>
      <c r="BL12" s="2" t="n"/>
      <c r="BM12" s="2" t="n">
        <v>456</v>
      </c>
      <c r="BN12" s="2" t="n">
        <v>0.05126157402992249</v>
      </c>
      <c r="BO12" s="2" t="n">
        <v>11</v>
      </c>
      <c r="BP12" s="2" t="n">
        <v>3500</v>
      </c>
      <c r="BQ12" s="2" t="n">
        <v>7</v>
      </c>
      <c r="BR12" s="2" t="inlineStr">
        <is>
          <t>modelo+año+km</t>
        </is>
      </c>
      <c r="BS12" s="2" t="n"/>
      <c r="BT12" s="2" t="inlineStr">
        <is>
          <t>año a confirmar: la URL/título dice 2012; vendedor profesional: sin ITP (operación con IVA/REBU, confirmar en factura); gastos de gestión del vendedor no indicados: se suma la tasa DGT; preguntar el precio final; diésel: motor sin fuente de fiabilidad (fiabilidad limitada a neutra); etiqueta B deducida por fecha (sin matrícula ni dato del anuncio)</t>
        </is>
      </c>
      <c r="BU12" s="2" t="inlineStr">
        <is>
          <t>MOTOR MUY DURADERO Y MINIMO CONSUMO, SE ENTREGA CON MANTENIMIENTO COMPLETO Y KIT CADENA DISTRIBUCION REALIZADO, ITV RECIEN PASADA, CON GARANTIA, LIMPIO Y DESINFECTADO DE TAPICERIA, SE ACEPTA PRUEBAS VEHICULO DONDE DESIGNE COMPRADOR, VISITE STOCK VEHICULOS DISPONIBLES EN NUESTRA PAGINA WEB</t>
        </is>
      </c>
      <c r="BV12" s="2" t="inlineStr">
        <is>
          <t>https://www.coches.net/opel-corsa-13-ecoflex-75-cv-essentia-5p-diesel-2012-en-valencia-70216779-covo.aspx (window.__INITIAL_PROPS__.ad) /home/user/Alopecia/buscador-coches/raw/cochesnet/ee37a0c149e995e6.json</t>
        </is>
      </c>
      <c r="BW12" s="3">
        <f>MAX(ANIO_ACTUAL-M12,0)</f>
        <v/>
      </c>
      <c r="BX12" s="4">
        <f>N12/MAX(BW12,0.5)</f>
        <v/>
      </c>
      <c r="BY12" s="4">
        <f>F12</f>
        <v/>
      </c>
      <c r="BZ12" s="3">
        <f>BY12&amp;"|"&amp;INT(M12/SEG_ANIO)*SEG_ANIO</f>
        <v/>
      </c>
      <c r="CA12" s="3">
        <f>BZ12&amp;"|"&amp;INT(N12/SEG_KM)*SEG_KM</f>
        <v/>
      </c>
      <c r="CB12" s="4">
        <f>COUNTIF($BY$2:$BY$209,BY12)</f>
        <v/>
      </c>
      <c r="CC12" s="4">
        <f>COUNTIF($BZ$2:$BZ$209,BZ12)</f>
        <v/>
      </c>
      <c r="CD12" s="4">
        <f>COUNTIF($CA$2:$CA$209,CA12)</f>
        <v/>
      </c>
      <c r="CE12" s="3">
        <f t="array" ref="CE12">IF(N(BQ12)&gt;=MIN_N,BP12,IF(CD12&gt;=MIN_N,MEDIAN(IF($CA$2:$CA$209=CA12,$O$2:$O$209)),IF(CC12&gt;=MIN_N,MEDIAN(IF($BZ$2:$BZ$209=BZ12,$O$2:$O$209)),MEDIAN(IF($BY$2:$BY$209=BY12,$O$2:$O$209)))))</f>
        <v/>
      </c>
      <c r="CF12" s="3">
        <f>IF(N(BQ12)&gt;=MIN_N,"mercado "&amp;BR12,IF(CD12&gt;=MIN_N,"modelo+año+km",IF(CC12&gt;=MIN_N,"modelo+año","modelo")))</f>
        <v/>
      </c>
      <c r="CG12" s="4">
        <f>(CE12-O12)/CE12</f>
        <v/>
      </c>
      <c r="CH12" s="3">
        <f>IF(COUNTIFS(FR_FUEL,K12,FR_YEAR,AP12)&gt;0,1,0)</f>
        <v/>
      </c>
      <c r="CI12" s="3">
        <f>IF(COUNTIFS(FR_FUEL,K12,FR_YEAR,AP12-1)&gt;0,1,0)</f>
        <v/>
      </c>
      <c r="CJ12" s="4">
        <f>IF(N(AQ12)&gt;0,AP12*100+AQ12,IF(AND(CH12=1,CI12=1),(AP12-1)*100+1,AP12*100+1))</f>
        <v/>
      </c>
      <c r="CK12" s="3">
        <f>IF(OR(K12="hibrido",K12="glp",K12="gnc",K12="phev"),"ECO",IF(K12="electrico","CERO",IF(K12="gasolina",IF(CJ12&gt;=GAS_C_YM,"C",IF(CJ12&gt;=GAS_B_YM,"B","A")),IF(K12="diesel",IF(CJ12&gt;=DIE_C_YM,"C",IF(CJ12&gt;=DIE_B_YM,"B","A")),""))))</f>
        <v/>
      </c>
      <c r="CL12" s="4">
        <f>CK12</f>
        <v/>
      </c>
      <c r="CM12" s="4">
        <f>IF(AU12="sí","sí",IF(AS12="regla",IF(AND(N(AQ12)=0,CH12=1),"sí","no"),"no"))</f>
        <v/>
      </c>
      <c r="CN12" s="3">
        <f>IFERROR(VLOOKUP(F12,MOD_TBL,16,0),IFERROR(VLOOKUP(E12,OCU_TBL,2,0),NEUTRO))</f>
        <v/>
      </c>
      <c r="CO12" s="3">
        <f>SUMIFS(MOT_AJUSTE,MOT_MOTOR,G12,MOT_MARCA,E12,MOT_DESDE,"&lt;="&amp;M12,MOT_HASTA,"&gt;="&amp;M12)+SUMIFS(MOT_AJUSTE,MOT_MOTOR,G12,MOT_MARCA,"(todas)",MOT_DESDE,"&lt;="&amp;M12,MOT_HASTA,"&gt;="&amp;M12)+SUMIFS(MOT_AJUSTE,MOT_MOTOR,"(cualquiera)",MOT_MARCA,E12,MOT_DESDE,"&lt;="&amp;M12,MOT_HASTA,"&gt;="&amp;M12)</f>
        <v/>
      </c>
      <c r="CP12" s="3">
        <f>SUMIFS(COMB_AJUSTE,COMB_COMB,K12)</f>
        <v/>
      </c>
      <c r="CQ12" s="3">
        <f>COUNTIFS(MOT_MOTOR,G12,MOT_MARCA,E12,MOT_DESDE,"&lt;="&amp;M12,MOT_HASTA,"&gt;="&amp;M12)+COUNTIFS(MOT_MOTOR,G12,MOT_MARCA,"(todas)",MOT_DESDE,"&lt;="&amp;M12,MOT_HASTA,"&gt;="&amp;M12)+COUNTIFS(MOT_MOTOR,"(cualquiera)",MOT_MARCA,E12,MOT_DESDE,"&lt;="&amp;M12,MOT_HASTA,"&gt;="&amp;M12)</f>
        <v/>
      </c>
      <c r="CR12" s="3">
        <f>IF(AND(K12="diesel",CQ12=0),MIN(CN12,NEUTRO),CN12)</f>
        <v/>
      </c>
      <c r="CS12" s="3">
        <f>MAX(0,MIN(100,CR12+CO12+CP12-IF(AX12="sí",ROB_PEN,0)))</f>
        <v/>
      </c>
      <c r="CT12" s="3">
        <f>100-MAX(0,N12-KM_TOPE_DESDE)/1000*KM_TOPE_PTS</f>
        <v/>
      </c>
      <c r="CU12" s="3">
        <f>MAX(0,MIN(100,50+CG12*PRECIO_PEND,CT12))</f>
        <v/>
      </c>
      <c r="CV12" s="3">
        <f>MAX(0,100*(1-N12/KM_MAX))</f>
        <v/>
      </c>
      <c r="CW12" s="3">
        <f>IF(BX12&lt;KMA_SOSP,IF(AA12="sí",100,KMA_PEN),IF(BX12&lt;=KMA_IDEAL_MAX,100,MAX(0,100*(KMA_CERO-BX12)/(KMA_CERO-KMA_IDEAL_MAX))))</f>
        <v/>
      </c>
      <c r="CX12" s="3">
        <f>MAX(0,MIN(100,100*(M12-ANIO_MIN)/(ANIO_ACTUAL-ANIO_MIN)))</f>
        <v/>
      </c>
      <c r="CY12" s="3">
        <f>W_KMT*CV12+W_KMA*CW12+W_EDAD*CX12</f>
        <v/>
      </c>
      <c r="CZ12" s="4">
        <f>E12&amp;"|"&amp;G12</f>
        <v/>
      </c>
      <c r="DA12" s="3">
        <f>IFERROR(VLOOKUP(CZ12,DIST_TBL,2,0),"")</f>
        <v/>
      </c>
      <c r="DB12" s="3">
        <f>E_ITV*(V12="sí")+E_LIBRO*(W12="sí")+E_PROP*IF(Y12=1,1,IF(Y12=2,0.5,0))+E_CORREA*IF(OR(DA12="cadena",AND(X12="sí",BH12="sí")),1,IF(X12="sí",0.5,0))+E_FACT*(BI12="sí")</f>
        <v/>
      </c>
      <c r="DC12" s="3">
        <f>MAX(0,MIN(100,IFERROR(VLOOKUP(CL12,ETQ_TBL,2,0),0)-IF(CM12="sí",ETQ_PEN_DUD,IF(AS12="regla",ETQ_PEN_REGLA,0))))</f>
        <v/>
      </c>
      <c r="DD12" s="3">
        <f>IF(K12&lt;&gt;"gasolina","",IFERROR(VLOOKUP(F12,CONS_MOD_TBL,2,0),IFERROR(VLOOKUP(L12,CONS_SEG_TBL,2,0),"")))</f>
        <v/>
      </c>
      <c r="DE12" s="3">
        <f>IF(DD12="",NEUTRO,MAX(0,MIN(100,100*(CONS_REF_MAX-DD12)/(CONS_REF_MAX-CONS_REF_MIN))))</f>
        <v/>
      </c>
      <c r="DF12" s="3">
        <f>IFERROR(VLOOKUP(L12,SEGURO_TBL,3,0),"")</f>
        <v/>
      </c>
      <c r="DG12" s="3">
        <f>IF(DF12="",NEUTRO,MAX(0,MIN(100,100*(SEG_REF_MAX-DF12)/(SEG_REF_MAX-SEG_REF_MIN))))</f>
        <v/>
      </c>
      <c r="DH12" s="3">
        <f>IFERROR(VLOOKUP(E12,MANT_MARCA_TBL,2,0)+0,NEUTRO)</f>
        <v/>
      </c>
      <c r="DI12" s="3">
        <f>IF(DA12="",NEUTRO,IFERROR(VLOOKUP(DA12,DIST_PTS_TBL,2,0)+0,NEUTRO))</f>
        <v/>
      </c>
      <c r="DJ12" s="4">
        <f>(DH12+DI12)/2</f>
        <v/>
      </c>
      <c r="DK12" s="3">
        <f>W_CONS*DE12+W_SEG*DG12+W_MANT*DJ12</f>
        <v/>
      </c>
      <c r="DL12" s="3">
        <f>IF(N(AB12)&gt;0,AB12,IF(AND(R12="profesional",SG_LEGAL_ON=1),GAR_LEGAL,0))</f>
        <v/>
      </c>
      <c r="DM12" s="3">
        <f>MAX(0,MIN(100,SG_GAR*MIN(1,DL12/SG_GAR_FULL)+SG_AMPL*(AC12="sí")+SG_KMC*(AF12="sí")+SG_REV*(N(AE12)&gt;0)+SG_DEV*MIN(1,N(AG12)/SG_DEV_FULL)+SG_HIST*(W12="sí")-IF(AND(R12="particular",DL12=0),SG_PART_PEN,0)))</f>
        <v/>
      </c>
      <c r="DN12" s="3">
        <f>IF(BK12="",NEUTRO,MAX(0,MIN(100,BK12/5*100)))</f>
        <v/>
      </c>
      <c r="DO12" s="3">
        <f>IF(BL12="sí",100,IF(BL12="no",0,NEUTRO))</f>
        <v/>
      </c>
      <c r="DP12" s="3">
        <f>SV_W_NCAP*DN12+SV_W_ESP*DO12</f>
        <v/>
      </c>
      <c r="DQ12" s="3">
        <f>MAX(0,MIN(100,ATR_BASE+ATR_ACAB*(BD12&lt;&gt;"")+IF(BE12="16+",ATR_LL16,IF(BE12="sí",ATR_LL,0))+ATR_FAROS*(BF12="sí")+ATR_TINT*(BG12="sí")-ATR_CHAPA*(BE12="chapa")))</f>
        <v/>
      </c>
      <c r="DR12" s="3">
        <f>EST_W_MOD*(BB12-1)/4*100+EST_W_ATR*DQ12</f>
        <v/>
      </c>
      <c r="DS12" s="3">
        <f>IF(BA12="",NEUTRO,IFERROR(VLOOKUP(BA12,COLOR_TBL,2,0)+0,NEUTRO))</f>
        <v/>
      </c>
      <c r="DT12" s="3">
        <f>MAX(0,MIN(100,100*N(BM12)/RV_N_FULL))</f>
        <v/>
      </c>
      <c r="DU12" s="3">
        <f>IF(OR(BN12="",N(BO12)&lt;RV_DIAS_MIN),NEUTRO,MAX(0,MIN(100,100*(RV_DIAS_CERO-BN12)/(RV_DIAS_CERO-RV_DIAS_FULL))))</f>
        <v/>
      </c>
      <c r="DV12" s="3">
        <f>RV_W_LIQ*DT12+RV_W_DIAS*DU12+RV_W_ETQ*DC12</f>
        <v/>
      </c>
      <c r="DW12" s="3">
        <f>IFERROR(VLOOKUP(L12,CARR_PEN_TBL,2,0),0)</f>
        <v/>
      </c>
      <c r="DX12" s="3">
        <f>W_FIAB*CS12+W_PRECIO*CU12+W_KMEDAD*CY12+W_ESTADO*DB12+W_USO*DK12+W_SEGURIDAD*DM12+W_SEGVIAL*DP12+W_ESTETICA*DR12+W_COLOR*DS12+W_REVENTA*DV12-DW12-EG12</f>
        <v/>
      </c>
      <c r="DY12" s="4">
        <f>IF(N(I12)&gt;0,I12,IFERROR(ROUND(_xlfn.NUMBERVALUE(LEFT(G12,FIND(" ",G12&amp;" ")-1),".")*1000,0),99999))</f>
        <v/>
      </c>
      <c r="DZ12" s="3">
        <f>IF(R12="profesional",0,IF(O12&lt;CUOTA_VALOR_MAX,IF(BW12&gt;ITP_TRAMO_ALTO,SUMIFS(CF_CUOTA,CF_MAS,ITP_TRAMO_ALTO,CF_CCMIN,"&lt;="&amp;DY12,CF_CCMAX,"&gt;="&amp;DY12),IF(BW12&gt;ITP_TRAMO_BAJO,SUMIFS(CF_CUOTA,CF_MAS,ITP_TRAMO_BAJO,CF_CCMIN,"&lt;="&amp;DY12,CF_CCMAX,"&gt;="&amp;DY12),O12*ITP_TIPO)),O12*ITP_TIPO))</f>
        <v/>
      </c>
      <c r="EA12" s="4">
        <f>IF(R12="profesional",N(AK12),0)</f>
        <v/>
      </c>
      <c r="EB12" s="3">
        <f>IF(AND(R12="profesional",ISNUMBER(AK12),AL12="sí"),0,TASA_DGT)</f>
        <v/>
      </c>
      <c r="EC12" s="3">
        <f>INFORME_DGT</f>
        <v/>
      </c>
      <c r="ED12" s="4">
        <f>O12+EA12+DZ12+EB12+EC12</f>
        <v/>
      </c>
      <c r="EE12" s="4">
        <f>ED12+N(DF12)</f>
        <v/>
      </c>
      <c r="EF12" s="3">
        <f>MAX(0,ED12-TOTAL_MAX)</f>
        <v/>
      </c>
      <c r="EG12" s="3">
        <f>EF12/100*PEN_100</f>
        <v/>
      </c>
      <c r="EH12" s="3">
        <f>IF(R12="particular",ED12+IF(AND(DA12&lt;&gt;"cadena",X12&lt;&gt;"sí"),RES_CORREA,0)+IF(AND(BJ12&lt;&gt;"sí",BW12&gt;=RES_NEUM_EDAD),RES_NEUM,0),"")</f>
        <v/>
      </c>
      <c r="EI12" s="3">
        <f>IF(ED12&lt;=TOTAL_MAX,"sí",IF(ED12&lt;=TECHO,"negociar","no"))</f>
        <v/>
      </c>
      <c r="EJ12" s="4">
        <f>ROUND(DX12,9)</f>
        <v/>
      </c>
      <c r="EK12" s="4">
        <f>IF(EI12&lt;&gt;"no",SUMPRODUCT(($EI$2:$EI$209&lt;&gt;"no")*($EJ$2:$EJ$209&gt;EJ12))+SUMPRODUCT(($EI$2:EI12&lt;&gt;"no")*($EJ$2:EJ12=EJ12)),"")</f>
        <v/>
      </c>
    </row>
    <row r="13">
      <c r="A13" s="2" t="inlineStr">
        <is>
          <t>cochesnet:71625576</t>
        </is>
      </c>
      <c r="B13" s="2" t="inlineStr">
        <is>
          <t>cochesnet</t>
        </is>
      </c>
      <c r="C13" s="2" t="inlineStr">
        <is>
          <t>https://www.coches.net/opel-corsa-10-essentia-3p-gasolina-2011-en-valencia-71625576-covo.aspx</t>
        </is>
      </c>
      <c r="D13" s="2" t="inlineStr">
        <is>
          <t>OPEL Corsa 1.0 Essentia</t>
        </is>
      </c>
      <c r="E13" s="2" t="inlineStr">
        <is>
          <t>Opel</t>
        </is>
      </c>
      <c r="F13" s="2" t="inlineStr">
        <is>
          <t>Opel Corsa</t>
        </is>
      </c>
      <c r="G13" s="2" t="inlineStr">
        <is>
          <t>1.0</t>
        </is>
      </c>
      <c r="H13" s="2" t="inlineStr">
        <is>
          <t>1.0 Essentia</t>
        </is>
      </c>
      <c r="I13" s="2" t="n"/>
      <c r="J13" s="2" t="n"/>
      <c r="K13" s="2" t="inlineStr">
        <is>
          <t>gasolina</t>
        </is>
      </c>
      <c r="L13" s="2" t="inlineStr">
        <is>
          <t>utilitario</t>
        </is>
      </c>
      <c r="M13" s="2" t="n">
        <v>2010</v>
      </c>
      <c r="N13" s="2" t="n">
        <v>205000</v>
      </c>
      <c r="O13" s="2" t="n">
        <v>3990</v>
      </c>
      <c r="P13" s="2" t="inlineStr">
        <is>
          <t>manual</t>
        </is>
      </c>
      <c r="Q13" s="2" t="inlineStr">
        <is>
          <t>no</t>
        </is>
      </c>
      <c r="R13" s="2" t="inlineStr">
        <is>
          <t>profesional</t>
        </is>
      </c>
      <c r="S13" s="2" t="inlineStr">
        <is>
          <t>Fos Motor Valencia</t>
        </is>
      </c>
      <c r="T13" s="2" t="inlineStr">
        <is>
          <t>2026-09-29T16:17:21Z</t>
        </is>
      </c>
      <c r="U13" s="2" t="n">
        <v>11</v>
      </c>
      <c r="V13" s="2" t="n"/>
      <c r="W13" s="2" t="n"/>
      <c r="X13" s="2" t="n"/>
      <c r="Y13" s="2" t="n"/>
      <c r="Z13" s="2" t="inlineStr">
        <is>
          <t>sí</t>
        </is>
      </c>
      <c r="AA13" s="2" t="n"/>
      <c r="AB13" s="2" t="n">
        <v>12</v>
      </c>
      <c r="AC13" s="2" t="n"/>
      <c r="AD13" s="2" t="n"/>
      <c r="AE13" s="2" t="n"/>
      <c r="AF13" s="2" t="inlineStr">
        <is>
          <t>sí</t>
        </is>
      </c>
      <c r="AG13" s="2" t="n"/>
      <c r="AH13" s="2" t="n">
        <v>3990</v>
      </c>
      <c r="AI13" s="2" t="n">
        <v>3990</v>
      </c>
      <c r="AJ13" s="2" t="n"/>
      <c r="AK13" s="2" t="n"/>
      <c r="AL13" s="2" t="n"/>
      <c r="AM13" s="2" t="n">
        <v>0.1</v>
      </c>
      <c r="AN13" s="2" t="n"/>
      <c r="AO13" s="2" t="inlineStr">
        <is>
          <t>2010</t>
        </is>
      </c>
      <c r="AP13" s="2" t="n">
        <v>2010</v>
      </c>
      <c r="AQ13" s="2" t="n"/>
      <c r="AR13" s="2" t="inlineStr">
        <is>
          <t>C</t>
        </is>
      </c>
      <c r="AS13" s="2" t="inlineStr">
        <is>
          <t>anuncio</t>
        </is>
      </c>
      <c r="AT13" s="2" t="n">
        <v>2011</v>
      </c>
      <c r="AU13" s="2" t="inlineStr">
        <is>
          <t>no</t>
        </is>
      </c>
      <c r="AV13" s="2" t="inlineStr">
        <is>
          <t>C</t>
        </is>
      </c>
      <c r="AW13" s="2" t="n"/>
      <c r="AX13" s="2" t="inlineStr">
        <is>
          <t>no</t>
        </is>
      </c>
      <c r="AY13" s="2" t="inlineStr">
        <is>
          <t>no</t>
        </is>
      </c>
      <c r="AZ13" s="2" t="inlineStr">
        <is>
          <t>COMMON.COLOR_WHITE</t>
        </is>
      </c>
      <c r="BA13" s="2" t="inlineStr">
        <is>
          <t>blanco</t>
        </is>
      </c>
      <c r="BB13" s="3" t="n">
        <v>2</v>
      </c>
      <c r="BC13" s="3" t="inlineStr">
        <is>
          <t>(por segmento)</t>
        </is>
      </c>
      <c r="BD13" s="2" t="n"/>
      <c r="BE13" s="2" t="n"/>
      <c r="BF13" s="2" t="n"/>
      <c r="BG13" s="2" t="n"/>
      <c r="BH13" s="2" t="n"/>
      <c r="BI13" s="2" t="n"/>
      <c r="BJ13" s="2" t="n"/>
      <c r="BK13" s="2" t="n">
        <v>5</v>
      </c>
      <c r="BL13" s="2" t="n"/>
      <c r="BM13" s="2" t="n">
        <v>456</v>
      </c>
      <c r="BN13" s="2" t="n">
        <v>0.05126157402992249</v>
      </c>
      <c r="BO13" s="2" t="n">
        <v>11</v>
      </c>
      <c r="BP13" s="2" t="n">
        <v>2990</v>
      </c>
      <c r="BQ13" s="2" t="n">
        <v>4</v>
      </c>
      <c r="BR13" s="2" t="inlineStr">
        <is>
          <t>modelo+año+km</t>
        </is>
      </c>
      <c r="BS13" s="2" t="n"/>
      <c r="BT13" s="2" t="inlineStr">
        <is>
          <t>año a confirmar: la URL/título dice 2011; vendedor profesional: sin ITP (operación con IVA/REBU, confirmar en factura); gastos de gestión del vendedor no indicados: se suma la tasa DGT; preguntar el precio final; revisar: no menciona la ITV</t>
        </is>
      </c>
      <c r="BU13" s="2" t="inlineStr">
        <is>
          <t>Opel Corsa en la Motorización 1.0i de 60Cv.
Visitas solo con cita previa.
-Kilómetros certificados.
-Nacional.
Equipamiento destacado:
-Volante Multifunción.
-Elevalunas eléctricos
-Aire Acondicionado
-Cierre Centralizado
-Espejos con regulación
-Y mucho más…
Mantenimieto destacado:
-Aceite y filtro.
-Filtro de Habitáculo.
-Filtro de Aire.
En definitiva, una unidad de reestreno lista para disfrutar.
Servicios adicionales:
-Envío a toda España (consultar condiciones)
-Garantía europea adicional y/o ampliada (consultar precios)
-Cambio de titularidad: 150 €
¡Contacta para más información o reservar tu visita!</t>
        </is>
      </c>
      <c r="BV13" s="2" t="inlineStr">
        <is>
          <t>https://www.coches.net/opel-corsa-10-essentia-3p-gasolina-2011-en-valencia-71625576-covo.aspx (window.__INITIAL_PROPS__.ad) /home/user/Alopecia/buscador-coches/raw/cochesnet/25f38d7266968fd1.json</t>
        </is>
      </c>
      <c r="BW13" s="3">
        <f>MAX(ANIO_ACTUAL-M13,0)</f>
        <v/>
      </c>
      <c r="BX13" s="4">
        <f>N13/MAX(BW13,0.5)</f>
        <v/>
      </c>
      <c r="BY13" s="4">
        <f>F13</f>
        <v/>
      </c>
      <c r="BZ13" s="3">
        <f>BY13&amp;"|"&amp;INT(M13/SEG_ANIO)*SEG_ANIO</f>
        <v/>
      </c>
      <c r="CA13" s="3">
        <f>BZ13&amp;"|"&amp;INT(N13/SEG_KM)*SEG_KM</f>
        <v/>
      </c>
      <c r="CB13" s="4">
        <f>COUNTIF($BY$2:$BY$209,BY13)</f>
        <v/>
      </c>
      <c r="CC13" s="4">
        <f>COUNTIF($BZ$2:$BZ$209,BZ13)</f>
        <v/>
      </c>
      <c r="CD13" s="4">
        <f>COUNTIF($CA$2:$CA$209,CA13)</f>
        <v/>
      </c>
      <c r="CE13" s="3">
        <f t="array" ref="CE13">IF(N(BQ13)&gt;=MIN_N,BP13,IF(CD13&gt;=MIN_N,MEDIAN(IF($CA$2:$CA$209=CA13,$O$2:$O$209)),IF(CC13&gt;=MIN_N,MEDIAN(IF($BZ$2:$BZ$209=BZ13,$O$2:$O$209)),MEDIAN(IF($BY$2:$BY$209=BY13,$O$2:$O$209)))))</f>
        <v/>
      </c>
      <c r="CF13" s="3">
        <f>IF(N(BQ13)&gt;=MIN_N,"mercado "&amp;BR13,IF(CD13&gt;=MIN_N,"modelo+año+km",IF(CC13&gt;=MIN_N,"modelo+año","modelo")))</f>
        <v/>
      </c>
      <c r="CG13" s="4">
        <f>(CE13-O13)/CE13</f>
        <v/>
      </c>
      <c r="CH13" s="3">
        <f>IF(COUNTIFS(FR_FUEL,K13,FR_YEAR,AP13)&gt;0,1,0)</f>
        <v/>
      </c>
      <c r="CI13" s="3">
        <f>IF(COUNTIFS(FR_FUEL,K13,FR_YEAR,AP13-1)&gt;0,1,0)</f>
        <v/>
      </c>
      <c r="CJ13" s="4">
        <f>IF(N(AQ13)&gt;0,AP13*100+AQ13,IF(AND(CH13=1,CI13=1),(AP13-1)*100+1,AP13*100+1))</f>
        <v/>
      </c>
      <c r="CK13" s="3">
        <f>IF(OR(K13="hibrido",K13="glp",K13="gnc",K13="phev"),"ECO",IF(K13="electrico","CERO",IF(K13="gasolina",IF(CJ13&gt;=GAS_C_YM,"C",IF(CJ13&gt;=GAS_B_YM,"B","A")),IF(K13="diesel",IF(CJ13&gt;=DIE_C_YM,"C",IF(CJ13&gt;=DIE_B_YM,"B","A")),""))))</f>
        <v/>
      </c>
      <c r="CL13" s="2" t="inlineStr">
        <is>
          <t>C</t>
        </is>
      </c>
      <c r="CM13" s="4">
        <f>IF(AU13="sí","sí",IF(AS13="regla",IF(AND(N(AQ13)=0,CH13=1),"sí","no"),"no"))</f>
        <v/>
      </c>
      <c r="CN13" s="3">
        <f>IFERROR(VLOOKUP(F13,MOD_TBL,16,0),IFERROR(VLOOKUP(E13,OCU_TBL,2,0),NEUTRO))</f>
        <v/>
      </c>
      <c r="CO13" s="3">
        <f>SUMIFS(MOT_AJUSTE,MOT_MOTOR,G13,MOT_MARCA,E13,MOT_DESDE,"&lt;="&amp;M13,MOT_HASTA,"&gt;="&amp;M13)+SUMIFS(MOT_AJUSTE,MOT_MOTOR,G13,MOT_MARCA,"(todas)",MOT_DESDE,"&lt;="&amp;M13,MOT_HASTA,"&gt;="&amp;M13)+SUMIFS(MOT_AJUSTE,MOT_MOTOR,"(cualquiera)",MOT_MARCA,E13,MOT_DESDE,"&lt;="&amp;M13,MOT_HASTA,"&gt;="&amp;M13)</f>
        <v/>
      </c>
      <c r="CP13" s="3">
        <f>SUMIFS(COMB_AJUSTE,COMB_COMB,K13)</f>
        <v/>
      </c>
      <c r="CQ13" s="3">
        <f>COUNTIFS(MOT_MOTOR,G13,MOT_MARCA,E13,MOT_DESDE,"&lt;="&amp;M13,MOT_HASTA,"&gt;="&amp;M13)+COUNTIFS(MOT_MOTOR,G13,MOT_MARCA,"(todas)",MOT_DESDE,"&lt;="&amp;M13,MOT_HASTA,"&gt;="&amp;M13)+COUNTIFS(MOT_MOTOR,"(cualquiera)",MOT_MARCA,E13,MOT_DESDE,"&lt;="&amp;M13,MOT_HASTA,"&gt;="&amp;M13)</f>
        <v/>
      </c>
      <c r="CR13" s="3">
        <f>IF(AND(K13="diesel",CQ13=0),MIN(CN13,NEUTRO),CN13)</f>
        <v/>
      </c>
      <c r="CS13" s="3">
        <f>MAX(0,MIN(100,CR13+CO13+CP13-IF(AX13="sí",ROB_PEN,0)))</f>
        <v/>
      </c>
      <c r="CT13" s="3">
        <f>100-MAX(0,N13-KM_TOPE_DESDE)/1000*KM_TOPE_PTS</f>
        <v/>
      </c>
      <c r="CU13" s="3">
        <f>MAX(0,MIN(100,50+CG13*PRECIO_PEND,CT13))</f>
        <v/>
      </c>
      <c r="CV13" s="3">
        <f>MAX(0,100*(1-N13/KM_MAX))</f>
        <v/>
      </c>
      <c r="CW13" s="3">
        <f>IF(BX13&lt;KMA_SOSP,IF(AA13="sí",100,KMA_PEN),IF(BX13&lt;=KMA_IDEAL_MAX,100,MAX(0,100*(KMA_CERO-BX13)/(KMA_CERO-KMA_IDEAL_MAX))))</f>
        <v/>
      </c>
      <c r="CX13" s="3">
        <f>MAX(0,MIN(100,100*(M13-ANIO_MIN)/(ANIO_ACTUAL-ANIO_MIN)))</f>
        <v/>
      </c>
      <c r="CY13" s="3">
        <f>W_KMT*CV13+W_KMA*CW13+W_EDAD*CX13</f>
        <v/>
      </c>
      <c r="CZ13" s="4">
        <f>E13&amp;"|"&amp;G13</f>
        <v/>
      </c>
      <c r="DA13" s="3">
        <f>IFERROR(VLOOKUP(CZ13,DIST_TBL,2,0),"")</f>
        <v/>
      </c>
      <c r="DB13" s="3">
        <f>E_ITV*(V13="sí")+E_LIBRO*(W13="sí")+E_PROP*IF(Y13=1,1,IF(Y13=2,0.5,0))+E_CORREA*IF(OR(DA13="cadena",AND(X13="sí",BH13="sí")),1,IF(X13="sí",0.5,0))+E_FACT*(BI13="sí")</f>
        <v/>
      </c>
      <c r="DC13" s="3">
        <f>MAX(0,MIN(100,IFERROR(VLOOKUP(CL13,ETQ_TBL,2,0),0)-IF(CM13="sí",ETQ_PEN_DUD,IF(AS13="regla",ETQ_PEN_REGLA,0))))</f>
        <v/>
      </c>
      <c r="DD13" s="3">
        <f>IF(K13&lt;&gt;"gasolina","",IFERROR(VLOOKUP(F13,CONS_MOD_TBL,2,0),IFERROR(VLOOKUP(L13,CONS_SEG_TBL,2,0),"")))</f>
        <v/>
      </c>
      <c r="DE13" s="3">
        <f>IF(DD13="",NEUTRO,MAX(0,MIN(100,100*(CONS_REF_MAX-DD13)/(CONS_REF_MAX-CONS_REF_MIN))))</f>
        <v/>
      </c>
      <c r="DF13" s="3">
        <f>IFERROR(VLOOKUP(L13,SEGURO_TBL,3,0),"")</f>
        <v/>
      </c>
      <c r="DG13" s="3">
        <f>IF(DF13="",NEUTRO,MAX(0,MIN(100,100*(SEG_REF_MAX-DF13)/(SEG_REF_MAX-SEG_REF_MIN))))</f>
        <v/>
      </c>
      <c r="DH13" s="3">
        <f>IFERROR(VLOOKUP(E13,MANT_MARCA_TBL,2,0)+0,NEUTRO)</f>
        <v/>
      </c>
      <c r="DI13" s="3">
        <f>IF(DA13="",NEUTRO,IFERROR(VLOOKUP(DA13,DIST_PTS_TBL,2,0)+0,NEUTRO))</f>
        <v/>
      </c>
      <c r="DJ13" s="4">
        <f>(DH13+DI13)/2</f>
        <v/>
      </c>
      <c r="DK13" s="3">
        <f>W_CONS*DE13+W_SEG*DG13+W_MANT*DJ13</f>
        <v/>
      </c>
      <c r="DL13" s="3">
        <f>IF(N(AB13)&gt;0,AB13,IF(AND(R13="profesional",SG_LEGAL_ON=1),GAR_LEGAL,0))</f>
        <v/>
      </c>
      <c r="DM13" s="3">
        <f>MAX(0,MIN(100,SG_GAR*MIN(1,DL13/SG_GAR_FULL)+SG_AMPL*(AC13="sí")+SG_KMC*(AF13="sí")+SG_REV*(N(AE13)&gt;0)+SG_DEV*MIN(1,N(AG13)/SG_DEV_FULL)+SG_HIST*(W13="sí")-IF(AND(R13="particular",DL13=0),SG_PART_PEN,0)))</f>
        <v/>
      </c>
      <c r="DN13" s="3">
        <f>IF(BK13="",NEUTRO,MAX(0,MIN(100,BK13/5*100)))</f>
        <v/>
      </c>
      <c r="DO13" s="3">
        <f>IF(BL13="sí",100,IF(BL13="no",0,NEUTRO))</f>
        <v/>
      </c>
      <c r="DP13" s="3">
        <f>SV_W_NCAP*DN13+SV_W_ESP*DO13</f>
        <v/>
      </c>
      <c r="DQ13" s="3">
        <f>MAX(0,MIN(100,ATR_BASE+ATR_ACAB*(BD13&lt;&gt;"")+IF(BE13="16+",ATR_LL16,IF(BE13="sí",ATR_LL,0))+ATR_FAROS*(BF13="sí")+ATR_TINT*(BG13="sí")-ATR_CHAPA*(BE13="chapa")))</f>
        <v/>
      </c>
      <c r="DR13" s="3">
        <f>EST_W_MOD*(BB13-1)/4*100+EST_W_ATR*DQ13</f>
        <v/>
      </c>
      <c r="DS13" s="3">
        <f>IF(BA13="",NEUTRO,IFERROR(VLOOKUP(BA13,COLOR_TBL,2,0)+0,NEUTRO))</f>
        <v/>
      </c>
      <c r="DT13" s="3">
        <f>MAX(0,MIN(100,100*N(BM13)/RV_N_FULL))</f>
        <v/>
      </c>
      <c r="DU13" s="3">
        <f>IF(OR(BN13="",N(BO13)&lt;RV_DIAS_MIN),NEUTRO,MAX(0,MIN(100,100*(RV_DIAS_CERO-BN13)/(RV_DIAS_CERO-RV_DIAS_FULL))))</f>
        <v/>
      </c>
      <c r="DV13" s="3">
        <f>RV_W_LIQ*DT13+RV_W_DIAS*DU13+RV_W_ETQ*DC13</f>
        <v/>
      </c>
      <c r="DW13" s="3">
        <f>IFERROR(VLOOKUP(L13,CARR_PEN_TBL,2,0),0)</f>
        <v/>
      </c>
      <c r="DX13" s="3">
        <f>W_FIAB*CS13+W_PRECIO*CU13+W_KMEDAD*CY13+W_ESTADO*DB13+W_USO*DK13+W_SEGURIDAD*DM13+W_SEGVIAL*DP13+W_ESTETICA*DR13+W_COLOR*DS13+W_REVENTA*DV13-DW13-EG13</f>
        <v/>
      </c>
      <c r="DY13" s="4">
        <f>IF(N(I13)&gt;0,I13,IFERROR(ROUND(_xlfn.NUMBERVALUE(LEFT(G13,FIND(" ",G13&amp;" ")-1),".")*1000,0),99999))</f>
        <v/>
      </c>
      <c r="DZ13" s="3">
        <f>IF(R13="profesional",0,IF(O13&lt;CUOTA_VALOR_MAX,IF(BW13&gt;ITP_TRAMO_ALTO,SUMIFS(CF_CUOTA,CF_MAS,ITP_TRAMO_ALTO,CF_CCMIN,"&lt;="&amp;DY13,CF_CCMAX,"&gt;="&amp;DY13),IF(BW13&gt;ITP_TRAMO_BAJO,SUMIFS(CF_CUOTA,CF_MAS,ITP_TRAMO_BAJO,CF_CCMIN,"&lt;="&amp;DY13,CF_CCMAX,"&gt;="&amp;DY13),O13*ITP_TIPO)),O13*ITP_TIPO))</f>
        <v/>
      </c>
      <c r="EA13" s="4">
        <f>IF(R13="profesional",N(AK13),0)</f>
        <v/>
      </c>
      <c r="EB13" s="3">
        <f>IF(AND(R13="profesional",ISNUMBER(AK13),AL13="sí"),0,TASA_DGT)</f>
        <v/>
      </c>
      <c r="EC13" s="3">
        <f>INFORME_DGT</f>
        <v/>
      </c>
      <c r="ED13" s="4">
        <f>O13+EA13+DZ13+EB13+EC13</f>
        <v/>
      </c>
      <c r="EE13" s="4">
        <f>ED13+N(DF13)</f>
        <v/>
      </c>
      <c r="EF13" s="3">
        <f>MAX(0,ED13-TOTAL_MAX)</f>
        <v/>
      </c>
      <c r="EG13" s="3">
        <f>EF13/100*PEN_100</f>
        <v/>
      </c>
      <c r="EH13" s="3">
        <f>IF(R13="particular",ED13+IF(AND(DA13&lt;&gt;"cadena",X13&lt;&gt;"sí"),RES_CORREA,0)+IF(AND(BJ13&lt;&gt;"sí",BW13&gt;=RES_NEUM_EDAD),RES_NEUM,0),"")</f>
        <v/>
      </c>
      <c r="EI13" s="3">
        <f>IF(ED13&lt;=TOTAL_MAX,"sí",IF(ED13&lt;=TECHO,"negociar","no"))</f>
        <v/>
      </c>
      <c r="EJ13" s="4">
        <f>ROUND(DX13,9)</f>
        <v/>
      </c>
      <c r="EK13" s="4">
        <f>IF(EI13&lt;&gt;"no",SUMPRODUCT(($EI$2:$EI$209&lt;&gt;"no")*($EJ$2:$EJ$209&gt;EJ13))+SUMPRODUCT(($EI$2:EI13&lt;&gt;"no")*($EJ$2:EJ13=EJ13)),"")</f>
        <v/>
      </c>
    </row>
    <row r="14">
      <c r="A14" s="2" t="inlineStr">
        <is>
          <t>cochesnet:71339047</t>
        </is>
      </c>
      <c r="B14" s="2" t="inlineStr">
        <is>
          <t>cochesnet</t>
        </is>
      </c>
      <c r="C14" s="2" t="inlineStr">
        <is>
          <t>https://www.coches.net/opel-astra-13-ecoflex-ss-selective-5p-diesel-2013-en-valencia-71339047-covo.aspx</t>
        </is>
      </c>
      <c r="D14" s="2" t="inlineStr">
        <is>
          <t>OPEL Astra 1.3 ecoFlex SS Selective</t>
        </is>
      </c>
      <c r="E14" s="2" t="inlineStr">
        <is>
          <t>Opel</t>
        </is>
      </c>
      <c r="F14" s="2" t="inlineStr">
        <is>
          <t>Opel Astra</t>
        </is>
      </c>
      <c r="G14" s="2" t="inlineStr">
        <is>
          <t>1.3</t>
        </is>
      </c>
      <c r="H14" s="2" t="inlineStr">
        <is>
          <t>1.3 ecoFlex SS Selective</t>
        </is>
      </c>
      <c r="I14" s="2" t="n"/>
      <c r="J14" s="2" t="n"/>
      <c r="K14" s="2" t="inlineStr">
        <is>
          <t>diesel</t>
        </is>
      </c>
      <c r="L14" s="2" t="inlineStr">
        <is>
          <t>compacto</t>
        </is>
      </c>
      <c r="M14" s="2" t="n">
        <v>2012</v>
      </c>
      <c r="N14" s="2" t="n">
        <v>215000</v>
      </c>
      <c r="O14" s="2" t="n">
        <v>4490</v>
      </c>
      <c r="P14" s="2" t="inlineStr">
        <is>
          <t>manual</t>
        </is>
      </c>
      <c r="Q14" s="2" t="inlineStr">
        <is>
          <t>no</t>
        </is>
      </c>
      <c r="R14" s="2" t="inlineStr">
        <is>
          <t>profesional</t>
        </is>
      </c>
      <c r="S14" s="2" t="inlineStr">
        <is>
          <t>V.O. Eliana San Antonio de Benagéber</t>
        </is>
      </c>
      <c r="T14" s="2" t="inlineStr">
        <is>
          <t>2026-08-21T14:26:39Z</t>
        </is>
      </c>
      <c r="U14" s="2" t="n">
        <v>16</v>
      </c>
      <c r="V14" s="2" t="n"/>
      <c r="W14" s="2" t="n"/>
      <c r="X14" s="2" t="n"/>
      <c r="Y14" s="2" t="n"/>
      <c r="Z14" s="2" t="inlineStr">
        <is>
          <t>sí</t>
        </is>
      </c>
      <c r="AA14" s="2" t="n"/>
      <c r="AB14" s="2" t="n">
        <v>12</v>
      </c>
      <c r="AC14" s="2" t="n"/>
      <c r="AD14" s="2" t="n"/>
      <c r="AE14" s="2" t="n"/>
      <c r="AF14" s="2" t="n"/>
      <c r="AG14" s="2" t="n"/>
      <c r="AH14" s="2" t="n">
        <v>4490</v>
      </c>
      <c r="AI14" s="2" t="n"/>
      <c r="AJ14" s="2" t="n"/>
      <c r="AK14" s="2" t="n"/>
      <c r="AL14" s="2" t="n"/>
      <c r="AM14" s="2" t="n">
        <v>19.1</v>
      </c>
      <c r="AN14" s="2" t="n"/>
      <c r="AO14" s="2" t="inlineStr">
        <is>
          <t>2012</t>
        </is>
      </c>
      <c r="AP14" s="2" t="n">
        <v>2012</v>
      </c>
      <c r="AQ14" s="2" t="n"/>
      <c r="AR14" s="2" t="inlineStr">
        <is>
          <t>B</t>
        </is>
      </c>
      <c r="AS14" s="2" t="inlineStr">
        <is>
          <t>anuncio</t>
        </is>
      </c>
      <c r="AT14" s="2" t="n">
        <v>2013</v>
      </c>
      <c r="AU14" s="2" t="inlineStr">
        <is>
          <t>no</t>
        </is>
      </c>
      <c r="AV14" s="2" t="inlineStr">
        <is>
          <t>B</t>
        </is>
      </c>
      <c r="AW14" s="2" t="n"/>
      <c r="AX14" s="2" t="inlineStr">
        <is>
          <t>no</t>
        </is>
      </c>
      <c r="AY14" s="2" t="inlineStr">
        <is>
          <t>no</t>
        </is>
      </c>
      <c r="AZ14" s="2" t="inlineStr">
        <is>
          <t>COMMON.COLOR_GRAY</t>
        </is>
      </c>
      <c r="BA14" s="2" t="inlineStr">
        <is>
          <t>gris_medio</t>
        </is>
      </c>
      <c r="BB14" s="3" t="n">
        <v>3</v>
      </c>
      <c r="BC14" s="3" t="inlineStr">
        <is>
          <t>(por segmento)</t>
        </is>
      </c>
      <c r="BD14" s="2" t="n"/>
      <c r="BE14" s="2" t="n"/>
      <c r="BF14" s="2" t="n"/>
      <c r="BG14" s="2" t="inlineStr">
        <is>
          <t>sí</t>
        </is>
      </c>
      <c r="BH14" s="2" t="n"/>
      <c r="BI14" s="2" t="n"/>
      <c r="BJ14" s="2" t="n"/>
      <c r="BK14" s="2" t="n"/>
      <c r="BL14" s="2" t="n"/>
      <c r="BM14" s="2" t="n">
        <v>402</v>
      </c>
      <c r="BN14" s="2" t="n">
        <v>0.06280092592351139</v>
      </c>
      <c r="BO14" s="2" t="n">
        <v>4</v>
      </c>
      <c r="BP14" s="2" t="n">
        <v>4490</v>
      </c>
      <c r="BQ14" s="2" t="n">
        <v>7</v>
      </c>
      <c r="BR14" s="2" t="inlineStr">
        <is>
          <t>modelo+año+km</t>
        </is>
      </c>
      <c r="BS14" s="2" t="n"/>
      <c r="BT14" s="2" t="inlineStr">
        <is>
          <t>año a confirmar: la URL/título dice 2013; vendedor profesional: sin ITP (operación con IVA/REBU, confirmar en factura); gastos de gestión del vendedor no indicados: se suma la tasa DGT; preguntar el precio final; Euro NCAP de la generación PENDIENTE (seguridad neutra); diésel: motor sin fuente de fiabilidad (fiabilidad limitada a neutra); revisar: no menciona la ITV</t>
        </is>
      </c>
      <c r="BU14" s="2" t="inlineStr">
        <is>
          <t>Este Opel Astra Selective combina equipamiento multimedia completo con control de crucero y ordenador de viaje para optimizar cada trayecto. Dirección asistida eléctrica con endurecimiento progresivo, aire acondicionado, asientos delanteros ajustables manualmente y volante multifunción regulable ofrecen confort y practicidad diaria. Cristales tintados, retrovisores eléctricos desempañables y elevalunas con un solo toque completan la experiencia de conducción. Sistema de ventilación con filtros de polen y carbón activo, junto con limpiaparabrisas delantero, garantizan habitabilidad. Etiqueta medioambiental B facilita acceso a zonas de tráfico limitado.</t>
        </is>
      </c>
      <c r="BV14" s="2" t="inlineStr">
        <is>
          <t>https://www.coches.net/opel-astra-13-ecoflex-ss-selective-5p-diesel-2013-en-valencia-71339047-covo.aspx (window.__INITIAL_PROPS__.ad) /home/user/Alopecia/buscador-coches/raw/cochesnet/127119c37c17981d.json</t>
        </is>
      </c>
      <c r="BW14" s="3">
        <f>MAX(ANIO_ACTUAL-M14,0)</f>
        <v/>
      </c>
      <c r="BX14" s="4">
        <f>N14/MAX(BW14,0.5)</f>
        <v/>
      </c>
      <c r="BY14" s="4">
        <f>F14</f>
        <v/>
      </c>
      <c r="BZ14" s="3">
        <f>BY14&amp;"|"&amp;INT(M14/SEG_ANIO)*SEG_ANIO</f>
        <v/>
      </c>
      <c r="CA14" s="3">
        <f>BZ14&amp;"|"&amp;INT(N14/SEG_KM)*SEG_KM</f>
        <v/>
      </c>
      <c r="CB14" s="4">
        <f>COUNTIF($BY$2:$BY$209,BY14)</f>
        <v/>
      </c>
      <c r="CC14" s="4">
        <f>COUNTIF($BZ$2:$BZ$209,BZ14)</f>
        <v/>
      </c>
      <c r="CD14" s="4">
        <f>COUNTIF($CA$2:$CA$209,CA14)</f>
        <v/>
      </c>
      <c r="CE14" s="3">
        <f t="array" ref="CE14">IF(N(BQ14)&gt;=MIN_N,BP14,IF(CD14&gt;=MIN_N,MEDIAN(IF($CA$2:$CA$209=CA14,$O$2:$O$209)),IF(CC14&gt;=MIN_N,MEDIAN(IF($BZ$2:$BZ$209=BZ14,$O$2:$O$209)),MEDIAN(IF($BY$2:$BY$209=BY14,$O$2:$O$209)))))</f>
        <v/>
      </c>
      <c r="CF14" s="3">
        <f>IF(N(BQ14)&gt;=MIN_N,"mercado "&amp;BR14,IF(CD14&gt;=MIN_N,"modelo+año+km",IF(CC14&gt;=MIN_N,"modelo+año","modelo")))</f>
        <v/>
      </c>
      <c r="CG14" s="4">
        <f>(CE14-O14)/CE14</f>
        <v/>
      </c>
      <c r="CH14" s="3">
        <f>IF(COUNTIFS(FR_FUEL,K14,FR_YEAR,AP14)&gt;0,1,0)</f>
        <v/>
      </c>
      <c r="CI14" s="3">
        <f>IF(COUNTIFS(FR_FUEL,K14,FR_YEAR,AP14-1)&gt;0,1,0)</f>
        <v/>
      </c>
      <c r="CJ14" s="4">
        <f>IF(N(AQ14)&gt;0,AP14*100+AQ14,IF(AND(CH14=1,CI14=1),(AP14-1)*100+1,AP14*100+1))</f>
        <v/>
      </c>
      <c r="CK14" s="3">
        <f>IF(OR(K14="hibrido",K14="glp",K14="gnc",K14="phev"),"ECO",IF(K14="electrico","CERO",IF(K14="gasolina",IF(CJ14&gt;=GAS_C_YM,"C",IF(CJ14&gt;=GAS_B_YM,"B","A")),IF(K14="diesel",IF(CJ14&gt;=DIE_C_YM,"C",IF(CJ14&gt;=DIE_B_YM,"B","A")),""))))</f>
        <v/>
      </c>
      <c r="CL14" s="2" t="inlineStr">
        <is>
          <t>B</t>
        </is>
      </c>
      <c r="CM14" s="4">
        <f>IF(AU14="sí","sí",IF(AS14="regla",IF(AND(N(AQ14)=0,CH14=1),"sí","no"),"no"))</f>
        <v/>
      </c>
      <c r="CN14" s="3">
        <f>IFERROR(VLOOKUP(F14,MOD_TBL,16,0),IFERROR(VLOOKUP(E14,OCU_TBL,2,0),NEUTRO))</f>
        <v/>
      </c>
      <c r="CO14" s="3">
        <f>SUMIFS(MOT_AJUSTE,MOT_MOTOR,G14,MOT_MARCA,E14,MOT_DESDE,"&lt;="&amp;M14,MOT_HASTA,"&gt;="&amp;M14)+SUMIFS(MOT_AJUSTE,MOT_MOTOR,G14,MOT_MARCA,"(todas)",MOT_DESDE,"&lt;="&amp;M14,MOT_HASTA,"&gt;="&amp;M14)+SUMIFS(MOT_AJUSTE,MOT_MOTOR,"(cualquiera)",MOT_MARCA,E14,MOT_DESDE,"&lt;="&amp;M14,MOT_HASTA,"&gt;="&amp;M14)</f>
        <v/>
      </c>
      <c r="CP14" s="3">
        <f>SUMIFS(COMB_AJUSTE,COMB_COMB,K14)</f>
        <v/>
      </c>
      <c r="CQ14" s="3">
        <f>COUNTIFS(MOT_MOTOR,G14,MOT_MARCA,E14,MOT_DESDE,"&lt;="&amp;M14,MOT_HASTA,"&gt;="&amp;M14)+COUNTIFS(MOT_MOTOR,G14,MOT_MARCA,"(todas)",MOT_DESDE,"&lt;="&amp;M14,MOT_HASTA,"&gt;="&amp;M14)+COUNTIFS(MOT_MOTOR,"(cualquiera)",MOT_MARCA,E14,MOT_DESDE,"&lt;="&amp;M14,MOT_HASTA,"&gt;="&amp;M14)</f>
        <v/>
      </c>
      <c r="CR14" s="3">
        <f>IF(AND(K14="diesel",CQ14=0),MIN(CN14,NEUTRO),CN14)</f>
        <v/>
      </c>
      <c r="CS14" s="3">
        <f>MAX(0,MIN(100,CR14+CO14+CP14-IF(AX14="sí",ROB_PEN,0)))</f>
        <v/>
      </c>
      <c r="CT14" s="3">
        <f>100-MAX(0,N14-KM_TOPE_DESDE)/1000*KM_TOPE_PTS</f>
        <v/>
      </c>
      <c r="CU14" s="3">
        <f>MAX(0,MIN(100,50+CG14*PRECIO_PEND,CT14))</f>
        <v/>
      </c>
      <c r="CV14" s="3">
        <f>MAX(0,100*(1-N14/KM_MAX))</f>
        <v/>
      </c>
      <c r="CW14" s="3">
        <f>IF(BX14&lt;KMA_SOSP,IF(AA14="sí",100,KMA_PEN),IF(BX14&lt;=KMA_IDEAL_MAX,100,MAX(0,100*(KMA_CERO-BX14)/(KMA_CERO-KMA_IDEAL_MAX))))</f>
        <v/>
      </c>
      <c r="CX14" s="3">
        <f>MAX(0,MIN(100,100*(M14-ANIO_MIN)/(ANIO_ACTUAL-ANIO_MIN)))</f>
        <v/>
      </c>
      <c r="CY14" s="3">
        <f>W_KMT*CV14+W_KMA*CW14+W_EDAD*CX14</f>
        <v/>
      </c>
      <c r="CZ14" s="4">
        <f>E14&amp;"|"&amp;G14</f>
        <v/>
      </c>
      <c r="DA14" s="3">
        <f>IFERROR(VLOOKUP(CZ14,DIST_TBL,2,0),"")</f>
        <v/>
      </c>
      <c r="DB14" s="3">
        <f>E_ITV*(V14="sí")+E_LIBRO*(W14="sí")+E_PROP*IF(Y14=1,1,IF(Y14=2,0.5,0))+E_CORREA*IF(OR(DA14="cadena",AND(X14="sí",BH14="sí")),1,IF(X14="sí",0.5,0))+E_FACT*(BI14="sí")</f>
        <v/>
      </c>
      <c r="DC14" s="3">
        <f>MAX(0,MIN(100,IFERROR(VLOOKUP(CL14,ETQ_TBL,2,0),0)-IF(CM14="sí",ETQ_PEN_DUD,IF(AS14="regla",ETQ_PEN_REGLA,0))))</f>
        <v/>
      </c>
      <c r="DD14" s="3">
        <f>IF(K14&lt;&gt;"gasolina","",IFERROR(VLOOKUP(F14,CONS_MOD_TBL,2,0),IFERROR(VLOOKUP(L14,CONS_SEG_TBL,2,0),"")))</f>
        <v/>
      </c>
      <c r="DE14" s="3">
        <f>IF(DD14="",NEUTRO,MAX(0,MIN(100,100*(CONS_REF_MAX-DD14)/(CONS_REF_MAX-CONS_REF_MIN))))</f>
        <v/>
      </c>
      <c r="DF14" s="3">
        <f>IFERROR(VLOOKUP(L14,SEGURO_TBL,3,0),"")</f>
        <v/>
      </c>
      <c r="DG14" s="3">
        <f>IF(DF14="",NEUTRO,MAX(0,MIN(100,100*(SEG_REF_MAX-DF14)/(SEG_REF_MAX-SEG_REF_MIN))))</f>
        <v/>
      </c>
      <c r="DH14" s="3">
        <f>IFERROR(VLOOKUP(E14,MANT_MARCA_TBL,2,0)+0,NEUTRO)</f>
        <v/>
      </c>
      <c r="DI14" s="3">
        <f>IF(DA14="",NEUTRO,IFERROR(VLOOKUP(DA14,DIST_PTS_TBL,2,0)+0,NEUTRO))</f>
        <v/>
      </c>
      <c r="DJ14" s="4">
        <f>(DH14+DI14)/2</f>
        <v/>
      </c>
      <c r="DK14" s="3">
        <f>W_CONS*DE14+W_SEG*DG14+W_MANT*DJ14</f>
        <v/>
      </c>
      <c r="DL14" s="3">
        <f>IF(N(AB14)&gt;0,AB14,IF(AND(R14="profesional",SG_LEGAL_ON=1),GAR_LEGAL,0))</f>
        <v/>
      </c>
      <c r="DM14" s="3">
        <f>MAX(0,MIN(100,SG_GAR*MIN(1,DL14/SG_GAR_FULL)+SG_AMPL*(AC14="sí")+SG_KMC*(AF14="sí")+SG_REV*(N(AE14)&gt;0)+SG_DEV*MIN(1,N(AG14)/SG_DEV_FULL)+SG_HIST*(W14="sí")-IF(AND(R14="particular",DL14=0),SG_PART_PEN,0)))</f>
        <v/>
      </c>
      <c r="DN14" s="3">
        <f>IF(BK14="",NEUTRO,MAX(0,MIN(100,BK14/5*100)))</f>
        <v/>
      </c>
      <c r="DO14" s="3">
        <f>IF(BL14="sí",100,IF(BL14="no",0,NEUTRO))</f>
        <v/>
      </c>
      <c r="DP14" s="3">
        <f>SV_W_NCAP*DN14+SV_W_ESP*DO14</f>
        <v/>
      </c>
      <c r="DQ14" s="3">
        <f>MAX(0,MIN(100,ATR_BASE+ATR_ACAB*(BD14&lt;&gt;"")+IF(BE14="16+",ATR_LL16,IF(BE14="sí",ATR_LL,0))+ATR_FAROS*(BF14="sí")+ATR_TINT*(BG14="sí")-ATR_CHAPA*(BE14="chapa")))</f>
        <v/>
      </c>
      <c r="DR14" s="3">
        <f>EST_W_MOD*(BB14-1)/4*100+EST_W_ATR*DQ14</f>
        <v/>
      </c>
      <c r="DS14" s="3">
        <f>IF(BA14="",NEUTRO,IFERROR(VLOOKUP(BA14,COLOR_TBL,2,0)+0,NEUTRO))</f>
        <v/>
      </c>
      <c r="DT14" s="3">
        <f>MAX(0,MIN(100,100*N(BM14)/RV_N_FULL))</f>
        <v/>
      </c>
      <c r="DU14" s="3">
        <f>IF(OR(BN14="",N(BO14)&lt;RV_DIAS_MIN),NEUTRO,MAX(0,MIN(100,100*(RV_DIAS_CERO-BN14)/(RV_DIAS_CERO-RV_DIAS_FULL))))</f>
        <v/>
      </c>
      <c r="DV14" s="3">
        <f>RV_W_LIQ*DT14+RV_W_DIAS*DU14+RV_W_ETQ*DC14</f>
        <v/>
      </c>
      <c r="DW14" s="3">
        <f>IFERROR(VLOOKUP(L14,CARR_PEN_TBL,2,0),0)</f>
        <v/>
      </c>
      <c r="DX14" s="3">
        <f>W_FIAB*CS14+W_PRECIO*CU14+W_KMEDAD*CY14+W_ESTADO*DB14+W_USO*DK14+W_SEGURIDAD*DM14+W_SEGVIAL*DP14+W_ESTETICA*DR14+W_COLOR*DS14+W_REVENTA*DV14-DW14-EG14</f>
        <v/>
      </c>
      <c r="DY14" s="4">
        <f>IF(N(I14)&gt;0,I14,IFERROR(ROUND(_xlfn.NUMBERVALUE(LEFT(G14,FIND(" ",G14&amp;" ")-1),".")*1000,0),99999))</f>
        <v/>
      </c>
      <c r="DZ14" s="3">
        <f>IF(R14="profesional",0,IF(O14&lt;CUOTA_VALOR_MAX,IF(BW14&gt;ITP_TRAMO_ALTO,SUMIFS(CF_CUOTA,CF_MAS,ITP_TRAMO_ALTO,CF_CCMIN,"&lt;="&amp;DY14,CF_CCMAX,"&gt;="&amp;DY14),IF(BW14&gt;ITP_TRAMO_BAJO,SUMIFS(CF_CUOTA,CF_MAS,ITP_TRAMO_BAJO,CF_CCMIN,"&lt;="&amp;DY14,CF_CCMAX,"&gt;="&amp;DY14),O14*ITP_TIPO)),O14*ITP_TIPO))</f>
        <v/>
      </c>
      <c r="EA14" s="4">
        <f>IF(R14="profesional",N(AK14),0)</f>
        <v/>
      </c>
      <c r="EB14" s="3">
        <f>IF(AND(R14="profesional",ISNUMBER(AK14),AL14="sí"),0,TASA_DGT)</f>
        <v/>
      </c>
      <c r="EC14" s="3">
        <f>INFORME_DGT</f>
        <v/>
      </c>
      <c r="ED14" s="4">
        <f>O14+EA14+DZ14+EB14+EC14</f>
        <v/>
      </c>
      <c r="EE14" s="4">
        <f>ED14+N(DF14)</f>
        <v/>
      </c>
      <c r="EF14" s="3">
        <f>MAX(0,ED14-TOTAL_MAX)</f>
        <v/>
      </c>
      <c r="EG14" s="3">
        <f>EF14/100*PEN_100</f>
        <v/>
      </c>
      <c r="EH14" s="3">
        <f>IF(R14="particular",ED14+IF(AND(DA14&lt;&gt;"cadena",X14&lt;&gt;"sí"),RES_CORREA,0)+IF(AND(BJ14&lt;&gt;"sí",BW14&gt;=RES_NEUM_EDAD),RES_NEUM,0),"")</f>
        <v/>
      </c>
      <c r="EI14" s="3">
        <f>IF(ED14&lt;=TOTAL_MAX,"sí",IF(ED14&lt;=TECHO,"negociar","no"))</f>
        <v/>
      </c>
      <c r="EJ14" s="4">
        <f>ROUND(DX14,9)</f>
        <v/>
      </c>
      <c r="EK14" s="4">
        <f>IF(EI14&lt;&gt;"no",SUMPRODUCT(($EI$2:$EI$209&lt;&gt;"no")*($EJ$2:$EJ$209&gt;EJ14))+SUMPRODUCT(($EI$2:EI14&lt;&gt;"no")*($EJ$2:EJ14=EJ14)),"")</f>
        <v/>
      </c>
    </row>
    <row r="15">
      <c r="A15" s="2" t="inlineStr">
        <is>
          <t>cochesnet:71725639</t>
        </is>
      </c>
      <c r="B15" s="2" t="inlineStr">
        <is>
          <t>cochesnet</t>
        </is>
      </c>
      <c r="C15" s="2" t="inlineStr">
        <is>
          <t>https://www.coches.net/renault-clio-business-15dci85-eco2-5p-diesel-2008-en-valencia-71725639-covo.aspx</t>
        </is>
      </c>
      <c r="D15" s="2" t="inlineStr">
        <is>
          <t>RENAULT Clio Business 1.5DCI85 eco2</t>
        </is>
      </c>
      <c r="E15" s="2" t="inlineStr">
        <is>
          <t>Renault</t>
        </is>
      </c>
      <c r="F15" s="2" t="inlineStr">
        <is>
          <t>Renault Clio</t>
        </is>
      </c>
      <c r="G15" s="2" t="inlineStr">
        <is>
          <t>1.5</t>
        </is>
      </c>
      <c r="H15" s="2" t="inlineStr">
        <is>
          <t>Business 1.5DCI85 eco2</t>
        </is>
      </c>
      <c r="I15" s="2" t="n"/>
      <c r="J15" s="2" t="n"/>
      <c r="K15" s="2" t="inlineStr">
        <is>
          <t>diesel</t>
        </is>
      </c>
      <c r="L15" s="2" t="inlineStr">
        <is>
          <t>utilitario</t>
        </is>
      </c>
      <c r="M15" s="2" t="n">
        <v>2009</v>
      </c>
      <c r="N15" s="2" t="n">
        <v>160000</v>
      </c>
      <c r="O15" s="2" t="n">
        <v>3990</v>
      </c>
      <c r="P15" s="2" t="inlineStr">
        <is>
          <t>manual</t>
        </is>
      </c>
      <c r="Q15" s="2" t="inlineStr">
        <is>
          <t>no</t>
        </is>
      </c>
      <c r="R15" s="2" t="inlineStr">
        <is>
          <t>profesional</t>
        </is>
      </c>
      <c r="S15" s="2" t="inlineStr">
        <is>
          <t>Foios</t>
        </is>
      </c>
      <c r="T15" s="2" t="inlineStr">
        <is>
          <t>2026-10-12T10:42:16Z</t>
        </is>
      </c>
      <c r="U15" s="2" t="n">
        <v>10</v>
      </c>
      <c r="V15" s="2" t="n"/>
      <c r="W15" s="2" t="n"/>
      <c r="X15" s="2" t="n"/>
      <c r="Y15" s="2" t="n"/>
      <c r="Z15" s="2" t="inlineStr">
        <is>
          <t>sí</t>
        </is>
      </c>
      <c r="AA15" s="2" t="n"/>
      <c r="AB15" s="2" t="n">
        <v>12</v>
      </c>
      <c r="AC15" s="2" t="n"/>
      <c r="AD15" s="2" t="n"/>
      <c r="AE15" s="2" t="n"/>
      <c r="AF15" s="2" t="n"/>
      <c r="AG15" s="2" t="n"/>
      <c r="AH15" s="2" t="n">
        <v>3990</v>
      </c>
      <c r="AI15" s="2" t="n">
        <v>3990</v>
      </c>
      <c r="AJ15" s="2" t="n"/>
      <c r="AK15" s="2" t="n"/>
      <c r="AL15" s="2" t="n"/>
      <c r="AM15" s="2" t="n">
        <v>7.7</v>
      </c>
      <c r="AN15" s="2" t="n"/>
      <c r="AO15" s="2" t="inlineStr">
        <is>
          <t>2009</t>
        </is>
      </c>
      <c r="AP15" s="2" t="n">
        <v>2009</v>
      </c>
      <c r="AQ15" s="2" t="n"/>
      <c r="AR15" s="2" t="n"/>
      <c r="AS15" s="2" t="inlineStr">
        <is>
          <t>regla</t>
        </is>
      </c>
      <c r="AT15" s="2" t="n">
        <v>2008</v>
      </c>
      <c r="AU15" s="2" t="inlineStr">
        <is>
          <t>no</t>
        </is>
      </c>
      <c r="AV15" s="2" t="inlineStr">
        <is>
          <t>B</t>
        </is>
      </c>
      <c r="AW15" s="2" t="inlineStr">
        <is>
          <t>C</t>
        </is>
      </c>
      <c r="AX15" s="2" t="inlineStr">
        <is>
          <t>no</t>
        </is>
      </c>
      <c r="AY15" s="2" t="inlineStr">
        <is>
          <t>no</t>
        </is>
      </c>
      <c r="AZ15" s="2" t="inlineStr">
        <is>
          <t>COMMON.COLOR_GRAY</t>
        </is>
      </c>
      <c r="BA15" s="2" t="inlineStr">
        <is>
          <t>gris_medio</t>
        </is>
      </c>
      <c r="BB15" s="3" t="n">
        <v>2</v>
      </c>
      <c r="BC15" s="3" t="inlineStr">
        <is>
          <t>(por segmento)</t>
        </is>
      </c>
      <c r="BD15" s="2" t="n"/>
      <c r="BE15" s="2" t="n"/>
      <c r="BF15" s="2" t="n"/>
      <c r="BG15" s="2" t="inlineStr">
        <is>
          <t>sí</t>
        </is>
      </c>
      <c r="BH15" s="2" t="n"/>
      <c r="BI15" s="2" t="n"/>
      <c r="BJ15" s="2" t="n"/>
      <c r="BK15" s="2" t="n">
        <v>5</v>
      </c>
      <c r="BL15" s="2" t="n"/>
      <c r="BM15" s="2" t="n">
        <v>332</v>
      </c>
      <c r="BN15" s="2" t="n">
        <v>0.05126157402992249</v>
      </c>
      <c r="BO15" s="2" t="n">
        <v>9</v>
      </c>
      <c r="BP15" s="2" t="n">
        <v>3470</v>
      </c>
      <c r="BQ15" s="2" t="n">
        <v>4</v>
      </c>
      <c r="BR15" s="2" t="inlineStr">
        <is>
          <t>modelo+año+km</t>
        </is>
      </c>
      <c r="BS15" s="2" t="n"/>
      <c r="BT15" s="2" t="inlineStr">
        <is>
          <t>año a confirmar: la URL/título dice 2008; anuncio incoherente: dice etiqueta C y por fecha corresponde B; se usa la regla; vendedor profesional: sin ITP (operación con IVA/REBU, confirmar en factura); gastos de gestión del vendedor no indicados: se suma la tasa DGT; preguntar el precio final; diésel: motor sin fuente de fiabilidad (fiabilidad limitada a neutra); etiqueta B deducida por fecha (sin matrícula ni dato del anuncio); revisar: no menciona la ITV</t>
        </is>
      </c>
      <c r="BU15" s="2" t="inlineStr">
        <is>
          <t xml:space="preserve">Este Renault Clio Exception 1.5dCi destaca por su equipamiento multimedia completo con radio AM/FM, reproductor de CD y mandos en el volante, combinado con climatizador automático y dirección asistida progresiva. Incorpora control de crucero, sensor de lluvia en limpiaparabrisas, retrovisores eléctricos desempañables y cristales tintados. Dispone de asientos ajustables en altura con reposacabezas regulables, volante multifuncional de cuero, elevalunas eléctricos en las cuatro puertas y cierre centralizado con mando a distancia. Este modelo ofrece confort y conectividad en un compacto versátil con etiqueta medioambiental C. Este anuncio puede contener errores de valor no contractual </t>
        </is>
      </c>
      <c r="BV15" s="2" t="inlineStr">
        <is>
          <t>https://www.coches.net/renault-clio-business-15dci85-eco2-5p-diesel-2008-en-valencia-71725639-covo.aspx (window.__INITIAL_PROPS__.ad) /home/user/Alopecia/buscador-coches/raw/cochesnet/56093e2c37b0b096.json</t>
        </is>
      </c>
      <c r="BW15" s="3">
        <f>MAX(ANIO_ACTUAL-M15,0)</f>
        <v/>
      </c>
      <c r="BX15" s="4">
        <f>N15/MAX(BW15,0.5)</f>
        <v/>
      </c>
      <c r="BY15" s="4">
        <f>F15</f>
        <v/>
      </c>
      <c r="BZ15" s="3">
        <f>BY15&amp;"|"&amp;INT(M15/SEG_ANIO)*SEG_ANIO</f>
        <v/>
      </c>
      <c r="CA15" s="3">
        <f>BZ15&amp;"|"&amp;INT(N15/SEG_KM)*SEG_KM</f>
        <v/>
      </c>
      <c r="CB15" s="4">
        <f>COUNTIF($BY$2:$BY$209,BY15)</f>
        <v/>
      </c>
      <c r="CC15" s="4">
        <f>COUNTIF($BZ$2:$BZ$209,BZ15)</f>
        <v/>
      </c>
      <c r="CD15" s="4">
        <f>COUNTIF($CA$2:$CA$209,CA15)</f>
        <v/>
      </c>
      <c r="CE15" s="3">
        <f t="array" ref="CE15">IF(N(BQ15)&gt;=MIN_N,BP15,IF(CD15&gt;=MIN_N,MEDIAN(IF($CA$2:$CA$209=CA15,$O$2:$O$209)),IF(CC15&gt;=MIN_N,MEDIAN(IF($BZ$2:$BZ$209=BZ15,$O$2:$O$209)),MEDIAN(IF($BY$2:$BY$209=BY15,$O$2:$O$209)))))</f>
        <v/>
      </c>
      <c r="CF15" s="3">
        <f>IF(N(BQ15)&gt;=MIN_N,"mercado "&amp;BR15,IF(CD15&gt;=MIN_N,"modelo+año+km",IF(CC15&gt;=MIN_N,"modelo+año","modelo")))</f>
        <v/>
      </c>
      <c r="CG15" s="4">
        <f>(CE15-O15)/CE15</f>
        <v/>
      </c>
      <c r="CH15" s="3">
        <f>IF(COUNTIFS(FR_FUEL,K15,FR_YEAR,AP15)&gt;0,1,0)</f>
        <v/>
      </c>
      <c r="CI15" s="3">
        <f>IF(COUNTIFS(FR_FUEL,K15,FR_YEAR,AP15-1)&gt;0,1,0)</f>
        <v/>
      </c>
      <c r="CJ15" s="4">
        <f>IF(N(AQ15)&gt;0,AP15*100+AQ15,IF(AND(CH15=1,CI15=1),(AP15-1)*100+1,AP15*100+1))</f>
        <v/>
      </c>
      <c r="CK15" s="3">
        <f>IF(OR(K15="hibrido",K15="glp",K15="gnc",K15="phev"),"ECO",IF(K15="electrico","CERO",IF(K15="gasolina",IF(CJ15&gt;=GAS_C_YM,"C",IF(CJ15&gt;=GAS_B_YM,"B","A")),IF(K15="diesel",IF(CJ15&gt;=DIE_C_YM,"C",IF(CJ15&gt;=DIE_B_YM,"B","A")),""))))</f>
        <v/>
      </c>
      <c r="CL15" s="4">
        <f>CK15</f>
        <v/>
      </c>
      <c r="CM15" s="4">
        <f>IF(AU15="sí","sí",IF(AS15="regla",IF(AND(N(AQ15)=0,CH15=1),"sí","no"),"no"))</f>
        <v/>
      </c>
      <c r="CN15" s="3">
        <f>IFERROR(VLOOKUP(F15,MOD_TBL,16,0),IFERROR(VLOOKUP(E15,OCU_TBL,2,0),NEUTRO))</f>
        <v/>
      </c>
      <c r="CO15" s="3">
        <f>SUMIFS(MOT_AJUSTE,MOT_MOTOR,G15,MOT_MARCA,E15,MOT_DESDE,"&lt;="&amp;M15,MOT_HASTA,"&gt;="&amp;M15)+SUMIFS(MOT_AJUSTE,MOT_MOTOR,G15,MOT_MARCA,"(todas)",MOT_DESDE,"&lt;="&amp;M15,MOT_HASTA,"&gt;="&amp;M15)+SUMIFS(MOT_AJUSTE,MOT_MOTOR,"(cualquiera)",MOT_MARCA,E15,MOT_DESDE,"&lt;="&amp;M15,MOT_HASTA,"&gt;="&amp;M15)</f>
        <v/>
      </c>
      <c r="CP15" s="3">
        <f>SUMIFS(COMB_AJUSTE,COMB_COMB,K15)</f>
        <v/>
      </c>
      <c r="CQ15" s="3">
        <f>COUNTIFS(MOT_MOTOR,G15,MOT_MARCA,E15,MOT_DESDE,"&lt;="&amp;M15,MOT_HASTA,"&gt;="&amp;M15)+COUNTIFS(MOT_MOTOR,G15,MOT_MARCA,"(todas)",MOT_DESDE,"&lt;="&amp;M15,MOT_HASTA,"&gt;="&amp;M15)+COUNTIFS(MOT_MOTOR,"(cualquiera)",MOT_MARCA,E15,MOT_DESDE,"&lt;="&amp;M15,MOT_HASTA,"&gt;="&amp;M15)</f>
        <v/>
      </c>
      <c r="CR15" s="3">
        <f>IF(AND(K15="diesel",CQ15=0),MIN(CN15,NEUTRO),CN15)</f>
        <v/>
      </c>
      <c r="CS15" s="3">
        <f>MAX(0,MIN(100,CR15+CO15+CP15-IF(AX15="sí",ROB_PEN,0)))</f>
        <v/>
      </c>
      <c r="CT15" s="3">
        <f>100-MAX(0,N15-KM_TOPE_DESDE)/1000*KM_TOPE_PTS</f>
        <v/>
      </c>
      <c r="CU15" s="3">
        <f>MAX(0,MIN(100,50+CG15*PRECIO_PEND,CT15))</f>
        <v/>
      </c>
      <c r="CV15" s="3">
        <f>MAX(0,100*(1-N15/KM_MAX))</f>
        <v/>
      </c>
      <c r="CW15" s="3">
        <f>IF(BX15&lt;KMA_SOSP,IF(AA15="sí",100,KMA_PEN),IF(BX15&lt;=KMA_IDEAL_MAX,100,MAX(0,100*(KMA_CERO-BX15)/(KMA_CERO-KMA_IDEAL_MAX))))</f>
        <v/>
      </c>
      <c r="CX15" s="3">
        <f>MAX(0,MIN(100,100*(M15-ANIO_MIN)/(ANIO_ACTUAL-ANIO_MIN)))</f>
        <v/>
      </c>
      <c r="CY15" s="3">
        <f>W_KMT*CV15+W_KMA*CW15+W_EDAD*CX15</f>
        <v/>
      </c>
      <c r="CZ15" s="4">
        <f>E15&amp;"|"&amp;G15</f>
        <v/>
      </c>
      <c r="DA15" s="3">
        <f>IFERROR(VLOOKUP(CZ15,DIST_TBL,2,0),"")</f>
        <v/>
      </c>
      <c r="DB15" s="3">
        <f>E_ITV*(V15="sí")+E_LIBRO*(W15="sí")+E_PROP*IF(Y15=1,1,IF(Y15=2,0.5,0))+E_CORREA*IF(OR(DA15="cadena",AND(X15="sí",BH15="sí")),1,IF(X15="sí",0.5,0))+E_FACT*(BI15="sí")</f>
        <v/>
      </c>
      <c r="DC15" s="3">
        <f>MAX(0,MIN(100,IFERROR(VLOOKUP(CL15,ETQ_TBL,2,0),0)-IF(CM15="sí",ETQ_PEN_DUD,IF(AS15="regla",ETQ_PEN_REGLA,0))))</f>
        <v/>
      </c>
      <c r="DD15" s="3">
        <f>IF(K15&lt;&gt;"gasolina","",IFERROR(VLOOKUP(F15,CONS_MOD_TBL,2,0),IFERROR(VLOOKUP(L15,CONS_SEG_TBL,2,0),"")))</f>
        <v/>
      </c>
      <c r="DE15" s="3">
        <f>IF(DD15="",NEUTRO,MAX(0,MIN(100,100*(CONS_REF_MAX-DD15)/(CONS_REF_MAX-CONS_REF_MIN))))</f>
        <v/>
      </c>
      <c r="DF15" s="3">
        <f>IFERROR(VLOOKUP(L15,SEGURO_TBL,3,0),"")</f>
        <v/>
      </c>
      <c r="DG15" s="3">
        <f>IF(DF15="",NEUTRO,MAX(0,MIN(100,100*(SEG_REF_MAX-DF15)/(SEG_REF_MAX-SEG_REF_MIN))))</f>
        <v/>
      </c>
      <c r="DH15" s="3">
        <f>IFERROR(VLOOKUP(E15,MANT_MARCA_TBL,2,0)+0,NEUTRO)</f>
        <v/>
      </c>
      <c r="DI15" s="3">
        <f>IF(DA15="",NEUTRO,IFERROR(VLOOKUP(DA15,DIST_PTS_TBL,2,0)+0,NEUTRO))</f>
        <v/>
      </c>
      <c r="DJ15" s="4">
        <f>(DH15+DI15)/2</f>
        <v/>
      </c>
      <c r="DK15" s="3">
        <f>W_CONS*DE15+W_SEG*DG15+W_MANT*DJ15</f>
        <v/>
      </c>
      <c r="DL15" s="3">
        <f>IF(N(AB15)&gt;0,AB15,IF(AND(R15="profesional",SG_LEGAL_ON=1),GAR_LEGAL,0))</f>
        <v/>
      </c>
      <c r="DM15" s="3">
        <f>MAX(0,MIN(100,SG_GAR*MIN(1,DL15/SG_GAR_FULL)+SG_AMPL*(AC15="sí")+SG_KMC*(AF15="sí")+SG_REV*(N(AE15)&gt;0)+SG_DEV*MIN(1,N(AG15)/SG_DEV_FULL)+SG_HIST*(W15="sí")-IF(AND(R15="particular",DL15=0),SG_PART_PEN,0)))</f>
        <v/>
      </c>
      <c r="DN15" s="3">
        <f>IF(BK15="",NEUTRO,MAX(0,MIN(100,BK15/5*100)))</f>
        <v/>
      </c>
      <c r="DO15" s="3">
        <f>IF(BL15="sí",100,IF(BL15="no",0,NEUTRO))</f>
        <v/>
      </c>
      <c r="DP15" s="3">
        <f>SV_W_NCAP*DN15+SV_W_ESP*DO15</f>
        <v/>
      </c>
      <c r="DQ15" s="3">
        <f>MAX(0,MIN(100,ATR_BASE+ATR_ACAB*(BD15&lt;&gt;"")+IF(BE15="16+",ATR_LL16,IF(BE15="sí",ATR_LL,0))+ATR_FAROS*(BF15="sí")+ATR_TINT*(BG15="sí")-ATR_CHAPA*(BE15="chapa")))</f>
        <v/>
      </c>
      <c r="DR15" s="3">
        <f>EST_W_MOD*(BB15-1)/4*100+EST_W_ATR*DQ15</f>
        <v/>
      </c>
      <c r="DS15" s="3">
        <f>IF(BA15="",NEUTRO,IFERROR(VLOOKUP(BA15,COLOR_TBL,2,0)+0,NEUTRO))</f>
        <v/>
      </c>
      <c r="DT15" s="3">
        <f>MAX(0,MIN(100,100*N(BM15)/RV_N_FULL))</f>
        <v/>
      </c>
      <c r="DU15" s="3">
        <f>IF(OR(BN15="",N(BO15)&lt;RV_DIAS_MIN),NEUTRO,MAX(0,MIN(100,100*(RV_DIAS_CERO-BN15)/(RV_DIAS_CERO-RV_DIAS_FULL))))</f>
        <v/>
      </c>
      <c r="DV15" s="3">
        <f>RV_W_LIQ*DT15+RV_W_DIAS*DU15+RV_W_ETQ*DC15</f>
        <v/>
      </c>
      <c r="DW15" s="3">
        <f>IFERROR(VLOOKUP(L15,CARR_PEN_TBL,2,0),0)</f>
        <v/>
      </c>
      <c r="DX15" s="3">
        <f>W_FIAB*CS15+W_PRECIO*CU15+W_KMEDAD*CY15+W_ESTADO*DB15+W_USO*DK15+W_SEGURIDAD*DM15+W_SEGVIAL*DP15+W_ESTETICA*DR15+W_COLOR*DS15+W_REVENTA*DV15-DW15-EG15</f>
        <v/>
      </c>
      <c r="DY15" s="4">
        <f>IF(N(I15)&gt;0,I15,IFERROR(ROUND(_xlfn.NUMBERVALUE(LEFT(G15,FIND(" ",G15&amp;" ")-1),".")*1000,0),99999))</f>
        <v/>
      </c>
      <c r="DZ15" s="3">
        <f>IF(R15="profesional",0,IF(O15&lt;CUOTA_VALOR_MAX,IF(BW15&gt;ITP_TRAMO_ALTO,SUMIFS(CF_CUOTA,CF_MAS,ITP_TRAMO_ALTO,CF_CCMIN,"&lt;="&amp;DY15,CF_CCMAX,"&gt;="&amp;DY15),IF(BW15&gt;ITP_TRAMO_BAJO,SUMIFS(CF_CUOTA,CF_MAS,ITP_TRAMO_BAJO,CF_CCMIN,"&lt;="&amp;DY15,CF_CCMAX,"&gt;="&amp;DY15),O15*ITP_TIPO)),O15*ITP_TIPO))</f>
        <v/>
      </c>
      <c r="EA15" s="4">
        <f>IF(R15="profesional",N(AK15),0)</f>
        <v/>
      </c>
      <c r="EB15" s="3">
        <f>IF(AND(R15="profesional",ISNUMBER(AK15),AL15="sí"),0,TASA_DGT)</f>
        <v/>
      </c>
      <c r="EC15" s="3">
        <f>INFORME_DGT</f>
        <v/>
      </c>
      <c r="ED15" s="4">
        <f>O15+EA15+DZ15+EB15+EC15</f>
        <v/>
      </c>
      <c r="EE15" s="4">
        <f>ED15+N(DF15)</f>
        <v/>
      </c>
      <c r="EF15" s="3">
        <f>MAX(0,ED15-TOTAL_MAX)</f>
        <v/>
      </c>
      <c r="EG15" s="3">
        <f>EF15/100*PEN_100</f>
        <v/>
      </c>
      <c r="EH15" s="3">
        <f>IF(R15="particular",ED15+IF(AND(DA15&lt;&gt;"cadena",X15&lt;&gt;"sí"),RES_CORREA,0)+IF(AND(BJ15&lt;&gt;"sí",BW15&gt;=RES_NEUM_EDAD),RES_NEUM,0),"")</f>
        <v/>
      </c>
      <c r="EI15" s="3">
        <f>IF(ED15&lt;=TOTAL_MAX,"sí",IF(ED15&lt;=TECHO,"negociar","no"))</f>
        <v/>
      </c>
      <c r="EJ15" s="4">
        <f>ROUND(DX15,9)</f>
        <v/>
      </c>
      <c r="EK15" s="4">
        <f>IF(EI15&lt;&gt;"no",SUMPRODUCT(($EI$2:$EI$209&lt;&gt;"no")*($EJ$2:$EJ$209&gt;EJ15))+SUMPRODUCT(($EI$2:EI15&lt;&gt;"no")*($EJ$2:EJ15=EJ15)),"")</f>
        <v/>
      </c>
    </row>
    <row r="16">
      <c r="A16" s="2" t="inlineStr">
        <is>
          <t>cochesnet:71399209</t>
        </is>
      </c>
      <c r="B16" s="2" t="inlineStr">
        <is>
          <t>cochesnet</t>
        </is>
      </c>
      <c r="C16" s="2" t="inlineStr">
        <is>
          <t>https://www.coches.net/renault-megane-emotion-2008-14-16v-5p-gasolina-2008-en-valencia-71399209-covo.aspx</t>
        </is>
      </c>
      <c r="D16" s="2" t="inlineStr">
        <is>
          <t>RENAULT Mégane Emotion 2008 1.4 16V</t>
        </is>
      </c>
      <c r="E16" s="2" t="inlineStr">
        <is>
          <t>Renault</t>
        </is>
      </c>
      <c r="F16" s="2" t="inlineStr">
        <is>
          <t>Renault Mégane</t>
        </is>
      </c>
      <c r="G16" s="2" t="inlineStr">
        <is>
          <t>1.4</t>
        </is>
      </c>
      <c r="H16" s="2" t="inlineStr">
        <is>
          <t>Emotion 2008 1.4 16V</t>
        </is>
      </c>
      <c r="I16" s="2" t="n"/>
      <c r="J16" s="2" t="n"/>
      <c r="K16" s="2" t="inlineStr">
        <is>
          <t>gasolina</t>
        </is>
      </c>
      <c r="L16" s="2" t="inlineStr">
        <is>
          <t>compacto</t>
        </is>
      </c>
      <c r="M16" s="2" t="n">
        <v>2008</v>
      </c>
      <c r="N16" s="2" t="n">
        <v>134000</v>
      </c>
      <c r="O16" s="2" t="n">
        <v>4590</v>
      </c>
      <c r="P16" s="2" t="inlineStr">
        <is>
          <t>manual</t>
        </is>
      </c>
      <c r="Q16" s="2" t="inlineStr">
        <is>
          <t>no</t>
        </is>
      </c>
      <c r="R16" s="2" t="inlineStr">
        <is>
          <t>profesional</t>
        </is>
      </c>
      <c r="S16" s="2" t="inlineStr">
        <is>
          <t>Only Cars Valencia Aldaia</t>
        </is>
      </c>
      <c r="T16" s="2" t="inlineStr">
        <is>
          <t>2026-08-31T12:15:05Z</t>
        </is>
      </c>
      <c r="U16" s="2" t="n">
        <v>11</v>
      </c>
      <c r="V16" s="2" t="n"/>
      <c r="W16" s="2" t="n"/>
      <c r="X16" s="2" t="n"/>
      <c r="Y16" s="2" t="n">
        <v>1</v>
      </c>
      <c r="Z16" s="2" t="inlineStr">
        <is>
          <t>sí</t>
        </is>
      </c>
      <c r="AA16" s="2" t="n"/>
      <c r="AB16" s="2" t="n">
        <v>12</v>
      </c>
      <c r="AC16" s="2" t="n"/>
      <c r="AD16" s="2" t="n"/>
      <c r="AE16" s="2" t="n"/>
      <c r="AF16" s="2" t="n"/>
      <c r="AG16" s="2" t="n"/>
      <c r="AH16" s="2" t="n">
        <v>4590</v>
      </c>
      <c r="AI16" s="2" t="n"/>
      <c r="AJ16" s="2" t="n"/>
      <c r="AK16" s="2" t="n"/>
      <c r="AL16" s="2" t="n"/>
      <c r="AM16" s="2" t="n">
        <v>7.5</v>
      </c>
      <c r="AN16" s="2" t="n"/>
      <c r="AO16" s="2" t="inlineStr">
        <is>
          <t>2008</t>
        </is>
      </c>
      <c r="AP16" s="2" t="n">
        <v>2008</v>
      </c>
      <c r="AQ16" s="2" t="n"/>
      <c r="AR16" s="2" t="inlineStr">
        <is>
          <t>C</t>
        </is>
      </c>
      <c r="AS16" s="2" t="inlineStr">
        <is>
          <t>anuncio</t>
        </is>
      </c>
      <c r="AT16" s="2" t="n"/>
      <c r="AU16" s="2" t="inlineStr">
        <is>
          <t>no</t>
        </is>
      </c>
      <c r="AV16" s="2" t="inlineStr">
        <is>
          <t>C</t>
        </is>
      </c>
      <c r="AW16" s="2" t="n"/>
      <c r="AX16" s="2" t="inlineStr">
        <is>
          <t>no</t>
        </is>
      </c>
      <c r="AY16" s="2" t="inlineStr">
        <is>
          <t>no</t>
        </is>
      </c>
      <c r="AZ16" s="2" t="inlineStr">
        <is>
          <t>COMMON.COLOR_BLUE</t>
        </is>
      </c>
      <c r="BA16" s="2" t="inlineStr">
        <is>
          <t>azul</t>
        </is>
      </c>
      <c r="BB16" s="3" t="n">
        <v>3</v>
      </c>
      <c r="BC16" s="3" t="inlineStr">
        <is>
          <t>(por segmento)</t>
        </is>
      </c>
      <c r="BD16" s="2" t="n"/>
      <c r="BE16" s="2" t="n"/>
      <c r="BF16" s="2" t="n"/>
      <c r="BG16" s="2" t="n"/>
      <c r="BH16" s="2" t="n"/>
      <c r="BI16" s="2" t="n"/>
      <c r="BJ16" s="2" t="n"/>
      <c r="BK16" s="2" t="n">
        <v>5</v>
      </c>
      <c r="BL16" s="2" t="n"/>
      <c r="BM16" s="2" t="n">
        <v>387</v>
      </c>
      <c r="BN16" s="2" t="n">
        <v>0.07434027781710029</v>
      </c>
      <c r="BO16" s="2" t="n">
        <v>7</v>
      </c>
      <c r="BP16" s="2" t="n">
        <v>4500</v>
      </c>
      <c r="BQ16" s="2" t="n">
        <v>5</v>
      </c>
      <c r="BR16" s="2" t="inlineStr">
        <is>
          <t>modelo+año+km</t>
        </is>
      </c>
      <c r="BS16" s="2" t="n"/>
      <c r="BT16" s="2" t="inlineStr">
        <is>
          <t>vendedor profesional: sin ITP (operación con IVA/REBU, confirmar en factura); gastos de gestión del vendedor no indicados: se suma la tasa DGT; preguntar el precio final; revisar: no menciona la ITV</t>
        </is>
      </c>
      <c r="BU16" s="2" t="inlineStr">
        <is>
          <t>Renault Megane 1.4 Emotion año 2008 con 134.000Kms 98CV. ÚNICO PROPIETARIO.
Equipamiento:
- elevalunas eléctricos 
- Espejos eléctricos 
- Aire acondicionado 
- Dirección asistida
- Mando a distancia
- Ordenador de abordo
- Control de velocidad 
- Velocidad crucero
Mantenimiento:
   - cambio de filtro de aire
   - cambio de filtro de aceite
   - cambio de aceite 
   - Dos juegos de llave
   - Alfombrillas</t>
        </is>
      </c>
      <c r="BV16" s="2" t="inlineStr">
        <is>
          <t>https://www.coches.net/renault-megane-emotion-2008-14-16v-5p-gasolina-2008-en-valencia-71399209-covo.aspx (window.__INITIAL_PROPS__.ad) /home/user/Alopecia/buscador-coches/raw/cochesnet/893afa53c262edfe.json</t>
        </is>
      </c>
      <c r="BW16" s="3">
        <f>MAX(ANIO_ACTUAL-M16,0)</f>
        <v/>
      </c>
      <c r="BX16" s="4">
        <f>N16/MAX(BW16,0.5)</f>
        <v/>
      </c>
      <c r="BY16" s="4">
        <f>F16</f>
        <v/>
      </c>
      <c r="BZ16" s="3">
        <f>BY16&amp;"|"&amp;INT(M16/SEG_ANIO)*SEG_ANIO</f>
        <v/>
      </c>
      <c r="CA16" s="3">
        <f>BZ16&amp;"|"&amp;INT(N16/SEG_KM)*SEG_KM</f>
        <v/>
      </c>
      <c r="CB16" s="4">
        <f>COUNTIF($BY$2:$BY$209,BY16)</f>
        <v/>
      </c>
      <c r="CC16" s="4">
        <f>COUNTIF($BZ$2:$BZ$209,BZ16)</f>
        <v/>
      </c>
      <c r="CD16" s="4">
        <f>COUNTIF($CA$2:$CA$209,CA16)</f>
        <v/>
      </c>
      <c r="CE16" s="3">
        <f t="array" ref="CE16">IF(N(BQ16)&gt;=MIN_N,BP16,IF(CD16&gt;=MIN_N,MEDIAN(IF($CA$2:$CA$209=CA16,$O$2:$O$209)),IF(CC16&gt;=MIN_N,MEDIAN(IF($BZ$2:$BZ$209=BZ16,$O$2:$O$209)),MEDIAN(IF($BY$2:$BY$209=BY16,$O$2:$O$209)))))</f>
        <v/>
      </c>
      <c r="CF16" s="3">
        <f>IF(N(BQ16)&gt;=MIN_N,"mercado "&amp;BR16,IF(CD16&gt;=MIN_N,"modelo+año+km",IF(CC16&gt;=MIN_N,"modelo+año","modelo")))</f>
        <v/>
      </c>
      <c r="CG16" s="4">
        <f>(CE16-O16)/CE16</f>
        <v/>
      </c>
      <c r="CH16" s="3">
        <f>IF(COUNTIFS(FR_FUEL,K16,FR_YEAR,AP16)&gt;0,1,0)</f>
        <v/>
      </c>
      <c r="CI16" s="3">
        <f>IF(COUNTIFS(FR_FUEL,K16,FR_YEAR,AP16-1)&gt;0,1,0)</f>
        <v/>
      </c>
      <c r="CJ16" s="4">
        <f>IF(N(AQ16)&gt;0,AP16*100+AQ16,IF(AND(CH16=1,CI16=1),(AP16-1)*100+1,AP16*100+1))</f>
        <v/>
      </c>
      <c r="CK16" s="3">
        <f>IF(OR(K16="hibrido",K16="glp",K16="gnc",K16="phev"),"ECO",IF(K16="electrico","CERO",IF(K16="gasolina",IF(CJ16&gt;=GAS_C_YM,"C",IF(CJ16&gt;=GAS_B_YM,"B","A")),IF(K16="diesel",IF(CJ16&gt;=DIE_C_YM,"C",IF(CJ16&gt;=DIE_B_YM,"B","A")),""))))</f>
        <v/>
      </c>
      <c r="CL16" s="2" t="inlineStr">
        <is>
          <t>C</t>
        </is>
      </c>
      <c r="CM16" s="4">
        <f>IF(AU16="sí","sí",IF(AS16="regla",IF(AND(N(AQ16)=0,CH16=1),"sí","no"),"no"))</f>
        <v/>
      </c>
      <c r="CN16" s="3">
        <f>IFERROR(VLOOKUP(F16,MOD_TBL,16,0),IFERROR(VLOOKUP(E16,OCU_TBL,2,0),NEUTRO))</f>
        <v/>
      </c>
      <c r="CO16" s="3">
        <f>SUMIFS(MOT_AJUSTE,MOT_MOTOR,G16,MOT_MARCA,E16,MOT_DESDE,"&lt;="&amp;M16,MOT_HASTA,"&gt;="&amp;M16)+SUMIFS(MOT_AJUSTE,MOT_MOTOR,G16,MOT_MARCA,"(todas)",MOT_DESDE,"&lt;="&amp;M16,MOT_HASTA,"&gt;="&amp;M16)+SUMIFS(MOT_AJUSTE,MOT_MOTOR,"(cualquiera)",MOT_MARCA,E16,MOT_DESDE,"&lt;="&amp;M16,MOT_HASTA,"&gt;="&amp;M16)</f>
        <v/>
      </c>
      <c r="CP16" s="3">
        <f>SUMIFS(COMB_AJUSTE,COMB_COMB,K16)</f>
        <v/>
      </c>
      <c r="CQ16" s="3">
        <f>COUNTIFS(MOT_MOTOR,G16,MOT_MARCA,E16,MOT_DESDE,"&lt;="&amp;M16,MOT_HASTA,"&gt;="&amp;M16)+COUNTIFS(MOT_MOTOR,G16,MOT_MARCA,"(todas)",MOT_DESDE,"&lt;="&amp;M16,MOT_HASTA,"&gt;="&amp;M16)+COUNTIFS(MOT_MOTOR,"(cualquiera)",MOT_MARCA,E16,MOT_DESDE,"&lt;="&amp;M16,MOT_HASTA,"&gt;="&amp;M16)</f>
        <v/>
      </c>
      <c r="CR16" s="3">
        <f>IF(AND(K16="diesel",CQ16=0),MIN(CN16,NEUTRO),CN16)</f>
        <v/>
      </c>
      <c r="CS16" s="3">
        <f>MAX(0,MIN(100,CR16+CO16+CP16-IF(AX16="sí",ROB_PEN,0)))</f>
        <v/>
      </c>
      <c r="CT16" s="3">
        <f>100-MAX(0,N16-KM_TOPE_DESDE)/1000*KM_TOPE_PTS</f>
        <v/>
      </c>
      <c r="CU16" s="3">
        <f>MAX(0,MIN(100,50+CG16*PRECIO_PEND,CT16))</f>
        <v/>
      </c>
      <c r="CV16" s="3">
        <f>MAX(0,100*(1-N16/KM_MAX))</f>
        <v/>
      </c>
      <c r="CW16" s="3">
        <f>IF(BX16&lt;KMA_SOSP,IF(AA16="sí",100,KMA_PEN),IF(BX16&lt;=KMA_IDEAL_MAX,100,MAX(0,100*(KMA_CERO-BX16)/(KMA_CERO-KMA_IDEAL_MAX))))</f>
        <v/>
      </c>
      <c r="CX16" s="3">
        <f>MAX(0,MIN(100,100*(M16-ANIO_MIN)/(ANIO_ACTUAL-ANIO_MIN)))</f>
        <v/>
      </c>
      <c r="CY16" s="3">
        <f>W_KMT*CV16+W_KMA*CW16+W_EDAD*CX16</f>
        <v/>
      </c>
      <c r="CZ16" s="4">
        <f>E16&amp;"|"&amp;G16</f>
        <v/>
      </c>
      <c r="DA16" s="3">
        <f>IFERROR(VLOOKUP(CZ16,DIST_TBL,2,0),"")</f>
        <v/>
      </c>
      <c r="DB16" s="3">
        <f>E_ITV*(V16="sí")+E_LIBRO*(W16="sí")+E_PROP*IF(Y16=1,1,IF(Y16=2,0.5,0))+E_CORREA*IF(OR(DA16="cadena",AND(X16="sí",BH16="sí")),1,IF(X16="sí",0.5,0))+E_FACT*(BI16="sí")</f>
        <v/>
      </c>
      <c r="DC16" s="3">
        <f>MAX(0,MIN(100,IFERROR(VLOOKUP(CL16,ETQ_TBL,2,0),0)-IF(CM16="sí",ETQ_PEN_DUD,IF(AS16="regla",ETQ_PEN_REGLA,0))))</f>
        <v/>
      </c>
      <c r="DD16" s="3">
        <f>IF(K16&lt;&gt;"gasolina","",IFERROR(VLOOKUP(F16,CONS_MOD_TBL,2,0),IFERROR(VLOOKUP(L16,CONS_SEG_TBL,2,0),"")))</f>
        <v/>
      </c>
      <c r="DE16" s="3">
        <f>IF(DD16="",NEUTRO,MAX(0,MIN(100,100*(CONS_REF_MAX-DD16)/(CONS_REF_MAX-CONS_REF_MIN))))</f>
        <v/>
      </c>
      <c r="DF16" s="3">
        <f>IFERROR(VLOOKUP(L16,SEGURO_TBL,3,0),"")</f>
        <v/>
      </c>
      <c r="DG16" s="3">
        <f>IF(DF16="",NEUTRO,MAX(0,MIN(100,100*(SEG_REF_MAX-DF16)/(SEG_REF_MAX-SEG_REF_MIN))))</f>
        <v/>
      </c>
      <c r="DH16" s="3">
        <f>IFERROR(VLOOKUP(E16,MANT_MARCA_TBL,2,0)+0,NEUTRO)</f>
        <v/>
      </c>
      <c r="DI16" s="3">
        <f>IF(DA16="",NEUTRO,IFERROR(VLOOKUP(DA16,DIST_PTS_TBL,2,0)+0,NEUTRO))</f>
        <v/>
      </c>
      <c r="DJ16" s="4">
        <f>(DH16+DI16)/2</f>
        <v/>
      </c>
      <c r="DK16" s="3">
        <f>W_CONS*DE16+W_SEG*DG16+W_MANT*DJ16</f>
        <v/>
      </c>
      <c r="DL16" s="3">
        <f>IF(N(AB16)&gt;0,AB16,IF(AND(R16="profesional",SG_LEGAL_ON=1),GAR_LEGAL,0))</f>
        <v/>
      </c>
      <c r="DM16" s="3">
        <f>MAX(0,MIN(100,SG_GAR*MIN(1,DL16/SG_GAR_FULL)+SG_AMPL*(AC16="sí")+SG_KMC*(AF16="sí")+SG_REV*(N(AE16)&gt;0)+SG_DEV*MIN(1,N(AG16)/SG_DEV_FULL)+SG_HIST*(W16="sí")-IF(AND(R16="particular",DL16=0),SG_PART_PEN,0)))</f>
        <v/>
      </c>
      <c r="DN16" s="3">
        <f>IF(BK16="",NEUTRO,MAX(0,MIN(100,BK16/5*100)))</f>
        <v/>
      </c>
      <c r="DO16" s="3">
        <f>IF(BL16="sí",100,IF(BL16="no",0,NEUTRO))</f>
        <v/>
      </c>
      <c r="DP16" s="3">
        <f>SV_W_NCAP*DN16+SV_W_ESP*DO16</f>
        <v/>
      </c>
      <c r="DQ16" s="3">
        <f>MAX(0,MIN(100,ATR_BASE+ATR_ACAB*(BD16&lt;&gt;"")+IF(BE16="16+",ATR_LL16,IF(BE16="sí",ATR_LL,0))+ATR_FAROS*(BF16="sí")+ATR_TINT*(BG16="sí")-ATR_CHAPA*(BE16="chapa")))</f>
        <v/>
      </c>
      <c r="DR16" s="3">
        <f>EST_W_MOD*(BB16-1)/4*100+EST_W_ATR*DQ16</f>
        <v/>
      </c>
      <c r="DS16" s="3">
        <f>IF(BA16="",NEUTRO,IFERROR(VLOOKUP(BA16,COLOR_TBL,2,0)+0,NEUTRO))</f>
        <v/>
      </c>
      <c r="DT16" s="3">
        <f>MAX(0,MIN(100,100*N(BM16)/RV_N_FULL))</f>
        <v/>
      </c>
      <c r="DU16" s="3">
        <f>IF(OR(BN16="",N(BO16)&lt;RV_DIAS_MIN),NEUTRO,MAX(0,MIN(100,100*(RV_DIAS_CERO-BN16)/(RV_DIAS_CERO-RV_DIAS_FULL))))</f>
        <v/>
      </c>
      <c r="DV16" s="3">
        <f>RV_W_LIQ*DT16+RV_W_DIAS*DU16+RV_W_ETQ*DC16</f>
        <v/>
      </c>
      <c r="DW16" s="3">
        <f>IFERROR(VLOOKUP(L16,CARR_PEN_TBL,2,0),0)</f>
        <v/>
      </c>
      <c r="DX16" s="3">
        <f>W_FIAB*CS16+W_PRECIO*CU16+W_KMEDAD*CY16+W_ESTADO*DB16+W_USO*DK16+W_SEGURIDAD*DM16+W_SEGVIAL*DP16+W_ESTETICA*DR16+W_COLOR*DS16+W_REVENTA*DV16-DW16-EG16</f>
        <v/>
      </c>
      <c r="DY16" s="4">
        <f>IF(N(I16)&gt;0,I16,IFERROR(ROUND(_xlfn.NUMBERVALUE(LEFT(G16,FIND(" ",G16&amp;" ")-1),".")*1000,0),99999))</f>
        <v/>
      </c>
      <c r="DZ16" s="3">
        <f>IF(R16="profesional",0,IF(O16&lt;CUOTA_VALOR_MAX,IF(BW16&gt;ITP_TRAMO_ALTO,SUMIFS(CF_CUOTA,CF_MAS,ITP_TRAMO_ALTO,CF_CCMIN,"&lt;="&amp;DY16,CF_CCMAX,"&gt;="&amp;DY16),IF(BW16&gt;ITP_TRAMO_BAJO,SUMIFS(CF_CUOTA,CF_MAS,ITP_TRAMO_BAJO,CF_CCMIN,"&lt;="&amp;DY16,CF_CCMAX,"&gt;="&amp;DY16),O16*ITP_TIPO)),O16*ITP_TIPO))</f>
        <v/>
      </c>
      <c r="EA16" s="4">
        <f>IF(R16="profesional",N(AK16),0)</f>
        <v/>
      </c>
      <c r="EB16" s="3">
        <f>IF(AND(R16="profesional",ISNUMBER(AK16),AL16="sí"),0,TASA_DGT)</f>
        <v/>
      </c>
      <c r="EC16" s="3">
        <f>INFORME_DGT</f>
        <v/>
      </c>
      <c r="ED16" s="4">
        <f>O16+EA16+DZ16+EB16+EC16</f>
        <v/>
      </c>
      <c r="EE16" s="4">
        <f>ED16+N(DF16)</f>
        <v/>
      </c>
      <c r="EF16" s="3">
        <f>MAX(0,ED16-TOTAL_MAX)</f>
        <v/>
      </c>
      <c r="EG16" s="3">
        <f>EF16/100*PEN_100</f>
        <v/>
      </c>
      <c r="EH16" s="3">
        <f>IF(R16="particular",ED16+IF(AND(DA16&lt;&gt;"cadena",X16&lt;&gt;"sí"),RES_CORREA,0)+IF(AND(BJ16&lt;&gt;"sí",BW16&gt;=RES_NEUM_EDAD),RES_NEUM,0),"")</f>
        <v/>
      </c>
      <c r="EI16" s="3">
        <f>IF(ED16&lt;=TOTAL_MAX,"sí",IF(ED16&lt;=TECHO,"negociar","no"))</f>
        <v/>
      </c>
      <c r="EJ16" s="4">
        <f>ROUND(DX16,9)</f>
        <v/>
      </c>
      <c r="EK16" s="4">
        <f>IF(EI16&lt;&gt;"no",SUMPRODUCT(($EI$2:$EI$209&lt;&gt;"no")*($EJ$2:$EJ$209&gt;EJ16))+SUMPRODUCT(($EI$2:EI16&lt;&gt;"no")*($EJ$2:EJ16=EJ16)),"")</f>
        <v/>
      </c>
    </row>
    <row r="17">
      <c r="A17" s="2" t="inlineStr">
        <is>
          <t>cochesnet:71622320</t>
        </is>
      </c>
      <c r="B17" s="2" t="inlineStr">
        <is>
          <t>cochesnet</t>
        </is>
      </c>
      <c r="C17" s="2" t="inlineStr">
        <is>
          <t>https://www.coches.net/renault-megane-dynamique-15dci85-eco2-5p-diesel-2008-en-valencia-71622320-covo.aspx</t>
        </is>
      </c>
      <c r="D17" s="2" t="inlineStr">
        <is>
          <t>RENAULT Mégane Dynamique 1.5dCi85 eco2</t>
        </is>
      </c>
      <c r="E17" s="2" t="inlineStr">
        <is>
          <t>Renault</t>
        </is>
      </c>
      <c r="F17" s="2" t="inlineStr">
        <is>
          <t>Renault Mégane</t>
        </is>
      </c>
      <c r="G17" s="2" t="inlineStr">
        <is>
          <t>1.5</t>
        </is>
      </c>
      <c r="H17" s="2" t="inlineStr">
        <is>
          <t>Dynamique 1.5dCi85 eco2</t>
        </is>
      </c>
      <c r="I17" s="2" t="n"/>
      <c r="J17" s="2" t="n"/>
      <c r="K17" s="2" t="inlineStr">
        <is>
          <t>diesel</t>
        </is>
      </c>
      <c r="L17" s="2" t="inlineStr">
        <is>
          <t>compacto</t>
        </is>
      </c>
      <c r="M17" s="2" t="n">
        <v>2008</v>
      </c>
      <c r="N17" s="2" t="n">
        <v>145000</v>
      </c>
      <c r="O17" s="2" t="n">
        <v>3990</v>
      </c>
      <c r="P17" s="2" t="inlineStr">
        <is>
          <t>manual</t>
        </is>
      </c>
      <c r="Q17" s="2" t="inlineStr">
        <is>
          <t>no</t>
        </is>
      </c>
      <c r="R17" s="2" t="inlineStr">
        <is>
          <t>profesional</t>
        </is>
      </c>
      <c r="S17" s="2" t="inlineStr">
        <is>
          <t>Only Cars Valencia Aldaia</t>
        </is>
      </c>
      <c r="T17" s="2" t="inlineStr">
        <is>
          <t>2026-09-29T10:48:11Z</t>
        </is>
      </c>
      <c r="U17" s="2" t="n">
        <v>11</v>
      </c>
      <c r="V17" s="2" t="n"/>
      <c r="W17" s="2" t="n"/>
      <c r="X17" s="2" t="n"/>
      <c r="Y17" s="2" t="n">
        <v>1</v>
      </c>
      <c r="Z17" s="2" t="inlineStr">
        <is>
          <t>sí</t>
        </is>
      </c>
      <c r="AA17" s="2" t="n"/>
      <c r="AB17" s="2" t="n">
        <v>12</v>
      </c>
      <c r="AC17" s="2" t="n"/>
      <c r="AD17" s="2" t="n"/>
      <c r="AE17" s="2" t="n"/>
      <c r="AF17" s="2" t="n"/>
      <c r="AG17" s="2" t="n"/>
      <c r="AH17" s="2" t="n">
        <v>3990</v>
      </c>
      <c r="AI17" s="2" t="n"/>
      <c r="AJ17" s="2" t="n"/>
      <c r="AK17" s="2" t="n"/>
      <c r="AL17" s="2" t="n"/>
      <c r="AM17" s="2" t="n">
        <v>7.5</v>
      </c>
      <c r="AN17" s="2" t="n"/>
      <c r="AO17" s="2" t="inlineStr">
        <is>
          <t>2008</t>
        </is>
      </c>
      <c r="AP17" s="2" t="n">
        <v>2008</v>
      </c>
      <c r="AQ17" s="2" t="n"/>
      <c r="AR17" s="2" t="inlineStr">
        <is>
          <t>B</t>
        </is>
      </c>
      <c r="AS17" s="2" t="inlineStr">
        <is>
          <t>anuncio</t>
        </is>
      </c>
      <c r="AT17" s="2" t="n"/>
      <c r="AU17" s="2" t="inlineStr">
        <is>
          <t>no</t>
        </is>
      </c>
      <c r="AV17" s="2" t="inlineStr">
        <is>
          <t>B</t>
        </is>
      </c>
      <c r="AW17" s="2" t="n"/>
      <c r="AX17" s="2" t="inlineStr">
        <is>
          <t>no</t>
        </is>
      </c>
      <c r="AY17" s="2" t="inlineStr">
        <is>
          <t>no</t>
        </is>
      </c>
      <c r="AZ17" s="2" t="inlineStr">
        <is>
          <t>COMMON.COLOR_BEIGE</t>
        </is>
      </c>
      <c r="BA17" s="2" t="inlineStr">
        <is>
          <t>beige</t>
        </is>
      </c>
      <c r="BB17" s="3" t="n">
        <v>3</v>
      </c>
      <c r="BC17" s="3" t="inlineStr">
        <is>
          <t>(por segmento)</t>
        </is>
      </c>
      <c r="BD17" s="2" t="n"/>
      <c r="BE17" s="2" t="n"/>
      <c r="BF17" s="2" t="n"/>
      <c r="BG17" s="2" t="n"/>
      <c r="BH17" s="2" t="n"/>
      <c r="BI17" s="2" t="n"/>
      <c r="BJ17" s="2" t="n"/>
      <c r="BK17" s="2" t="n">
        <v>5</v>
      </c>
      <c r="BL17" s="2" t="n"/>
      <c r="BM17" s="2" t="n">
        <v>387</v>
      </c>
      <c r="BN17" s="2" t="n">
        <v>0.07434027781710029</v>
      </c>
      <c r="BO17" s="2" t="n">
        <v>7</v>
      </c>
      <c r="BP17" s="2" t="n">
        <v>4500</v>
      </c>
      <c r="BQ17" s="2" t="n">
        <v>5</v>
      </c>
      <c r="BR17" s="2" t="inlineStr">
        <is>
          <t>modelo+año+km</t>
        </is>
      </c>
      <c r="BS17" s="2" t="n"/>
      <c r="BT17" s="2" t="inlineStr">
        <is>
          <t>vendedor profesional: sin ITP (operación con IVA/REBU, confirmar en factura); gastos de gestión del vendedor no indicados: se suma la tasa DGT; preguntar el precio final; diésel: motor sin fuente de fiabilidad (fiabilidad limitada a neutra); revisar: no menciona la ITV</t>
        </is>
      </c>
      <c r="BU17" s="2" t="inlineStr">
        <is>
          <t>Renault Megane 1.5 dCi Dynamique año 2008 con 145.000Kms 85CV. UNICO PROPIETARIO.
Equipamiento:
- elevalunas eléctricos 
- Espejos eléctricos 
- Aire acondicionado 
- Dirección asistida
- Mando a distancia 
- Ordenador de abordo
- Control de velocidad 
- Velocidad crucero
Mantenimiento:
   - cambio de filtro de aire
   - cambio de filtro de aceite
   - cambio de aceite 
   - Dos juegos de llave
   - Alfombrillas</t>
        </is>
      </c>
      <c r="BV17" s="2" t="inlineStr">
        <is>
          <t>https://www.coches.net/renault-megane-dynamique-15dci85-eco2-5p-diesel-2008-en-valencia-71622320-covo.aspx (window.__INITIAL_PROPS__.ad) /home/user/Alopecia/buscador-coches/raw/cochesnet/b27e6845a5e23e51.json</t>
        </is>
      </c>
      <c r="BW17" s="3">
        <f>MAX(ANIO_ACTUAL-M17,0)</f>
        <v/>
      </c>
      <c r="BX17" s="4">
        <f>N17/MAX(BW17,0.5)</f>
        <v/>
      </c>
      <c r="BY17" s="4">
        <f>F17</f>
        <v/>
      </c>
      <c r="BZ17" s="3">
        <f>BY17&amp;"|"&amp;INT(M17/SEG_ANIO)*SEG_ANIO</f>
        <v/>
      </c>
      <c r="CA17" s="3">
        <f>BZ17&amp;"|"&amp;INT(N17/SEG_KM)*SEG_KM</f>
        <v/>
      </c>
      <c r="CB17" s="4">
        <f>COUNTIF($BY$2:$BY$209,BY17)</f>
        <v/>
      </c>
      <c r="CC17" s="4">
        <f>COUNTIF($BZ$2:$BZ$209,BZ17)</f>
        <v/>
      </c>
      <c r="CD17" s="4">
        <f>COUNTIF($CA$2:$CA$209,CA17)</f>
        <v/>
      </c>
      <c r="CE17" s="3">
        <f t="array" ref="CE17">IF(N(BQ17)&gt;=MIN_N,BP17,IF(CD17&gt;=MIN_N,MEDIAN(IF($CA$2:$CA$209=CA17,$O$2:$O$209)),IF(CC17&gt;=MIN_N,MEDIAN(IF($BZ$2:$BZ$209=BZ17,$O$2:$O$209)),MEDIAN(IF($BY$2:$BY$209=BY17,$O$2:$O$209)))))</f>
        <v/>
      </c>
      <c r="CF17" s="3">
        <f>IF(N(BQ17)&gt;=MIN_N,"mercado "&amp;BR17,IF(CD17&gt;=MIN_N,"modelo+año+km",IF(CC17&gt;=MIN_N,"modelo+año","modelo")))</f>
        <v/>
      </c>
      <c r="CG17" s="4">
        <f>(CE17-O17)/CE17</f>
        <v/>
      </c>
      <c r="CH17" s="3">
        <f>IF(COUNTIFS(FR_FUEL,K17,FR_YEAR,AP17)&gt;0,1,0)</f>
        <v/>
      </c>
      <c r="CI17" s="3">
        <f>IF(COUNTIFS(FR_FUEL,K17,FR_YEAR,AP17-1)&gt;0,1,0)</f>
        <v/>
      </c>
      <c r="CJ17" s="4">
        <f>IF(N(AQ17)&gt;0,AP17*100+AQ17,IF(AND(CH17=1,CI17=1),(AP17-1)*100+1,AP17*100+1))</f>
        <v/>
      </c>
      <c r="CK17" s="3">
        <f>IF(OR(K17="hibrido",K17="glp",K17="gnc",K17="phev"),"ECO",IF(K17="electrico","CERO",IF(K17="gasolina",IF(CJ17&gt;=GAS_C_YM,"C",IF(CJ17&gt;=GAS_B_YM,"B","A")),IF(K17="diesel",IF(CJ17&gt;=DIE_C_YM,"C",IF(CJ17&gt;=DIE_B_YM,"B","A")),""))))</f>
        <v/>
      </c>
      <c r="CL17" s="2" t="inlineStr">
        <is>
          <t>B</t>
        </is>
      </c>
      <c r="CM17" s="4">
        <f>IF(AU17="sí","sí",IF(AS17="regla",IF(AND(N(AQ17)=0,CH17=1),"sí","no"),"no"))</f>
        <v/>
      </c>
      <c r="CN17" s="3">
        <f>IFERROR(VLOOKUP(F17,MOD_TBL,16,0),IFERROR(VLOOKUP(E17,OCU_TBL,2,0),NEUTRO))</f>
        <v/>
      </c>
      <c r="CO17" s="3">
        <f>SUMIFS(MOT_AJUSTE,MOT_MOTOR,G17,MOT_MARCA,E17,MOT_DESDE,"&lt;="&amp;M17,MOT_HASTA,"&gt;="&amp;M17)+SUMIFS(MOT_AJUSTE,MOT_MOTOR,G17,MOT_MARCA,"(todas)",MOT_DESDE,"&lt;="&amp;M17,MOT_HASTA,"&gt;="&amp;M17)+SUMIFS(MOT_AJUSTE,MOT_MOTOR,"(cualquiera)",MOT_MARCA,E17,MOT_DESDE,"&lt;="&amp;M17,MOT_HASTA,"&gt;="&amp;M17)</f>
        <v/>
      </c>
      <c r="CP17" s="3">
        <f>SUMIFS(COMB_AJUSTE,COMB_COMB,K17)</f>
        <v/>
      </c>
      <c r="CQ17" s="3">
        <f>COUNTIFS(MOT_MOTOR,G17,MOT_MARCA,E17,MOT_DESDE,"&lt;="&amp;M17,MOT_HASTA,"&gt;="&amp;M17)+COUNTIFS(MOT_MOTOR,G17,MOT_MARCA,"(todas)",MOT_DESDE,"&lt;="&amp;M17,MOT_HASTA,"&gt;="&amp;M17)+COUNTIFS(MOT_MOTOR,"(cualquiera)",MOT_MARCA,E17,MOT_DESDE,"&lt;="&amp;M17,MOT_HASTA,"&gt;="&amp;M17)</f>
        <v/>
      </c>
      <c r="CR17" s="3">
        <f>IF(AND(K17="diesel",CQ17=0),MIN(CN17,NEUTRO),CN17)</f>
        <v/>
      </c>
      <c r="CS17" s="3">
        <f>MAX(0,MIN(100,CR17+CO17+CP17-IF(AX17="sí",ROB_PEN,0)))</f>
        <v/>
      </c>
      <c r="CT17" s="3">
        <f>100-MAX(0,N17-KM_TOPE_DESDE)/1000*KM_TOPE_PTS</f>
        <v/>
      </c>
      <c r="CU17" s="3">
        <f>MAX(0,MIN(100,50+CG17*PRECIO_PEND,CT17))</f>
        <v/>
      </c>
      <c r="CV17" s="3">
        <f>MAX(0,100*(1-N17/KM_MAX))</f>
        <v/>
      </c>
      <c r="CW17" s="3">
        <f>IF(BX17&lt;KMA_SOSP,IF(AA17="sí",100,KMA_PEN),IF(BX17&lt;=KMA_IDEAL_MAX,100,MAX(0,100*(KMA_CERO-BX17)/(KMA_CERO-KMA_IDEAL_MAX))))</f>
        <v/>
      </c>
      <c r="CX17" s="3">
        <f>MAX(0,MIN(100,100*(M17-ANIO_MIN)/(ANIO_ACTUAL-ANIO_MIN)))</f>
        <v/>
      </c>
      <c r="CY17" s="3">
        <f>W_KMT*CV17+W_KMA*CW17+W_EDAD*CX17</f>
        <v/>
      </c>
      <c r="CZ17" s="4">
        <f>E17&amp;"|"&amp;G17</f>
        <v/>
      </c>
      <c r="DA17" s="3">
        <f>IFERROR(VLOOKUP(CZ17,DIST_TBL,2,0),"")</f>
        <v/>
      </c>
      <c r="DB17" s="3">
        <f>E_ITV*(V17="sí")+E_LIBRO*(W17="sí")+E_PROP*IF(Y17=1,1,IF(Y17=2,0.5,0))+E_CORREA*IF(OR(DA17="cadena",AND(X17="sí",BH17="sí")),1,IF(X17="sí",0.5,0))+E_FACT*(BI17="sí")</f>
        <v/>
      </c>
      <c r="DC17" s="3">
        <f>MAX(0,MIN(100,IFERROR(VLOOKUP(CL17,ETQ_TBL,2,0),0)-IF(CM17="sí",ETQ_PEN_DUD,IF(AS17="regla",ETQ_PEN_REGLA,0))))</f>
        <v/>
      </c>
      <c r="DD17" s="3">
        <f>IF(K17&lt;&gt;"gasolina","",IFERROR(VLOOKUP(F17,CONS_MOD_TBL,2,0),IFERROR(VLOOKUP(L17,CONS_SEG_TBL,2,0),"")))</f>
        <v/>
      </c>
      <c r="DE17" s="3">
        <f>IF(DD17="",NEUTRO,MAX(0,MIN(100,100*(CONS_REF_MAX-DD17)/(CONS_REF_MAX-CONS_REF_MIN))))</f>
        <v/>
      </c>
      <c r="DF17" s="3">
        <f>IFERROR(VLOOKUP(L17,SEGURO_TBL,3,0),"")</f>
        <v/>
      </c>
      <c r="DG17" s="3">
        <f>IF(DF17="",NEUTRO,MAX(0,MIN(100,100*(SEG_REF_MAX-DF17)/(SEG_REF_MAX-SEG_REF_MIN))))</f>
        <v/>
      </c>
      <c r="DH17" s="3">
        <f>IFERROR(VLOOKUP(E17,MANT_MARCA_TBL,2,0)+0,NEUTRO)</f>
        <v/>
      </c>
      <c r="DI17" s="3">
        <f>IF(DA17="",NEUTRO,IFERROR(VLOOKUP(DA17,DIST_PTS_TBL,2,0)+0,NEUTRO))</f>
        <v/>
      </c>
      <c r="DJ17" s="4">
        <f>(DH17+DI17)/2</f>
        <v/>
      </c>
      <c r="DK17" s="3">
        <f>W_CONS*DE17+W_SEG*DG17+W_MANT*DJ17</f>
        <v/>
      </c>
      <c r="DL17" s="3">
        <f>IF(N(AB17)&gt;0,AB17,IF(AND(R17="profesional",SG_LEGAL_ON=1),GAR_LEGAL,0))</f>
        <v/>
      </c>
      <c r="DM17" s="3">
        <f>MAX(0,MIN(100,SG_GAR*MIN(1,DL17/SG_GAR_FULL)+SG_AMPL*(AC17="sí")+SG_KMC*(AF17="sí")+SG_REV*(N(AE17)&gt;0)+SG_DEV*MIN(1,N(AG17)/SG_DEV_FULL)+SG_HIST*(W17="sí")-IF(AND(R17="particular",DL17=0),SG_PART_PEN,0)))</f>
        <v/>
      </c>
      <c r="DN17" s="3">
        <f>IF(BK17="",NEUTRO,MAX(0,MIN(100,BK17/5*100)))</f>
        <v/>
      </c>
      <c r="DO17" s="3">
        <f>IF(BL17="sí",100,IF(BL17="no",0,NEUTRO))</f>
        <v/>
      </c>
      <c r="DP17" s="3">
        <f>SV_W_NCAP*DN17+SV_W_ESP*DO17</f>
        <v/>
      </c>
      <c r="DQ17" s="3">
        <f>MAX(0,MIN(100,ATR_BASE+ATR_ACAB*(BD17&lt;&gt;"")+IF(BE17="16+",ATR_LL16,IF(BE17="sí",ATR_LL,0))+ATR_FAROS*(BF17="sí")+ATR_TINT*(BG17="sí")-ATR_CHAPA*(BE17="chapa")))</f>
        <v/>
      </c>
      <c r="DR17" s="3">
        <f>EST_W_MOD*(BB17-1)/4*100+EST_W_ATR*DQ17</f>
        <v/>
      </c>
      <c r="DS17" s="3">
        <f>IF(BA17="",NEUTRO,IFERROR(VLOOKUP(BA17,COLOR_TBL,2,0)+0,NEUTRO))</f>
        <v/>
      </c>
      <c r="DT17" s="3">
        <f>MAX(0,MIN(100,100*N(BM17)/RV_N_FULL))</f>
        <v/>
      </c>
      <c r="DU17" s="3">
        <f>IF(OR(BN17="",N(BO17)&lt;RV_DIAS_MIN),NEUTRO,MAX(0,MIN(100,100*(RV_DIAS_CERO-BN17)/(RV_DIAS_CERO-RV_DIAS_FULL))))</f>
        <v/>
      </c>
      <c r="DV17" s="3">
        <f>RV_W_LIQ*DT17+RV_W_DIAS*DU17+RV_W_ETQ*DC17</f>
        <v/>
      </c>
      <c r="DW17" s="3">
        <f>IFERROR(VLOOKUP(L17,CARR_PEN_TBL,2,0),0)</f>
        <v/>
      </c>
      <c r="DX17" s="3">
        <f>W_FIAB*CS17+W_PRECIO*CU17+W_KMEDAD*CY17+W_ESTADO*DB17+W_USO*DK17+W_SEGURIDAD*DM17+W_SEGVIAL*DP17+W_ESTETICA*DR17+W_COLOR*DS17+W_REVENTA*DV17-DW17-EG17</f>
        <v/>
      </c>
      <c r="DY17" s="4">
        <f>IF(N(I17)&gt;0,I17,IFERROR(ROUND(_xlfn.NUMBERVALUE(LEFT(G17,FIND(" ",G17&amp;" ")-1),".")*1000,0),99999))</f>
        <v/>
      </c>
      <c r="DZ17" s="3">
        <f>IF(R17="profesional",0,IF(O17&lt;CUOTA_VALOR_MAX,IF(BW17&gt;ITP_TRAMO_ALTO,SUMIFS(CF_CUOTA,CF_MAS,ITP_TRAMO_ALTO,CF_CCMIN,"&lt;="&amp;DY17,CF_CCMAX,"&gt;="&amp;DY17),IF(BW17&gt;ITP_TRAMO_BAJO,SUMIFS(CF_CUOTA,CF_MAS,ITP_TRAMO_BAJO,CF_CCMIN,"&lt;="&amp;DY17,CF_CCMAX,"&gt;="&amp;DY17),O17*ITP_TIPO)),O17*ITP_TIPO))</f>
        <v/>
      </c>
      <c r="EA17" s="4">
        <f>IF(R17="profesional",N(AK17),0)</f>
        <v/>
      </c>
      <c r="EB17" s="3">
        <f>IF(AND(R17="profesional",ISNUMBER(AK17),AL17="sí"),0,TASA_DGT)</f>
        <v/>
      </c>
      <c r="EC17" s="3">
        <f>INFORME_DGT</f>
        <v/>
      </c>
      <c r="ED17" s="4">
        <f>O17+EA17+DZ17+EB17+EC17</f>
        <v/>
      </c>
      <c r="EE17" s="4">
        <f>ED17+N(DF17)</f>
        <v/>
      </c>
      <c r="EF17" s="3">
        <f>MAX(0,ED17-TOTAL_MAX)</f>
        <v/>
      </c>
      <c r="EG17" s="3">
        <f>EF17/100*PEN_100</f>
        <v/>
      </c>
      <c r="EH17" s="3">
        <f>IF(R17="particular",ED17+IF(AND(DA17&lt;&gt;"cadena",X17&lt;&gt;"sí"),RES_CORREA,0)+IF(AND(BJ17&lt;&gt;"sí",BW17&gt;=RES_NEUM_EDAD),RES_NEUM,0),"")</f>
        <v/>
      </c>
      <c r="EI17" s="3">
        <f>IF(ED17&lt;=TOTAL_MAX,"sí",IF(ED17&lt;=TECHO,"negociar","no"))</f>
        <v/>
      </c>
      <c r="EJ17" s="4">
        <f>ROUND(DX17,9)</f>
        <v/>
      </c>
      <c r="EK17" s="4">
        <f>IF(EI17&lt;&gt;"no",SUMPRODUCT(($EI$2:$EI$209&lt;&gt;"no")*($EJ$2:$EJ$209&gt;EJ17))+SUMPRODUCT(($EI$2:EI17&lt;&gt;"no")*($EJ$2:EJ17=EJ17)),"")</f>
        <v/>
      </c>
    </row>
    <row r="18">
      <c r="A18" s="2" t="inlineStr">
        <is>
          <t>cochesnet:71224992</t>
        </is>
      </c>
      <c r="B18" s="2" t="inlineStr">
        <is>
          <t>cochesnet</t>
        </is>
      </c>
      <c r="C18" s="2" t="inlineStr">
        <is>
          <t>https://www.coches.net/renault-megane-dynamique-16-16v-110-e5-5p-gasolina-2010-en-valencia-71224992-covo.aspx</t>
        </is>
      </c>
      <c r="D18" s="2" t="inlineStr">
        <is>
          <t>RENAULT Mégane Dynamique 1.6 16v 110 E5</t>
        </is>
      </c>
      <c r="E18" s="2" t="inlineStr">
        <is>
          <t>Renault</t>
        </is>
      </c>
      <c r="F18" s="2" t="inlineStr">
        <is>
          <t>Renault Mégane</t>
        </is>
      </c>
      <c r="G18" s="2" t="inlineStr">
        <is>
          <t>1.6</t>
        </is>
      </c>
      <c r="H18" s="2" t="inlineStr">
        <is>
          <t>Dynamique 1.6 16v 110 E5</t>
        </is>
      </c>
      <c r="I18" s="2" t="n"/>
      <c r="J18" s="2" t="n"/>
      <c r="K18" s="2" t="inlineStr">
        <is>
          <t>gasolina</t>
        </is>
      </c>
      <c r="L18" s="2" t="inlineStr">
        <is>
          <t>compacto</t>
        </is>
      </c>
      <c r="M18" s="2" t="n">
        <v>2011</v>
      </c>
      <c r="N18" s="2" t="n">
        <v>170000</v>
      </c>
      <c r="O18" s="2" t="n">
        <v>4490</v>
      </c>
      <c r="P18" s="2" t="inlineStr">
        <is>
          <t>manual</t>
        </is>
      </c>
      <c r="Q18" s="2" t="inlineStr">
        <is>
          <t>no</t>
        </is>
      </c>
      <c r="R18" s="2" t="inlineStr">
        <is>
          <t>profesional</t>
        </is>
      </c>
      <c r="S18" s="2" t="inlineStr">
        <is>
          <t>Cullera</t>
        </is>
      </c>
      <c r="T18" s="2" t="inlineStr">
        <is>
          <t>2026-08-04T11:55:07Z</t>
        </is>
      </c>
      <c r="U18" s="2" t="n">
        <v>16</v>
      </c>
      <c r="V18" s="2" t="n"/>
      <c r="W18" s="2" t="n"/>
      <c r="X18" s="2" t="n"/>
      <c r="Y18" s="2" t="n"/>
      <c r="Z18" s="2" t="inlineStr">
        <is>
          <t>sí</t>
        </is>
      </c>
      <c r="AA18" s="2" t="n"/>
      <c r="AB18" s="2" t="n">
        <v>12</v>
      </c>
      <c r="AC18" s="2" t="n"/>
      <c r="AD18" s="2" t="n"/>
      <c r="AE18" s="2" t="n"/>
      <c r="AF18" s="2" t="n"/>
      <c r="AG18" s="2" t="n"/>
      <c r="AH18" s="2" t="n">
        <v>4490</v>
      </c>
      <c r="AI18" s="2" t="n"/>
      <c r="AJ18" s="2" t="n"/>
      <c r="AK18" s="2" t="n"/>
      <c r="AL18" s="2" t="n"/>
      <c r="AM18" s="2" t="n">
        <v>35.4</v>
      </c>
      <c r="AN18" s="2" t="n"/>
      <c r="AO18" s="2" t="inlineStr">
        <is>
          <t>2011</t>
        </is>
      </c>
      <c r="AP18" s="2" t="n">
        <v>2011</v>
      </c>
      <c r="AQ18" s="2" t="n"/>
      <c r="AR18" s="2" t="inlineStr">
        <is>
          <t>C</t>
        </is>
      </c>
      <c r="AS18" s="2" t="inlineStr">
        <is>
          <t>anuncio</t>
        </is>
      </c>
      <c r="AT18" s="2" t="n">
        <v>2010</v>
      </c>
      <c r="AU18" s="2" t="inlineStr">
        <is>
          <t>no</t>
        </is>
      </c>
      <c r="AV18" s="2" t="inlineStr">
        <is>
          <t>C</t>
        </is>
      </c>
      <c r="AW18" s="2" t="n"/>
      <c r="AX18" s="2" t="inlineStr">
        <is>
          <t>no</t>
        </is>
      </c>
      <c r="AY18" s="2" t="inlineStr">
        <is>
          <t>no</t>
        </is>
      </c>
      <c r="AZ18" s="2" t="inlineStr">
        <is>
          <t>COMMON.COLOR_WHITE</t>
        </is>
      </c>
      <c r="BA18" s="2" t="inlineStr">
        <is>
          <t>blanco</t>
        </is>
      </c>
      <c r="BB18" s="3" t="n">
        <v>3</v>
      </c>
      <c r="BC18" s="3" t="inlineStr">
        <is>
          <t>(por segmento)</t>
        </is>
      </c>
      <c r="BD18" s="2" t="n"/>
      <c r="BE18" s="2" t="n"/>
      <c r="BF18" s="2" t="n"/>
      <c r="BG18" s="2" t="n"/>
      <c r="BH18" s="2" t="n"/>
      <c r="BI18" s="2" t="n"/>
      <c r="BJ18" s="2" t="n"/>
      <c r="BK18" s="2" t="n"/>
      <c r="BL18" s="2" t="n"/>
      <c r="BM18" s="2" t="n">
        <v>387</v>
      </c>
      <c r="BN18" s="2" t="n">
        <v>0.07434027781710029</v>
      </c>
      <c r="BO18" s="2" t="n">
        <v>7</v>
      </c>
      <c r="BP18" s="2" t="n">
        <v>5295</v>
      </c>
      <c r="BQ18" s="2" t="n">
        <v>14</v>
      </c>
      <c r="BR18" s="2" t="inlineStr">
        <is>
          <t>modelo+año+km</t>
        </is>
      </c>
      <c r="BS18" s="2" t="n"/>
      <c r="BT18" s="2" t="inlineStr">
        <is>
          <t>año a confirmar: la URL/título dice 2010; vendedor profesional: sin ITP (operación con IVA/REBU, confirmar en factura); gastos de gestión del vendedor no indicados: se suma la tasa DGT; preguntar el precio final; Euro NCAP de la generación PENDIENTE (seguridad neutra); revisar: no menciona la ITV</t>
        </is>
      </c>
      <c r="BU18" s="2" t="inlineStr">
        <is>
          <t>?VEHÍCULO NACIONAL, 170.000KMS CERTIFICADOS, LIBRE DE ACCIDENTES ESTRUCTURALES  ?1 AÑO DE GARANTÍA INCLUIDO EN EL PRECIO, POSIBILIDAD DE AMPLIAR A 2 AÑOS -ENVÍO A TODA ESPAÑA DESDE 150€, POSIBILIDAD DE COMPRA ONLINE O EN NUESTRA TIENDA EN CORBERA, VALENCIA -ETIQUETA MEDIOAMBIENTAL C VERDE -MOTOR MUY FIABLE Y DE BAJO CONSUMO AIRE ACONDICIONADO, ELEVALUNAS ELECTRICOS, DIRECCIÓN ASISITIDA ETC</t>
        </is>
      </c>
      <c r="BV18" s="2" t="inlineStr">
        <is>
          <t>https://www.coches.net/renault-megane-dynamique-16-16v-110-e5-5p-gasolina-2010-en-valencia-71224992-covo.aspx (window.__INITIAL_PROPS__.ad) /home/user/Alopecia/buscador-coches/raw/cochesnet/b60848ab8e8cf1e1.json</t>
        </is>
      </c>
      <c r="BW18" s="3">
        <f>MAX(ANIO_ACTUAL-M18,0)</f>
        <v/>
      </c>
      <c r="BX18" s="4">
        <f>N18/MAX(BW18,0.5)</f>
        <v/>
      </c>
      <c r="BY18" s="4">
        <f>F18</f>
        <v/>
      </c>
      <c r="BZ18" s="3">
        <f>BY18&amp;"|"&amp;INT(M18/SEG_ANIO)*SEG_ANIO</f>
        <v/>
      </c>
      <c r="CA18" s="3">
        <f>BZ18&amp;"|"&amp;INT(N18/SEG_KM)*SEG_KM</f>
        <v/>
      </c>
      <c r="CB18" s="4">
        <f>COUNTIF($BY$2:$BY$209,BY18)</f>
        <v/>
      </c>
      <c r="CC18" s="4">
        <f>COUNTIF($BZ$2:$BZ$209,BZ18)</f>
        <v/>
      </c>
      <c r="CD18" s="4">
        <f>COUNTIF($CA$2:$CA$209,CA18)</f>
        <v/>
      </c>
      <c r="CE18" s="3">
        <f t="array" ref="CE18">IF(N(BQ18)&gt;=MIN_N,BP18,IF(CD18&gt;=MIN_N,MEDIAN(IF($CA$2:$CA$209=CA18,$O$2:$O$209)),IF(CC18&gt;=MIN_N,MEDIAN(IF($BZ$2:$BZ$209=BZ18,$O$2:$O$209)),MEDIAN(IF($BY$2:$BY$209=BY18,$O$2:$O$209)))))</f>
        <v/>
      </c>
      <c r="CF18" s="3">
        <f>IF(N(BQ18)&gt;=MIN_N,"mercado "&amp;BR18,IF(CD18&gt;=MIN_N,"modelo+año+km",IF(CC18&gt;=MIN_N,"modelo+año","modelo")))</f>
        <v/>
      </c>
      <c r="CG18" s="4">
        <f>(CE18-O18)/CE18</f>
        <v/>
      </c>
      <c r="CH18" s="3">
        <f>IF(COUNTIFS(FR_FUEL,K18,FR_YEAR,AP18)&gt;0,1,0)</f>
        <v/>
      </c>
      <c r="CI18" s="3">
        <f>IF(COUNTIFS(FR_FUEL,K18,FR_YEAR,AP18-1)&gt;0,1,0)</f>
        <v/>
      </c>
      <c r="CJ18" s="4">
        <f>IF(N(AQ18)&gt;0,AP18*100+AQ18,IF(AND(CH18=1,CI18=1),(AP18-1)*100+1,AP18*100+1))</f>
        <v/>
      </c>
      <c r="CK18" s="3">
        <f>IF(OR(K18="hibrido",K18="glp",K18="gnc",K18="phev"),"ECO",IF(K18="electrico","CERO",IF(K18="gasolina",IF(CJ18&gt;=GAS_C_YM,"C",IF(CJ18&gt;=GAS_B_YM,"B","A")),IF(K18="diesel",IF(CJ18&gt;=DIE_C_YM,"C",IF(CJ18&gt;=DIE_B_YM,"B","A")),""))))</f>
        <v/>
      </c>
      <c r="CL18" s="2" t="inlineStr">
        <is>
          <t>C</t>
        </is>
      </c>
      <c r="CM18" s="4">
        <f>IF(AU18="sí","sí",IF(AS18="regla",IF(AND(N(AQ18)=0,CH18=1),"sí","no"),"no"))</f>
        <v/>
      </c>
      <c r="CN18" s="3">
        <f>IFERROR(VLOOKUP(F18,MOD_TBL,16,0),IFERROR(VLOOKUP(E18,OCU_TBL,2,0),NEUTRO))</f>
        <v/>
      </c>
      <c r="CO18" s="3">
        <f>SUMIFS(MOT_AJUSTE,MOT_MOTOR,G18,MOT_MARCA,E18,MOT_DESDE,"&lt;="&amp;M18,MOT_HASTA,"&gt;="&amp;M18)+SUMIFS(MOT_AJUSTE,MOT_MOTOR,G18,MOT_MARCA,"(todas)",MOT_DESDE,"&lt;="&amp;M18,MOT_HASTA,"&gt;="&amp;M18)+SUMIFS(MOT_AJUSTE,MOT_MOTOR,"(cualquiera)",MOT_MARCA,E18,MOT_DESDE,"&lt;="&amp;M18,MOT_HASTA,"&gt;="&amp;M18)</f>
        <v/>
      </c>
      <c r="CP18" s="3">
        <f>SUMIFS(COMB_AJUSTE,COMB_COMB,K18)</f>
        <v/>
      </c>
      <c r="CQ18" s="3">
        <f>COUNTIFS(MOT_MOTOR,G18,MOT_MARCA,E18,MOT_DESDE,"&lt;="&amp;M18,MOT_HASTA,"&gt;="&amp;M18)+COUNTIFS(MOT_MOTOR,G18,MOT_MARCA,"(todas)",MOT_DESDE,"&lt;="&amp;M18,MOT_HASTA,"&gt;="&amp;M18)+COUNTIFS(MOT_MOTOR,"(cualquiera)",MOT_MARCA,E18,MOT_DESDE,"&lt;="&amp;M18,MOT_HASTA,"&gt;="&amp;M18)</f>
        <v/>
      </c>
      <c r="CR18" s="3">
        <f>IF(AND(K18="diesel",CQ18=0),MIN(CN18,NEUTRO),CN18)</f>
        <v/>
      </c>
      <c r="CS18" s="3">
        <f>MAX(0,MIN(100,CR18+CO18+CP18-IF(AX18="sí",ROB_PEN,0)))</f>
        <v/>
      </c>
      <c r="CT18" s="3">
        <f>100-MAX(0,N18-KM_TOPE_DESDE)/1000*KM_TOPE_PTS</f>
        <v/>
      </c>
      <c r="CU18" s="3">
        <f>MAX(0,MIN(100,50+CG18*PRECIO_PEND,CT18))</f>
        <v/>
      </c>
      <c r="CV18" s="3">
        <f>MAX(0,100*(1-N18/KM_MAX))</f>
        <v/>
      </c>
      <c r="CW18" s="3">
        <f>IF(BX18&lt;KMA_SOSP,IF(AA18="sí",100,KMA_PEN),IF(BX18&lt;=KMA_IDEAL_MAX,100,MAX(0,100*(KMA_CERO-BX18)/(KMA_CERO-KMA_IDEAL_MAX))))</f>
        <v/>
      </c>
      <c r="CX18" s="3">
        <f>MAX(0,MIN(100,100*(M18-ANIO_MIN)/(ANIO_ACTUAL-ANIO_MIN)))</f>
        <v/>
      </c>
      <c r="CY18" s="3">
        <f>W_KMT*CV18+W_KMA*CW18+W_EDAD*CX18</f>
        <v/>
      </c>
      <c r="CZ18" s="4">
        <f>E18&amp;"|"&amp;G18</f>
        <v/>
      </c>
      <c r="DA18" s="3">
        <f>IFERROR(VLOOKUP(CZ18,DIST_TBL,2,0),"")</f>
        <v/>
      </c>
      <c r="DB18" s="3">
        <f>E_ITV*(V18="sí")+E_LIBRO*(W18="sí")+E_PROP*IF(Y18=1,1,IF(Y18=2,0.5,0))+E_CORREA*IF(OR(DA18="cadena",AND(X18="sí",BH18="sí")),1,IF(X18="sí",0.5,0))+E_FACT*(BI18="sí")</f>
        <v/>
      </c>
      <c r="DC18" s="3">
        <f>MAX(0,MIN(100,IFERROR(VLOOKUP(CL18,ETQ_TBL,2,0),0)-IF(CM18="sí",ETQ_PEN_DUD,IF(AS18="regla",ETQ_PEN_REGLA,0))))</f>
        <v/>
      </c>
      <c r="DD18" s="3">
        <f>IF(K18&lt;&gt;"gasolina","",IFERROR(VLOOKUP(F18,CONS_MOD_TBL,2,0),IFERROR(VLOOKUP(L18,CONS_SEG_TBL,2,0),"")))</f>
        <v/>
      </c>
      <c r="DE18" s="3">
        <f>IF(DD18="",NEUTRO,MAX(0,MIN(100,100*(CONS_REF_MAX-DD18)/(CONS_REF_MAX-CONS_REF_MIN))))</f>
        <v/>
      </c>
      <c r="DF18" s="3">
        <f>IFERROR(VLOOKUP(L18,SEGURO_TBL,3,0),"")</f>
        <v/>
      </c>
      <c r="DG18" s="3">
        <f>IF(DF18="",NEUTRO,MAX(0,MIN(100,100*(SEG_REF_MAX-DF18)/(SEG_REF_MAX-SEG_REF_MIN))))</f>
        <v/>
      </c>
      <c r="DH18" s="3">
        <f>IFERROR(VLOOKUP(E18,MANT_MARCA_TBL,2,0)+0,NEUTRO)</f>
        <v/>
      </c>
      <c r="DI18" s="3">
        <f>IF(DA18="",NEUTRO,IFERROR(VLOOKUP(DA18,DIST_PTS_TBL,2,0)+0,NEUTRO))</f>
        <v/>
      </c>
      <c r="DJ18" s="4">
        <f>(DH18+DI18)/2</f>
        <v/>
      </c>
      <c r="DK18" s="3">
        <f>W_CONS*DE18+W_SEG*DG18+W_MANT*DJ18</f>
        <v/>
      </c>
      <c r="DL18" s="3">
        <f>IF(N(AB18)&gt;0,AB18,IF(AND(R18="profesional",SG_LEGAL_ON=1),GAR_LEGAL,0))</f>
        <v/>
      </c>
      <c r="DM18" s="3">
        <f>MAX(0,MIN(100,SG_GAR*MIN(1,DL18/SG_GAR_FULL)+SG_AMPL*(AC18="sí")+SG_KMC*(AF18="sí")+SG_REV*(N(AE18)&gt;0)+SG_DEV*MIN(1,N(AG18)/SG_DEV_FULL)+SG_HIST*(W18="sí")-IF(AND(R18="particular",DL18=0),SG_PART_PEN,0)))</f>
        <v/>
      </c>
      <c r="DN18" s="3">
        <f>IF(BK18="",NEUTRO,MAX(0,MIN(100,BK18/5*100)))</f>
        <v/>
      </c>
      <c r="DO18" s="3">
        <f>IF(BL18="sí",100,IF(BL18="no",0,NEUTRO))</f>
        <v/>
      </c>
      <c r="DP18" s="3">
        <f>SV_W_NCAP*DN18+SV_W_ESP*DO18</f>
        <v/>
      </c>
      <c r="DQ18" s="3">
        <f>MAX(0,MIN(100,ATR_BASE+ATR_ACAB*(BD18&lt;&gt;"")+IF(BE18="16+",ATR_LL16,IF(BE18="sí",ATR_LL,0))+ATR_FAROS*(BF18="sí")+ATR_TINT*(BG18="sí")-ATR_CHAPA*(BE18="chapa")))</f>
        <v/>
      </c>
      <c r="DR18" s="3">
        <f>EST_W_MOD*(BB18-1)/4*100+EST_W_ATR*DQ18</f>
        <v/>
      </c>
      <c r="DS18" s="3">
        <f>IF(BA18="",NEUTRO,IFERROR(VLOOKUP(BA18,COLOR_TBL,2,0)+0,NEUTRO))</f>
        <v/>
      </c>
      <c r="DT18" s="3">
        <f>MAX(0,MIN(100,100*N(BM18)/RV_N_FULL))</f>
        <v/>
      </c>
      <c r="DU18" s="3">
        <f>IF(OR(BN18="",N(BO18)&lt;RV_DIAS_MIN),NEUTRO,MAX(0,MIN(100,100*(RV_DIAS_CERO-BN18)/(RV_DIAS_CERO-RV_DIAS_FULL))))</f>
        <v/>
      </c>
      <c r="DV18" s="3">
        <f>RV_W_LIQ*DT18+RV_W_DIAS*DU18+RV_W_ETQ*DC18</f>
        <v/>
      </c>
      <c r="DW18" s="3">
        <f>IFERROR(VLOOKUP(L18,CARR_PEN_TBL,2,0),0)</f>
        <v/>
      </c>
      <c r="DX18" s="3">
        <f>W_FIAB*CS18+W_PRECIO*CU18+W_KMEDAD*CY18+W_ESTADO*DB18+W_USO*DK18+W_SEGURIDAD*DM18+W_SEGVIAL*DP18+W_ESTETICA*DR18+W_COLOR*DS18+W_REVENTA*DV18-DW18-EG18</f>
        <v/>
      </c>
      <c r="DY18" s="4">
        <f>IF(N(I18)&gt;0,I18,IFERROR(ROUND(_xlfn.NUMBERVALUE(LEFT(G18,FIND(" ",G18&amp;" ")-1),".")*1000,0),99999))</f>
        <v/>
      </c>
      <c r="DZ18" s="3">
        <f>IF(R18="profesional",0,IF(O18&lt;CUOTA_VALOR_MAX,IF(BW18&gt;ITP_TRAMO_ALTO,SUMIFS(CF_CUOTA,CF_MAS,ITP_TRAMO_ALTO,CF_CCMIN,"&lt;="&amp;DY18,CF_CCMAX,"&gt;="&amp;DY18),IF(BW18&gt;ITP_TRAMO_BAJO,SUMIFS(CF_CUOTA,CF_MAS,ITP_TRAMO_BAJO,CF_CCMIN,"&lt;="&amp;DY18,CF_CCMAX,"&gt;="&amp;DY18),O18*ITP_TIPO)),O18*ITP_TIPO))</f>
        <v/>
      </c>
      <c r="EA18" s="4">
        <f>IF(R18="profesional",N(AK18),0)</f>
        <v/>
      </c>
      <c r="EB18" s="3">
        <f>IF(AND(R18="profesional",ISNUMBER(AK18),AL18="sí"),0,TASA_DGT)</f>
        <v/>
      </c>
      <c r="EC18" s="3">
        <f>INFORME_DGT</f>
        <v/>
      </c>
      <c r="ED18" s="4">
        <f>O18+EA18+DZ18+EB18+EC18</f>
        <v/>
      </c>
      <c r="EE18" s="4">
        <f>ED18+N(DF18)</f>
        <v/>
      </c>
      <c r="EF18" s="3">
        <f>MAX(0,ED18-TOTAL_MAX)</f>
        <v/>
      </c>
      <c r="EG18" s="3">
        <f>EF18/100*PEN_100</f>
        <v/>
      </c>
      <c r="EH18" s="3">
        <f>IF(R18="particular",ED18+IF(AND(DA18&lt;&gt;"cadena",X18&lt;&gt;"sí"),RES_CORREA,0)+IF(AND(BJ18&lt;&gt;"sí",BW18&gt;=RES_NEUM_EDAD),RES_NEUM,0),"")</f>
        <v/>
      </c>
      <c r="EI18" s="3">
        <f>IF(ED18&lt;=TOTAL_MAX,"sí",IF(ED18&lt;=TECHO,"negociar","no"))</f>
        <v/>
      </c>
      <c r="EJ18" s="4">
        <f>ROUND(DX18,9)</f>
        <v/>
      </c>
      <c r="EK18" s="4">
        <f>IF(EI18&lt;&gt;"no",SUMPRODUCT(($EI$2:$EI$209&lt;&gt;"no")*($EJ$2:$EJ$209&gt;EJ18))+SUMPRODUCT(($EI$2:EI18&lt;&gt;"no")*($EJ$2:EJ18=EJ18)),"")</f>
        <v/>
      </c>
    </row>
    <row r="19">
      <c r="A19" s="2" t="inlineStr">
        <is>
          <t>cochesnet:70507667</t>
        </is>
      </c>
      <c r="B19" s="2" t="inlineStr">
        <is>
          <t>cochesnet</t>
        </is>
      </c>
      <c r="C19" s="2" t="inlineStr">
        <is>
          <t>https://www.coches.net/dacia-sandero-ambiance-12-75cv-5p-gasolina-2012-en-valencia-70507667-covo.aspx</t>
        </is>
      </c>
      <c r="D19" s="2" t="inlineStr">
        <is>
          <t>DACIA Sandero Ambiance 1.2</t>
        </is>
      </c>
      <c r="E19" s="2" t="inlineStr">
        <is>
          <t>Dacia</t>
        </is>
      </c>
      <c r="F19" s="2" t="inlineStr">
        <is>
          <t>Dacia Sandero</t>
        </is>
      </c>
      <c r="G19" s="2" t="inlineStr">
        <is>
          <t>1.2</t>
        </is>
      </c>
      <c r="H19" s="2" t="inlineStr">
        <is>
          <t>Ambiance 1.2 75cv</t>
        </is>
      </c>
      <c r="I19" s="2" t="n"/>
      <c r="J19" s="2" t="n">
        <v>75</v>
      </c>
      <c r="K19" s="2" t="inlineStr">
        <is>
          <t>gasolina</t>
        </is>
      </c>
      <c r="L19" s="2" t="inlineStr">
        <is>
          <t>utilitario</t>
        </is>
      </c>
      <c r="M19" s="2" t="n">
        <v>2013</v>
      </c>
      <c r="N19" s="2" t="n">
        <v>175000</v>
      </c>
      <c r="O19" s="2" t="n">
        <v>3490</v>
      </c>
      <c r="P19" s="2" t="inlineStr">
        <is>
          <t>manual</t>
        </is>
      </c>
      <c r="Q19" s="2" t="inlineStr">
        <is>
          <t>no</t>
        </is>
      </c>
      <c r="R19" s="2" t="inlineStr">
        <is>
          <t>profesional</t>
        </is>
      </c>
      <c r="S19" s="2" t="inlineStr">
        <is>
          <t>AutoEco Valencia</t>
        </is>
      </c>
      <c r="T19" s="2" t="inlineStr">
        <is>
          <t>2026-10-23T09:34:08Z</t>
        </is>
      </c>
      <c r="U19" s="2" t="n">
        <v>14</v>
      </c>
      <c r="V19" s="2" t="n"/>
      <c r="W19" s="2" t="inlineStr">
        <is>
          <t>sí</t>
        </is>
      </c>
      <c r="X19" s="2" t="n"/>
      <c r="Y19" s="2" t="n"/>
      <c r="Z19" s="2" t="inlineStr">
        <is>
          <t>sí</t>
        </is>
      </c>
      <c r="AA19" s="2" t="n"/>
      <c r="AB19" s="2" t="n">
        <v>12</v>
      </c>
      <c r="AC19" s="2" t="n"/>
      <c r="AD19" s="2" t="n"/>
      <c r="AE19" s="2" t="n"/>
      <c r="AF19" s="2" t="n"/>
      <c r="AG19" s="2" t="n"/>
      <c r="AH19" s="2" t="n">
        <v>3490</v>
      </c>
      <c r="AI19" s="2" t="n">
        <v>3490</v>
      </c>
      <c r="AJ19" s="2" t="n"/>
      <c r="AK19" s="2" t="n"/>
      <c r="AL19" s="2" t="n"/>
      <c r="AM19" s="2" t="n">
        <v>0.1</v>
      </c>
      <c r="AN19" s="2" t="n"/>
      <c r="AO19" s="2" t="inlineStr">
        <is>
          <t>2013</t>
        </is>
      </c>
      <c r="AP19" s="2" t="n">
        <v>2013</v>
      </c>
      <c r="AQ19" s="2" t="n"/>
      <c r="AR19" s="2" t="inlineStr">
        <is>
          <t>C</t>
        </is>
      </c>
      <c r="AS19" s="2" t="inlineStr">
        <is>
          <t>anuncio</t>
        </is>
      </c>
      <c r="AT19" s="2" t="n">
        <v>2012</v>
      </c>
      <c r="AU19" s="2" t="inlineStr">
        <is>
          <t>no</t>
        </is>
      </c>
      <c r="AV19" s="2" t="inlineStr">
        <is>
          <t>C</t>
        </is>
      </c>
      <c r="AW19" s="2" t="n"/>
      <c r="AX19" s="2" t="inlineStr">
        <is>
          <t>no</t>
        </is>
      </c>
      <c r="AY19" s="2" t="inlineStr">
        <is>
          <t>no</t>
        </is>
      </c>
      <c r="AZ19" s="2" t="inlineStr">
        <is>
          <t>COMMON.COLOR_BLUE</t>
        </is>
      </c>
      <c r="BA19" s="2" t="inlineStr">
        <is>
          <t>azul</t>
        </is>
      </c>
      <c r="BB19" s="3" t="n">
        <v>2</v>
      </c>
      <c r="BC19" s="3" t="inlineStr">
        <is>
          <t>(por segmento)</t>
        </is>
      </c>
      <c r="BD19" s="2" t="n"/>
      <c r="BE19" s="2" t="n"/>
      <c r="BF19" s="2" t="n"/>
      <c r="BG19" s="2" t="n"/>
      <c r="BH19" s="2" t="n"/>
      <c r="BI19" s="2" t="n"/>
      <c r="BJ19" s="2" t="n"/>
      <c r="BK19" s="2" t="n"/>
      <c r="BL19" s="2" t="n"/>
      <c r="BM19" s="2" t="n">
        <v>211</v>
      </c>
      <c r="BN19" s="2" t="n">
        <v>0.021909722359851</v>
      </c>
      <c r="BO19" s="2" t="n">
        <v>4</v>
      </c>
      <c r="BP19" s="2" t="n">
        <v>5300</v>
      </c>
      <c r="BQ19" s="2" t="n">
        <v>4</v>
      </c>
      <c r="BR19" s="2" t="inlineStr">
        <is>
          <t>modelo+año+km</t>
        </is>
      </c>
      <c r="BS19" s="2" t="n"/>
      <c r="BT19" s="2" t="inlineStr">
        <is>
          <t>año a confirmar: la URL/título dice 2012; vendedor profesional: sin ITP (operación con IVA/REBU, confirmar en factura); gastos de gestión del vendedor no indicados: se suma la tasa DGT; preguntar el precio final; Euro NCAP de la generación PENDIENTE (seguridad neutra)</t>
        </is>
      </c>
      <c r="BU19" s="2" t="inlineStr">
        <is>
          <t>-AUTOECO- 
*Concesionario Vehículos Ocasión multimarca. 
*C/ Cases de Bárcena N4 Bonrepos/Valencia 46131 Junto a Gasolinera Repsol*
*Lunes a Viernes 9h a 14h y 16h a 20h*
*Sábados 10h a 14h tarde y domingos atendemos con cita previa*
FINANCIACIÓN A SU MEDIDA sin necesidad de entrada, consulte sin compromiso.
DESTACADO: 
-Con algunos desperfectos de chapa, de ahí su precio.
-Vehículo nacional.
-Vehículo sin mucha electrónica, fiable.
-Sin aire acondicionado.
-Muy buen estado interior con desperfectos exteriores de chapa.
-Distintivo medioambiental C.
-Gran espacio de maletero y amplitud interior.
-Radio CD/USB.
-1 año de Garantía incluido en precio con opción de ampliación a Premium. 
*Se entrega con ITV y mantenimiento al día, listo para circular.*
Este anuncio puede contener algún error tipográfico o de transcripción. 
Para más información contacten sin compromiso.</t>
        </is>
      </c>
      <c r="BV19" s="2" t="inlineStr">
        <is>
          <t>https://www.coches.net/dacia-sandero-ambiance-12-75cv-5p-gasolina-2012-en-valencia-70507667-covo.aspx (window.__INITIAL_PROPS__.ad) /home/user/Alopecia/buscador-coches/raw/cochesnet/0b381e23cb5ab3e1.json</t>
        </is>
      </c>
      <c r="BW19" s="3">
        <f>MAX(ANIO_ACTUAL-M19,0)</f>
        <v/>
      </c>
      <c r="BX19" s="4">
        <f>N19/MAX(BW19,0.5)</f>
        <v/>
      </c>
      <c r="BY19" s="4">
        <f>F19</f>
        <v/>
      </c>
      <c r="BZ19" s="3">
        <f>BY19&amp;"|"&amp;INT(M19/SEG_ANIO)*SEG_ANIO</f>
        <v/>
      </c>
      <c r="CA19" s="3">
        <f>BZ19&amp;"|"&amp;INT(N19/SEG_KM)*SEG_KM</f>
        <v/>
      </c>
      <c r="CB19" s="4">
        <f>COUNTIF($BY$2:$BY$209,BY19)</f>
        <v/>
      </c>
      <c r="CC19" s="4">
        <f>COUNTIF($BZ$2:$BZ$209,BZ19)</f>
        <v/>
      </c>
      <c r="CD19" s="4">
        <f>COUNTIF($CA$2:$CA$209,CA19)</f>
        <v/>
      </c>
      <c r="CE19" s="3">
        <f t="array" ref="CE19">IF(N(BQ19)&gt;=MIN_N,BP19,IF(CD19&gt;=MIN_N,MEDIAN(IF($CA$2:$CA$209=CA19,$O$2:$O$209)),IF(CC19&gt;=MIN_N,MEDIAN(IF($BZ$2:$BZ$209=BZ19,$O$2:$O$209)),MEDIAN(IF($BY$2:$BY$209=BY19,$O$2:$O$209)))))</f>
        <v/>
      </c>
      <c r="CF19" s="3">
        <f>IF(N(BQ19)&gt;=MIN_N,"mercado "&amp;BR19,IF(CD19&gt;=MIN_N,"modelo+año+km",IF(CC19&gt;=MIN_N,"modelo+año","modelo")))</f>
        <v/>
      </c>
      <c r="CG19" s="4">
        <f>(CE19-O19)/CE19</f>
        <v/>
      </c>
      <c r="CH19" s="3">
        <f>IF(COUNTIFS(FR_FUEL,K19,FR_YEAR,AP19)&gt;0,1,0)</f>
        <v/>
      </c>
      <c r="CI19" s="3">
        <f>IF(COUNTIFS(FR_FUEL,K19,FR_YEAR,AP19-1)&gt;0,1,0)</f>
        <v/>
      </c>
      <c r="CJ19" s="4">
        <f>IF(N(AQ19)&gt;0,AP19*100+AQ19,IF(AND(CH19=1,CI19=1),(AP19-1)*100+1,AP19*100+1))</f>
        <v/>
      </c>
      <c r="CK19" s="3">
        <f>IF(OR(K19="hibrido",K19="glp",K19="gnc",K19="phev"),"ECO",IF(K19="electrico","CERO",IF(K19="gasolina",IF(CJ19&gt;=GAS_C_YM,"C",IF(CJ19&gt;=GAS_B_YM,"B","A")),IF(K19="diesel",IF(CJ19&gt;=DIE_C_YM,"C",IF(CJ19&gt;=DIE_B_YM,"B","A")),""))))</f>
        <v/>
      </c>
      <c r="CL19" s="2" t="inlineStr">
        <is>
          <t>C</t>
        </is>
      </c>
      <c r="CM19" s="4">
        <f>IF(AU19="sí","sí",IF(AS19="regla",IF(AND(N(AQ19)=0,CH19=1),"sí","no"),"no"))</f>
        <v/>
      </c>
      <c r="CN19" s="3">
        <f>IFERROR(VLOOKUP(F19,MOD_TBL,16,0),IFERROR(VLOOKUP(E19,OCU_TBL,2,0),NEUTRO))</f>
        <v/>
      </c>
      <c r="CO19" s="3">
        <f>SUMIFS(MOT_AJUSTE,MOT_MOTOR,G19,MOT_MARCA,E19,MOT_DESDE,"&lt;="&amp;M19,MOT_HASTA,"&gt;="&amp;M19)+SUMIFS(MOT_AJUSTE,MOT_MOTOR,G19,MOT_MARCA,"(todas)",MOT_DESDE,"&lt;="&amp;M19,MOT_HASTA,"&gt;="&amp;M19)+SUMIFS(MOT_AJUSTE,MOT_MOTOR,"(cualquiera)",MOT_MARCA,E19,MOT_DESDE,"&lt;="&amp;M19,MOT_HASTA,"&gt;="&amp;M19)</f>
        <v/>
      </c>
      <c r="CP19" s="3">
        <f>SUMIFS(COMB_AJUSTE,COMB_COMB,K19)</f>
        <v/>
      </c>
      <c r="CQ19" s="3">
        <f>COUNTIFS(MOT_MOTOR,G19,MOT_MARCA,E19,MOT_DESDE,"&lt;="&amp;M19,MOT_HASTA,"&gt;="&amp;M19)+COUNTIFS(MOT_MOTOR,G19,MOT_MARCA,"(todas)",MOT_DESDE,"&lt;="&amp;M19,MOT_HASTA,"&gt;="&amp;M19)+COUNTIFS(MOT_MOTOR,"(cualquiera)",MOT_MARCA,E19,MOT_DESDE,"&lt;="&amp;M19,MOT_HASTA,"&gt;="&amp;M19)</f>
        <v/>
      </c>
      <c r="CR19" s="3">
        <f>IF(AND(K19="diesel",CQ19=0),MIN(CN19,NEUTRO),CN19)</f>
        <v/>
      </c>
      <c r="CS19" s="3">
        <f>MAX(0,MIN(100,CR19+CO19+CP19-IF(AX19="sí",ROB_PEN,0)))</f>
        <v/>
      </c>
      <c r="CT19" s="3">
        <f>100-MAX(0,N19-KM_TOPE_DESDE)/1000*KM_TOPE_PTS</f>
        <v/>
      </c>
      <c r="CU19" s="3">
        <f>MAX(0,MIN(100,50+CG19*PRECIO_PEND,CT19))</f>
        <v/>
      </c>
      <c r="CV19" s="3">
        <f>MAX(0,100*(1-N19/KM_MAX))</f>
        <v/>
      </c>
      <c r="CW19" s="3">
        <f>IF(BX19&lt;KMA_SOSP,IF(AA19="sí",100,KMA_PEN),IF(BX19&lt;=KMA_IDEAL_MAX,100,MAX(0,100*(KMA_CERO-BX19)/(KMA_CERO-KMA_IDEAL_MAX))))</f>
        <v/>
      </c>
      <c r="CX19" s="3">
        <f>MAX(0,MIN(100,100*(M19-ANIO_MIN)/(ANIO_ACTUAL-ANIO_MIN)))</f>
        <v/>
      </c>
      <c r="CY19" s="3">
        <f>W_KMT*CV19+W_KMA*CW19+W_EDAD*CX19</f>
        <v/>
      </c>
      <c r="CZ19" s="4">
        <f>E19&amp;"|"&amp;G19</f>
        <v/>
      </c>
      <c r="DA19" s="3">
        <f>IFERROR(VLOOKUP(CZ19,DIST_TBL,2,0),"")</f>
        <v/>
      </c>
      <c r="DB19" s="3">
        <f>E_ITV*(V19="sí")+E_LIBRO*(W19="sí")+E_PROP*IF(Y19=1,1,IF(Y19=2,0.5,0))+E_CORREA*IF(OR(DA19="cadena",AND(X19="sí",BH19="sí")),1,IF(X19="sí",0.5,0))+E_FACT*(BI19="sí")</f>
        <v/>
      </c>
      <c r="DC19" s="3">
        <f>MAX(0,MIN(100,IFERROR(VLOOKUP(CL19,ETQ_TBL,2,0),0)-IF(CM19="sí",ETQ_PEN_DUD,IF(AS19="regla",ETQ_PEN_REGLA,0))))</f>
        <v/>
      </c>
      <c r="DD19" s="3">
        <f>IF(K19&lt;&gt;"gasolina","",IFERROR(VLOOKUP(F19,CONS_MOD_TBL,2,0),IFERROR(VLOOKUP(L19,CONS_SEG_TBL,2,0),"")))</f>
        <v/>
      </c>
      <c r="DE19" s="3">
        <f>IF(DD19="",NEUTRO,MAX(0,MIN(100,100*(CONS_REF_MAX-DD19)/(CONS_REF_MAX-CONS_REF_MIN))))</f>
        <v/>
      </c>
      <c r="DF19" s="3">
        <f>IFERROR(VLOOKUP(L19,SEGURO_TBL,3,0),"")</f>
        <v/>
      </c>
      <c r="DG19" s="3">
        <f>IF(DF19="",NEUTRO,MAX(0,MIN(100,100*(SEG_REF_MAX-DF19)/(SEG_REF_MAX-SEG_REF_MIN))))</f>
        <v/>
      </c>
      <c r="DH19" s="3">
        <f>IFERROR(VLOOKUP(E19,MANT_MARCA_TBL,2,0)+0,NEUTRO)</f>
        <v/>
      </c>
      <c r="DI19" s="3">
        <f>IF(DA19="",NEUTRO,IFERROR(VLOOKUP(DA19,DIST_PTS_TBL,2,0)+0,NEUTRO))</f>
        <v/>
      </c>
      <c r="DJ19" s="4">
        <f>(DH19+DI19)/2</f>
        <v/>
      </c>
      <c r="DK19" s="3">
        <f>W_CONS*DE19+W_SEG*DG19+W_MANT*DJ19</f>
        <v/>
      </c>
      <c r="DL19" s="3">
        <f>IF(N(AB19)&gt;0,AB19,IF(AND(R19="profesional",SG_LEGAL_ON=1),GAR_LEGAL,0))</f>
        <v/>
      </c>
      <c r="DM19" s="3">
        <f>MAX(0,MIN(100,SG_GAR*MIN(1,DL19/SG_GAR_FULL)+SG_AMPL*(AC19="sí")+SG_KMC*(AF19="sí")+SG_REV*(N(AE19)&gt;0)+SG_DEV*MIN(1,N(AG19)/SG_DEV_FULL)+SG_HIST*(W19="sí")-IF(AND(R19="particular",DL19=0),SG_PART_PEN,0)))</f>
        <v/>
      </c>
      <c r="DN19" s="3">
        <f>IF(BK19="",NEUTRO,MAX(0,MIN(100,BK19/5*100)))</f>
        <v/>
      </c>
      <c r="DO19" s="3">
        <f>IF(BL19="sí",100,IF(BL19="no",0,NEUTRO))</f>
        <v/>
      </c>
      <c r="DP19" s="3">
        <f>SV_W_NCAP*DN19+SV_W_ESP*DO19</f>
        <v/>
      </c>
      <c r="DQ19" s="3">
        <f>MAX(0,MIN(100,ATR_BASE+ATR_ACAB*(BD19&lt;&gt;"")+IF(BE19="16+",ATR_LL16,IF(BE19="sí",ATR_LL,0))+ATR_FAROS*(BF19="sí")+ATR_TINT*(BG19="sí")-ATR_CHAPA*(BE19="chapa")))</f>
        <v/>
      </c>
      <c r="DR19" s="3">
        <f>EST_W_MOD*(BB19-1)/4*100+EST_W_ATR*DQ19</f>
        <v/>
      </c>
      <c r="DS19" s="3">
        <f>IF(BA19="",NEUTRO,IFERROR(VLOOKUP(BA19,COLOR_TBL,2,0)+0,NEUTRO))</f>
        <v/>
      </c>
      <c r="DT19" s="3">
        <f>MAX(0,MIN(100,100*N(BM19)/RV_N_FULL))</f>
        <v/>
      </c>
      <c r="DU19" s="3">
        <f>IF(OR(BN19="",N(BO19)&lt;RV_DIAS_MIN),NEUTRO,MAX(0,MIN(100,100*(RV_DIAS_CERO-BN19)/(RV_DIAS_CERO-RV_DIAS_FULL))))</f>
        <v/>
      </c>
      <c r="DV19" s="3">
        <f>RV_W_LIQ*DT19+RV_W_DIAS*DU19+RV_W_ETQ*DC19</f>
        <v/>
      </c>
      <c r="DW19" s="3">
        <f>IFERROR(VLOOKUP(L19,CARR_PEN_TBL,2,0),0)</f>
        <v/>
      </c>
      <c r="DX19" s="3">
        <f>W_FIAB*CS19+W_PRECIO*CU19+W_KMEDAD*CY19+W_ESTADO*DB19+W_USO*DK19+W_SEGURIDAD*DM19+W_SEGVIAL*DP19+W_ESTETICA*DR19+W_COLOR*DS19+W_REVENTA*DV19-DW19-EG19</f>
        <v/>
      </c>
      <c r="DY19" s="4">
        <f>IF(N(I19)&gt;0,I19,IFERROR(ROUND(_xlfn.NUMBERVALUE(LEFT(G19,FIND(" ",G19&amp;" ")-1),".")*1000,0),99999))</f>
        <v/>
      </c>
      <c r="DZ19" s="3">
        <f>IF(R19="profesional",0,IF(O19&lt;CUOTA_VALOR_MAX,IF(BW19&gt;ITP_TRAMO_ALTO,SUMIFS(CF_CUOTA,CF_MAS,ITP_TRAMO_ALTO,CF_CCMIN,"&lt;="&amp;DY19,CF_CCMAX,"&gt;="&amp;DY19),IF(BW19&gt;ITP_TRAMO_BAJO,SUMIFS(CF_CUOTA,CF_MAS,ITP_TRAMO_BAJO,CF_CCMIN,"&lt;="&amp;DY19,CF_CCMAX,"&gt;="&amp;DY19),O19*ITP_TIPO)),O19*ITP_TIPO))</f>
        <v/>
      </c>
      <c r="EA19" s="4">
        <f>IF(R19="profesional",N(AK19),0)</f>
        <v/>
      </c>
      <c r="EB19" s="3">
        <f>IF(AND(R19="profesional",ISNUMBER(AK19),AL19="sí"),0,TASA_DGT)</f>
        <v/>
      </c>
      <c r="EC19" s="3">
        <f>INFORME_DGT</f>
        <v/>
      </c>
      <c r="ED19" s="4">
        <f>O19+EA19+DZ19+EB19+EC19</f>
        <v/>
      </c>
      <c r="EE19" s="4">
        <f>ED19+N(DF19)</f>
        <v/>
      </c>
      <c r="EF19" s="3">
        <f>MAX(0,ED19-TOTAL_MAX)</f>
        <v/>
      </c>
      <c r="EG19" s="3">
        <f>EF19/100*PEN_100</f>
        <v/>
      </c>
      <c r="EH19" s="3">
        <f>IF(R19="particular",ED19+IF(AND(DA19&lt;&gt;"cadena",X19&lt;&gt;"sí"),RES_CORREA,0)+IF(AND(BJ19&lt;&gt;"sí",BW19&gt;=RES_NEUM_EDAD),RES_NEUM,0),"")</f>
        <v/>
      </c>
      <c r="EI19" s="3">
        <f>IF(ED19&lt;=TOTAL_MAX,"sí",IF(ED19&lt;=TECHO,"negociar","no"))</f>
        <v/>
      </c>
      <c r="EJ19" s="4">
        <f>ROUND(DX19,9)</f>
        <v/>
      </c>
      <c r="EK19" s="4">
        <f>IF(EI19&lt;&gt;"no",SUMPRODUCT(($EI$2:$EI$209&lt;&gt;"no")*($EJ$2:$EJ$209&gt;EJ19))+SUMPRODUCT(($EI$2:EI19&lt;&gt;"no")*($EJ$2:EJ19=EJ19)),"")</f>
        <v/>
      </c>
    </row>
    <row r="20">
      <c r="A20" s="2" t="inlineStr">
        <is>
          <t>cochesnet:71571620</t>
        </is>
      </c>
      <c r="B20" s="2" t="inlineStr">
        <is>
          <t>cochesnet</t>
        </is>
      </c>
      <c r="C20" s="2" t="inlineStr">
        <is>
          <t>https://www.coches.net/dacia-logan-laureate-14-4p-gasolina-2007-en-valencia-71571620-covo.aspx</t>
        </is>
      </c>
      <c r="D20" s="2" t="inlineStr">
        <is>
          <t>DACIA Logan Laureate 1.4</t>
        </is>
      </c>
      <c r="E20" s="2" t="inlineStr">
        <is>
          <t>Dacia</t>
        </is>
      </c>
      <c r="F20" s="2" t="inlineStr">
        <is>
          <t>Dacia Logan</t>
        </is>
      </c>
      <c r="G20" s="2" t="inlineStr">
        <is>
          <t>1.4</t>
        </is>
      </c>
      <c r="H20" s="2" t="inlineStr">
        <is>
          <t>Laureate 1.4</t>
        </is>
      </c>
      <c r="I20" s="2" t="n"/>
      <c r="J20" s="2" t="n"/>
      <c r="K20" s="2" t="inlineStr">
        <is>
          <t>gasolina</t>
        </is>
      </c>
      <c r="L20" s="2" t="inlineStr">
        <is>
          <t>berlina</t>
        </is>
      </c>
      <c r="M20" s="2" t="n">
        <v>2008</v>
      </c>
      <c r="N20" s="2" t="n">
        <v>128293</v>
      </c>
      <c r="O20" s="2" t="n">
        <v>3490</v>
      </c>
      <c r="P20" s="2" t="inlineStr">
        <is>
          <t>manual</t>
        </is>
      </c>
      <c r="Q20" s="2" t="inlineStr">
        <is>
          <t>no</t>
        </is>
      </c>
      <c r="R20" s="2" t="inlineStr">
        <is>
          <t>profesional</t>
        </is>
      </c>
      <c r="S20" s="2" t="inlineStr">
        <is>
          <t>AUTOSCOL Torrent</t>
        </is>
      </c>
      <c r="T20" s="2" t="inlineStr">
        <is>
          <t>2026-09-22T15:40:22Z</t>
        </is>
      </c>
      <c r="U20" s="2" t="n">
        <v>18</v>
      </c>
      <c r="V20" s="2" t="n"/>
      <c r="W20" s="2" t="n"/>
      <c r="X20" s="2" t="n"/>
      <c r="Y20" s="2" t="n"/>
      <c r="Z20" s="2" t="inlineStr">
        <is>
          <t>sí</t>
        </is>
      </c>
      <c r="AA20" s="2" t="n"/>
      <c r="AB20" s="2" t="n">
        <v>12</v>
      </c>
      <c r="AC20" s="2" t="n"/>
      <c r="AD20" s="2" t="n"/>
      <c r="AE20" s="2" t="n"/>
      <c r="AF20" s="2" t="n"/>
      <c r="AG20" s="2" t="n"/>
      <c r="AH20" s="2" t="n">
        <v>3490</v>
      </c>
      <c r="AI20" s="2" t="n"/>
      <c r="AJ20" s="2" t="n"/>
      <c r="AK20" s="2" t="n">
        <v>180</v>
      </c>
      <c r="AL20" s="2" t="inlineStr">
        <is>
          <t>sí</t>
        </is>
      </c>
      <c r="AM20" s="2" t="n">
        <v>8.800000000000001</v>
      </c>
      <c r="AN20" s="2" t="n"/>
      <c r="AO20" s="2" t="inlineStr">
        <is>
          <t>2008</t>
        </is>
      </c>
      <c r="AP20" s="2" t="n">
        <v>2008</v>
      </c>
      <c r="AQ20" s="2" t="n"/>
      <c r="AR20" s="2" t="inlineStr">
        <is>
          <t>C</t>
        </is>
      </c>
      <c r="AS20" s="2" t="inlineStr">
        <is>
          <t>anuncio</t>
        </is>
      </c>
      <c r="AT20" s="2" t="n">
        <v>2007</v>
      </c>
      <c r="AU20" s="2" t="inlineStr">
        <is>
          <t>no</t>
        </is>
      </c>
      <c r="AV20" s="2" t="inlineStr">
        <is>
          <t>C</t>
        </is>
      </c>
      <c r="AW20" s="2" t="n"/>
      <c r="AX20" s="2" t="inlineStr">
        <is>
          <t>no</t>
        </is>
      </c>
      <c r="AY20" s="2" t="inlineStr">
        <is>
          <t>no</t>
        </is>
      </c>
      <c r="AZ20" s="2" t="inlineStr">
        <is>
          <t>COMMON.COLOR_BLUE</t>
        </is>
      </c>
      <c r="BA20" s="2" t="inlineStr">
        <is>
          <t>azul</t>
        </is>
      </c>
      <c r="BB20" s="3" t="n">
        <v>3</v>
      </c>
      <c r="BC20" s="3" t="inlineStr">
        <is>
          <t>(por segmento)</t>
        </is>
      </c>
      <c r="BD20" s="2" t="n"/>
      <c r="BE20" s="2" t="n"/>
      <c r="BF20" s="2" t="n"/>
      <c r="BG20" s="2" t="n"/>
      <c r="BH20" s="2" t="n"/>
      <c r="BI20" s="2" t="n"/>
      <c r="BJ20" s="2" t="n"/>
      <c r="BK20" s="2" t="n"/>
      <c r="BL20" s="2" t="n"/>
      <c r="BM20" s="2" t="n">
        <v>24</v>
      </c>
      <c r="BN20" s="2" t="n">
        <v>0.05126157402992249</v>
      </c>
      <c r="BO20" s="2" t="n">
        <v>2</v>
      </c>
      <c r="BP20" s="2" t="n"/>
      <c r="BQ20" s="2" t="n"/>
      <c r="BR20" s="2" t="n"/>
      <c r="BS20" s="2" t="n"/>
      <c r="BT20" s="2" t="inlineStr">
        <is>
          <t>año a confirmar: la URL/título dice 2007; vendedor profesional: sin ITP (operación con IVA/REBU, confirmar en factura); Euro NCAP de la generación PENDIENTE (seguridad neutra); revisar: no menciona la ITV; mediana con solo 1 anuncio(s)</t>
        </is>
      </c>
      <c r="BU20" s="2" t="inlineStr">
        <is>
          <t>DACIA LOGAN 1.4 LAUREATE 75 CV – AÑO 2008
? 128.293 km reales
? Gasolina | Cambio manual | 5 puertas
? Color azul
? Distintivo ambiental: Etiqueta C
Coche revisado y preparado en nuestras instalaciones antes de la venta. Motor 1.4 de mecánica Renault, sencilla y resistente, con recambios muy económicos y barato de mantener.
Maletero muy amplio y mucho espacio interior. Ideal como primer coche, para trabajar o para uso diario.
?? PRECIO: 3.490 €
??? Garantía de 12 meses
?? Transferencia aparte: 180 €
Somos profesionales del sector, compraventa de vehículos de ocasión en Valencia. Facturamos y entregamos toda la documentación en regla.
?? Escríbenos para más fotos o para venir a verlo y probarlo sin compromiso.
?? También compramos y tasamos tu coche.
Dacia Logan Sedan en Torrent</t>
        </is>
      </c>
      <c r="BV20" s="2" t="inlineStr">
        <is>
          <t>https://www.coches.net/dacia-logan-laureate-14-4p-gasolina-2007-en-valencia-71571620-covo.aspx (window.__INITIAL_PROPS__.ad) /home/user/Alopecia/buscador-coches/raw/cochesnet/419db24ec45a6b74.json</t>
        </is>
      </c>
      <c r="BW20" s="3">
        <f>MAX(ANIO_ACTUAL-M20,0)</f>
        <v/>
      </c>
      <c r="BX20" s="4">
        <f>N20/MAX(BW20,0.5)</f>
        <v/>
      </c>
      <c r="BY20" s="4">
        <f>F20</f>
        <v/>
      </c>
      <c r="BZ20" s="3">
        <f>BY20&amp;"|"&amp;INT(M20/SEG_ANIO)*SEG_ANIO</f>
        <v/>
      </c>
      <c r="CA20" s="3">
        <f>BZ20&amp;"|"&amp;INT(N20/SEG_KM)*SEG_KM</f>
        <v/>
      </c>
      <c r="CB20" s="4">
        <f>COUNTIF($BY$2:$BY$209,BY20)</f>
        <v/>
      </c>
      <c r="CC20" s="4">
        <f>COUNTIF($BZ$2:$BZ$209,BZ20)</f>
        <v/>
      </c>
      <c r="CD20" s="4">
        <f>COUNTIF($CA$2:$CA$209,CA20)</f>
        <v/>
      </c>
      <c r="CE20" s="3">
        <f t="array" ref="CE20">IF(N(BQ20)&gt;=MIN_N,BP20,IF(CD20&gt;=MIN_N,MEDIAN(IF($CA$2:$CA$209=CA20,$O$2:$O$209)),IF(CC20&gt;=MIN_N,MEDIAN(IF($BZ$2:$BZ$209=BZ20,$O$2:$O$209)),MEDIAN(IF($BY$2:$BY$209=BY20,$O$2:$O$209)))))</f>
        <v/>
      </c>
      <c r="CF20" s="3">
        <f>IF(N(BQ20)&gt;=MIN_N,"mercado "&amp;BR20,IF(CD20&gt;=MIN_N,"modelo+año+km",IF(CC20&gt;=MIN_N,"modelo+año","modelo")))</f>
        <v/>
      </c>
      <c r="CG20" s="4">
        <f>(CE20-O20)/CE20</f>
        <v/>
      </c>
      <c r="CH20" s="3">
        <f>IF(COUNTIFS(FR_FUEL,K20,FR_YEAR,AP20)&gt;0,1,0)</f>
        <v/>
      </c>
      <c r="CI20" s="3">
        <f>IF(COUNTIFS(FR_FUEL,K20,FR_YEAR,AP20-1)&gt;0,1,0)</f>
        <v/>
      </c>
      <c r="CJ20" s="4">
        <f>IF(N(AQ20)&gt;0,AP20*100+AQ20,IF(AND(CH20=1,CI20=1),(AP20-1)*100+1,AP20*100+1))</f>
        <v/>
      </c>
      <c r="CK20" s="3">
        <f>IF(OR(K20="hibrido",K20="glp",K20="gnc",K20="phev"),"ECO",IF(K20="electrico","CERO",IF(K20="gasolina",IF(CJ20&gt;=GAS_C_YM,"C",IF(CJ20&gt;=GAS_B_YM,"B","A")),IF(K20="diesel",IF(CJ20&gt;=DIE_C_YM,"C",IF(CJ20&gt;=DIE_B_YM,"B","A")),""))))</f>
        <v/>
      </c>
      <c r="CL20" s="2" t="inlineStr">
        <is>
          <t>C</t>
        </is>
      </c>
      <c r="CM20" s="4">
        <f>IF(AU20="sí","sí",IF(AS20="regla",IF(AND(N(AQ20)=0,CH20=1),"sí","no"),"no"))</f>
        <v/>
      </c>
      <c r="CN20" s="3">
        <f>IFERROR(VLOOKUP(F20,MOD_TBL,16,0),IFERROR(VLOOKUP(E20,OCU_TBL,2,0),NEUTRO))</f>
        <v/>
      </c>
      <c r="CO20" s="3">
        <f>SUMIFS(MOT_AJUSTE,MOT_MOTOR,G20,MOT_MARCA,E20,MOT_DESDE,"&lt;="&amp;M20,MOT_HASTA,"&gt;="&amp;M20)+SUMIFS(MOT_AJUSTE,MOT_MOTOR,G20,MOT_MARCA,"(todas)",MOT_DESDE,"&lt;="&amp;M20,MOT_HASTA,"&gt;="&amp;M20)+SUMIFS(MOT_AJUSTE,MOT_MOTOR,"(cualquiera)",MOT_MARCA,E20,MOT_DESDE,"&lt;="&amp;M20,MOT_HASTA,"&gt;="&amp;M20)</f>
        <v/>
      </c>
      <c r="CP20" s="3">
        <f>SUMIFS(COMB_AJUSTE,COMB_COMB,K20)</f>
        <v/>
      </c>
      <c r="CQ20" s="3">
        <f>COUNTIFS(MOT_MOTOR,G20,MOT_MARCA,E20,MOT_DESDE,"&lt;="&amp;M20,MOT_HASTA,"&gt;="&amp;M20)+COUNTIFS(MOT_MOTOR,G20,MOT_MARCA,"(todas)",MOT_DESDE,"&lt;="&amp;M20,MOT_HASTA,"&gt;="&amp;M20)+COUNTIFS(MOT_MOTOR,"(cualquiera)",MOT_MARCA,E20,MOT_DESDE,"&lt;="&amp;M20,MOT_HASTA,"&gt;="&amp;M20)</f>
        <v/>
      </c>
      <c r="CR20" s="3">
        <f>IF(AND(K20="diesel",CQ20=0),MIN(CN20,NEUTRO),CN20)</f>
        <v/>
      </c>
      <c r="CS20" s="3">
        <f>MAX(0,MIN(100,CR20+CO20+CP20-IF(AX20="sí",ROB_PEN,0)))</f>
        <v/>
      </c>
      <c r="CT20" s="3">
        <f>100-MAX(0,N20-KM_TOPE_DESDE)/1000*KM_TOPE_PTS</f>
        <v/>
      </c>
      <c r="CU20" s="3">
        <f>MAX(0,MIN(100,50+CG20*PRECIO_PEND,CT20))</f>
        <v/>
      </c>
      <c r="CV20" s="3">
        <f>MAX(0,100*(1-N20/KM_MAX))</f>
        <v/>
      </c>
      <c r="CW20" s="3">
        <f>IF(BX20&lt;KMA_SOSP,IF(AA20="sí",100,KMA_PEN),IF(BX20&lt;=KMA_IDEAL_MAX,100,MAX(0,100*(KMA_CERO-BX20)/(KMA_CERO-KMA_IDEAL_MAX))))</f>
        <v/>
      </c>
      <c r="CX20" s="3">
        <f>MAX(0,MIN(100,100*(M20-ANIO_MIN)/(ANIO_ACTUAL-ANIO_MIN)))</f>
        <v/>
      </c>
      <c r="CY20" s="3">
        <f>W_KMT*CV20+W_KMA*CW20+W_EDAD*CX20</f>
        <v/>
      </c>
      <c r="CZ20" s="4">
        <f>E20&amp;"|"&amp;G20</f>
        <v/>
      </c>
      <c r="DA20" s="3">
        <f>IFERROR(VLOOKUP(CZ20,DIST_TBL,2,0),"")</f>
        <v/>
      </c>
      <c r="DB20" s="3">
        <f>E_ITV*(V20="sí")+E_LIBRO*(W20="sí")+E_PROP*IF(Y20=1,1,IF(Y20=2,0.5,0))+E_CORREA*IF(OR(DA20="cadena",AND(X20="sí",BH20="sí")),1,IF(X20="sí",0.5,0))+E_FACT*(BI20="sí")</f>
        <v/>
      </c>
      <c r="DC20" s="3">
        <f>MAX(0,MIN(100,IFERROR(VLOOKUP(CL20,ETQ_TBL,2,0),0)-IF(CM20="sí",ETQ_PEN_DUD,IF(AS20="regla",ETQ_PEN_REGLA,0))))</f>
        <v/>
      </c>
      <c r="DD20" s="3">
        <f>IF(K20&lt;&gt;"gasolina","",IFERROR(VLOOKUP(F20,CONS_MOD_TBL,2,0),IFERROR(VLOOKUP(L20,CONS_SEG_TBL,2,0),"")))</f>
        <v/>
      </c>
      <c r="DE20" s="3">
        <f>IF(DD20="",NEUTRO,MAX(0,MIN(100,100*(CONS_REF_MAX-DD20)/(CONS_REF_MAX-CONS_REF_MIN))))</f>
        <v/>
      </c>
      <c r="DF20" s="3">
        <f>IFERROR(VLOOKUP(L20,SEGURO_TBL,3,0),"")</f>
        <v/>
      </c>
      <c r="DG20" s="3">
        <f>IF(DF20="",NEUTRO,MAX(0,MIN(100,100*(SEG_REF_MAX-DF20)/(SEG_REF_MAX-SEG_REF_MIN))))</f>
        <v/>
      </c>
      <c r="DH20" s="3">
        <f>IFERROR(VLOOKUP(E20,MANT_MARCA_TBL,2,0)+0,NEUTRO)</f>
        <v/>
      </c>
      <c r="DI20" s="3">
        <f>IF(DA20="",NEUTRO,IFERROR(VLOOKUP(DA20,DIST_PTS_TBL,2,0)+0,NEUTRO))</f>
        <v/>
      </c>
      <c r="DJ20" s="4">
        <f>(DH20+DI20)/2</f>
        <v/>
      </c>
      <c r="DK20" s="3">
        <f>W_CONS*DE20+W_SEG*DG20+W_MANT*DJ20</f>
        <v/>
      </c>
      <c r="DL20" s="3">
        <f>IF(N(AB20)&gt;0,AB20,IF(AND(R20="profesional",SG_LEGAL_ON=1),GAR_LEGAL,0))</f>
        <v/>
      </c>
      <c r="DM20" s="3">
        <f>MAX(0,MIN(100,SG_GAR*MIN(1,DL20/SG_GAR_FULL)+SG_AMPL*(AC20="sí")+SG_KMC*(AF20="sí")+SG_REV*(N(AE20)&gt;0)+SG_DEV*MIN(1,N(AG20)/SG_DEV_FULL)+SG_HIST*(W20="sí")-IF(AND(R20="particular",DL20=0),SG_PART_PEN,0)))</f>
        <v/>
      </c>
      <c r="DN20" s="3">
        <f>IF(BK20="",NEUTRO,MAX(0,MIN(100,BK20/5*100)))</f>
        <v/>
      </c>
      <c r="DO20" s="3">
        <f>IF(BL20="sí",100,IF(BL20="no",0,NEUTRO))</f>
        <v/>
      </c>
      <c r="DP20" s="3">
        <f>SV_W_NCAP*DN20+SV_W_ESP*DO20</f>
        <v/>
      </c>
      <c r="DQ20" s="3">
        <f>MAX(0,MIN(100,ATR_BASE+ATR_ACAB*(BD20&lt;&gt;"")+IF(BE20="16+",ATR_LL16,IF(BE20="sí",ATR_LL,0))+ATR_FAROS*(BF20="sí")+ATR_TINT*(BG20="sí")-ATR_CHAPA*(BE20="chapa")))</f>
        <v/>
      </c>
      <c r="DR20" s="3">
        <f>EST_W_MOD*(BB20-1)/4*100+EST_W_ATR*DQ20</f>
        <v/>
      </c>
      <c r="DS20" s="3">
        <f>IF(BA20="",NEUTRO,IFERROR(VLOOKUP(BA20,COLOR_TBL,2,0)+0,NEUTRO))</f>
        <v/>
      </c>
      <c r="DT20" s="3">
        <f>MAX(0,MIN(100,100*N(BM20)/RV_N_FULL))</f>
        <v/>
      </c>
      <c r="DU20" s="3">
        <f>IF(OR(BN20="",N(BO20)&lt;RV_DIAS_MIN),NEUTRO,MAX(0,MIN(100,100*(RV_DIAS_CERO-BN20)/(RV_DIAS_CERO-RV_DIAS_FULL))))</f>
        <v/>
      </c>
      <c r="DV20" s="3">
        <f>RV_W_LIQ*DT20+RV_W_DIAS*DU20+RV_W_ETQ*DC20</f>
        <v/>
      </c>
      <c r="DW20" s="3">
        <f>IFERROR(VLOOKUP(L20,CARR_PEN_TBL,2,0),0)</f>
        <v/>
      </c>
      <c r="DX20" s="3">
        <f>W_FIAB*CS20+W_PRECIO*CU20+W_KMEDAD*CY20+W_ESTADO*DB20+W_USO*DK20+W_SEGURIDAD*DM20+W_SEGVIAL*DP20+W_ESTETICA*DR20+W_COLOR*DS20+W_REVENTA*DV20-DW20-EG20</f>
        <v/>
      </c>
      <c r="DY20" s="4">
        <f>IF(N(I20)&gt;0,I20,IFERROR(ROUND(_xlfn.NUMBERVALUE(LEFT(G20,FIND(" ",G20&amp;" ")-1),".")*1000,0),99999))</f>
        <v/>
      </c>
      <c r="DZ20" s="3">
        <f>IF(R20="profesional",0,IF(O20&lt;CUOTA_VALOR_MAX,IF(BW20&gt;ITP_TRAMO_ALTO,SUMIFS(CF_CUOTA,CF_MAS,ITP_TRAMO_ALTO,CF_CCMIN,"&lt;="&amp;DY20,CF_CCMAX,"&gt;="&amp;DY20),IF(BW20&gt;ITP_TRAMO_BAJO,SUMIFS(CF_CUOTA,CF_MAS,ITP_TRAMO_BAJO,CF_CCMIN,"&lt;="&amp;DY20,CF_CCMAX,"&gt;="&amp;DY20),O20*ITP_TIPO)),O20*ITP_TIPO))</f>
        <v/>
      </c>
      <c r="EA20" s="4">
        <f>IF(R20="profesional",N(AK20),0)</f>
        <v/>
      </c>
      <c r="EB20" s="3">
        <f>IF(AND(R20="profesional",ISNUMBER(AK20),AL20="sí"),0,TASA_DGT)</f>
        <v/>
      </c>
      <c r="EC20" s="3">
        <f>INFORME_DGT</f>
        <v/>
      </c>
      <c r="ED20" s="4">
        <f>O20+EA20+DZ20+EB20+EC20</f>
        <v/>
      </c>
      <c r="EE20" s="4">
        <f>ED20+N(DF20)</f>
        <v/>
      </c>
      <c r="EF20" s="3">
        <f>MAX(0,ED20-TOTAL_MAX)</f>
        <v/>
      </c>
      <c r="EG20" s="3">
        <f>EF20/100*PEN_100</f>
        <v/>
      </c>
      <c r="EH20" s="3">
        <f>IF(R20="particular",ED20+IF(AND(DA20&lt;&gt;"cadena",X20&lt;&gt;"sí"),RES_CORREA,0)+IF(AND(BJ20&lt;&gt;"sí",BW20&gt;=RES_NEUM_EDAD),RES_NEUM,0),"")</f>
        <v/>
      </c>
      <c r="EI20" s="3">
        <f>IF(ED20&lt;=TOTAL_MAX,"sí",IF(ED20&lt;=TECHO,"negociar","no"))</f>
        <v/>
      </c>
      <c r="EJ20" s="4">
        <f>ROUND(DX20,9)</f>
        <v/>
      </c>
      <c r="EK20" s="4">
        <f>IF(EI20&lt;&gt;"no",SUMPRODUCT(($EI$2:$EI$209&lt;&gt;"no")*($EJ$2:$EJ$209&gt;EJ20))+SUMPRODUCT(($EI$2:EI20&lt;&gt;"no")*($EJ$2:EJ20=EJ20)),"")</f>
        <v/>
      </c>
    </row>
    <row r="21">
      <c r="A21" s="2" t="inlineStr">
        <is>
          <t>cochesnet:71833160</t>
        </is>
      </c>
      <c r="B21" s="2" t="inlineStr">
        <is>
          <t>cochesnet</t>
        </is>
      </c>
      <c r="C21" s="2" t="inlineStr">
        <is>
          <t>https://www.coches.net/peugeot-207-confort-14-75-5p-gasolina-2009-en-valencia-71833160-covo.aspx</t>
        </is>
      </c>
      <c r="D21" s="2" t="inlineStr">
        <is>
          <t>PEUGEOT 207 Confort 1.4 75</t>
        </is>
      </c>
      <c r="E21" s="2" t="inlineStr">
        <is>
          <t>Peugeot</t>
        </is>
      </c>
      <c r="F21" s="2" t="inlineStr">
        <is>
          <t>Peugeot 207</t>
        </is>
      </c>
      <c r="G21" s="2" t="inlineStr">
        <is>
          <t>1.4</t>
        </is>
      </c>
      <c r="H21" s="2" t="inlineStr">
        <is>
          <t>Confort 1.4 75</t>
        </is>
      </c>
      <c r="I21" s="2" t="n"/>
      <c r="J21" s="2" t="n"/>
      <c r="K21" s="2" t="inlineStr">
        <is>
          <t>gasolina</t>
        </is>
      </c>
      <c r="L21" s="2" t="inlineStr">
        <is>
          <t>utilitario</t>
        </is>
      </c>
      <c r="M21" s="2" t="n">
        <v>2009</v>
      </c>
      <c r="N21" s="2" t="n">
        <v>95000</v>
      </c>
      <c r="O21" s="2" t="n">
        <v>3990</v>
      </c>
      <c r="P21" s="2" t="inlineStr">
        <is>
          <t>manual</t>
        </is>
      </c>
      <c r="Q21" s="2" t="inlineStr">
        <is>
          <t>no</t>
        </is>
      </c>
      <c r="R21" s="2" t="inlineStr">
        <is>
          <t>profesional</t>
        </is>
      </c>
      <c r="S21" s="2" t="inlineStr">
        <is>
          <t>Prime Cars Alzira Alzira</t>
        </is>
      </c>
      <c r="T21" s="2" t="inlineStr">
        <is>
          <t>2026-10-26T12:09:55Z</t>
        </is>
      </c>
      <c r="U21" s="2" t="n">
        <v>10</v>
      </c>
      <c r="V21" s="2" t="inlineStr">
        <is>
          <t>sí</t>
        </is>
      </c>
      <c r="W21" s="2" t="n"/>
      <c r="X21" s="2" t="inlineStr">
        <is>
          <t>sí</t>
        </is>
      </c>
      <c r="Y21" s="2" t="n"/>
      <c r="Z21" s="2" t="inlineStr">
        <is>
          <t>no</t>
        </is>
      </c>
      <c r="AA21" s="2" t="n"/>
      <c r="AB21" s="2" t="n"/>
      <c r="AC21" s="2" t="n"/>
      <c r="AD21" s="2" t="n"/>
      <c r="AE21" s="2" t="n"/>
      <c r="AF21" s="2" t="n"/>
      <c r="AG21" s="2" t="n"/>
      <c r="AH21" s="2" t="n">
        <v>3990</v>
      </c>
      <c r="AI21" s="2" t="n"/>
      <c r="AJ21" s="2" t="n"/>
      <c r="AK21" s="2" t="n"/>
      <c r="AL21" s="2" t="n"/>
      <c r="AM21" s="2" t="n">
        <v>35.7</v>
      </c>
      <c r="AN21" s="2" t="n"/>
      <c r="AO21" s="2" t="inlineStr">
        <is>
          <t>2009</t>
        </is>
      </c>
      <c r="AP21" s="2" t="n">
        <v>2009</v>
      </c>
      <c r="AQ21" s="2" t="n"/>
      <c r="AR21" s="2" t="inlineStr">
        <is>
          <t>C</t>
        </is>
      </c>
      <c r="AS21" s="2" t="inlineStr">
        <is>
          <t>anuncio</t>
        </is>
      </c>
      <c r="AT21" s="2" t="n"/>
      <c r="AU21" s="2" t="inlineStr">
        <is>
          <t>no</t>
        </is>
      </c>
      <c r="AV21" s="2" t="inlineStr">
        <is>
          <t>C</t>
        </is>
      </c>
      <c r="AW21" s="2" t="n"/>
      <c r="AX21" s="2" t="inlineStr">
        <is>
          <t>no</t>
        </is>
      </c>
      <c r="AY21" s="2" t="inlineStr">
        <is>
          <t>no</t>
        </is>
      </c>
      <c r="AZ21" s="2" t="inlineStr">
        <is>
          <t>COMMON.COLOR_BLUE</t>
        </is>
      </c>
      <c r="BA21" s="2" t="inlineStr">
        <is>
          <t>azul</t>
        </is>
      </c>
      <c r="BB21" s="3" t="n">
        <v>2</v>
      </c>
      <c r="BC21" s="3" t="inlineStr">
        <is>
          <t>(por segmento)</t>
        </is>
      </c>
      <c r="BD21" s="2" t="n"/>
      <c r="BE21" s="2" t="n"/>
      <c r="BF21" s="2" t="n"/>
      <c r="BG21" s="2" t="n"/>
      <c r="BH21" s="2" t="inlineStr">
        <is>
          <t>sí</t>
        </is>
      </c>
      <c r="BI21" s="2" t="n"/>
      <c r="BJ21" s="2" t="n"/>
      <c r="BK21" s="2" t="n">
        <v>5</v>
      </c>
      <c r="BL21" s="2" t="n"/>
      <c r="BM21" s="2" t="n">
        <v>125</v>
      </c>
      <c r="BN21" s="2" t="n"/>
      <c r="BO21" s="2" t="n">
        <v>0</v>
      </c>
      <c r="BP21" s="2" t="n">
        <v>4750</v>
      </c>
      <c r="BQ21" s="2" t="n">
        <v>13</v>
      </c>
      <c r="BR21" s="2" t="inlineStr">
        <is>
          <t>modelo+año+km</t>
        </is>
      </c>
      <c r="BS21" s="2" t="n"/>
      <c r="BT21" s="2" t="inlineStr">
        <is>
          <t>vendedor profesional: sin ITP (operación con IVA/REBU, confirmar en factura); gastos de gestión del vendedor no indicados: se suma la tasa DGT; preguntar el precio final; fiabilidad del modelo PENDIENTE de fuente (puntuación neutra)</t>
        </is>
      </c>
      <c r="BU21" s="2" t="inlineStr">
        <is>
          <t>Peugeot 207 motor 1.4 gasolina con 75 CV.
Se encuentra en buen estado general, tiene Aire acondicionado, control de velocidad de crucero, fijaciones Isofix, etc.
Se entrega con ITV recién pasada hasta el 10/2027, distribución hecha a los 66.000 kilometros, se acepta prueba mecánica.</t>
        </is>
      </c>
      <c r="BV21" s="2" t="inlineStr">
        <is>
          <t>https://www.coches.net/peugeot-207-confort-14-75-5p-gasolina-2009-en-valencia-71833160-covo.aspx (window.__INITIAL_PROPS__.ad) /home/user/Alopecia/buscador-coches/raw/cochesnet/0b54a76ea589cdf3.json</t>
        </is>
      </c>
      <c r="BW21" s="3">
        <f>MAX(ANIO_ACTUAL-M21,0)</f>
        <v/>
      </c>
      <c r="BX21" s="4">
        <f>N21/MAX(BW21,0.5)</f>
        <v/>
      </c>
      <c r="BY21" s="4">
        <f>F21</f>
        <v/>
      </c>
      <c r="BZ21" s="3">
        <f>BY21&amp;"|"&amp;INT(M21/SEG_ANIO)*SEG_ANIO</f>
        <v/>
      </c>
      <c r="CA21" s="3">
        <f>BZ21&amp;"|"&amp;INT(N21/SEG_KM)*SEG_KM</f>
        <v/>
      </c>
      <c r="CB21" s="4">
        <f>COUNTIF($BY$2:$BY$209,BY21)</f>
        <v/>
      </c>
      <c r="CC21" s="4">
        <f>COUNTIF($BZ$2:$BZ$209,BZ21)</f>
        <v/>
      </c>
      <c r="CD21" s="4">
        <f>COUNTIF($CA$2:$CA$209,CA21)</f>
        <v/>
      </c>
      <c r="CE21" s="3">
        <f t="array" ref="CE21">IF(N(BQ21)&gt;=MIN_N,BP21,IF(CD21&gt;=MIN_N,MEDIAN(IF($CA$2:$CA$209=CA21,$O$2:$O$209)),IF(CC21&gt;=MIN_N,MEDIAN(IF($BZ$2:$BZ$209=BZ21,$O$2:$O$209)),MEDIAN(IF($BY$2:$BY$209=BY21,$O$2:$O$209)))))</f>
        <v/>
      </c>
      <c r="CF21" s="3">
        <f>IF(N(BQ21)&gt;=MIN_N,"mercado "&amp;BR21,IF(CD21&gt;=MIN_N,"modelo+año+km",IF(CC21&gt;=MIN_N,"modelo+año","modelo")))</f>
        <v/>
      </c>
      <c r="CG21" s="4">
        <f>(CE21-O21)/CE21</f>
        <v/>
      </c>
      <c r="CH21" s="3">
        <f>IF(COUNTIFS(FR_FUEL,K21,FR_YEAR,AP21)&gt;0,1,0)</f>
        <v/>
      </c>
      <c r="CI21" s="3">
        <f>IF(COUNTIFS(FR_FUEL,K21,FR_YEAR,AP21-1)&gt;0,1,0)</f>
        <v/>
      </c>
      <c r="CJ21" s="4">
        <f>IF(N(AQ21)&gt;0,AP21*100+AQ21,IF(AND(CH21=1,CI21=1),(AP21-1)*100+1,AP21*100+1))</f>
        <v/>
      </c>
      <c r="CK21" s="3">
        <f>IF(OR(K21="hibrido",K21="glp",K21="gnc",K21="phev"),"ECO",IF(K21="electrico","CERO",IF(K21="gasolina",IF(CJ21&gt;=GAS_C_YM,"C",IF(CJ21&gt;=GAS_B_YM,"B","A")),IF(K21="diesel",IF(CJ21&gt;=DIE_C_YM,"C",IF(CJ21&gt;=DIE_B_YM,"B","A")),""))))</f>
        <v/>
      </c>
      <c r="CL21" s="2" t="inlineStr">
        <is>
          <t>C</t>
        </is>
      </c>
      <c r="CM21" s="4">
        <f>IF(AU21="sí","sí",IF(AS21="regla",IF(AND(N(AQ21)=0,CH21=1),"sí","no"),"no"))</f>
        <v/>
      </c>
      <c r="CN21" s="3">
        <f>IFERROR(VLOOKUP(F21,MOD_TBL,16,0),IFERROR(VLOOKUP(E21,OCU_TBL,2,0),NEUTRO))</f>
        <v/>
      </c>
      <c r="CO21" s="3">
        <f>SUMIFS(MOT_AJUSTE,MOT_MOTOR,G21,MOT_MARCA,E21,MOT_DESDE,"&lt;="&amp;M21,MOT_HASTA,"&gt;="&amp;M21)+SUMIFS(MOT_AJUSTE,MOT_MOTOR,G21,MOT_MARCA,"(todas)",MOT_DESDE,"&lt;="&amp;M21,MOT_HASTA,"&gt;="&amp;M21)+SUMIFS(MOT_AJUSTE,MOT_MOTOR,"(cualquiera)",MOT_MARCA,E21,MOT_DESDE,"&lt;="&amp;M21,MOT_HASTA,"&gt;="&amp;M21)</f>
        <v/>
      </c>
      <c r="CP21" s="3">
        <f>SUMIFS(COMB_AJUSTE,COMB_COMB,K21)</f>
        <v/>
      </c>
      <c r="CQ21" s="3">
        <f>COUNTIFS(MOT_MOTOR,G21,MOT_MARCA,E21,MOT_DESDE,"&lt;="&amp;M21,MOT_HASTA,"&gt;="&amp;M21)+COUNTIFS(MOT_MOTOR,G21,MOT_MARCA,"(todas)",MOT_DESDE,"&lt;="&amp;M21,MOT_HASTA,"&gt;="&amp;M21)+COUNTIFS(MOT_MOTOR,"(cualquiera)",MOT_MARCA,E21,MOT_DESDE,"&lt;="&amp;M21,MOT_HASTA,"&gt;="&amp;M21)</f>
        <v/>
      </c>
      <c r="CR21" s="3">
        <f>IF(AND(K21="diesel",CQ21=0),MIN(CN21,NEUTRO),CN21)</f>
        <v/>
      </c>
      <c r="CS21" s="3">
        <f>MAX(0,MIN(100,CR21+CO21+CP21-IF(AX21="sí",ROB_PEN,0)))</f>
        <v/>
      </c>
      <c r="CT21" s="3">
        <f>100-MAX(0,N21-KM_TOPE_DESDE)/1000*KM_TOPE_PTS</f>
        <v/>
      </c>
      <c r="CU21" s="3">
        <f>MAX(0,MIN(100,50+CG21*PRECIO_PEND,CT21))</f>
        <v/>
      </c>
      <c r="CV21" s="3">
        <f>MAX(0,100*(1-N21/KM_MAX))</f>
        <v/>
      </c>
      <c r="CW21" s="3">
        <f>IF(BX21&lt;KMA_SOSP,IF(AA21="sí",100,KMA_PEN),IF(BX21&lt;=KMA_IDEAL_MAX,100,MAX(0,100*(KMA_CERO-BX21)/(KMA_CERO-KMA_IDEAL_MAX))))</f>
        <v/>
      </c>
      <c r="CX21" s="3">
        <f>MAX(0,MIN(100,100*(M21-ANIO_MIN)/(ANIO_ACTUAL-ANIO_MIN)))</f>
        <v/>
      </c>
      <c r="CY21" s="3">
        <f>W_KMT*CV21+W_KMA*CW21+W_EDAD*CX21</f>
        <v/>
      </c>
      <c r="CZ21" s="4">
        <f>E21&amp;"|"&amp;G21</f>
        <v/>
      </c>
      <c r="DA21" s="3">
        <f>IFERROR(VLOOKUP(CZ21,DIST_TBL,2,0),"")</f>
        <v/>
      </c>
      <c r="DB21" s="3">
        <f>E_ITV*(V21="sí")+E_LIBRO*(W21="sí")+E_PROP*IF(Y21=1,1,IF(Y21=2,0.5,0))+E_CORREA*IF(OR(DA21="cadena",AND(X21="sí",BH21="sí")),1,IF(X21="sí",0.5,0))+E_FACT*(BI21="sí")</f>
        <v/>
      </c>
      <c r="DC21" s="3">
        <f>MAX(0,MIN(100,IFERROR(VLOOKUP(CL21,ETQ_TBL,2,0),0)-IF(CM21="sí",ETQ_PEN_DUD,IF(AS21="regla",ETQ_PEN_REGLA,0))))</f>
        <v/>
      </c>
      <c r="DD21" s="3">
        <f>IF(K21&lt;&gt;"gasolina","",IFERROR(VLOOKUP(F21,CONS_MOD_TBL,2,0),IFERROR(VLOOKUP(L21,CONS_SEG_TBL,2,0),"")))</f>
        <v/>
      </c>
      <c r="DE21" s="3">
        <f>IF(DD21="",NEUTRO,MAX(0,MIN(100,100*(CONS_REF_MAX-DD21)/(CONS_REF_MAX-CONS_REF_MIN))))</f>
        <v/>
      </c>
      <c r="DF21" s="3">
        <f>IFERROR(VLOOKUP(L21,SEGURO_TBL,3,0),"")</f>
        <v/>
      </c>
      <c r="DG21" s="3">
        <f>IF(DF21="",NEUTRO,MAX(0,MIN(100,100*(SEG_REF_MAX-DF21)/(SEG_REF_MAX-SEG_REF_MIN))))</f>
        <v/>
      </c>
      <c r="DH21" s="3">
        <f>IFERROR(VLOOKUP(E21,MANT_MARCA_TBL,2,0)+0,NEUTRO)</f>
        <v/>
      </c>
      <c r="DI21" s="3">
        <f>IF(DA21="",NEUTRO,IFERROR(VLOOKUP(DA21,DIST_PTS_TBL,2,0)+0,NEUTRO))</f>
        <v/>
      </c>
      <c r="DJ21" s="4">
        <f>(DH21+DI21)/2</f>
        <v/>
      </c>
      <c r="DK21" s="3">
        <f>W_CONS*DE21+W_SEG*DG21+W_MANT*DJ21</f>
        <v/>
      </c>
      <c r="DL21" s="3">
        <f>IF(N(AB21)&gt;0,AB21,IF(AND(R21="profesional",SG_LEGAL_ON=1),GAR_LEGAL,0))</f>
        <v/>
      </c>
      <c r="DM21" s="3">
        <f>MAX(0,MIN(100,SG_GAR*MIN(1,DL21/SG_GAR_FULL)+SG_AMPL*(AC21="sí")+SG_KMC*(AF21="sí")+SG_REV*(N(AE21)&gt;0)+SG_DEV*MIN(1,N(AG21)/SG_DEV_FULL)+SG_HIST*(W21="sí")-IF(AND(R21="particular",DL21=0),SG_PART_PEN,0)))</f>
        <v/>
      </c>
      <c r="DN21" s="3">
        <f>IF(BK21="",NEUTRO,MAX(0,MIN(100,BK21/5*100)))</f>
        <v/>
      </c>
      <c r="DO21" s="3">
        <f>IF(BL21="sí",100,IF(BL21="no",0,NEUTRO))</f>
        <v/>
      </c>
      <c r="DP21" s="3">
        <f>SV_W_NCAP*DN21+SV_W_ESP*DO21</f>
        <v/>
      </c>
      <c r="DQ21" s="3">
        <f>MAX(0,MIN(100,ATR_BASE+ATR_ACAB*(BD21&lt;&gt;"")+IF(BE21="16+",ATR_LL16,IF(BE21="sí",ATR_LL,0))+ATR_FAROS*(BF21="sí")+ATR_TINT*(BG21="sí")-ATR_CHAPA*(BE21="chapa")))</f>
        <v/>
      </c>
      <c r="DR21" s="3">
        <f>EST_W_MOD*(BB21-1)/4*100+EST_W_ATR*DQ21</f>
        <v/>
      </c>
      <c r="DS21" s="3">
        <f>IF(BA21="",NEUTRO,IFERROR(VLOOKUP(BA21,COLOR_TBL,2,0)+0,NEUTRO))</f>
        <v/>
      </c>
      <c r="DT21" s="3">
        <f>MAX(0,MIN(100,100*N(BM21)/RV_N_FULL))</f>
        <v/>
      </c>
      <c r="DU21" s="3">
        <f>IF(OR(BN21="",N(BO21)&lt;RV_DIAS_MIN),NEUTRO,MAX(0,MIN(100,100*(RV_DIAS_CERO-BN21)/(RV_DIAS_CERO-RV_DIAS_FULL))))</f>
        <v/>
      </c>
      <c r="DV21" s="3">
        <f>RV_W_LIQ*DT21+RV_W_DIAS*DU21+RV_W_ETQ*DC21</f>
        <v/>
      </c>
      <c r="DW21" s="3">
        <f>IFERROR(VLOOKUP(L21,CARR_PEN_TBL,2,0),0)</f>
        <v/>
      </c>
      <c r="DX21" s="3">
        <f>W_FIAB*CS21+W_PRECIO*CU21+W_KMEDAD*CY21+W_ESTADO*DB21+W_USO*DK21+W_SEGURIDAD*DM21+W_SEGVIAL*DP21+W_ESTETICA*DR21+W_COLOR*DS21+W_REVENTA*DV21-DW21-EG21</f>
        <v/>
      </c>
      <c r="DY21" s="4">
        <f>IF(N(I21)&gt;0,I21,IFERROR(ROUND(_xlfn.NUMBERVALUE(LEFT(G21,FIND(" ",G21&amp;" ")-1),".")*1000,0),99999))</f>
        <v/>
      </c>
      <c r="DZ21" s="3">
        <f>IF(R21="profesional",0,IF(O21&lt;CUOTA_VALOR_MAX,IF(BW21&gt;ITP_TRAMO_ALTO,SUMIFS(CF_CUOTA,CF_MAS,ITP_TRAMO_ALTO,CF_CCMIN,"&lt;="&amp;DY21,CF_CCMAX,"&gt;="&amp;DY21),IF(BW21&gt;ITP_TRAMO_BAJO,SUMIFS(CF_CUOTA,CF_MAS,ITP_TRAMO_BAJO,CF_CCMIN,"&lt;="&amp;DY21,CF_CCMAX,"&gt;="&amp;DY21),O21*ITP_TIPO)),O21*ITP_TIPO))</f>
        <v/>
      </c>
      <c r="EA21" s="4">
        <f>IF(R21="profesional",N(AK21),0)</f>
        <v/>
      </c>
      <c r="EB21" s="3">
        <f>IF(AND(R21="profesional",ISNUMBER(AK21),AL21="sí"),0,TASA_DGT)</f>
        <v/>
      </c>
      <c r="EC21" s="3">
        <f>INFORME_DGT</f>
        <v/>
      </c>
      <c r="ED21" s="4">
        <f>O21+EA21+DZ21+EB21+EC21</f>
        <v/>
      </c>
      <c r="EE21" s="4">
        <f>ED21+N(DF21)</f>
        <v/>
      </c>
      <c r="EF21" s="3">
        <f>MAX(0,ED21-TOTAL_MAX)</f>
        <v/>
      </c>
      <c r="EG21" s="3">
        <f>EF21/100*PEN_100</f>
        <v/>
      </c>
      <c r="EH21" s="3">
        <f>IF(R21="particular",ED21+IF(AND(DA21&lt;&gt;"cadena",X21&lt;&gt;"sí"),RES_CORREA,0)+IF(AND(BJ21&lt;&gt;"sí",BW21&gt;=RES_NEUM_EDAD),RES_NEUM,0),"")</f>
        <v/>
      </c>
      <c r="EI21" s="3">
        <f>IF(ED21&lt;=TOTAL_MAX,"sí",IF(ED21&lt;=TECHO,"negociar","no"))</f>
        <v/>
      </c>
      <c r="EJ21" s="4">
        <f>ROUND(DX21,9)</f>
        <v/>
      </c>
      <c r="EK21" s="4">
        <f>IF(EI21&lt;&gt;"no",SUMPRODUCT(($EI$2:$EI$209&lt;&gt;"no")*($EJ$2:$EJ$209&gt;EJ21))+SUMPRODUCT(($EI$2:EI21&lt;&gt;"no")*($EJ$2:EJ21=EJ21)),"")</f>
        <v/>
      </c>
    </row>
    <row r="22">
      <c r="A22" s="2" t="inlineStr">
        <is>
          <t>cochesnet:71580818</t>
        </is>
      </c>
      <c r="B22" s="2" t="inlineStr">
        <is>
          <t>cochesnet</t>
        </is>
      </c>
      <c r="C22" s="2" t="inlineStr">
        <is>
          <t>https://www.coches.net/citroen-c4-14-16v-lx-5p-gasolina-2005-en-valencia-71580818-covo.aspx</t>
        </is>
      </c>
      <c r="D22" s="2" t="inlineStr">
        <is>
          <t>CITROEN C4 1.4 16v LX</t>
        </is>
      </c>
      <c r="E22" s="2" t="inlineStr">
        <is>
          <t>Citroën</t>
        </is>
      </c>
      <c r="F22" s="2" t="inlineStr">
        <is>
          <t>Citroën C4</t>
        </is>
      </c>
      <c r="G22" s="2" t="inlineStr">
        <is>
          <t>1.4</t>
        </is>
      </c>
      <c r="H22" s="2" t="inlineStr">
        <is>
          <t>1.4 16v LX</t>
        </is>
      </c>
      <c r="I22" s="2" t="n"/>
      <c r="J22" s="2" t="n"/>
      <c r="K22" s="2" t="inlineStr">
        <is>
          <t>gasolina</t>
        </is>
      </c>
      <c r="L22" s="2" t="inlineStr">
        <is>
          <t>compacto</t>
        </is>
      </c>
      <c r="M22" s="2" t="n">
        <v>2008</v>
      </c>
      <c r="N22" s="2" t="n">
        <v>148000</v>
      </c>
      <c r="O22" s="2" t="n">
        <v>4390</v>
      </c>
      <c r="P22" s="2" t="inlineStr">
        <is>
          <t>manual</t>
        </is>
      </c>
      <c r="Q22" s="2" t="inlineStr">
        <is>
          <t>no</t>
        </is>
      </c>
      <c r="R22" s="2" t="inlineStr">
        <is>
          <t>profesional</t>
        </is>
      </c>
      <c r="S22" s="2" t="inlineStr">
        <is>
          <t>Only Cars Valencia Aldaia</t>
        </is>
      </c>
      <c r="T22" s="2" t="inlineStr">
        <is>
          <t>2026-09-23T13:56:52Z</t>
        </is>
      </c>
      <c r="U22" s="2" t="n">
        <v>11</v>
      </c>
      <c r="V22" s="2" t="n"/>
      <c r="W22" s="2" t="n"/>
      <c r="X22" s="2" t="n"/>
      <c r="Y22" s="2" t="n">
        <v>1</v>
      </c>
      <c r="Z22" s="2" t="inlineStr">
        <is>
          <t>sí</t>
        </is>
      </c>
      <c r="AA22" s="2" t="n"/>
      <c r="AB22" s="2" t="n">
        <v>12</v>
      </c>
      <c r="AC22" s="2" t="n"/>
      <c r="AD22" s="2" t="n"/>
      <c r="AE22" s="2" t="n"/>
      <c r="AF22" s="2" t="n"/>
      <c r="AG22" s="2" t="n"/>
      <c r="AH22" s="2" t="n">
        <v>4390</v>
      </c>
      <c r="AI22" s="2" t="n"/>
      <c r="AJ22" s="2" t="n"/>
      <c r="AK22" s="2" t="n"/>
      <c r="AL22" s="2" t="n"/>
      <c r="AM22" s="2" t="n">
        <v>7.5</v>
      </c>
      <c r="AN22" s="2" t="n"/>
      <c r="AO22" s="2" t="inlineStr">
        <is>
          <t>2008</t>
        </is>
      </c>
      <c r="AP22" s="2" t="n">
        <v>2008</v>
      </c>
      <c r="AQ22" s="2" t="n"/>
      <c r="AR22" s="2" t="inlineStr">
        <is>
          <t>B</t>
        </is>
      </c>
      <c r="AS22" s="2" t="inlineStr">
        <is>
          <t>anuncio</t>
        </is>
      </c>
      <c r="AT22" s="2" t="n">
        <v>2005</v>
      </c>
      <c r="AU22" s="2" t="inlineStr">
        <is>
          <t>sí</t>
        </is>
      </c>
      <c r="AV22" s="2" t="inlineStr">
        <is>
          <t>B/C</t>
        </is>
      </c>
      <c r="AW22" s="2" t="n"/>
      <c r="AX22" s="2" t="inlineStr">
        <is>
          <t>no</t>
        </is>
      </c>
      <c r="AY22" s="2" t="inlineStr">
        <is>
          <t>no</t>
        </is>
      </c>
      <c r="AZ22" s="2" t="inlineStr">
        <is>
          <t>COMMON.COLOR_GRAY</t>
        </is>
      </c>
      <c r="BA22" s="2" t="inlineStr">
        <is>
          <t>gris_medio</t>
        </is>
      </c>
      <c r="BB22" s="3" t="n">
        <v>3</v>
      </c>
      <c r="BC22" s="3" t="inlineStr">
        <is>
          <t>(por segmento)</t>
        </is>
      </c>
      <c r="BD22" s="2" t="n"/>
      <c r="BE22" s="2" t="n"/>
      <c r="BF22" s="2" t="n"/>
      <c r="BG22" s="2" t="n"/>
      <c r="BH22" s="2" t="n"/>
      <c r="BI22" s="2" t="n"/>
      <c r="BJ22" s="2" t="n"/>
      <c r="BK22" s="2" t="n">
        <v>5</v>
      </c>
      <c r="BL22" s="2" t="n"/>
      <c r="BM22" s="2" t="n">
        <v>345</v>
      </c>
      <c r="BN22" s="2" t="n">
        <v>0.05126157402992249</v>
      </c>
      <c r="BO22" s="2" t="n">
        <v>4</v>
      </c>
      <c r="BP22" s="2" t="n">
        <v>3790</v>
      </c>
      <c r="BQ22" s="2" t="n">
        <v>7</v>
      </c>
      <c r="BR22" s="2" t="inlineStr">
        <is>
          <t>modelo+año+km</t>
        </is>
      </c>
      <c r="BS22" s="2" t="n"/>
      <c r="BT22" s="2" t="inlineStr">
        <is>
          <t>etiqueta dudosa (B/C): se puntúa la peor (B); confirmar con la DGT antes de comprar; año a confirmar: la URL/título dice 2005; vendedor profesional: sin ITP (operación con IVA/REBU, confirmar en factura); gastos de gestión del vendedor no indicados: se suma la tasa DGT; preguntar el precio final; revisar: no menciona la ITV; fiabilidad del modelo PENDIENTE de fuente (puntuación neutra)</t>
        </is>
      </c>
      <c r="BU22" s="2" t="inlineStr">
        <is>
          <t>Citroen C4 1.4 LX año 2008 con 148.000Kms 88CV. UNICO PROPIETARIO
Equipamiento:
- elevalunas eléctricos 
- Espejos eléctricos 
- Aire acondicionado 
- Dirección asistida
- Mando a distancia 
- Ordenador de abordo
- Control de velocidad 
- Velocidad crucero
Mantenimiento:
   - cambio de filtro de aire
   - cambio de filtro de aceite
   - cambio de aceite 
   - Dos juegos de llave
   - Alfombrillas</t>
        </is>
      </c>
      <c r="BV22" s="2" t="inlineStr">
        <is>
          <t>https://www.coches.net/citroen-c4-14-16v-lx-5p-gasolina-2005-en-valencia-71580818-covo.aspx (window.__INITIAL_PROPS__.ad) /home/user/Alopecia/buscador-coches/raw/cochesnet/50707d9d0aa0d3c2.json</t>
        </is>
      </c>
      <c r="BW22" s="3">
        <f>MAX(ANIO_ACTUAL-M22,0)</f>
        <v/>
      </c>
      <c r="BX22" s="4">
        <f>N22/MAX(BW22,0.5)</f>
        <v/>
      </c>
      <c r="BY22" s="4">
        <f>F22</f>
        <v/>
      </c>
      <c r="BZ22" s="3">
        <f>BY22&amp;"|"&amp;INT(M22/SEG_ANIO)*SEG_ANIO</f>
        <v/>
      </c>
      <c r="CA22" s="3">
        <f>BZ22&amp;"|"&amp;INT(N22/SEG_KM)*SEG_KM</f>
        <v/>
      </c>
      <c r="CB22" s="4">
        <f>COUNTIF($BY$2:$BY$209,BY22)</f>
        <v/>
      </c>
      <c r="CC22" s="4">
        <f>COUNTIF($BZ$2:$BZ$209,BZ22)</f>
        <v/>
      </c>
      <c r="CD22" s="4">
        <f>COUNTIF($CA$2:$CA$209,CA22)</f>
        <v/>
      </c>
      <c r="CE22" s="3">
        <f t="array" ref="CE22">IF(N(BQ22)&gt;=MIN_N,BP22,IF(CD22&gt;=MIN_N,MEDIAN(IF($CA$2:$CA$209=CA22,$O$2:$O$209)),IF(CC22&gt;=MIN_N,MEDIAN(IF($BZ$2:$BZ$209=BZ22,$O$2:$O$209)),MEDIAN(IF($BY$2:$BY$209=BY22,$O$2:$O$209)))))</f>
        <v/>
      </c>
      <c r="CF22" s="3">
        <f>IF(N(BQ22)&gt;=MIN_N,"mercado "&amp;BR22,IF(CD22&gt;=MIN_N,"modelo+año+km",IF(CC22&gt;=MIN_N,"modelo+año","modelo")))</f>
        <v/>
      </c>
      <c r="CG22" s="4">
        <f>(CE22-O22)/CE22</f>
        <v/>
      </c>
      <c r="CH22" s="3">
        <f>IF(COUNTIFS(FR_FUEL,K22,FR_YEAR,AP22)&gt;0,1,0)</f>
        <v/>
      </c>
      <c r="CI22" s="3">
        <f>IF(COUNTIFS(FR_FUEL,K22,FR_YEAR,AP22-1)&gt;0,1,0)</f>
        <v/>
      </c>
      <c r="CJ22" s="4">
        <f>IF(N(AQ22)&gt;0,AP22*100+AQ22,IF(AND(CH22=1,CI22=1),(AP22-1)*100+1,AP22*100+1))</f>
        <v/>
      </c>
      <c r="CK22" s="3">
        <f>IF(OR(K22="hibrido",K22="glp",K22="gnc",K22="phev"),"ECO",IF(K22="electrico","CERO",IF(K22="gasolina",IF(CJ22&gt;=GAS_C_YM,"C",IF(CJ22&gt;=GAS_B_YM,"B","A")),IF(K22="diesel",IF(CJ22&gt;=DIE_C_YM,"C",IF(CJ22&gt;=DIE_B_YM,"B","A")),""))))</f>
        <v/>
      </c>
      <c r="CL22" s="2" t="inlineStr">
        <is>
          <t>B</t>
        </is>
      </c>
      <c r="CM22" s="4">
        <f>IF(AU22="sí","sí",IF(AS22="regla",IF(AND(N(AQ22)=0,CH22=1),"sí","no"),"no"))</f>
        <v/>
      </c>
      <c r="CN22" s="3">
        <f>IFERROR(VLOOKUP(F22,MOD_TBL,16,0),IFERROR(VLOOKUP(E22,OCU_TBL,2,0),NEUTRO))</f>
        <v/>
      </c>
      <c r="CO22" s="3">
        <f>SUMIFS(MOT_AJUSTE,MOT_MOTOR,G22,MOT_MARCA,E22,MOT_DESDE,"&lt;="&amp;M22,MOT_HASTA,"&gt;="&amp;M22)+SUMIFS(MOT_AJUSTE,MOT_MOTOR,G22,MOT_MARCA,"(todas)",MOT_DESDE,"&lt;="&amp;M22,MOT_HASTA,"&gt;="&amp;M22)+SUMIFS(MOT_AJUSTE,MOT_MOTOR,"(cualquiera)",MOT_MARCA,E22,MOT_DESDE,"&lt;="&amp;M22,MOT_HASTA,"&gt;="&amp;M22)</f>
        <v/>
      </c>
      <c r="CP22" s="3">
        <f>SUMIFS(COMB_AJUSTE,COMB_COMB,K22)</f>
        <v/>
      </c>
      <c r="CQ22" s="3">
        <f>COUNTIFS(MOT_MOTOR,G22,MOT_MARCA,E22,MOT_DESDE,"&lt;="&amp;M22,MOT_HASTA,"&gt;="&amp;M22)+COUNTIFS(MOT_MOTOR,G22,MOT_MARCA,"(todas)",MOT_DESDE,"&lt;="&amp;M22,MOT_HASTA,"&gt;="&amp;M22)+COUNTIFS(MOT_MOTOR,"(cualquiera)",MOT_MARCA,E22,MOT_DESDE,"&lt;="&amp;M22,MOT_HASTA,"&gt;="&amp;M22)</f>
        <v/>
      </c>
      <c r="CR22" s="3">
        <f>IF(AND(K22="diesel",CQ22=0),MIN(CN22,NEUTRO),CN22)</f>
        <v/>
      </c>
      <c r="CS22" s="3">
        <f>MAX(0,MIN(100,CR22+CO22+CP22-IF(AX22="sí",ROB_PEN,0)))</f>
        <v/>
      </c>
      <c r="CT22" s="3">
        <f>100-MAX(0,N22-KM_TOPE_DESDE)/1000*KM_TOPE_PTS</f>
        <v/>
      </c>
      <c r="CU22" s="3">
        <f>MAX(0,MIN(100,50+CG22*PRECIO_PEND,CT22))</f>
        <v/>
      </c>
      <c r="CV22" s="3">
        <f>MAX(0,100*(1-N22/KM_MAX))</f>
        <v/>
      </c>
      <c r="CW22" s="3">
        <f>IF(BX22&lt;KMA_SOSP,IF(AA22="sí",100,KMA_PEN),IF(BX22&lt;=KMA_IDEAL_MAX,100,MAX(0,100*(KMA_CERO-BX22)/(KMA_CERO-KMA_IDEAL_MAX))))</f>
        <v/>
      </c>
      <c r="CX22" s="3">
        <f>MAX(0,MIN(100,100*(M22-ANIO_MIN)/(ANIO_ACTUAL-ANIO_MIN)))</f>
        <v/>
      </c>
      <c r="CY22" s="3">
        <f>W_KMT*CV22+W_KMA*CW22+W_EDAD*CX22</f>
        <v/>
      </c>
      <c r="CZ22" s="4">
        <f>E22&amp;"|"&amp;G22</f>
        <v/>
      </c>
      <c r="DA22" s="3">
        <f>IFERROR(VLOOKUP(CZ22,DIST_TBL,2,0),"")</f>
        <v/>
      </c>
      <c r="DB22" s="3">
        <f>E_ITV*(V22="sí")+E_LIBRO*(W22="sí")+E_PROP*IF(Y22=1,1,IF(Y22=2,0.5,0))+E_CORREA*IF(OR(DA22="cadena",AND(X22="sí",BH22="sí")),1,IF(X22="sí",0.5,0))+E_FACT*(BI22="sí")</f>
        <v/>
      </c>
      <c r="DC22" s="3">
        <f>MAX(0,MIN(100,IFERROR(VLOOKUP(CL22,ETQ_TBL,2,0),0)-IF(CM22="sí",ETQ_PEN_DUD,IF(AS22="regla",ETQ_PEN_REGLA,0))))</f>
        <v/>
      </c>
      <c r="DD22" s="3">
        <f>IF(K22&lt;&gt;"gasolina","",IFERROR(VLOOKUP(F22,CONS_MOD_TBL,2,0),IFERROR(VLOOKUP(L22,CONS_SEG_TBL,2,0),"")))</f>
        <v/>
      </c>
      <c r="DE22" s="3">
        <f>IF(DD22="",NEUTRO,MAX(0,MIN(100,100*(CONS_REF_MAX-DD22)/(CONS_REF_MAX-CONS_REF_MIN))))</f>
        <v/>
      </c>
      <c r="DF22" s="3">
        <f>IFERROR(VLOOKUP(L22,SEGURO_TBL,3,0),"")</f>
        <v/>
      </c>
      <c r="DG22" s="3">
        <f>IF(DF22="",NEUTRO,MAX(0,MIN(100,100*(SEG_REF_MAX-DF22)/(SEG_REF_MAX-SEG_REF_MIN))))</f>
        <v/>
      </c>
      <c r="DH22" s="3">
        <f>IFERROR(VLOOKUP(E22,MANT_MARCA_TBL,2,0)+0,NEUTRO)</f>
        <v/>
      </c>
      <c r="DI22" s="3">
        <f>IF(DA22="",NEUTRO,IFERROR(VLOOKUP(DA22,DIST_PTS_TBL,2,0)+0,NEUTRO))</f>
        <v/>
      </c>
      <c r="DJ22" s="4">
        <f>(DH22+DI22)/2</f>
        <v/>
      </c>
      <c r="DK22" s="3">
        <f>W_CONS*DE22+W_SEG*DG22+W_MANT*DJ22</f>
        <v/>
      </c>
      <c r="DL22" s="3">
        <f>IF(N(AB22)&gt;0,AB22,IF(AND(R22="profesional",SG_LEGAL_ON=1),GAR_LEGAL,0))</f>
        <v/>
      </c>
      <c r="DM22" s="3">
        <f>MAX(0,MIN(100,SG_GAR*MIN(1,DL22/SG_GAR_FULL)+SG_AMPL*(AC22="sí")+SG_KMC*(AF22="sí")+SG_REV*(N(AE22)&gt;0)+SG_DEV*MIN(1,N(AG22)/SG_DEV_FULL)+SG_HIST*(W22="sí")-IF(AND(R22="particular",DL22=0),SG_PART_PEN,0)))</f>
        <v/>
      </c>
      <c r="DN22" s="3">
        <f>IF(BK22="",NEUTRO,MAX(0,MIN(100,BK22/5*100)))</f>
        <v/>
      </c>
      <c r="DO22" s="3">
        <f>IF(BL22="sí",100,IF(BL22="no",0,NEUTRO))</f>
        <v/>
      </c>
      <c r="DP22" s="3">
        <f>SV_W_NCAP*DN22+SV_W_ESP*DO22</f>
        <v/>
      </c>
      <c r="DQ22" s="3">
        <f>MAX(0,MIN(100,ATR_BASE+ATR_ACAB*(BD22&lt;&gt;"")+IF(BE22="16+",ATR_LL16,IF(BE22="sí",ATR_LL,0))+ATR_FAROS*(BF22="sí")+ATR_TINT*(BG22="sí")-ATR_CHAPA*(BE22="chapa")))</f>
        <v/>
      </c>
      <c r="DR22" s="3">
        <f>EST_W_MOD*(BB22-1)/4*100+EST_W_ATR*DQ22</f>
        <v/>
      </c>
      <c r="DS22" s="3">
        <f>IF(BA22="",NEUTRO,IFERROR(VLOOKUP(BA22,COLOR_TBL,2,0)+0,NEUTRO))</f>
        <v/>
      </c>
      <c r="DT22" s="3">
        <f>MAX(0,MIN(100,100*N(BM22)/RV_N_FULL))</f>
        <v/>
      </c>
      <c r="DU22" s="3">
        <f>IF(OR(BN22="",N(BO22)&lt;RV_DIAS_MIN),NEUTRO,MAX(0,MIN(100,100*(RV_DIAS_CERO-BN22)/(RV_DIAS_CERO-RV_DIAS_FULL))))</f>
        <v/>
      </c>
      <c r="DV22" s="3">
        <f>RV_W_LIQ*DT22+RV_W_DIAS*DU22+RV_W_ETQ*DC22</f>
        <v/>
      </c>
      <c r="DW22" s="3">
        <f>IFERROR(VLOOKUP(L22,CARR_PEN_TBL,2,0),0)</f>
        <v/>
      </c>
      <c r="DX22" s="3">
        <f>W_FIAB*CS22+W_PRECIO*CU22+W_KMEDAD*CY22+W_ESTADO*DB22+W_USO*DK22+W_SEGURIDAD*DM22+W_SEGVIAL*DP22+W_ESTETICA*DR22+W_COLOR*DS22+W_REVENTA*DV22-DW22-EG22</f>
        <v/>
      </c>
      <c r="DY22" s="4">
        <f>IF(N(I22)&gt;0,I22,IFERROR(ROUND(_xlfn.NUMBERVALUE(LEFT(G22,FIND(" ",G22&amp;" ")-1),".")*1000,0),99999))</f>
        <v/>
      </c>
      <c r="DZ22" s="3">
        <f>IF(R22="profesional",0,IF(O22&lt;CUOTA_VALOR_MAX,IF(BW22&gt;ITP_TRAMO_ALTO,SUMIFS(CF_CUOTA,CF_MAS,ITP_TRAMO_ALTO,CF_CCMIN,"&lt;="&amp;DY22,CF_CCMAX,"&gt;="&amp;DY22),IF(BW22&gt;ITP_TRAMO_BAJO,SUMIFS(CF_CUOTA,CF_MAS,ITP_TRAMO_BAJO,CF_CCMIN,"&lt;="&amp;DY22,CF_CCMAX,"&gt;="&amp;DY22),O22*ITP_TIPO)),O22*ITP_TIPO))</f>
        <v/>
      </c>
      <c r="EA22" s="4">
        <f>IF(R22="profesional",N(AK22),0)</f>
        <v/>
      </c>
      <c r="EB22" s="3">
        <f>IF(AND(R22="profesional",ISNUMBER(AK22),AL22="sí"),0,TASA_DGT)</f>
        <v/>
      </c>
      <c r="EC22" s="3">
        <f>INFORME_DGT</f>
        <v/>
      </c>
      <c r="ED22" s="4">
        <f>O22+EA22+DZ22+EB22+EC22</f>
        <v/>
      </c>
      <c r="EE22" s="4">
        <f>ED22+N(DF22)</f>
        <v/>
      </c>
      <c r="EF22" s="3">
        <f>MAX(0,ED22-TOTAL_MAX)</f>
        <v/>
      </c>
      <c r="EG22" s="3">
        <f>EF22/100*PEN_100</f>
        <v/>
      </c>
      <c r="EH22" s="3">
        <f>IF(R22="particular",ED22+IF(AND(DA22&lt;&gt;"cadena",X22&lt;&gt;"sí"),RES_CORREA,0)+IF(AND(BJ22&lt;&gt;"sí",BW22&gt;=RES_NEUM_EDAD),RES_NEUM,0),"")</f>
        <v/>
      </c>
      <c r="EI22" s="3">
        <f>IF(ED22&lt;=TOTAL_MAX,"sí",IF(ED22&lt;=TECHO,"negociar","no"))</f>
        <v/>
      </c>
      <c r="EJ22" s="4">
        <f>ROUND(DX22,9)</f>
        <v/>
      </c>
      <c r="EK22" s="4">
        <f>IF(EI22&lt;&gt;"no",SUMPRODUCT(($EI$2:$EI$209&lt;&gt;"no")*($EJ$2:$EJ$209&gt;EJ22))+SUMPRODUCT(($EI$2:EI22&lt;&gt;"no")*($EJ$2:EJ22=EJ22)),"")</f>
        <v/>
      </c>
    </row>
    <row r="23">
      <c r="A23" s="2" t="inlineStr">
        <is>
          <t>cochesnet:71569576</t>
        </is>
      </c>
      <c r="B23" s="2" t="inlineStr">
        <is>
          <t>cochesnet</t>
        </is>
      </c>
      <c r="C23" s="2" t="inlineStr">
        <is>
          <t>https://www.coches.net/ford-ka-12-trend-3p-gasolina-2010-en-valencia-71569576-covo.aspx</t>
        </is>
      </c>
      <c r="D23" s="2" t="inlineStr">
        <is>
          <t>FORD Ka 1.2 Trend</t>
        </is>
      </c>
      <c r="E23" s="2" t="inlineStr">
        <is>
          <t>Ford</t>
        </is>
      </c>
      <c r="F23" s="2" t="inlineStr">
        <is>
          <t>Ford Ka</t>
        </is>
      </c>
      <c r="G23" s="2" t="inlineStr">
        <is>
          <t>1.2</t>
        </is>
      </c>
      <c r="H23" s="2" t="inlineStr">
        <is>
          <t>1.2 Trend</t>
        </is>
      </c>
      <c r="I23" s="2" t="n"/>
      <c r="J23" s="2" t="n"/>
      <c r="K23" s="2" t="inlineStr">
        <is>
          <t>gasolina</t>
        </is>
      </c>
      <c r="L23" s="2" t="inlineStr">
        <is>
          <t>utilitario</t>
        </is>
      </c>
      <c r="M23" s="2" t="n">
        <v>2010</v>
      </c>
      <c r="N23" s="2" t="n">
        <v>157000</v>
      </c>
      <c r="O23" s="2" t="n">
        <v>3500</v>
      </c>
      <c r="P23" s="2" t="inlineStr">
        <is>
          <t>manual</t>
        </is>
      </c>
      <c r="Q23" s="2" t="inlineStr">
        <is>
          <t>no</t>
        </is>
      </c>
      <c r="R23" s="2" t="inlineStr">
        <is>
          <t>profesional</t>
        </is>
      </c>
      <c r="S23" s="2" t="inlineStr">
        <is>
          <t>Beniparrell</t>
        </is>
      </c>
      <c r="T23" s="2" t="inlineStr">
        <is>
          <t>2026-09-22T12:09:29Z</t>
        </is>
      </c>
      <c r="U23" s="2" t="n">
        <v>13</v>
      </c>
      <c r="V23" s="2" t="n"/>
      <c r="W23" s="2" t="n"/>
      <c r="X23" s="2" t="n"/>
      <c r="Y23" s="2" t="n"/>
      <c r="Z23" s="2" t="inlineStr">
        <is>
          <t>sí</t>
        </is>
      </c>
      <c r="AA23" s="2" t="n"/>
      <c r="AB23" s="2" t="n">
        <v>12</v>
      </c>
      <c r="AC23" s="2" t="n"/>
      <c r="AD23" s="2" t="n"/>
      <c r="AE23" s="2" t="n"/>
      <c r="AF23" s="2" t="n"/>
      <c r="AG23" s="2" t="n"/>
      <c r="AH23" s="2" t="n">
        <v>3500</v>
      </c>
      <c r="AI23" s="2" t="n"/>
      <c r="AJ23" s="2" t="n"/>
      <c r="AK23" s="2" t="n"/>
      <c r="AL23" s="2" t="n"/>
      <c r="AM23" s="2" t="n">
        <v>10.2</v>
      </c>
      <c r="AN23" s="2" t="n"/>
      <c r="AO23" s="2" t="inlineStr">
        <is>
          <t>2010</t>
        </is>
      </c>
      <c r="AP23" s="2" t="n">
        <v>2010</v>
      </c>
      <c r="AQ23" s="2" t="n"/>
      <c r="AR23" s="2" t="inlineStr">
        <is>
          <t>C</t>
        </is>
      </c>
      <c r="AS23" s="2" t="inlineStr">
        <is>
          <t>anuncio</t>
        </is>
      </c>
      <c r="AT23" s="2" t="n"/>
      <c r="AU23" s="2" t="inlineStr">
        <is>
          <t>no</t>
        </is>
      </c>
      <c r="AV23" s="2" t="inlineStr">
        <is>
          <t>C</t>
        </is>
      </c>
      <c r="AW23" s="2" t="n"/>
      <c r="AX23" s="2" t="inlineStr">
        <is>
          <t>no</t>
        </is>
      </c>
      <c r="AY23" s="2" t="inlineStr">
        <is>
          <t>no</t>
        </is>
      </c>
      <c r="AZ23" s="2" t="inlineStr">
        <is>
          <t>COMMON.COLOR_RED</t>
        </is>
      </c>
      <c r="BA23" s="2" t="inlineStr">
        <is>
          <t>rojo</t>
        </is>
      </c>
      <c r="BB23" s="3" t="n">
        <v>2</v>
      </c>
      <c r="BC23" s="3" t="inlineStr">
        <is>
          <t>(por segmento)</t>
        </is>
      </c>
      <c r="BD23" s="2" t="n"/>
      <c r="BE23" s="2" t="n"/>
      <c r="BF23" s="2" t="n"/>
      <c r="BG23" s="2" t="inlineStr">
        <is>
          <t>sí</t>
        </is>
      </c>
      <c r="BH23" s="2" t="n"/>
      <c r="BI23" s="2" t="n"/>
      <c r="BJ23" s="2" t="n"/>
      <c r="BK23" s="2" t="n"/>
      <c r="BL23" s="2" t="n"/>
      <c r="BM23" s="2" t="n">
        <v>50</v>
      </c>
      <c r="BN23" s="2" t="n"/>
      <c r="BO23" s="2" t="n">
        <v>0</v>
      </c>
      <c r="BP23" s="2" t="n">
        <v>3000</v>
      </c>
      <c r="BQ23" s="2" t="n">
        <v>9</v>
      </c>
      <c r="BR23" s="2" t="inlineStr">
        <is>
          <t>modelo+año</t>
        </is>
      </c>
      <c r="BS23" s="2" t="n"/>
      <c r="BT23" s="2" t="inlineStr">
        <is>
          <t>vendedor profesional: sin ITP (operación con IVA/REBU, confirmar en factura); gastos de gestión del vendedor no indicados: se suma la tasa DGT; preguntar el precio final; Euro NCAP de la generación PENDIENTE (seguridad neutra); revisar: no menciona la ITV; fiabilidad del modelo PENDIENTE de fuente (puntuación neutra)</t>
        </is>
      </c>
      <c r="BU23" s="2" t="inlineStr">
        <is>
          <t>Este Ford Ka Trend+ destaca por su equipamiento práctico orientado al día a día: control de crucero, ordenador de viaje con información de consumo e autonomía, y elevalunas eléctricos delanteros con función de un solo toque. Dispone de dirección asistida, cierre centralizado con mando a distancia de doble cierre, retrovisores exteriores eléctricos y desempañables, además de cristales tintados que mejoran la privacidad. El interior combina asientos ajustables en altura con compartimentos de almacenamiento bajo el asiento del acompañante. Su etiqueta medioambiental C facilita el acceso a zonas de tráfico restringido. Transmisión manual con cambio de marchas directo.</t>
        </is>
      </c>
      <c r="BV23" s="2" t="inlineStr">
        <is>
          <t>https://www.coches.net/ford-ka-12-trend-3p-gasolina-2010-en-valencia-71569576-covo.aspx (window.__INITIAL_PROPS__.ad) /home/user/Alopecia/buscador-coches/raw/cochesnet/f615001a1b31829d.json</t>
        </is>
      </c>
      <c r="BW23" s="3">
        <f>MAX(ANIO_ACTUAL-M23,0)</f>
        <v/>
      </c>
      <c r="BX23" s="4">
        <f>N23/MAX(BW23,0.5)</f>
        <v/>
      </c>
      <c r="BY23" s="4">
        <f>F23</f>
        <v/>
      </c>
      <c r="BZ23" s="3">
        <f>BY23&amp;"|"&amp;INT(M23/SEG_ANIO)*SEG_ANIO</f>
        <v/>
      </c>
      <c r="CA23" s="3">
        <f>BZ23&amp;"|"&amp;INT(N23/SEG_KM)*SEG_KM</f>
        <v/>
      </c>
      <c r="CB23" s="4">
        <f>COUNTIF($BY$2:$BY$209,BY23)</f>
        <v/>
      </c>
      <c r="CC23" s="4">
        <f>COUNTIF($BZ$2:$BZ$209,BZ23)</f>
        <v/>
      </c>
      <c r="CD23" s="4">
        <f>COUNTIF($CA$2:$CA$209,CA23)</f>
        <v/>
      </c>
      <c r="CE23" s="3">
        <f t="array" ref="CE23">IF(N(BQ23)&gt;=MIN_N,BP23,IF(CD23&gt;=MIN_N,MEDIAN(IF($CA$2:$CA$209=CA23,$O$2:$O$209)),IF(CC23&gt;=MIN_N,MEDIAN(IF($BZ$2:$BZ$209=BZ23,$O$2:$O$209)),MEDIAN(IF($BY$2:$BY$209=BY23,$O$2:$O$209)))))</f>
        <v/>
      </c>
      <c r="CF23" s="3">
        <f>IF(N(BQ23)&gt;=MIN_N,"mercado "&amp;BR23,IF(CD23&gt;=MIN_N,"modelo+año+km",IF(CC23&gt;=MIN_N,"modelo+año","modelo")))</f>
        <v/>
      </c>
      <c r="CG23" s="4">
        <f>(CE23-O23)/CE23</f>
        <v/>
      </c>
      <c r="CH23" s="3">
        <f>IF(COUNTIFS(FR_FUEL,K23,FR_YEAR,AP23)&gt;0,1,0)</f>
        <v/>
      </c>
      <c r="CI23" s="3">
        <f>IF(COUNTIFS(FR_FUEL,K23,FR_YEAR,AP23-1)&gt;0,1,0)</f>
        <v/>
      </c>
      <c r="CJ23" s="4">
        <f>IF(N(AQ23)&gt;0,AP23*100+AQ23,IF(AND(CH23=1,CI23=1),(AP23-1)*100+1,AP23*100+1))</f>
        <v/>
      </c>
      <c r="CK23" s="3">
        <f>IF(OR(K23="hibrido",K23="glp",K23="gnc",K23="phev"),"ECO",IF(K23="electrico","CERO",IF(K23="gasolina",IF(CJ23&gt;=GAS_C_YM,"C",IF(CJ23&gt;=GAS_B_YM,"B","A")),IF(K23="diesel",IF(CJ23&gt;=DIE_C_YM,"C",IF(CJ23&gt;=DIE_B_YM,"B","A")),""))))</f>
        <v/>
      </c>
      <c r="CL23" s="2" t="inlineStr">
        <is>
          <t>C</t>
        </is>
      </c>
      <c r="CM23" s="4">
        <f>IF(AU23="sí","sí",IF(AS23="regla",IF(AND(N(AQ23)=0,CH23=1),"sí","no"),"no"))</f>
        <v/>
      </c>
      <c r="CN23" s="3">
        <f>IFERROR(VLOOKUP(F23,MOD_TBL,16,0),IFERROR(VLOOKUP(E23,OCU_TBL,2,0),NEUTRO))</f>
        <v/>
      </c>
      <c r="CO23" s="3">
        <f>SUMIFS(MOT_AJUSTE,MOT_MOTOR,G23,MOT_MARCA,E23,MOT_DESDE,"&lt;="&amp;M23,MOT_HASTA,"&gt;="&amp;M23)+SUMIFS(MOT_AJUSTE,MOT_MOTOR,G23,MOT_MARCA,"(todas)",MOT_DESDE,"&lt;="&amp;M23,MOT_HASTA,"&gt;="&amp;M23)+SUMIFS(MOT_AJUSTE,MOT_MOTOR,"(cualquiera)",MOT_MARCA,E23,MOT_DESDE,"&lt;="&amp;M23,MOT_HASTA,"&gt;="&amp;M23)</f>
        <v/>
      </c>
      <c r="CP23" s="3">
        <f>SUMIFS(COMB_AJUSTE,COMB_COMB,K23)</f>
        <v/>
      </c>
      <c r="CQ23" s="3">
        <f>COUNTIFS(MOT_MOTOR,G23,MOT_MARCA,E23,MOT_DESDE,"&lt;="&amp;M23,MOT_HASTA,"&gt;="&amp;M23)+COUNTIFS(MOT_MOTOR,G23,MOT_MARCA,"(todas)",MOT_DESDE,"&lt;="&amp;M23,MOT_HASTA,"&gt;="&amp;M23)+COUNTIFS(MOT_MOTOR,"(cualquiera)",MOT_MARCA,E23,MOT_DESDE,"&lt;="&amp;M23,MOT_HASTA,"&gt;="&amp;M23)</f>
        <v/>
      </c>
      <c r="CR23" s="3">
        <f>IF(AND(K23="diesel",CQ23=0),MIN(CN23,NEUTRO),CN23)</f>
        <v/>
      </c>
      <c r="CS23" s="3">
        <f>MAX(0,MIN(100,CR23+CO23+CP23-IF(AX23="sí",ROB_PEN,0)))</f>
        <v/>
      </c>
      <c r="CT23" s="3">
        <f>100-MAX(0,N23-KM_TOPE_DESDE)/1000*KM_TOPE_PTS</f>
        <v/>
      </c>
      <c r="CU23" s="3">
        <f>MAX(0,MIN(100,50+CG23*PRECIO_PEND,CT23))</f>
        <v/>
      </c>
      <c r="CV23" s="3">
        <f>MAX(0,100*(1-N23/KM_MAX))</f>
        <v/>
      </c>
      <c r="CW23" s="3">
        <f>IF(BX23&lt;KMA_SOSP,IF(AA23="sí",100,KMA_PEN),IF(BX23&lt;=KMA_IDEAL_MAX,100,MAX(0,100*(KMA_CERO-BX23)/(KMA_CERO-KMA_IDEAL_MAX))))</f>
        <v/>
      </c>
      <c r="CX23" s="3">
        <f>MAX(0,MIN(100,100*(M23-ANIO_MIN)/(ANIO_ACTUAL-ANIO_MIN)))</f>
        <v/>
      </c>
      <c r="CY23" s="3">
        <f>W_KMT*CV23+W_KMA*CW23+W_EDAD*CX23</f>
        <v/>
      </c>
      <c r="CZ23" s="4">
        <f>E23&amp;"|"&amp;G23</f>
        <v/>
      </c>
      <c r="DA23" s="3">
        <f>IFERROR(VLOOKUP(CZ23,DIST_TBL,2,0),"")</f>
        <v/>
      </c>
      <c r="DB23" s="3">
        <f>E_ITV*(V23="sí")+E_LIBRO*(W23="sí")+E_PROP*IF(Y23=1,1,IF(Y23=2,0.5,0))+E_CORREA*IF(OR(DA23="cadena",AND(X23="sí",BH23="sí")),1,IF(X23="sí",0.5,0))+E_FACT*(BI23="sí")</f>
        <v/>
      </c>
      <c r="DC23" s="3">
        <f>MAX(0,MIN(100,IFERROR(VLOOKUP(CL23,ETQ_TBL,2,0),0)-IF(CM23="sí",ETQ_PEN_DUD,IF(AS23="regla",ETQ_PEN_REGLA,0))))</f>
        <v/>
      </c>
      <c r="DD23" s="3">
        <f>IF(K23&lt;&gt;"gasolina","",IFERROR(VLOOKUP(F23,CONS_MOD_TBL,2,0),IFERROR(VLOOKUP(L23,CONS_SEG_TBL,2,0),"")))</f>
        <v/>
      </c>
      <c r="DE23" s="3">
        <f>IF(DD23="",NEUTRO,MAX(0,MIN(100,100*(CONS_REF_MAX-DD23)/(CONS_REF_MAX-CONS_REF_MIN))))</f>
        <v/>
      </c>
      <c r="DF23" s="3">
        <f>IFERROR(VLOOKUP(L23,SEGURO_TBL,3,0),"")</f>
        <v/>
      </c>
      <c r="DG23" s="3">
        <f>IF(DF23="",NEUTRO,MAX(0,MIN(100,100*(SEG_REF_MAX-DF23)/(SEG_REF_MAX-SEG_REF_MIN))))</f>
        <v/>
      </c>
      <c r="DH23" s="3">
        <f>IFERROR(VLOOKUP(E23,MANT_MARCA_TBL,2,0)+0,NEUTRO)</f>
        <v/>
      </c>
      <c r="DI23" s="3">
        <f>IF(DA23="",NEUTRO,IFERROR(VLOOKUP(DA23,DIST_PTS_TBL,2,0)+0,NEUTRO))</f>
        <v/>
      </c>
      <c r="DJ23" s="4">
        <f>(DH23+DI23)/2</f>
        <v/>
      </c>
      <c r="DK23" s="3">
        <f>W_CONS*DE23+W_SEG*DG23+W_MANT*DJ23</f>
        <v/>
      </c>
      <c r="DL23" s="3">
        <f>IF(N(AB23)&gt;0,AB23,IF(AND(R23="profesional",SG_LEGAL_ON=1),GAR_LEGAL,0))</f>
        <v/>
      </c>
      <c r="DM23" s="3">
        <f>MAX(0,MIN(100,SG_GAR*MIN(1,DL23/SG_GAR_FULL)+SG_AMPL*(AC23="sí")+SG_KMC*(AF23="sí")+SG_REV*(N(AE23)&gt;0)+SG_DEV*MIN(1,N(AG23)/SG_DEV_FULL)+SG_HIST*(W23="sí")-IF(AND(R23="particular",DL23=0),SG_PART_PEN,0)))</f>
        <v/>
      </c>
      <c r="DN23" s="3">
        <f>IF(BK23="",NEUTRO,MAX(0,MIN(100,BK23/5*100)))</f>
        <v/>
      </c>
      <c r="DO23" s="3">
        <f>IF(BL23="sí",100,IF(BL23="no",0,NEUTRO))</f>
        <v/>
      </c>
      <c r="DP23" s="3">
        <f>SV_W_NCAP*DN23+SV_W_ESP*DO23</f>
        <v/>
      </c>
      <c r="DQ23" s="3">
        <f>MAX(0,MIN(100,ATR_BASE+ATR_ACAB*(BD23&lt;&gt;"")+IF(BE23="16+",ATR_LL16,IF(BE23="sí",ATR_LL,0))+ATR_FAROS*(BF23="sí")+ATR_TINT*(BG23="sí")-ATR_CHAPA*(BE23="chapa")))</f>
        <v/>
      </c>
      <c r="DR23" s="3">
        <f>EST_W_MOD*(BB23-1)/4*100+EST_W_ATR*DQ23</f>
        <v/>
      </c>
      <c r="DS23" s="3">
        <f>IF(BA23="",NEUTRO,IFERROR(VLOOKUP(BA23,COLOR_TBL,2,0)+0,NEUTRO))</f>
        <v/>
      </c>
      <c r="DT23" s="3">
        <f>MAX(0,MIN(100,100*N(BM23)/RV_N_FULL))</f>
        <v/>
      </c>
      <c r="DU23" s="3">
        <f>IF(OR(BN23="",N(BO23)&lt;RV_DIAS_MIN),NEUTRO,MAX(0,MIN(100,100*(RV_DIAS_CERO-BN23)/(RV_DIAS_CERO-RV_DIAS_FULL))))</f>
        <v/>
      </c>
      <c r="DV23" s="3">
        <f>RV_W_LIQ*DT23+RV_W_DIAS*DU23+RV_W_ETQ*DC23</f>
        <v/>
      </c>
      <c r="DW23" s="3">
        <f>IFERROR(VLOOKUP(L23,CARR_PEN_TBL,2,0),0)</f>
        <v/>
      </c>
      <c r="DX23" s="3">
        <f>W_FIAB*CS23+W_PRECIO*CU23+W_KMEDAD*CY23+W_ESTADO*DB23+W_USO*DK23+W_SEGURIDAD*DM23+W_SEGVIAL*DP23+W_ESTETICA*DR23+W_COLOR*DS23+W_REVENTA*DV23-DW23-EG23</f>
        <v/>
      </c>
      <c r="DY23" s="4">
        <f>IF(N(I23)&gt;0,I23,IFERROR(ROUND(_xlfn.NUMBERVALUE(LEFT(G23,FIND(" ",G23&amp;" ")-1),".")*1000,0),99999))</f>
        <v/>
      </c>
      <c r="DZ23" s="3">
        <f>IF(R23="profesional",0,IF(O23&lt;CUOTA_VALOR_MAX,IF(BW23&gt;ITP_TRAMO_ALTO,SUMIFS(CF_CUOTA,CF_MAS,ITP_TRAMO_ALTO,CF_CCMIN,"&lt;="&amp;DY23,CF_CCMAX,"&gt;="&amp;DY23),IF(BW23&gt;ITP_TRAMO_BAJO,SUMIFS(CF_CUOTA,CF_MAS,ITP_TRAMO_BAJO,CF_CCMIN,"&lt;="&amp;DY23,CF_CCMAX,"&gt;="&amp;DY23),O23*ITP_TIPO)),O23*ITP_TIPO))</f>
        <v/>
      </c>
      <c r="EA23" s="4">
        <f>IF(R23="profesional",N(AK23),0)</f>
        <v/>
      </c>
      <c r="EB23" s="3">
        <f>IF(AND(R23="profesional",ISNUMBER(AK23),AL23="sí"),0,TASA_DGT)</f>
        <v/>
      </c>
      <c r="EC23" s="3">
        <f>INFORME_DGT</f>
        <v/>
      </c>
      <c r="ED23" s="4">
        <f>O23+EA23+DZ23+EB23+EC23</f>
        <v/>
      </c>
      <c r="EE23" s="4">
        <f>ED23+N(DF23)</f>
        <v/>
      </c>
      <c r="EF23" s="3">
        <f>MAX(0,ED23-TOTAL_MAX)</f>
        <v/>
      </c>
      <c r="EG23" s="3">
        <f>EF23/100*PEN_100</f>
        <v/>
      </c>
      <c r="EH23" s="3">
        <f>IF(R23="particular",ED23+IF(AND(DA23&lt;&gt;"cadena",X23&lt;&gt;"sí"),RES_CORREA,0)+IF(AND(BJ23&lt;&gt;"sí",BW23&gt;=RES_NEUM_EDAD),RES_NEUM,0),"")</f>
        <v/>
      </c>
      <c r="EI23" s="3">
        <f>IF(ED23&lt;=TOTAL_MAX,"sí",IF(ED23&lt;=TECHO,"negociar","no"))</f>
        <v/>
      </c>
      <c r="EJ23" s="4">
        <f>ROUND(DX23,9)</f>
        <v/>
      </c>
      <c r="EK23" s="4">
        <f>IF(EI23&lt;&gt;"no",SUMPRODUCT(($EI$2:$EI$209&lt;&gt;"no")*($EJ$2:$EJ$209&gt;EJ23))+SUMPRODUCT(($EI$2:EI23&lt;&gt;"no")*($EJ$2:EJ23=EJ23)),"")</f>
        <v/>
      </c>
    </row>
    <row r="24">
      <c r="A24" s="2" t="inlineStr">
        <is>
          <t>cochesnet:70592187</t>
        </is>
      </c>
      <c r="B24" s="2" t="inlineStr">
        <is>
          <t>cochesnet</t>
        </is>
      </c>
      <c r="C24" s="2" t="inlineStr">
        <is>
          <t>https://www.coches.net/ford-fiesta-14-tdci-trend-5p-diesel-2011-en-valencia-70592187-covo.aspx</t>
        </is>
      </c>
      <c r="D24" s="2" t="inlineStr">
        <is>
          <t>FORD Fiesta 1.4 TDCi Trend</t>
        </is>
      </c>
      <c r="E24" s="2" t="inlineStr">
        <is>
          <t>Ford</t>
        </is>
      </c>
      <c r="F24" s="2" t="inlineStr">
        <is>
          <t>Ford Fiesta</t>
        </is>
      </c>
      <c r="G24" s="2" t="inlineStr">
        <is>
          <t>1.4 TDCi</t>
        </is>
      </c>
      <c r="H24" s="2" t="inlineStr">
        <is>
          <t>1.4 TDCi Trend</t>
        </is>
      </c>
      <c r="I24" s="2" t="n"/>
      <c r="J24" s="2" t="n"/>
      <c r="K24" s="2" t="inlineStr">
        <is>
          <t>diesel</t>
        </is>
      </c>
      <c r="L24" s="2" t="inlineStr">
        <is>
          <t>utilitario</t>
        </is>
      </c>
      <c r="M24" s="2" t="n">
        <v>2011</v>
      </c>
      <c r="N24" s="2" t="n">
        <v>199000</v>
      </c>
      <c r="O24" s="2" t="n">
        <v>4490</v>
      </c>
      <c r="P24" s="2" t="inlineStr">
        <is>
          <t>manual</t>
        </is>
      </c>
      <c r="Q24" s="2" t="inlineStr">
        <is>
          <t>no</t>
        </is>
      </c>
      <c r="R24" s="2" t="inlineStr">
        <is>
          <t>profesional</t>
        </is>
      </c>
      <c r="S24" s="2" t="inlineStr">
        <is>
          <t>V.O. Eliana San Antonio de Benagéber</t>
        </is>
      </c>
      <c r="T24" s="2" t="inlineStr">
        <is>
          <t>2026-08-05T20:05:58Z</t>
        </is>
      </c>
      <c r="U24" s="2" t="n">
        <v>18</v>
      </c>
      <c r="V24" s="2" t="n"/>
      <c r="W24" s="2" t="n"/>
      <c r="X24" s="2" t="n"/>
      <c r="Y24" s="2" t="n"/>
      <c r="Z24" s="2" t="inlineStr">
        <is>
          <t>sí</t>
        </is>
      </c>
      <c r="AA24" s="2" t="n"/>
      <c r="AB24" s="2" t="n">
        <v>12</v>
      </c>
      <c r="AC24" s="2" t="n"/>
      <c r="AD24" s="2" t="n"/>
      <c r="AE24" s="2" t="n"/>
      <c r="AF24" s="2" t="n"/>
      <c r="AG24" s="2" t="n"/>
      <c r="AH24" s="2" t="n">
        <v>4490</v>
      </c>
      <c r="AI24" s="2" t="n"/>
      <c r="AJ24" s="2" t="n"/>
      <c r="AK24" s="2" t="n"/>
      <c r="AL24" s="2" t="n"/>
      <c r="AM24" s="2" t="n">
        <v>19.1</v>
      </c>
      <c r="AN24" s="2" t="n"/>
      <c r="AO24" s="2" t="inlineStr">
        <is>
          <t>2011</t>
        </is>
      </c>
      <c r="AP24" s="2" t="n">
        <v>2011</v>
      </c>
      <c r="AQ24" s="2" t="n"/>
      <c r="AR24" s="2" t="inlineStr">
        <is>
          <t>B</t>
        </is>
      </c>
      <c r="AS24" s="2" t="inlineStr">
        <is>
          <t>anuncio</t>
        </is>
      </c>
      <c r="AT24" s="2" t="n"/>
      <c r="AU24" s="2" t="inlineStr">
        <is>
          <t>no</t>
        </is>
      </c>
      <c r="AV24" s="2" t="inlineStr">
        <is>
          <t>B</t>
        </is>
      </c>
      <c r="AW24" s="2" t="n"/>
      <c r="AX24" s="2" t="inlineStr">
        <is>
          <t>no</t>
        </is>
      </c>
      <c r="AY24" s="2" t="inlineStr">
        <is>
          <t>no</t>
        </is>
      </c>
      <c r="AZ24" s="2" t="inlineStr">
        <is>
          <t>COMMON.COLOR_WHITE</t>
        </is>
      </c>
      <c r="BA24" s="2" t="inlineStr">
        <is>
          <t>blanco</t>
        </is>
      </c>
      <c r="BB24" s="3" t="n">
        <v>2</v>
      </c>
      <c r="BC24" s="3" t="inlineStr">
        <is>
          <t>(por segmento)</t>
        </is>
      </c>
      <c r="BD24" s="2" t="n"/>
      <c r="BE24" s="2" t="n"/>
      <c r="BF24" s="2" t="n"/>
      <c r="BG24" s="2" t="n"/>
      <c r="BH24" s="2" t="n"/>
      <c r="BI24" s="2" t="n"/>
      <c r="BJ24" s="2" t="n"/>
      <c r="BK24" s="2" t="n">
        <v>5</v>
      </c>
      <c r="BL24" s="2" t="inlineStr">
        <is>
          <t>sí</t>
        </is>
      </c>
      <c r="BM24" s="2" t="n">
        <v>302</v>
      </c>
      <c r="BN24" s="2" t="n">
        <v>0.07434027781710029</v>
      </c>
      <c r="BO24" s="2" t="n">
        <v>3</v>
      </c>
      <c r="BP24" s="2" t="n">
        <v>4490</v>
      </c>
      <c r="BQ24" s="2" t="n">
        <v>19</v>
      </c>
      <c r="BR24" s="2" t="inlineStr">
        <is>
          <t>modelo+año+km</t>
        </is>
      </c>
      <c r="BS24" s="2" t="n"/>
      <c r="BT24" s="2" t="inlineStr">
        <is>
          <t>vendedor profesional: sin ITP (operación con IVA/REBU, confirmar en factura); gastos de gestión del vendedor no indicados: se suma la tasa DGT; preguntar el precio final; diésel: motor sin fuente de fiabilidad (fiabilidad limitada a neutra); revisar: no menciona la ITV</t>
        </is>
      </c>
      <c r="BU24" s="2" t="inlineStr">
        <is>
          <t>Este Ford Fiesta 1.4 TDCi Trend es un vehículo compacto y eficiente, particularmente adecuado para uso urbano y desplazamientos diarios. Su motor diésel de 70 CV proporciona un consumo contenido —en torno a 4,1 l/100 km en ciclo mixto— lo que permite una autonomía de casi 1.000 kilómetros con el depósito lleno de 40 litros.
El habitáculo ofrece espacio suficiente para cinco ocupantes con comodidad en los desplazamientos cortos y medios. Los asientos delanteros cuentan con ajuste manual en altura, mientras que la banqueta trasera dispone de respaldo abatible asimétrico, facilitando la versatilidad de carga. El maletero de 295 litros se expande hasta 979 litros con los asientos plegados, una capacidad práctica para compras y pequeños viajes.
En cuanto a equipamiento de confort, este incluye dirección asistida eléctrica con endurecimiento progresivo, elevalunas eléctricos delanteros, cierre centralizado con mando a distancia de doble cierre y apertura remota del maletero. El sistema de ventilación incorpora filtro de pólen. El volante es ajustable en altura y profundidad, y los retrovisores exteriores son eléctricos, desempañables y cuentan con intermitente integrado.
La seguridad está garantizada con airbags frontales inteligentes y laterales delanteros, cinturones de seguridad con pretensores en los asientos delanteros, ABS, control electrónico de tracción y control de estabilidad. Dispone de preparación Isofix para sistemas de retención infantil.
Este modelo cuenta con et</t>
        </is>
      </c>
      <c r="BV24" s="2" t="inlineStr">
        <is>
          <t>https://www.coches.net/ford-fiesta-14-tdci-trend-5p-diesel-2011-en-valencia-70592187-covo.aspx (window.__INITIAL_PROPS__.ad) /home/user/Alopecia/buscador-coches/raw/cochesnet/b52cc027b9556748.json</t>
        </is>
      </c>
      <c r="BW24" s="3">
        <f>MAX(ANIO_ACTUAL-M24,0)</f>
        <v/>
      </c>
      <c r="BX24" s="4">
        <f>N24/MAX(BW24,0.5)</f>
        <v/>
      </c>
      <c r="BY24" s="4">
        <f>F24</f>
        <v/>
      </c>
      <c r="BZ24" s="3">
        <f>BY24&amp;"|"&amp;INT(M24/SEG_ANIO)*SEG_ANIO</f>
        <v/>
      </c>
      <c r="CA24" s="3">
        <f>BZ24&amp;"|"&amp;INT(N24/SEG_KM)*SEG_KM</f>
        <v/>
      </c>
      <c r="CB24" s="4">
        <f>COUNTIF($BY$2:$BY$209,BY24)</f>
        <v/>
      </c>
      <c r="CC24" s="4">
        <f>COUNTIF($BZ$2:$BZ$209,BZ24)</f>
        <v/>
      </c>
      <c r="CD24" s="4">
        <f>COUNTIF($CA$2:$CA$209,CA24)</f>
        <v/>
      </c>
      <c r="CE24" s="3">
        <f t="array" ref="CE24">IF(N(BQ24)&gt;=MIN_N,BP24,IF(CD24&gt;=MIN_N,MEDIAN(IF($CA$2:$CA$209=CA24,$O$2:$O$209)),IF(CC24&gt;=MIN_N,MEDIAN(IF($BZ$2:$BZ$209=BZ24,$O$2:$O$209)),MEDIAN(IF($BY$2:$BY$209=BY24,$O$2:$O$209)))))</f>
        <v/>
      </c>
      <c r="CF24" s="3">
        <f>IF(N(BQ24)&gt;=MIN_N,"mercado "&amp;BR24,IF(CD24&gt;=MIN_N,"modelo+año+km",IF(CC24&gt;=MIN_N,"modelo+año","modelo")))</f>
        <v/>
      </c>
      <c r="CG24" s="4">
        <f>(CE24-O24)/CE24</f>
        <v/>
      </c>
      <c r="CH24" s="3">
        <f>IF(COUNTIFS(FR_FUEL,K24,FR_YEAR,AP24)&gt;0,1,0)</f>
        <v/>
      </c>
      <c r="CI24" s="3">
        <f>IF(COUNTIFS(FR_FUEL,K24,FR_YEAR,AP24-1)&gt;0,1,0)</f>
        <v/>
      </c>
      <c r="CJ24" s="4">
        <f>IF(N(AQ24)&gt;0,AP24*100+AQ24,IF(AND(CH24=1,CI24=1),(AP24-1)*100+1,AP24*100+1))</f>
        <v/>
      </c>
      <c r="CK24" s="3">
        <f>IF(OR(K24="hibrido",K24="glp",K24="gnc",K24="phev"),"ECO",IF(K24="electrico","CERO",IF(K24="gasolina",IF(CJ24&gt;=GAS_C_YM,"C",IF(CJ24&gt;=GAS_B_YM,"B","A")),IF(K24="diesel",IF(CJ24&gt;=DIE_C_YM,"C",IF(CJ24&gt;=DIE_B_YM,"B","A")),""))))</f>
        <v/>
      </c>
      <c r="CL24" s="2" t="inlineStr">
        <is>
          <t>B</t>
        </is>
      </c>
      <c r="CM24" s="4">
        <f>IF(AU24="sí","sí",IF(AS24="regla",IF(AND(N(AQ24)=0,CH24=1),"sí","no"),"no"))</f>
        <v/>
      </c>
      <c r="CN24" s="3">
        <f>IFERROR(VLOOKUP(F24,MOD_TBL,16,0),IFERROR(VLOOKUP(E24,OCU_TBL,2,0),NEUTRO))</f>
        <v/>
      </c>
      <c r="CO24" s="3">
        <f>SUMIFS(MOT_AJUSTE,MOT_MOTOR,G24,MOT_MARCA,E24,MOT_DESDE,"&lt;="&amp;M24,MOT_HASTA,"&gt;="&amp;M24)+SUMIFS(MOT_AJUSTE,MOT_MOTOR,G24,MOT_MARCA,"(todas)",MOT_DESDE,"&lt;="&amp;M24,MOT_HASTA,"&gt;="&amp;M24)+SUMIFS(MOT_AJUSTE,MOT_MOTOR,"(cualquiera)",MOT_MARCA,E24,MOT_DESDE,"&lt;="&amp;M24,MOT_HASTA,"&gt;="&amp;M24)</f>
        <v/>
      </c>
      <c r="CP24" s="3">
        <f>SUMIFS(COMB_AJUSTE,COMB_COMB,K24)</f>
        <v/>
      </c>
      <c r="CQ24" s="3">
        <f>COUNTIFS(MOT_MOTOR,G24,MOT_MARCA,E24,MOT_DESDE,"&lt;="&amp;M24,MOT_HASTA,"&gt;="&amp;M24)+COUNTIFS(MOT_MOTOR,G24,MOT_MARCA,"(todas)",MOT_DESDE,"&lt;="&amp;M24,MOT_HASTA,"&gt;="&amp;M24)+COUNTIFS(MOT_MOTOR,"(cualquiera)",MOT_MARCA,E24,MOT_DESDE,"&lt;="&amp;M24,MOT_HASTA,"&gt;="&amp;M24)</f>
        <v/>
      </c>
      <c r="CR24" s="3">
        <f>IF(AND(K24="diesel",CQ24=0),MIN(CN24,NEUTRO),CN24)</f>
        <v/>
      </c>
      <c r="CS24" s="3">
        <f>MAX(0,MIN(100,CR24+CO24+CP24-IF(AX24="sí",ROB_PEN,0)))</f>
        <v/>
      </c>
      <c r="CT24" s="3">
        <f>100-MAX(0,N24-KM_TOPE_DESDE)/1000*KM_TOPE_PTS</f>
        <v/>
      </c>
      <c r="CU24" s="3">
        <f>MAX(0,MIN(100,50+CG24*PRECIO_PEND,CT24))</f>
        <v/>
      </c>
      <c r="CV24" s="3">
        <f>MAX(0,100*(1-N24/KM_MAX))</f>
        <v/>
      </c>
      <c r="CW24" s="3">
        <f>IF(BX24&lt;KMA_SOSP,IF(AA24="sí",100,KMA_PEN),IF(BX24&lt;=KMA_IDEAL_MAX,100,MAX(0,100*(KMA_CERO-BX24)/(KMA_CERO-KMA_IDEAL_MAX))))</f>
        <v/>
      </c>
      <c r="CX24" s="3">
        <f>MAX(0,MIN(100,100*(M24-ANIO_MIN)/(ANIO_ACTUAL-ANIO_MIN)))</f>
        <v/>
      </c>
      <c r="CY24" s="3">
        <f>W_KMT*CV24+W_KMA*CW24+W_EDAD*CX24</f>
        <v/>
      </c>
      <c r="CZ24" s="4">
        <f>E24&amp;"|"&amp;G24</f>
        <v/>
      </c>
      <c r="DA24" s="3">
        <f>IFERROR(VLOOKUP(CZ24,DIST_TBL,2,0),"")</f>
        <v/>
      </c>
      <c r="DB24" s="3">
        <f>E_ITV*(V24="sí")+E_LIBRO*(W24="sí")+E_PROP*IF(Y24=1,1,IF(Y24=2,0.5,0))+E_CORREA*IF(OR(DA24="cadena",AND(X24="sí",BH24="sí")),1,IF(X24="sí",0.5,0))+E_FACT*(BI24="sí")</f>
        <v/>
      </c>
      <c r="DC24" s="3">
        <f>MAX(0,MIN(100,IFERROR(VLOOKUP(CL24,ETQ_TBL,2,0),0)-IF(CM24="sí",ETQ_PEN_DUD,IF(AS24="regla",ETQ_PEN_REGLA,0))))</f>
        <v/>
      </c>
      <c r="DD24" s="3">
        <f>IF(K24&lt;&gt;"gasolina","",IFERROR(VLOOKUP(F24,CONS_MOD_TBL,2,0),IFERROR(VLOOKUP(L24,CONS_SEG_TBL,2,0),"")))</f>
        <v/>
      </c>
      <c r="DE24" s="3">
        <f>IF(DD24="",NEUTRO,MAX(0,MIN(100,100*(CONS_REF_MAX-DD24)/(CONS_REF_MAX-CONS_REF_MIN))))</f>
        <v/>
      </c>
      <c r="DF24" s="3">
        <f>IFERROR(VLOOKUP(L24,SEGURO_TBL,3,0),"")</f>
        <v/>
      </c>
      <c r="DG24" s="3">
        <f>IF(DF24="",NEUTRO,MAX(0,MIN(100,100*(SEG_REF_MAX-DF24)/(SEG_REF_MAX-SEG_REF_MIN))))</f>
        <v/>
      </c>
      <c r="DH24" s="3">
        <f>IFERROR(VLOOKUP(E24,MANT_MARCA_TBL,2,0)+0,NEUTRO)</f>
        <v/>
      </c>
      <c r="DI24" s="3">
        <f>IF(DA24="",NEUTRO,IFERROR(VLOOKUP(DA24,DIST_PTS_TBL,2,0)+0,NEUTRO))</f>
        <v/>
      </c>
      <c r="DJ24" s="4">
        <f>(DH24+DI24)/2</f>
        <v/>
      </c>
      <c r="DK24" s="3">
        <f>W_CONS*DE24+W_SEG*DG24+W_MANT*DJ24</f>
        <v/>
      </c>
      <c r="DL24" s="3">
        <f>IF(N(AB24)&gt;0,AB24,IF(AND(R24="profesional",SG_LEGAL_ON=1),GAR_LEGAL,0))</f>
        <v/>
      </c>
      <c r="DM24" s="3">
        <f>MAX(0,MIN(100,SG_GAR*MIN(1,DL24/SG_GAR_FULL)+SG_AMPL*(AC24="sí")+SG_KMC*(AF24="sí")+SG_REV*(N(AE24)&gt;0)+SG_DEV*MIN(1,N(AG24)/SG_DEV_FULL)+SG_HIST*(W24="sí")-IF(AND(R24="particular",DL24=0),SG_PART_PEN,0)))</f>
        <v/>
      </c>
      <c r="DN24" s="3">
        <f>IF(BK24="",NEUTRO,MAX(0,MIN(100,BK24/5*100)))</f>
        <v/>
      </c>
      <c r="DO24" s="3">
        <f>IF(BL24="sí",100,IF(BL24="no",0,NEUTRO))</f>
        <v/>
      </c>
      <c r="DP24" s="3">
        <f>SV_W_NCAP*DN24+SV_W_ESP*DO24</f>
        <v/>
      </c>
      <c r="DQ24" s="3">
        <f>MAX(0,MIN(100,ATR_BASE+ATR_ACAB*(BD24&lt;&gt;"")+IF(BE24="16+",ATR_LL16,IF(BE24="sí",ATR_LL,0))+ATR_FAROS*(BF24="sí")+ATR_TINT*(BG24="sí")-ATR_CHAPA*(BE24="chapa")))</f>
        <v/>
      </c>
      <c r="DR24" s="3">
        <f>EST_W_MOD*(BB24-1)/4*100+EST_W_ATR*DQ24</f>
        <v/>
      </c>
      <c r="DS24" s="3">
        <f>IF(BA24="",NEUTRO,IFERROR(VLOOKUP(BA24,COLOR_TBL,2,0)+0,NEUTRO))</f>
        <v/>
      </c>
      <c r="DT24" s="3">
        <f>MAX(0,MIN(100,100*N(BM24)/RV_N_FULL))</f>
        <v/>
      </c>
      <c r="DU24" s="3">
        <f>IF(OR(BN24="",N(BO24)&lt;RV_DIAS_MIN),NEUTRO,MAX(0,MIN(100,100*(RV_DIAS_CERO-BN24)/(RV_DIAS_CERO-RV_DIAS_FULL))))</f>
        <v/>
      </c>
      <c r="DV24" s="3">
        <f>RV_W_LIQ*DT24+RV_W_DIAS*DU24+RV_W_ETQ*DC24</f>
        <v/>
      </c>
      <c r="DW24" s="3">
        <f>IFERROR(VLOOKUP(L24,CARR_PEN_TBL,2,0),0)</f>
        <v/>
      </c>
      <c r="DX24" s="3">
        <f>W_FIAB*CS24+W_PRECIO*CU24+W_KMEDAD*CY24+W_ESTADO*DB24+W_USO*DK24+W_SEGURIDAD*DM24+W_SEGVIAL*DP24+W_ESTETICA*DR24+W_COLOR*DS24+W_REVENTA*DV24-DW24-EG24</f>
        <v/>
      </c>
      <c r="DY24" s="4">
        <f>IF(N(I24)&gt;0,I24,IFERROR(ROUND(_xlfn.NUMBERVALUE(LEFT(G24,FIND(" ",G24&amp;" ")-1),".")*1000,0),99999))</f>
        <v/>
      </c>
      <c r="DZ24" s="3">
        <f>IF(R24="profesional",0,IF(O24&lt;CUOTA_VALOR_MAX,IF(BW24&gt;ITP_TRAMO_ALTO,SUMIFS(CF_CUOTA,CF_MAS,ITP_TRAMO_ALTO,CF_CCMIN,"&lt;="&amp;DY24,CF_CCMAX,"&gt;="&amp;DY24),IF(BW24&gt;ITP_TRAMO_BAJO,SUMIFS(CF_CUOTA,CF_MAS,ITP_TRAMO_BAJO,CF_CCMIN,"&lt;="&amp;DY24,CF_CCMAX,"&gt;="&amp;DY24),O24*ITP_TIPO)),O24*ITP_TIPO))</f>
        <v/>
      </c>
      <c r="EA24" s="4">
        <f>IF(R24="profesional",N(AK24),0)</f>
        <v/>
      </c>
      <c r="EB24" s="3">
        <f>IF(AND(R24="profesional",ISNUMBER(AK24),AL24="sí"),0,TASA_DGT)</f>
        <v/>
      </c>
      <c r="EC24" s="3">
        <f>INFORME_DGT</f>
        <v/>
      </c>
      <c r="ED24" s="4">
        <f>O24+EA24+DZ24+EB24+EC24</f>
        <v/>
      </c>
      <c r="EE24" s="4">
        <f>ED24+N(DF24)</f>
        <v/>
      </c>
      <c r="EF24" s="3">
        <f>MAX(0,ED24-TOTAL_MAX)</f>
        <v/>
      </c>
      <c r="EG24" s="3">
        <f>EF24/100*PEN_100</f>
        <v/>
      </c>
      <c r="EH24" s="3">
        <f>IF(R24="particular",ED24+IF(AND(DA24&lt;&gt;"cadena",X24&lt;&gt;"sí"),RES_CORREA,0)+IF(AND(BJ24&lt;&gt;"sí",BW24&gt;=RES_NEUM_EDAD),RES_NEUM,0),"")</f>
        <v/>
      </c>
      <c r="EI24" s="3">
        <f>IF(ED24&lt;=TOTAL_MAX,"sí",IF(ED24&lt;=TECHO,"negociar","no"))</f>
        <v/>
      </c>
      <c r="EJ24" s="4">
        <f>ROUND(DX24,9)</f>
        <v/>
      </c>
      <c r="EK24" s="4">
        <f>IF(EI24&lt;&gt;"no",SUMPRODUCT(($EI$2:$EI$209&lt;&gt;"no")*($EJ$2:$EJ$209&gt;EJ24))+SUMPRODUCT(($EI$2:EI24&lt;&gt;"no")*($EJ$2:EJ24=EJ24)),"")</f>
        <v/>
      </c>
    </row>
    <row r="25">
      <c r="A25" s="2" t="inlineStr">
        <is>
          <t>cochesnet:71146219</t>
        </is>
      </c>
      <c r="B25" s="2" t="inlineStr">
        <is>
          <t>cochesnet</t>
        </is>
      </c>
      <c r="C25" s="2" t="inlineStr">
        <is>
          <t>https://www.coches.net/ford-fiesta-14-tdci-trend-5p-diesel-2011-en-valencia-71146219-covo.aspx</t>
        </is>
      </c>
      <c r="D25" s="2" t="inlineStr">
        <is>
          <t>FORD Fiesta 1.4 TDCi Trend</t>
        </is>
      </c>
      <c r="E25" s="2" t="inlineStr">
        <is>
          <t>Ford</t>
        </is>
      </c>
      <c r="F25" s="2" t="inlineStr">
        <is>
          <t>Ford Fiesta</t>
        </is>
      </c>
      <c r="G25" s="2" t="inlineStr">
        <is>
          <t>1.4 TDCi</t>
        </is>
      </c>
      <c r="H25" s="2" t="inlineStr">
        <is>
          <t>1.4 TDCi Trend</t>
        </is>
      </c>
      <c r="I25" s="2" t="n"/>
      <c r="J25" s="2" t="n"/>
      <c r="K25" s="2" t="inlineStr">
        <is>
          <t>diesel</t>
        </is>
      </c>
      <c r="L25" s="2" t="inlineStr">
        <is>
          <t>utilitario</t>
        </is>
      </c>
      <c r="M25" s="2" t="n">
        <v>2010</v>
      </c>
      <c r="N25" s="2" t="n">
        <v>196000</v>
      </c>
      <c r="O25" s="2" t="n">
        <v>4000</v>
      </c>
      <c r="P25" s="2" t="inlineStr">
        <is>
          <t>manual</t>
        </is>
      </c>
      <c r="Q25" s="2" t="inlineStr">
        <is>
          <t>no</t>
        </is>
      </c>
      <c r="R25" s="2" t="inlineStr">
        <is>
          <t>profesional</t>
        </is>
      </c>
      <c r="S25" s="2" t="inlineStr">
        <is>
          <t>Beniparrell</t>
        </is>
      </c>
      <c r="T25" s="2" t="inlineStr">
        <is>
          <t>2026-10-20T18:06:18Z</t>
        </is>
      </c>
      <c r="U25" s="2" t="n">
        <v>13</v>
      </c>
      <c r="V25" s="2" t="n"/>
      <c r="W25" s="2" t="n"/>
      <c r="X25" s="2" t="n"/>
      <c r="Y25" s="2" t="n"/>
      <c r="Z25" s="2" t="inlineStr">
        <is>
          <t>sí</t>
        </is>
      </c>
      <c r="AA25" s="2" t="n"/>
      <c r="AB25" s="2" t="n">
        <v>12</v>
      </c>
      <c r="AC25" s="2" t="n"/>
      <c r="AD25" s="2" t="n"/>
      <c r="AE25" s="2" t="n"/>
      <c r="AF25" s="2" t="n"/>
      <c r="AG25" s="2" t="n"/>
      <c r="AH25" s="2" t="n">
        <v>4000</v>
      </c>
      <c r="AI25" s="2" t="n"/>
      <c r="AJ25" s="2" t="n"/>
      <c r="AK25" s="2" t="n"/>
      <c r="AL25" s="2" t="n"/>
      <c r="AM25" s="2" t="n">
        <v>10.2</v>
      </c>
      <c r="AN25" s="2" t="n"/>
      <c r="AO25" s="2" t="inlineStr">
        <is>
          <t>2010</t>
        </is>
      </c>
      <c r="AP25" s="2" t="n">
        <v>2010</v>
      </c>
      <c r="AQ25" s="2" t="n"/>
      <c r="AR25" s="2" t="inlineStr">
        <is>
          <t>B</t>
        </is>
      </c>
      <c r="AS25" s="2" t="inlineStr">
        <is>
          <t>anuncio</t>
        </is>
      </c>
      <c r="AT25" s="2" t="n">
        <v>2011</v>
      </c>
      <c r="AU25" s="2" t="inlineStr">
        <is>
          <t>no</t>
        </is>
      </c>
      <c r="AV25" s="2" t="inlineStr">
        <is>
          <t>B</t>
        </is>
      </c>
      <c r="AW25" s="2" t="n"/>
      <c r="AX25" s="2" t="inlineStr">
        <is>
          <t>no</t>
        </is>
      </c>
      <c r="AY25" s="2" t="inlineStr">
        <is>
          <t>no</t>
        </is>
      </c>
      <c r="AZ25" s="2" t="inlineStr">
        <is>
          <t>COMMON.COLOR_BLUE</t>
        </is>
      </c>
      <c r="BA25" s="2" t="inlineStr">
        <is>
          <t>azul</t>
        </is>
      </c>
      <c r="BB25" s="3" t="n">
        <v>2</v>
      </c>
      <c r="BC25" s="3" t="inlineStr">
        <is>
          <t>(por segmento)</t>
        </is>
      </c>
      <c r="BD25" s="2" t="n"/>
      <c r="BE25" s="2" t="n"/>
      <c r="BF25" s="2" t="n"/>
      <c r="BG25" s="2" t="n"/>
      <c r="BH25" s="2" t="n"/>
      <c r="BI25" s="2" t="n"/>
      <c r="BJ25" s="2" t="n"/>
      <c r="BK25" s="2" t="n">
        <v>5</v>
      </c>
      <c r="BL25" s="2" t="n"/>
      <c r="BM25" s="2" t="n">
        <v>302</v>
      </c>
      <c r="BN25" s="2" t="n">
        <v>0.07434027781710029</v>
      </c>
      <c r="BO25" s="2" t="n">
        <v>3</v>
      </c>
      <c r="BP25" s="2" t="n">
        <v>4490</v>
      </c>
      <c r="BQ25" s="2" t="n">
        <v>19</v>
      </c>
      <c r="BR25" s="2" t="inlineStr">
        <is>
          <t>modelo+año+km</t>
        </is>
      </c>
      <c r="BS25" s="2" t="n"/>
      <c r="BT25" s="2" t="inlineStr">
        <is>
          <t>año a confirmar: la URL/título dice 2011; vendedor profesional: sin ITP (operación con IVA/REBU, confirmar en factura); gastos de gestión del vendedor no indicados: se suma la tasa DGT; preguntar el precio final; diésel: motor sin fuente de fiabilidad (fiabilidad limitada a neutra); revisar: no menciona la ITV</t>
        </is>
      </c>
      <c r="BU25" s="2" t="inlineStr">
        <is>
          <t>Este Ford Fiesta 1.4 TDCi Trend es un compacto versátil diseñado para quienes buscan eficiencia sin renunciar a la practicidad. Su motor diésel de 70 CV ofrece un consumo contenido —4,1 l/100 km en ciclo mixto— con una autonomía cercana a los 1.000 km, características que lo hacen económico en uso y especialmente adecuado para desplazamientos regulares.
El espacio interior está bien aprovechado: 295 litros de maletero con asientos montados se amplían a 979 litros al abatirlos, lo que permite transportar carga considerable sin perder la versatilidad de cinco plazas. El habitáculo ofrece comodidad suficiente para el día a día, con asientos delanteros ajustables manualmente, dirección asistida eléctrica y volante regulable en altura y profundidad.
En seguridad, este vehículo incluye airbags frontales y laterales delanteros, ABS, control de tracción y de estabilidad, además de cinturones con pretensores en las plazas delanteras. La preparación Isofix facilita la instalación de sistemas de retención infantil.
El equipamiento de serie contempla cierre centralizado con mando a distancia, elevalunas eléctricos delanteros, retrovisores exteriores eléctricos con intermitente integrado, limpiaparabrisas y sistema de ventilación con filtro de pólen. Cuenta con ordenador de viaje que muestra consumo medio y autonomía estimada.
La transmisión manual de cinco velocidades proporciona control directo, mientras que la tracción delantera mejora la estabilidad en curvas. Con etiqueta medioam</t>
        </is>
      </c>
      <c r="BV25" s="2" t="inlineStr">
        <is>
          <t>https://www.coches.net/ford-fiesta-14-tdci-trend-5p-diesel-2011-en-valencia-71146219-covo.aspx (window.__INITIAL_PROPS__.ad) /home/user/Alopecia/buscador-coches/raw/cochesnet/c873a4c39ee94bcd.json</t>
        </is>
      </c>
      <c r="BW25" s="3">
        <f>MAX(ANIO_ACTUAL-M25,0)</f>
        <v/>
      </c>
      <c r="BX25" s="4">
        <f>N25/MAX(BW25,0.5)</f>
        <v/>
      </c>
      <c r="BY25" s="4">
        <f>F25</f>
        <v/>
      </c>
      <c r="BZ25" s="3">
        <f>BY25&amp;"|"&amp;INT(M25/SEG_ANIO)*SEG_ANIO</f>
        <v/>
      </c>
      <c r="CA25" s="3">
        <f>BZ25&amp;"|"&amp;INT(N25/SEG_KM)*SEG_KM</f>
        <v/>
      </c>
      <c r="CB25" s="4">
        <f>COUNTIF($BY$2:$BY$209,BY25)</f>
        <v/>
      </c>
      <c r="CC25" s="4">
        <f>COUNTIF($BZ$2:$BZ$209,BZ25)</f>
        <v/>
      </c>
      <c r="CD25" s="4">
        <f>COUNTIF($CA$2:$CA$209,CA25)</f>
        <v/>
      </c>
      <c r="CE25" s="3">
        <f t="array" ref="CE25">IF(N(BQ25)&gt;=MIN_N,BP25,IF(CD25&gt;=MIN_N,MEDIAN(IF($CA$2:$CA$209=CA25,$O$2:$O$209)),IF(CC25&gt;=MIN_N,MEDIAN(IF($BZ$2:$BZ$209=BZ25,$O$2:$O$209)),MEDIAN(IF($BY$2:$BY$209=BY25,$O$2:$O$209)))))</f>
        <v/>
      </c>
      <c r="CF25" s="3">
        <f>IF(N(BQ25)&gt;=MIN_N,"mercado "&amp;BR25,IF(CD25&gt;=MIN_N,"modelo+año+km",IF(CC25&gt;=MIN_N,"modelo+año","modelo")))</f>
        <v/>
      </c>
      <c r="CG25" s="4">
        <f>(CE25-O25)/CE25</f>
        <v/>
      </c>
      <c r="CH25" s="3">
        <f>IF(COUNTIFS(FR_FUEL,K25,FR_YEAR,AP25)&gt;0,1,0)</f>
        <v/>
      </c>
      <c r="CI25" s="3">
        <f>IF(COUNTIFS(FR_FUEL,K25,FR_YEAR,AP25-1)&gt;0,1,0)</f>
        <v/>
      </c>
      <c r="CJ25" s="4">
        <f>IF(N(AQ25)&gt;0,AP25*100+AQ25,IF(AND(CH25=1,CI25=1),(AP25-1)*100+1,AP25*100+1))</f>
        <v/>
      </c>
      <c r="CK25" s="3">
        <f>IF(OR(K25="hibrido",K25="glp",K25="gnc",K25="phev"),"ECO",IF(K25="electrico","CERO",IF(K25="gasolina",IF(CJ25&gt;=GAS_C_YM,"C",IF(CJ25&gt;=GAS_B_YM,"B","A")),IF(K25="diesel",IF(CJ25&gt;=DIE_C_YM,"C",IF(CJ25&gt;=DIE_B_YM,"B","A")),""))))</f>
        <v/>
      </c>
      <c r="CL25" s="2" t="inlineStr">
        <is>
          <t>B</t>
        </is>
      </c>
      <c r="CM25" s="4">
        <f>IF(AU25="sí","sí",IF(AS25="regla",IF(AND(N(AQ25)=0,CH25=1),"sí","no"),"no"))</f>
        <v/>
      </c>
      <c r="CN25" s="3">
        <f>IFERROR(VLOOKUP(F25,MOD_TBL,16,0),IFERROR(VLOOKUP(E25,OCU_TBL,2,0),NEUTRO))</f>
        <v/>
      </c>
      <c r="CO25" s="3">
        <f>SUMIFS(MOT_AJUSTE,MOT_MOTOR,G25,MOT_MARCA,E25,MOT_DESDE,"&lt;="&amp;M25,MOT_HASTA,"&gt;="&amp;M25)+SUMIFS(MOT_AJUSTE,MOT_MOTOR,G25,MOT_MARCA,"(todas)",MOT_DESDE,"&lt;="&amp;M25,MOT_HASTA,"&gt;="&amp;M25)+SUMIFS(MOT_AJUSTE,MOT_MOTOR,"(cualquiera)",MOT_MARCA,E25,MOT_DESDE,"&lt;="&amp;M25,MOT_HASTA,"&gt;="&amp;M25)</f>
        <v/>
      </c>
      <c r="CP25" s="3">
        <f>SUMIFS(COMB_AJUSTE,COMB_COMB,K25)</f>
        <v/>
      </c>
      <c r="CQ25" s="3">
        <f>COUNTIFS(MOT_MOTOR,G25,MOT_MARCA,E25,MOT_DESDE,"&lt;="&amp;M25,MOT_HASTA,"&gt;="&amp;M25)+COUNTIFS(MOT_MOTOR,G25,MOT_MARCA,"(todas)",MOT_DESDE,"&lt;="&amp;M25,MOT_HASTA,"&gt;="&amp;M25)+COUNTIFS(MOT_MOTOR,"(cualquiera)",MOT_MARCA,E25,MOT_DESDE,"&lt;="&amp;M25,MOT_HASTA,"&gt;="&amp;M25)</f>
        <v/>
      </c>
      <c r="CR25" s="3">
        <f>IF(AND(K25="diesel",CQ25=0),MIN(CN25,NEUTRO),CN25)</f>
        <v/>
      </c>
      <c r="CS25" s="3">
        <f>MAX(0,MIN(100,CR25+CO25+CP25-IF(AX25="sí",ROB_PEN,0)))</f>
        <v/>
      </c>
      <c r="CT25" s="3">
        <f>100-MAX(0,N25-KM_TOPE_DESDE)/1000*KM_TOPE_PTS</f>
        <v/>
      </c>
      <c r="CU25" s="3">
        <f>MAX(0,MIN(100,50+CG25*PRECIO_PEND,CT25))</f>
        <v/>
      </c>
      <c r="CV25" s="3">
        <f>MAX(0,100*(1-N25/KM_MAX))</f>
        <v/>
      </c>
      <c r="CW25" s="3">
        <f>IF(BX25&lt;KMA_SOSP,IF(AA25="sí",100,KMA_PEN),IF(BX25&lt;=KMA_IDEAL_MAX,100,MAX(0,100*(KMA_CERO-BX25)/(KMA_CERO-KMA_IDEAL_MAX))))</f>
        <v/>
      </c>
      <c r="CX25" s="3">
        <f>MAX(0,MIN(100,100*(M25-ANIO_MIN)/(ANIO_ACTUAL-ANIO_MIN)))</f>
        <v/>
      </c>
      <c r="CY25" s="3">
        <f>W_KMT*CV25+W_KMA*CW25+W_EDAD*CX25</f>
        <v/>
      </c>
      <c r="CZ25" s="4">
        <f>E25&amp;"|"&amp;G25</f>
        <v/>
      </c>
      <c r="DA25" s="3">
        <f>IFERROR(VLOOKUP(CZ25,DIST_TBL,2,0),"")</f>
        <v/>
      </c>
      <c r="DB25" s="3">
        <f>E_ITV*(V25="sí")+E_LIBRO*(W25="sí")+E_PROP*IF(Y25=1,1,IF(Y25=2,0.5,0))+E_CORREA*IF(OR(DA25="cadena",AND(X25="sí",BH25="sí")),1,IF(X25="sí",0.5,0))+E_FACT*(BI25="sí")</f>
        <v/>
      </c>
      <c r="DC25" s="3">
        <f>MAX(0,MIN(100,IFERROR(VLOOKUP(CL25,ETQ_TBL,2,0),0)-IF(CM25="sí",ETQ_PEN_DUD,IF(AS25="regla",ETQ_PEN_REGLA,0))))</f>
        <v/>
      </c>
      <c r="DD25" s="3">
        <f>IF(K25&lt;&gt;"gasolina","",IFERROR(VLOOKUP(F25,CONS_MOD_TBL,2,0),IFERROR(VLOOKUP(L25,CONS_SEG_TBL,2,0),"")))</f>
        <v/>
      </c>
      <c r="DE25" s="3">
        <f>IF(DD25="",NEUTRO,MAX(0,MIN(100,100*(CONS_REF_MAX-DD25)/(CONS_REF_MAX-CONS_REF_MIN))))</f>
        <v/>
      </c>
      <c r="DF25" s="3">
        <f>IFERROR(VLOOKUP(L25,SEGURO_TBL,3,0),"")</f>
        <v/>
      </c>
      <c r="DG25" s="3">
        <f>IF(DF25="",NEUTRO,MAX(0,MIN(100,100*(SEG_REF_MAX-DF25)/(SEG_REF_MAX-SEG_REF_MIN))))</f>
        <v/>
      </c>
      <c r="DH25" s="3">
        <f>IFERROR(VLOOKUP(E25,MANT_MARCA_TBL,2,0)+0,NEUTRO)</f>
        <v/>
      </c>
      <c r="DI25" s="3">
        <f>IF(DA25="",NEUTRO,IFERROR(VLOOKUP(DA25,DIST_PTS_TBL,2,0)+0,NEUTRO))</f>
        <v/>
      </c>
      <c r="DJ25" s="4">
        <f>(DH25+DI25)/2</f>
        <v/>
      </c>
      <c r="DK25" s="3">
        <f>W_CONS*DE25+W_SEG*DG25+W_MANT*DJ25</f>
        <v/>
      </c>
      <c r="DL25" s="3">
        <f>IF(N(AB25)&gt;0,AB25,IF(AND(R25="profesional",SG_LEGAL_ON=1),GAR_LEGAL,0))</f>
        <v/>
      </c>
      <c r="DM25" s="3">
        <f>MAX(0,MIN(100,SG_GAR*MIN(1,DL25/SG_GAR_FULL)+SG_AMPL*(AC25="sí")+SG_KMC*(AF25="sí")+SG_REV*(N(AE25)&gt;0)+SG_DEV*MIN(1,N(AG25)/SG_DEV_FULL)+SG_HIST*(W25="sí")-IF(AND(R25="particular",DL25=0),SG_PART_PEN,0)))</f>
        <v/>
      </c>
      <c r="DN25" s="3">
        <f>IF(BK25="",NEUTRO,MAX(0,MIN(100,BK25/5*100)))</f>
        <v/>
      </c>
      <c r="DO25" s="3">
        <f>IF(BL25="sí",100,IF(BL25="no",0,NEUTRO))</f>
        <v/>
      </c>
      <c r="DP25" s="3">
        <f>SV_W_NCAP*DN25+SV_W_ESP*DO25</f>
        <v/>
      </c>
      <c r="DQ25" s="3">
        <f>MAX(0,MIN(100,ATR_BASE+ATR_ACAB*(BD25&lt;&gt;"")+IF(BE25="16+",ATR_LL16,IF(BE25="sí",ATR_LL,0))+ATR_FAROS*(BF25="sí")+ATR_TINT*(BG25="sí")-ATR_CHAPA*(BE25="chapa")))</f>
        <v/>
      </c>
      <c r="DR25" s="3">
        <f>EST_W_MOD*(BB25-1)/4*100+EST_W_ATR*DQ25</f>
        <v/>
      </c>
      <c r="DS25" s="3">
        <f>IF(BA25="",NEUTRO,IFERROR(VLOOKUP(BA25,COLOR_TBL,2,0)+0,NEUTRO))</f>
        <v/>
      </c>
      <c r="DT25" s="3">
        <f>MAX(0,MIN(100,100*N(BM25)/RV_N_FULL))</f>
        <v/>
      </c>
      <c r="DU25" s="3">
        <f>IF(OR(BN25="",N(BO25)&lt;RV_DIAS_MIN),NEUTRO,MAX(0,MIN(100,100*(RV_DIAS_CERO-BN25)/(RV_DIAS_CERO-RV_DIAS_FULL))))</f>
        <v/>
      </c>
      <c r="DV25" s="3">
        <f>RV_W_LIQ*DT25+RV_W_DIAS*DU25+RV_W_ETQ*DC25</f>
        <v/>
      </c>
      <c r="DW25" s="3">
        <f>IFERROR(VLOOKUP(L25,CARR_PEN_TBL,2,0),0)</f>
        <v/>
      </c>
      <c r="DX25" s="3">
        <f>W_FIAB*CS25+W_PRECIO*CU25+W_KMEDAD*CY25+W_ESTADO*DB25+W_USO*DK25+W_SEGURIDAD*DM25+W_SEGVIAL*DP25+W_ESTETICA*DR25+W_COLOR*DS25+W_REVENTA*DV25-DW25-EG25</f>
        <v/>
      </c>
      <c r="DY25" s="4">
        <f>IF(N(I25)&gt;0,I25,IFERROR(ROUND(_xlfn.NUMBERVALUE(LEFT(G25,FIND(" ",G25&amp;" ")-1),".")*1000,0),99999))</f>
        <v/>
      </c>
      <c r="DZ25" s="3">
        <f>IF(R25="profesional",0,IF(O25&lt;CUOTA_VALOR_MAX,IF(BW25&gt;ITP_TRAMO_ALTO,SUMIFS(CF_CUOTA,CF_MAS,ITP_TRAMO_ALTO,CF_CCMIN,"&lt;="&amp;DY25,CF_CCMAX,"&gt;="&amp;DY25),IF(BW25&gt;ITP_TRAMO_BAJO,SUMIFS(CF_CUOTA,CF_MAS,ITP_TRAMO_BAJO,CF_CCMIN,"&lt;="&amp;DY25,CF_CCMAX,"&gt;="&amp;DY25),O25*ITP_TIPO)),O25*ITP_TIPO))</f>
        <v/>
      </c>
      <c r="EA25" s="4">
        <f>IF(R25="profesional",N(AK25),0)</f>
        <v/>
      </c>
      <c r="EB25" s="3">
        <f>IF(AND(R25="profesional",ISNUMBER(AK25),AL25="sí"),0,TASA_DGT)</f>
        <v/>
      </c>
      <c r="EC25" s="3">
        <f>INFORME_DGT</f>
        <v/>
      </c>
      <c r="ED25" s="4">
        <f>O25+EA25+DZ25+EB25+EC25</f>
        <v/>
      </c>
      <c r="EE25" s="4">
        <f>ED25+N(DF25)</f>
        <v/>
      </c>
      <c r="EF25" s="3">
        <f>MAX(0,ED25-TOTAL_MAX)</f>
        <v/>
      </c>
      <c r="EG25" s="3">
        <f>EF25/100*PEN_100</f>
        <v/>
      </c>
      <c r="EH25" s="3">
        <f>IF(R25="particular",ED25+IF(AND(DA25&lt;&gt;"cadena",X25&lt;&gt;"sí"),RES_CORREA,0)+IF(AND(BJ25&lt;&gt;"sí",BW25&gt;=RES_NEUM_EDAD),RES_NEUM,0),"")</f>
        <v/>
      </c>
      <c r="EI25" s="3">
        <f>IF(ED25&lt;=TOTAL_MAX,"sí",IF(ED25&lt;=TECHO,"negociar","no"))</f>
        <v/>
      </c>
      <c r="EJ25" s="4">
        <f>ROUND(DX25,9)</f>
        <v/>
      </c>
      <c r="EK25" s="4">
        <f>IF(EI25&lt;&gt;"no",SUMPRODUCT(($EI$2:$EI$209&lt;&gt;"no")*($EJ$2:$EJ$209&gt;EJ25))+SUMPRODUCT(($EI$2:EI25&lt;&gt;"no")*($EJ$2:EJ25=EJ25)),"")</f>
        <v/>
      </c>
    </row>
    <row r="26">
      <c r="A26" s="2" t="inlineStr">
        <is>
          <t>cochesnet:71533850</t>
        </is>
      </c>
      <c r="B26" s="2" t="inlineStr">
        <is>
          <t>cochesnet</t>
        </is>
      </c>
      <c r="C26" s="2" t="inlineStr">
        <is>
          <t>https://www.coches.net/chevrolet-aveo-14-16v-ls-5p-gasolina-2010-en-valencia-71533850-covo.aspx</t>
        </is>
      </c>
      <c r="D26" s="2" t="inlineStr">
        <is>
          <t>CHEVROLET Aveo 1.4 16v LS</t>
        </is>
      </c>
      <c r="E26" s="2" t="inlineStr">
        <is>
          <t>Chevrolet</t>
        </is>
      </c>
      <c r="F26" s="2" t="inlineStr">
        <is>
          <t>Chevrolet Aveo</t>
        </is>
      </c>
      <c r="G26" s="2" t="inlineStr">
        <is>
          <t>1.4</t>
        </is>
      </c>
      <c r="H26" s="2" t="inlineStr">
        <is>
          <t>1.4 16v LS</t>
        </is>
      </c>
      <c r="I26" s="2" t="n"/>
      <c r="J26" s="2" t="n"/>
      <c r="K26" s="2" t="inlineStr">
        <is>
          <t>gasolina</t>
        </is>
      </c>
      <c r="L26" s="2" t="inlineStr">
        <is>
          <t>utilitario</t>
        </is>
      </c>
      <c r="M26" s="2" t="n">
        <v>2009</v>
      </c>
      <c r="N26" s="2" t="n">
        <v>110000</v>
      </c>
      <c r="O26" s="2" t="n">
        <v>4290</v>
      </c>
      <c r="P26" s="2" t="inlineStr">
        <is>
          <t>manual</t>
        </is>
      </c>
      <c r="Q26" s="2" t="inlineStr">
        <is>
          <t>no</t>
        </is>
      </c>
      <c r="R26" s="2" t="inlineStr">
        <is>
          <t>profesional</t>
        </is>
      </c>
      <c r="S26" s="2" t="inlineStr">
        <is>
          <t>Only Cars Valencia Aldaia</t>
        </is>
      </c>
      <c r="T26" s="2" t="inlineStr">
        <is>
          <t>2026-09-17T10:24:43Z</t>
        </is>
      </c>
      <c r="U26" s="2" t="n">
        <v>11</v>
      </c>
      <c r="V26" s="2" t="n"/>
      <c r="W26" s="2" t="n"/>
      <c r="X26" s="2" t="n"/>
      <c r="Y26" s="2" t="n"/>
      <c r="Z26" s="2" t="inlineStr">
        <is>
          <t>sí</t>
        </is>
      </c>
      <c r="AA26" s="2" t="n"/>
      <c r="AB26" s="2" t="n">
        <v>12</v>
      </c>
      <c r="AC26" s="2" t="n"/>
      <c r="AD26" s="2" t="n"/>
      <c r="AE26" s="2" t="n"/>
      <c r="AF26" s="2" t="n"/>
      <c r="AG26" s="2" t="n"/>
      <c r="AH26" s="2" t="n">
        <v>4290</v>
      </c>
      <c r="AI26" s="2" t="n"/>
      <c r="AJ26" s="2" t="n"/>
      <c r="AK26" s="2" t="n"/>
      <c r="AL26" s="2" t="n"/>
      <c r="AM26" s="2" t="n">
        <v>7.5</v>
      </c>
      <c r="AN26" s="2" t="n"/>
      <c r="AO26" s="2" t="inlineStr">
        <is>
          <t>2009</t>
        </is>
      </c>
      <c r="AP26" s="2" t="n">
        <v>2009</v>
      </c>
      <c r="AQ26" s="2" t="n"/>
      <c r="AR26" s="2" t="inlineStr">
        <is>
          <t>C</t>
        </is>
      </c>
      <c r="AS26" s="2" t="inlineStr">
        <is>
          <t>anuncio</t>
        </is>
      </c>
      <c r="AT26" s="2" t="n">
        <v>2010</v>
      </c>
      <c r="AU26" s="2" t="inlineStr">
        <is>
          <t>no</t>
        </is>
      </c>
      <c r="AV26" s="2" t="inlineStr">
        <is>
          <t>C</t>
        </is>
      </c>
      <c r="AW26" s="2" t="n"/>
      <c r="AX26" s="2" t="inlineStr">
        <is>
          <t>no</t>
        </is>
      </c>
      <c r="AY26" s="2" t="inlineStr">
        <is>
          <t>no</t>
        </is>
      </c>
      <c r="AZ26" s="2" t="inlineStr">
        <is>
          <t>COMMON.COLOR_BLUE</t>
        </is>
      </c>
      <c r="BA26" s="2" t="inlineStr">
        <is>
          <t>azul</t>
        </is>
      </c>
      <c r="BB26" s="3" t="n">
        <v>2</v>
      </c>
      <c r="BC26" s="3" t="inlineStr">
        <is>
          <t>(por segmento)</t>
        </is>
      </c>
      <c r="BD26" s="2" t="n"/>
      <c r="BE26" s="2" t="n"/>
      <c r="BF26" s="2" t="n"/>
      <c r="BG26" s="2" t="n"/>
      <c r="BH26" s="2" t="n"/>
      <c r="BI26" s="2" t="n"/>
      <c r="BJ26" s="2" t="n"/>
      <c r="BK26" s="2" t="n">
        <v>2</v>
      </c>
      <c r="BL26" s="2" t="inlineStr">
        <is>
          <t>no</t>
        </is>
      </c>
      <c r="BM26" s="2" t="n">
        <v>27</v>
      </c>
      <c r="BN26" s="2" t="n"/>
      <c r="BO26" s="2" t="n">
        <v>0</v>
      </c>
      <c r="BP26" s="2" t="n">
        <v>3990</v>
      </c>
      <c r="BQ26" s="2" t="n">
        <v>4</v>
      </c>
      <c r="BR26" s="2" t="inlineStr">
        <is>
          <t>modelo+año+km</t>
        </is>
      </c>
      <c r="BS26" s="2" t="n"/>
      <c r="BT26" s="2" t="inlineStr">
        <is>
          <t>año a confirmar: la URL/título dice 2010; vendedor profesional: sin ITP (operación con IVA/REBU, confirmar en factura); gastos de gestión del vendedor no indicados: se suma la tasa DGT; preguntar el precio final; revisar: no menciona la ITV; fiabilidad del modelo PENDIENTE de fuente (puntuación neutra)</t>
        </is>
      </c>
      <c r="BU26" s="2" t="inlineStr">
        <is>
          <t>Chevrolet Aveo 1.4 LS año 2009 con 110.000Kms 100CV. 
Equipamiento:
- elevalunas eléctricos 
- Espejos eléctricos 
- Aire acondicionado 
- Dirección asistida
- Mando a distancia 
- Ordenador de abordo
Mantenimiento:
   - cambio de filtro de aire
   - cambio de filtro de aceite
   - cambio de aceite 
   - Dos juegos de llave
   - Alfombrillas</t>
        </is>
      </c>
      <c r="BV26" s="2" t="inlineStr">
        <is>
          <t>https://www.coches.net/chevrolet-aveo-14-16v-ls-5p-gasolina-2010-en-valencia-71533850-covo.aspx (window.__INITIAL_PROPS__.ad) /home/user/Alopecia/buscador-coches/raw/cochesnet/f4665f6b14e63416.json</t>
        </is>
      </c>
      <c r="BW26" s="3">
        <f>MAX(ANIO_ACTUAL-M26,0)</f>
        <v/>
      </c>
      <c r="BX26" s="4">
        <f>N26/MAX(BW26,0.5)</f>
        <v/>
      </c>
      <c r="BY26" s="4">
        <f>F26</f>
        <v/>
      </c>
      <c r="BZ26" s="3">
        <f>BY26&amp;"|"&amp;INT(M26/SEG_ANIO)*SEG_ANIO</f>
        <v/>
      </c>
      <c r="CA26" s="3">
        <f>BZ26&amp;"|"&amp;INT(N26/SEG_KM)*SEG_KM</f>
        <v/>
      </c>
      <c r="CB26" s="4">
        <f>COUNTIF($BY$2:$BY$209,BY26)</f>
        <v/>
      </c>
      <c r="CC26" s="4">
        <f>COUNTIF($BZ$2:$BZ$209,BZ26)</f>
        <v/>
      </c>
      <c r="CD26" s="4">
        <f>COUNTIF($CA$2:$CA$209,CA26)</f>
        <v/>
      </c>
      <c r="CE26" s="3">
        <f t="array" ref="CE26">IF(N(BQ26)&gt;=MIN_N,BP26,IF(CD26&gt;=MIN_N,MEDIAN(IF($CA$2:$CA$209=CA26,$O$2:$O$209)),IF(CC26&gt;=MIN_N,MEDIAN(IF($BZ$2:$BZ$209=BZ26,$O$2:$O$209)),MEDIAN(IF($BY$2:$BY$209=BY26,$O$2:$O$209)))))</f>
        <v/>
      </c>
      <c r="CF26" s="3">
        <f>IF(N(BQ26)&gt;=MIN_N,"mercado "&amp;BR26,IF(CD26&gt;=MIN_N,"modelo+año+km",IF(CC26&gt;=MIN_N,"modelo+año","modelo")))</f>
        <v/>
      </c>
      <c r="CG26" s="4">
        <f>(CE26-O26)/CE26</f>
        <v/>
      </c>
      <c r="CH26" s="3">
        <f>IF(COUNTIFS(FR_FUEL,K26,FR_YEAR,AP26)&gt;0,1,0)</f>
        <v/>
      </c>
      <c r="CI26" s="3">
        <f>IF(COUNTIFS(FR_FUEL,K26,FR_YEAR,AP26-1)&gt;0,1,0)</f>
        <v/>
      </c>
      <c r="CJ26" s="4">
        <f>IF(N(AQ26)&gt;0,AP26*100+AQ26,IF(AND(CH26=1,CI26=1),(AP26-1)*100+1,AP26*100+1))</f>
        <v/>
      </c>
      <c r="CK26" s="3">
        <f>IF(OR(K26="hibrido",K26="glp",K26="gnc",K26="phev"),"ECO",IF(K26="electrico","CERO",IF(K26="gasolina",IF(CJ26&gt;=GAS_C_YM,"C",IF(CJ26&gt;=GAS_B_YM,"B","A")),IF(K26="diesel",IF(CJ26&gt;=DIE_C_YM,"C",IF(CJ26&gt;=DIE_B_YM,"B","A")),""))))</f>
        <v/>
      </c>
      <c r="CL26" s="2" t="inlineStr">
        <is>
          <t>C</t>
        </is>
      </c>
      <c r="CM26" s="4">
        <f>IF(AU26="sí","sí",IF(AS26="regla",IF(AND(N(AQ26)=0,CH26=1),"sí","no"),"no"))</f>
        <v/>
      </c>
      <c r="CN26" s="3">
        <f>IFERROR(VLOOKUP(F26,MOD_TBL,16,0),IFERROR(VLOOKUP(E26,OCU_TBL,2,0),NEUTRO))</f>
        <v/>
      </c>
      <c r="CO26" s="3">
        <f>SUMIFS(MOT_AJUSTE,MOT_MOTOR,G26,MOT_MARCA,E26,MOT_DESDE,"&lt;="&amp;M26,MOT_HASTA,"&gt;="&amp;M26)+SUMIFS(MOT_AJUSTE,MOT_MOTOR,G26,MOT_MARCA,"(todas)",MOT_DESDE,"&lt;="&amp;M26,MOT_HASTA,"&gt;="&amp;M26)+SUMIFS(MOT_AJUSTE,MOT_MOTOR,"(cualquiera)",MOT_MARCA,E26,MOT_DESDE,"&lt;="&amp;M26,MOT_HASTA,"&gt;="&amp;M26)</f>
        <v/>
      </c>
      <c r="CP26" s="3">
        <f>SUMIFS(COMB_AJUSTE,COMB_COMB,K26)</f>
        <v/>
      </c>
      <c r="CQ26" s="3">
        <f>COUNTIFS(MOT_MOTOR,G26,MOT_MARCA,E26,MOT_DESDE,"&lt;="&amp;M26,MOT_HASTA,"&gt;="&amp;M26)+COUNTIFS(MOT_MOTOR,G26,MOT_MARCA,"(todas)",MOT_DESDE,"&lt;="&amp;M26,MOT_HASTA,"&gt;="&amp;M26)+COUNTIFS(MOT_MOTOR,"(cualquiera)",MOT_MARCA,E26,MOT_DESDE,"&lt;="&amp;M26,MOT_HASTA,"&gt;="&amp;M26)</f>
        <v/>
      </c>
      <c r="CR26" s="3">
        <f>IF(AND(K26="diesel",CQ26=0),MIN(CN26,NEUTRO),CN26)</f>
        <v/>
      </c>
      <c r="CS26" s="3">
        <f>MAX(0,MIN(100,CR26+CO26+CP26-IF(AX26="sí",ROB_PEN,0)))</f>
        <v/>
      </c>
      <c r="CT26" s="3">
        <f>100-MAX(0,N26-KM_TOPE_DESDE)/1000*KM_TOPE_PTS</f>
        <v/>
      </c>
      <c r="CU26" s="3">
        <f>MAX(0,MIN(100,50+CG26*PRECIO_PEND,CT26))</f>
        <v/>
      </c>
      <c r="CV26" s="3">
        <f>MAX(0,100*(1-N26/KM_MAX))</f>
        <v/>
      </c>
      <c r="CW26" s="3">
        <f>IF(BX26&lt;KMA_SOSP,IF(AA26="sí",100,KMA_PEN),IF(BX26&lt;=KMA_IDEAL_MAX,100,MAX(0,100*(KMA_CERO-BX26)/(KMA_CERO-KMA_IDEAL_MAX))))</f>
        <v/>
      </c>
      <c r="CX26" s="3">
        <f>MAX(0,MIN(100,100*(M26-ANIO_MIN)/(ANIO_ACTUAL-ANIO_MIN)))</f>
        <v/>
      </c>
      <c r="CY26" s="3">
        <f>W_KMT*CV26+W_KMA*CW26+W_EDAD*CX26</f>
        <v/>
      </c>
      <c r="CZ26" s="4">
        <f>E26&amp;"|"&amp;G26</f>
        <v/>
      </c>
      <c r="DA26" s="3">
        <f>IFERROR(VLOOKUP(CZ26,DIST_TBL,2,0),"")</f>
        <v/>
      </c>
      <c r="DB26" s="3">
        <f>E_ITV*(V26="sí")+E_LIBRO*(W26="sí")+E_PROP*IF(Y26=1,1,IF(Y26=2,0.5,0))+E_CORREA*IF(OR(DA26="cadena",AND(X26="sí",BH26="sí")),1,IF(X26="sí",0.5,0))+E_FACT*(BI26="sí")</f>
        <v/>
      </c>
      <c r="DC26" s="3">
        <f>MAX(0,MIN(100,IFERROR(VLOOKUP(CL26,ETQ_TBL,2,0),0)-IF(CM26="sí",ETQ_PEN_DUD,IF(AS26="regla",ETQ_PEN_REGLA,0))))</f>
        <v/>
      </c>
      <c r="DD26" s="3">
        <f>IF(K26&lt;&gt;"gasolina","",IFERROR(VLOOKUP(F26,CONS_MOD_TBL,2,0),IFERROR(VLOOKUP(L26,CONS_SEG_TBL,2,0),"")))</f>
        <v/>
      </c>
      <c r="DE26" s="3">
        <f>IF(DD26="",NEUTRO,MAX(0,MIN(100,100*(CONS_REF_MAX-DD26)/(CONS_REF_MAX-CONS_REF_MIN))))</f>
        <v/>
      </c>
      <c r="DF26" s="3">
        <f>IFERROR(VLOOKUP(L26,SEGURO_TBL,3,0),"")</f>
        <v/>
      </c>
      <c r="DG26" s="3">
        <f>IF(DF26="",NEUTRO,MAX(0,MIN(100,100*(SEG_REF_MAX-DF26)/(SEG_REF_MAX-SEG_REF_MIN))))</f>
        <v/>
      </c>
      <c r="DH26" s="3">
        <f>IFERROR(VLOOKUP(E26,MANT_MARCA_TBL,2,0)+0,NEUTRO)</f>
        <v/>
      </c>
      <c r="DI26" s="3">
        <f>IF(DA26="",NEUTRO,IFERROR(VLOOKUP(DA26,DIST_PTS_TBL,2,0)+0,NEUTRO))</f>
        <v/>
      </c>
      <c r="DJ26" s="4">
        <f>(DH26+DI26)/2</f>
        <v/>
      </c>
      <c r="DK26" s="3">
        <f>W_CONS*DE26+W_SEG*DG26+W_MANT*DJ26</f>
        <v/>
      </c>
      <c r="DL26" s="3">
        <f>IF(N(AB26)&gt;0,AB26,IF(AND(R26="profesional",SG_LEGAL_ON=1),GAR_LEGAL,0))</f>
        <v/>
      </c>
      <c r="DM26" s="3">
        <f>MAX(0,MIN(100,SG_GAR*MIN(1,DL26/SG_GAR_FULL)+SG_AMPL*(AC26="sí")+SG_KMC*(AF26="sí")+SG_REV*(N(AE26)&gt;0)+SG_DEV*MIN(1,N(AG26)/SG_DEV_FULL)+SG_HIST*(W26="sí")-IF(AND(R26="particular",DL26=0),SG_PART_PEN,0)))</f>
        <v/>
      </c>
      <c r="DN26" s="3">
        <f>IF(BK26="",NEUTRO,MAX(0,MIN(100,BK26/5*100)))</f>
        <v/>
      </c>
      <c r="DO26" s="3">
        <f>IF(BL26="sí",100,IF(BL26="no",0,NEUTRO))</f>
        <v/>
      </c>
      <c r="DP26" s="3">
        <f>SV_W_NCAP*DN26+SV_W_ESP*DO26</f>
        <v/>
      </c>
      <c r="DQ26" s="3">
        <f>MAX(0,MIN(100,ATR_BASE+ATR_ACAB*(BD26&lt;&gt;"")+IF(BE26="16+",ATR_LL16,IF(BE26="sí",ATR_LL,0))+ATR_FAROS*(BF26="sí")+ATR_TINT*(BG26="sí")-ATR_CHAPA*(BE26="chapa")))</f>
        <v/>
      </c>
      <c r="DR26" s="3">
        <f>EST_W_MOD*(BB26-1)/4*100+EST_W_ATR*DQ26</f>
        <v/>
      </c>
      <c r="DS26" s="3">
        <f>IF(BA26="",NEUTRO,IFERROR(VLOOKUP(BA26,COLOR_TBL,2,0)+0,NEUTRO))</f>
        <v/>
      </c>
      <c r="DT26" s="3">
        <f>MAX(0,MIN(100,100*N(BM26)/RV_N_FULL))</f>
        <v/>
      </c>
      <c r="DU26" s="3">
        <f>IF(OR(BN26="",N(BO26)&lt;RV_DIAS_MIN),NEUTRO,MAX(0,MIN(100,100*(RV_DIAS_CERO-BN26)/(RV_DIAS_CERO-RV_DIAS_FULL))))</f>
        <v/>
      </c>
      <c r="DV26" s="3">
        <f>RV_W_LIQ*DT26+RV_W_DIAS*DU26+RV_W_ETQ*DC26</f>
        <v/>
      </c>
      <c r="DW26" s="3">
        <f>IFERROR(VLOOKUP(L26,CARR_PEN_TBL,2,0),0)</f>
        <v/>
      </c>
      <c r="DX26" s="3">
        <f>W_FIAB*CS26+W_PRECIO*CU26+W_KMEDAD*CY26+W_ESTADO*DB26+W_USO*DK26+W_SEGURIDAD*DM26+W_SEGVIAL*DP26+W_ESTETICA*DR26+W_COLOR*DS26+W_REVENTA*DV26-DW26-EG26</f>
        <v/>
      </c>
      <c r="DY26" s="4">
        <f>IF(N(I26)&gt;0,I26,IFERROR(ROUND(_xlfn.NUMBERVALUE(LEFT(G26,FIND(" ",G26&amp;" ")-1),".")*1000,0),99999))</f>
        <v/>
      </c>
      <c r="DZ26" s="3">
        <f>IF(R26="profesional",0,IF(O26&lt;CUOTA_VALOR_MAX,IF(BW26&gt;ITP_TRAMO_ALTO,SUMIFS(CF_CUOTA,CF_MAS,ITP_TRAMO_ALTO,CF_CCMIN,"&lt;="&amp;DY26,CF_CCMAX,"&gt;="&amp;DY26),IF(BW26&gt;ITP_TRAMO_BAJO,SUMIFS(CF_CUOTA,CF_MAS,ITP_TRAMO_BAJO,CF_CCMIN,"&lt;="&amp;DY26,CF_CCMAX,"&gt;="&amp;DY26),O26*ITP_TIPO)),O26*ITP_TIPO))</f>
        <v/>
      </c>
      <c r="EA26" s="4">
        <f>IF(R26="profesional",N(AK26),0)</f>
        <v/>
      </c>
      <c r="EB26" s="3">
        <f>IF(AND(R26="profesional",ISNUMBER(AK26),AL26="sí"),0,TASA_DGT)</f>
        <v/>
      </c>
      <c r="EC26" s="3">
        <f>INFORME_DGT</f>
        <v/>
      </c>
      <c r="ED26" s="4">
        <f>O26+EA26+DZ26+EB26+EC26</f>
        <v/>
      </c>
      <c r="EE26" s="4">
        <f>ED26+N(DF26)</f>
        <v/>
      </c>
      <c r="EF26" s="3">
        <f>MAX(0,ED26-TOTAL_MAX)</f>
        <v/>
      </c>
      <c r="EG26" s="3">
        <f>EF26/100*PEN_100</f>
        <v/>
      </c>
      <c r="EH26" s="3">
        <f>IF(R26="particular",ED26+IF(AND(DA26&lt;&gt;"cadena",X26&lt;&gt;"sí"),RES_CORREA,0)+IF(AND(BJ26&lt;&gt;"sí",BW26&gt;=RES_NEUM_EDAD),RES_NEUM,0),"")</f>
        <v/>
      </c>
      <c r="EI26" s="3">
        <f>IF(ED26&lt;=TOTAL_MAX,"sí",IF(ED26&lt;=TECHO,"negociar","no"))</f>
        <v/>
      </c>
      <c r="EJ26" s="4">
        <f>ROUND(DX26,9)</f>
        <v/>
      </c>
      <c r="EK26" s="4">
        <f>IF(EI26&lt;&gt;"no",SUMPRODUCT(($EI$2:$EI$209&lt;&gt;"no")*($EJ$2:$EJ$209&gt;EJ26))+SUMPRODUCT(($EI$2:EI26&lt;&gt;"no")*($EJ$2:EJ26=EJ26)),"")</f>
        <v/>
      </c>
    </row>
    <row r="27">
      <c r="A27" s="2" t="inlineStr">
        <is>
          <t>cochesnet:71678496</t>
        </is>
      </c>
      <c r="B27" s="2" t="inlineStr">
        <is>
          <t>cochesnet</t>
        </is>
      </c>
      <c r="C27" s="2" t="inlineStr">
        <is>
          <t>https://www.coches.net/chevrolet-cruze-16-ls-clima-4p-gasolina-2011-en-valencia-71678496-covo.aspx</t>
        </is>
      </c>
      <c r="D27" s="2" t="inlineStr">
        <is>
          <t>CHEVROLET Cruze 1.6 LS Clima</t>
        </is>
      </c>
      <c r="E27" s="2" t="inlineStr">
        <is>
          <t>Chevrolet</t>
        </is>
      </c>
      <c r="F27" s="2" t="inlineStr">
        <is>
          <t>Chevrolet Cruze</t>
        </is>
      </c>
      <c r="G27" s="2" t="inlineStr">
        <is>
          <t>1.6</t>
        </is>
      </c>
      <c r="H27" s="2" t="inlineStr">
        <is>
          <t>1.6 LS Clima</t>
        </is>
      </c>
      <c r="I27" s="2" t="n"/>
      <c r="J27" s="2" t="n"/>
      <c r="K27" s="2" t="inlineStr">
        <is>
          <t>gasolina</t>
        </is>
      </c>
      <c r="L27" s="2" t="inlineStr">
        <is>
          <t>compacto</t>
        </is>
      </c>
      <c r="M27" s="2" t="n">
        <v>2011</v>
      </c>
      <c r="N27" s="2" t="n">
        <v>205000</v>
      </c>
      <c r="O27" s="2" t="n">
        <v>3950</v>
      </c>
      <c r="P27" s="2" t="inlineStr">
        <is>
          <t>manual</t>
        </is>
      </c>
      <c r="Q27" s="2" t="inlineStr">
        <is>
          <t>no</t>
        </is>
      </c>
      <c r="R27" s="2" t="inlineStr">
        <is>
          <t>profesional</t>
        </is>
      </c>
      <c r="S27" s="2" t="inlineStr">
        <is>
          <t>NRGCARS La Pobla de Vallbona</t>
        </is>
      </c>
      <c r="T27" s="2" t="inlineStr">
        <is>
          <t>2026-10-05T18:04:21Z</t>
        </is>
      </c>
      <c r="U27" s="2" t="n">
        <v>13</v>
      </c>
      <c r="V27" s="2" t="inlineStr">
        <is>
          <t>sí</t>
        </is>
      </c>
      <c r="W27" s="2" t="n"/>
      <c r="X27" s="2" t="n"/>
      <c r="Y27" s="2" t="n"/>
      <c r="Z27" s="2" t="inlineStr">
        <is>
          <t>sí</t>
        </is>
      </c>
      <c r="AA27" s="2" t="n"/>
      <c r="AB27" s="2" t="n">
        <v>12</v>
      </c>
      <c r="AC27" s="2" t="n"/>
      <c r="AD27" s="2" t="n"/>
      <c r="AE27" s="2" t="n"/>
      <c r="AF27" s="2" t="n"/>
      <c r="AG27" s="2" t="n"/>
      <c r="AH27" s="2" t="n">
        <v>3950</v>
      </c>
      <c r="AI27" s="2" t="n">
        <v>3950</v>
      </c>
      <c r="AJ27" s="2" t="n"/>
      <c r="AK27" s="2" t="n"/>
      <c r="AL27" s="2" t="n"/>
      <c r="AM27" s="2" t="n">
        <v>20.8</v>
      </c>
      <c r="AN27" s="2" t="n"/>
      <c r="AO27" s="2" t="inlineStr">
        <is>
          <t>2011</t>
        </is>
      </c>
      <c r="AP27" s="2" t="n">
        <v>2011</v>
      </c>
      <c r="AQ27" s="2" t="n"/>
      <c r="AR27" s="2" t="n"/>
      <c r="AS27" s="2" t="inlineStr">
        <is>
          <t>regla</t>
        </is>
      </c>
      <c r="AT27" s="2" t="n"/>
      <c r="AU27" s="2" t="inlineStr">
        <is>
          <t>no</t>
        </is>
      </c>
      <c r="AV27" s="2" t="inlineStr">
        <is>
          <t>C</t>
        </is>
      </c>
      <c r="AW27" s="2" t="n"/>
      <c r="AX27" s="2" t="inlineStr">
        <is>
          <t>no</t>
        </is>
      </c>
      <c r="AY27" s="2" t="inlineStr">
        <is>
          <t>no</t>
        </is>
      </c>
      <c r="AZ27" s="2" t="inlineStr">
        <is>
          <t>COMMON.COLOR_WHITE</t>
        </is>
      </c>
      <c r="BA27" s="2" t="inlineStr">
        <is>
          <t>blanco</t>
        </is>
      </c>
      <c r="BB27" s="3" t="n">
        <v>3</v>
      </c>
      <c r="BC27" s="3" t="inlineStr">
        <is>
          <t>(por segmento)</t>
        </is>
      </c>
      <c r="BD27" s="2" t="n"/>
      <c r="BE27" s="2" t="n"/>
      <c r="BF27" s="2" t="n"/>
      <c r="BG27" s="2" t="n"/>
      <c r="BH27" s="2" t="n"/>
      <c r="BI27" s="2" t="n"/>
      <c r="BJ27" s="2" t="n"/>
      <c r="BK27" s="2" t="n"/>
      <c r="BL27" s="2" t="n"/>
      <c r="BM27" s="2" t="n">
        <v>26</v>
      </c>
      <c r="BN27" s="2" t="n"/>
      <c r="BO27" s="2" t="n">
        <v>0</v>
      </c>
      <c r="BP27" s="2" t="n">
        <v>3100</v>
      </c>
      <c r="BQ27" s="2" t="n">
        <v>6</v>
      </c>
      <c r="BR27" s="2" t="inlineStr">
        <is>
          <t>modelo+año+km</t>
        </is>
      </c>
      <c r="BS27" s="2" t="n"/>
      <c r="BT27" s="2" t="inlineStr">
        <is>
          <t>vendedor profesional: sin ITP (operación con IVA/REBU, confirmar en factura); gastos de gestión del vendedor no indicados: se suma la tasa DGT; preguntar el precio final; Euro NCAP de la generación PENDIENTE (seguridad neutra); etiqueta C deducida por fecha (sin matrícula ni dato del anuncio); fiabilidad del modelo PENDIENTE de fuente (puntuación neutra)</t>
        </is>
      </c>
      <c r="BU27" s="2" t="inlineStr">
        <is>
          <t xml:space="preserve">ITV EN VIGOR
RECIEN REVISADO
ACEPTO VEHÍCULO COMO PARTE DE PAGO 
EMBRAGUE RECIEN CAMBIADO </t>
        </is>
      </c>
      <c r="BV27" s="2" t="inlineStr">
        <is>
          <t>https://www.coches.net/chevrolet-cruze-16-ls-clima-4p-gasolina-2011-en-valencia-71678496-covo.aspx (window.__INITIAL_PROPS__.ad) /home/user/Alopecia/buscador-coches/raw/cochesnet/84c294324eca9271.json</t>
        </is>
      </c>
      <c r="BW27" s="3">
        <f>MAX(ANIO_ACTUAL-M27,0)</f>
        <v/>
      </c>
      <c r="BX27" s="4">
        <f>N27/MAX(BW27,0.5)</f>
        <v/>
      </c>
      <c r="BY27" s="4">
        <f>F27</f>
        <v/>
      </c>
      <c r="BZ27" s="3">
        <f>BY27&amp;"|"&amp;INT(M27/SEG_ANIO)*SEG_ANIO</f>
        <v/>
      </c>
      <c r="CA27" s="3">
        <f>BZ27&amp;"|"&amp;INT(N27/SEG_KM)*SEG_KM</f>
        <v/>
      </c>
      <c r="CB27" s="4">
        <f>COUNTIF($BY$2:$BY$209,BY27)</f>
        <v/>
      </c>
      <c r="CC27" s="4">
        <f>COUNTIF($BZ$2:$BZ$209,BZ27)</f>
        <v/>
      </c>
      <c r="CD27" s="4">
        <f>COUNTIF($CA$2:$CA$209,CA27)</f>
        <v/>
      </c>
      <c r="CE27" s="3">
        <f t="array" ref="CE27">IF(N(BQ27)&gt;=MIN_N,BP27,IF(CD27&gt;=MIN_N,MEDIAN(IF($CA$2:$CA$209=CA27,$O$2:$O$209)),IF(CC27&gt;=MIN_N,MEDIAN(IF($BZ$2:$BZ$209=BZ27,$O$2:$O$209)),MEDIAN(IF($BY$2:$BY$209=BY27,$O$2:$O$209)))))</f>
        <v/>
      </c>
      <c r="CF27" s="3">
        <f>IF(N(BQ27)&gt;=MIN_N,"mercado "&amp;BR27,IF(CD27&gt;=MIN_N,"modelo+año+km",IF(CC27&gt;=MIN_N,"modelo+año","modelo")))</f>
        <v/>
      </c>
      <c r="CG27" s="4">
        <f>(CE27-O27)/CE27</f>
        <v/>
      </c>
      <c r="CH27" s="3">
        <f>IF(COUNTIFS(FR_FUEL,K27,FR_YEAR,AP27)&gt;0,1,0)</f>
        <v/>
      </c>
      <c r="CI27" s="3">
        <f>IF(COUNTIFS(FR_FUEL,K27,FR_YEAR,AP27-1)&gt;0,1,0)</f>
        <v/>
      </c>
      <c r="CJ27" s="4">
        <f>IF(N(AQ27)&gt;0,AP27*100+AQ27,IF(AND(CH27=1,CI27=1),(AP27-1)*100+1,AP27*100+1))</f>
        <v/>
      </c>
      <c r="CK27" s="3">
        <f>IF(OR(K27="hibrido",K27="glp",K27="gnc",K27="phev"),"ECO",IF(K27="electrico","CERO",IF(K27="gasolina",IF(CJ27&gt;=GAS_C_YM,"C",IF(CJ27&gt;=GAS_B_YM,"B","A")),IF(K27="diesel",IF(CJ27&gt;=DIE_C_YM,"C",IF(CJ27&gt;=DIE_B_YM,"B","A")),""))))</f>
        <v/>
      </c>
      <c r="CL27" s="4">
        <f>CK27</f>
        <v/>
      </c>
      <c r="CM27" s="4">
        <f>IF(AU27="sí","sí",IF(AS27="regla",IF(AND(N(AQ27)=0,CH27=1),"sí","no"),"no"))</f>
        <v/>
      </c>
      <c r="CN27" s="3">
        <f>IFERROR(VLOOKUP(F27,MOD_TBL,16,0),IFERROR(VLOOKUP(E27,OCU_TBL,2,0),NEUTRO))</f>
        <v/>
      </c>
      <c r="CO27" s="3">
        <f>SUMIFS(MOT_AJUSTE,MOT_MOTOR,G27,MOT_MARCA,E27,MOT_DESDE,"&lt;="&amp;M27,MOT_HASTA,"&gt;="&amp;M27)+SUMIFS(MOT_AJUSTE,MOT_MOTOR,G27,MOT_MARCA,"(todas)",MOT_DESDE,"&lt;="&amp;M27,MOT_HASTA,"&gt;="&amp;M27)+SUMIFS(MOT_AJUSTE,MOT_MOTOR,"(cualquiera)",MOT_MARCA,E27,MOT_DESDE,"&lt;="&amp;M27,MOT_HASTA,"&gt;="&amp;M27)</f>
        <v/>
      </c>
      <c r="CP27" s="3">
        <f>SUMIFS(COMB_AJUSTE,COMB_COMB,K27)</f>
        <v/>
      </c>
      <c r="CQ27" s="3">
        <f>COUNTIFS(MOT_MOTOR,G27,MOT_MARCA,E27,MOT_DESDE,"&lt;="&amp;M27,MOT_HASTA,"&gt;="&amp;M27)+COUNTIFS(MOT_MOTOR,G27,MOT_MARCA,"(todas)",MOT_DESDE,"&lt;="&amp;M27,MOT_HASTA,"&gt;="&amp;M27)+COUNTIFS(MOT_MOTOR,"(cualquiera)",MOT_MARCA,E27,MOT_DESDE,"&lt;="&amp;M27,MOT_HASTA,"&gt;="&amp;M27)</f>
        <v/>
      </c>
      <c r="CR27" s="3">
        <f>IF(AND(K27="diesel",CQ27=0),MIN(CN27,NEUTRO),CN27)</f>
        <v/>
      </c>
      <c r="CS27" s="3">
        <f>MAX(0,MIN(100,CR27+CO27+CP27-IF(AX27="sí",ROB_PEN,0)))</f>
        <v/>
      </c>
      <c r="CT27" s="3">
        <f>100-MAX(0,N27-KM_TOPE_DESDE)/1000*KM_TOPE_PTS</f>
        <v/>
      </c>
      <c r="CU27" s="3">
        <f>MAX(0,MIN(100,50+CG27*PRECIO_PEND,CT27))</f>
        <v/>
      </c>
      <c r="CV27" s="3">
        <f>MAX(0,100*(1-N27/KM_MAX))</f>
        <v/>
      </c>
      <c r="CW27" s="3">
        <f>IF(BX27&lt;KMA_SOSP,IF(AA27="sí",100,KMA_PEN),IF(BX27&lt;=KMA_IDEAL_MAX,100,MAX(0,100*(KMA_CERO-BX27)/(KMA_CERO-KMA_IDEAL_MAX))))</f>
        <v/>
      </c>
      <c r="CX27" s="3">
        <f>MAX(0,MIN(100,100*(M27-ANIO_MIN)/(ANIO_ACTUAL-ANIO_MIN)))</f>
        <v/>
      </c>
      <c r="CY27" s="3">
        <f>W_KMT*CV27+W_KMA*CW27+W_EDAD*CX27</f>
        <v/>
      </c>
      <c r="CZ27" s="4">
        <f>E27&amp;"|"&amp;G27</f>
        <v/>
      </c>
      <c r="DA27" s="3">
        <f>IFERROR(VLOOKUP(CZ27,DIST_TBL,2,0),"")</f>
        <v/>
      </c>
      <c r="DB27" s="3">
        <f>E_ITV*(V27="sí")+E_LIBRO*(W27="sí")+E_PROP*IF(Y27=1,1,IF(Y27=2,0.5,0))+E_CORREA*IF(OR(DA27="cadena",AND(X27="sí",BH27="sí")),1,IF(X27="sí",0.5,0))+E_FACT*(BI27="sí")</f>
        <v/>
      </c>
      <c r="DC27" s="3">
        <f>MAX(0,MIN(100,IFERROR(VLOOKUP(CL27,ETQ_TBL,2,0),0)-IF(CM27="sí",ETQ_PEN_DUD,IF(AS27="regla",ETQ_PEN_REGLA,0))))</f>
        <v/>
      </c>
      <c r="DD27" s="3">
        <f>IF(K27&lt;&gt;"gasolina","",IFERROR(VLOOKUP(F27,CONS_MOD_TBL,2,0),IFERROR(VLOOKUP(L27,CONS_SEG_TBL,2,0),"")))</f>
        <v/>
      </c>
      <c r="DE27" s="3">
        <f>IF(DD27="",NEUTRO,MAX(0,MIN(100,100*(CONS_REF_MAX-DD27)/(CONS_REF_MAX-CONS_REF_MIN))))</f>
        <v/>
      </c>
      <c r="DF27" s="3">
        <f>IFERROR(VLOOKUP(L27,SEGURO_TBL,3,0),"")</f>
        <v/>
      </c>
      <c r="DG27" s="3">
        <f>IF(DF27="",NEUTRO,MAX(0,MIN(100,100*(SEG_REF_MAX-DF27)/(SEG_REF_MAX-SEG_REF_MIN))))</f>
        <v/>
      </c>
      <c r="DH27" s="3">
        <f>IFERROR(VLOOKUP(E27,MANT_MARCA_TBL,2,0)+0,NEUTRO)</f>
        <v/>
      </c>
      <c r="DI27" s="3">
        <f>IF(DA27="",NEUTRO,IFERROR(VLOOKUP(DA27,DIST_PTS_TBL,2,0)+0,NEUTRO))</f>
        <v/>
      </c>
      <c r="DJ27" s="4">
        <f>(DH27+DI27)/2</f>
        <v/>
      </c>
      <c r="DK27" s="3">
        <f>W_CONS*DE27+W_SEG*DG27+W_MANT*DJ27</f>
        <v/>
      </c>
      <c r="DL27" s="3">
        <f>IF(N(AB27)&gt;0,AB27,IF(AND(R27="profesional",SG_LEGAL_ON=1),GAR_LEGAL,0))</f>
        <v/>
      </c>
      <c r="DM27" s="3">
        <f>MAX(0,MIN(100,SG_GAR*MIN(1,DL27/SG_GAR_FULL)+SG_AMPL*(AC27="sí")+SG_KMC*(AF27="sí")+SG_REV*(N(AE27)&gt;0)+SG_DEV*MIN(1,N(AG27)/SG_DEV_FULL)+SG_HIST*(W27="sí")-IF(AND(R27="particular",DL27=0),SG_PART_PEN,0)))</f>
        <v/>
      </c>
      <c r="DN27" s="3">
        <f>IF(BK27="",NEUTRO,MAX(0,MIN(100,BK27/5*100)))</f>
        <v/>
      </c>
      <c r="DO27" s="3">
        <f>IF(BL27="sí",100,IF(BL27="no",0,NEUTRO))</f>
        <v/>
      </c>
      <c r="DP27" s="3">
        <f>SV_W_NCAP*DN27+SV_W_ESP*DO27</f>
        <v/>
      </c>
      <c r="DQ27" s="3">
        <f>MAX(0,MIN(100,ATR_BASE+ATR_ACAB*(BD27&lt;&gt;"")+IF(BE27="16+",ATR_LL16,IF(BE27="sí",ATR_LL,0))+ATR_FAROS*(BF27="sí")+ATR_TINT*(BG27="sí")-ATR_CHAPA*(BE27="chapa")))</f>
        <v/>
      </c>
      <c r="DR27" s="3">
        <f>EST_W_MOD*(BB27-1)/4*100+EST_W_ATR*DQ27</f>
        <v/>
      </c>
      <c r="DS27" s="3">
        <f>IF(BA27="",NEUTRO,IFERROR(VLOOKUP(BA27,COLOR_TBL,2,0)+0,NEUTRO))</f>
        <v/>
      </c>
      <c r="DT27" s="3">
        <f>MAX(0,MIN(100,100*N(BM27)/RV_N_FULL))</f>
        <v/>
      </c>
      <c r="DU27" s="3">
        <f>IF(OR(BN27="",N(BO27)&lt;RV_DIAS_MIN),NEUTRO,MAX(0,MIN(100,100*(RV_DIAS_CERO-BN27)/(RV_DIAS_CERO-RV_DIAS_FULL))))</f>
        <v/>
      </c>
      <c r="DV27" s="3">
        <f>RV_W_LIQ*DT27+RV_W_DIAS*DU27+RV_W_ETQ*DC27</f>
        <v/>
      </c>
      <c r="DW27" s="3">
        <f>IFERROR(VLOOKUP(L27,CARR_PEN_TBL,2,0),0)</f>
        <v/>
      </c>
      <c r="DX27" s="3">
        <f>W_FIAB*CS27+W_PRECIO*CU27+W_KMEDAD*CY27+W_ESTADO*DB27+W_USO*DK27+W_SEGURIDAD*DM27+W_SEGVIAL*DP27+W_ESTETICA*DR27+W_COLOR*DS27+W_REVENTA*DV27-DW27-EG27</f>
        <v/>
      </c>
      <c r="DY27" s="4">
        <f>IF(N(I27)&gt;0,I27,IFERROR(ROUND(_xlfn.NUMBERVALUE(LEFT(G27,FIND(" ",G27&amp;" ")-1),".")*1000,0),99999))</f>
        <v/>
      </c>
      <c r="DZ27" s="3">
        <f>IF(R27="profesional",0,IF(O27&lt;CUOTA_VALOR_MAX,IF(BW27&gt;ITP_TRAMO_ALTO,SUMIFS(CF_CUOTA,CF_MAS,ITP_TRAMO_ALTO,CF_CCMIN,"&lt;="&amp;DY27,CF_CCMAX,"&gt;="&amp;DY27),IF(BW27&gt;ITP_TRAMO_BAJO,SUMIFS(CF_CUOTA,CF_MAS,ITP_TRAMO_BAJO,CF_CCMIN,"&lt;="&amp;DY27,CF_CCMAX,"&gt;="&amp;DY27),O27*ITP_TIPO)),O27*ITP_TIPO))</f>
        <v/>
      </c>
      <c r="EA27" s="4">
        <f>IF(R27="profesional",N(AK27),0)</f>
        <v/>
      </c>
      <c r="EB27" s="3">
        <f>IF(AND(R27="profesional",ISNUMBER(AK27),AL27="sí"),0,TASA_DGT)</f>
        <v/>
      </c>
      <c r="EC27" s="3">
        <f>INFORME_DGT</f>
        <v/>
      </c>
      <c r="ED27" s="4">
        <f>O27+EA27+DZ27+EB27+EC27</f>
        <v/>
      </c>
      <c r="EE27" s="4">
        <f>ED27+N(DF27)</f>
        <v/>
      </c>
      <c r="EF27" s="3">
        <f>MAX(0,ED27-TOTAL_MAX)</f>
        <v/>
      </c>
      <c r="EG27" s="3">
        <f>EF27/100*PEN_100</f>
        <v/>
      </c>
      <c r="EH27" s="3">
        <f>IF(R27="particular",ED27+IF(AND(DA27&lt;&gt;"cadena",X27&lt;&gt;"sí"),RES_CORREA,0)+IF(AND(BJ27&lt;&gt;"sí",BW27&gt;=RES_NEUM_EDAD),RES_NEUM,0),"")</f>
        <v/>
      </c>
      <c r="EI27" s="3">
        <f>IF(ED27&lt;=TOTAL_MAX,"sí",IF(ED27&lt;=TECHO,"negociar","no"))</f>
        <v/>
      </c>
      <c r="EJ27" s="4">
        <f>ROUND(DX27,9)</f>
        <v/>
      </c>
      <c r="EK27" s="4">
        <f>IF(EI27&lt;&gt;"no",SUMPRODUCT(($EI$2:$EI$209&lt;&gt;"no")*($EJ$2:$EJ$209&gt;EJ27))+SUMPRODUCT(($EI$2:EI27&lt;&gt;"no")*($EJ$2:EJ27=EJ27)),"")</f>
        <v/>
      </c>
    </row>
    <row r="28">
      <c r="A28" s="2" t="inlineStr">
        <is>
          <t>ocasionplus:b1himqaq</t>
        </is>
      </c>
      <c r="B28" s="2" t="inlineStr">
        <is>
          <t>ocasionplus</t>
        </is>
      </c>
      <c r="C28" s="2" t="inlineStr">
        <is>
          <t>https://www.ocasionplus.com/coches-segunda-mano/lancia-ypsilon-14-8v-platino-con-126555km-2007-b1himqaq</t>
        </is>
      </c>
      <c r="D28" s="2" t="inlineStr">
        <is>
          <t>Lancia Ypsilon 1.4 8v Platino (77 CV)</t>
        </is>
      </c>
      <c r="E28" s="2" t="inlineStr">
        <is>
          <t>Lancia</t>
        </is>
      </c>
      <c r="F28" s="2" t="inlineStr">
        <is>
          <t>Lancia Ypsilon</t>
        </is>
      </c>
      <c r="G28" s="2" t="inlineStr">
        <is>
          <t>1.4</t>
        </is>
      </c>
      <c r="H28" s="2" t="inlineStr">
        <is>
          <t>Lancia Ypsilon 1.4 8v Platino (77 CV)</t>
        </is>
      </c>
      <c r="I28" s="2" t="n">
        <v>1368</v>
      </c>
      <c r="J28" s="2" t="n">
        <v>77</v>
      </c>
      <c r="K28" s="2" t="inlineStr">
        <is>
          <t>gasolina</t>
        </is>
      </c>
      <c r="L28" s="2" t="inlineStr">
        <is>
          <t>compacto</t>
        </is>
      </c>
      <c r="M28" s="2" t="n">
        <v>2007</v>
      </c>
      <c r="N28" s="2" t="n">
        <v>126555</v>
      </c>
      <c r="O28" s="2" t="n">
        <v>4490</v>
      </c>
      <c r="P28" s="2" t="inlineStr">
        <is>
          <t>manual</t>
        </is>
      </c>
      <c r="Q28" s="2" t="inlineStr">
        <is>
          <t>no</t>
        </is>
      </c>
      <c r="R28" s="2" t="inlineStr">
        <is>
          <t>profesional</t>
        </is>
      </c>
      <c r="S28" s="2" t="inlineStr">
        <is>
          <t>Valencia - Paterna (Paterna, 46980)</t>
        </is>
      </c>
      <c r="T28" s="2" t="inlineStr">
        <is>
          <t>2026-10-26T00:00:00.000Z</t>
        </is>
      </c>
      <c r="U28" s="2" t="n">
        <v>32</v>
      </c>
      <c r="V28" s="2" t="inlineStr">
        <is>
          <t>sí</t>
        </is>
      </c>
      <c r="W28" s="2" t="inlineStr">
        <is>
          <t>sí</t>
        </is>
      </c>
      <c r="X28" s="2" t="n"/>
      <c r="Y28" s="2" t="n">
        <v>0</v>
      </c>
      <c r="Z28" s="2" t="inlineStr">
        <is>
          <t>sí</t>
        </is>
      </c>
      <c r="AA28" s="2" t="n"/>
      <c r="AB28" s="2" t="n">
        <v>12</v>
      </c>
      <c r="AC28" s="2" t="inlineStr">
        <is>
          <t>sí</t>
        </is>
      </c>
      <c r="AD28" s="2" t="n">
        <v>500</v>
      </c>
      <c r="AE28" s="2" t="n">
        <v>200</v>
      </c>
      <c r="AF28" s="2" t="inlineStr">
        <is>
          <t>sí</t>
        </is>
      </c>
      <c r="AG28" s="2" t="n"/>
      <c r="AH28" s="2" t="n">
        <v>4490</v>
      </c>
      <c r="AI28" s="2" t="n">
        <v>4490</v>
      </c>
      <c r="AJ28" s="2" t="inlineStr">
        <is>
          <t>no</t>
        </is>
      </c>
      <c r="AK28" s="2" t="n">
        <v>350</v>
      </c>
      <c r="AL28" s="2" t="inlineStr">
        <is>
          <t>sí</t>
        </is>
      </c>
      <c r="AM28" s="2" t="n">
        <v>5.9</v>
      </c>
      <c r="AN28" s="2" t="inlineStr">
        <is>
          <t>8775FTG</t>
        </is>
      </c>
      <c r="AO28" s="2" t="inlineStr">
        <is>
          <t>2007-07-26</t>
        </is>
      </c>
      <c r="AP28" s="2" t="n">
        <v>2007</v>
      </c>
      <c r="AQ28" s="2" t="n">
        <v>7</v>
      </c>
      <c r="AR28" s="2" t="inlineStr">
        <is>
          <t>C</t>
        </is>
      </c>
      <c r="AS28" s="2" t="inlineStr">
        <is>
          <t>DGT</t>
        </is>
      </c>
      <c r="AT28" s="2" t="n"/>
      <c r="AU28" s="2" t="inlineStr">
        <is>
          <t>no</t>
        </is>
      </c>
      <c r="AV28" s="2" t="inlineStr">
        <is>
          <t>C</t>
        </is>
      </c>
      <c r="AW28" s="2" t="n"/>
      <c r="AX28" s="2" t="inlineStr">
        <is>
          <t>no</t>
        </is>
      </c>
      <c r="AY28" s="2" t="inlineStr">
        <is>
          <t>no</t>
        </is>
      </c>
      <c r="AZ28" s="2" t="inlineStr">
        <is>
          <t>Beige</t>
        </is>
      </c>
      <c r="BA28" s="2" t="inlineStr">
        <is>
          <t>beige</t>
        </is>
      </c>
      <c r="BB28" s="3" t="n">
        <v>3</v>
      </c>
      <c r="BC28" s="3" t="inlineStr">
        <is>
          <t>(por segmento)</t>
        </is>
      </c>
      <c r="BD28" s="2" t="n"/>
      <c r="BE28" s="2" t="inlineStr">
        <is>
          <t>chapa</t>
        </is>
      </c>
      <c r="BF28" s="2" t="n"/>
      <c r="BG28" s="2" t="inlineStr">
        <is>
          <t>sí</t>
        </is>
      </c>
      <c r="BH28" s="2" t="n"/>
      <c r="BI28" s="2" t="n"/>
      <c r="BJ28" s="2" t="n"/>
      <c r="BK28" s="2" t="n"/>
      <c r="BL28" s="2" t="n"/>
      <c r="BM28" s="2" t="n">
        <v>0</v>
      </c>
      <c r="BN28" s="2" t="n"/>
      <c r="BO28" s="2" t="n">
        <v>0</v>
      </c>
      <c r="BP28" s="2" t="n"/>
      <c r="BQ28" s="2" t="n"/>
      <c r="BR28" s="2" t="n"/>
      <c r="BS28" s="2" t="n"/>
      <c r="BT28" s="2" t="inlineStr">
        <is>
          <t>vendedor profesional: sin ITP (operación con IVA/REBU, confirmar en factura); Euro NCAP de la generación PENDIENTE (seguridad neutra); revisar: no menciona la ITV; fiabilidad del modelo PENDIENTE de fuente (puntuación neutra); mediana con solo 1 anuncio(s)</t>
        </is>
      </c>
      <c r="BU28" s="2" t="inlineStr">
        <is>
          <t>Lancia Ypsilon 1.4 8v Platino (77 CV)</t>
        </is>
      </c>
      <c r="BV28" s="2" t="inlineStr">
        <is>
          <t>https://www.ocasionplus.com/coches-segunda-mano/lancia-ypsilon-14-8v-platino-con-126555km-2007-b1himqaq (payload RSC 'vehicle') /home/user/Alopecia/buscador-coches/raw/ocasionplus/3299778c56e8c9aa.json</t>
        </is>
      </c>
      <c r="BW28" s="3">
        <f>MAX(ANIO_ACTUAL-M28,0)</f>
        <v/>
      </c>
      <c r="BX28" s="4">
        <f>N28/MAX(BW28,0.5)</f>
        <v/>
      </c>
      <c r="BY28" s="4">
        <f>F28</f>
        <v/>
      </c>
      <c r="BZ28" s="3">
        <f>BY28&amp;"|"&amp;INT(M28/SEG_ANIO)*SEG_ANIO</f>
        <v/>
      </c>
      <c r="CA28" s="3">
        <f>BZ28&amp;"|"&amp;INT(N28/SEG_KM)*SEG_KM</f>
        <v/>
      </c>
      <c r="CB28" s="4">
        <f>COUNTIF($BY$2:$BY$209,BY28)</f>
        <v/>
      </c>
      <c r="CC28" s="4">
        <f>COUNTIF($BZ$2:$BZ$209,BZ28)</f>
        <v/>
      </c>
      <c r="CD28" s="4">
        <f>COUNTIF($CA$2:$CA$209,CA28)</f>
        <v/>
      </c>
      <c r="CE28" s="3">
        <f t="array" ref="CE28">IF(N(BQ28)&gt;=MIN_N,BP28,IF(CD28&gt;=MIN_N,MEDIAN(IF($CA$2:$CA$209=CA28,$O$2:$O$209)),IF(CC28&gt;=MIN_N,MEDIAN(IF($BZ$2:$BZ$209=BZ28,$O$2:$O$209)),MEDIAN(IF($BY$2:$BY$209=BY28,$O$2:$O$209)))))</f>
        <v/>
      </c>
      <c r="CF28" s="3">
        <f>IF(N(BQ28)&gt;=MIN_N,"mercado "&amp;BR28,IF(CD28&gt;=MIN_N,"modelo+año+km",IF(CC28&gt;=MIN_N,"modelo+año","modelo")))</f>
        <v/>
      </c>
      <c r="CG28" s="4">
        <f>(CE28-O28)/CE28</f>
        <v/>
      </c>
      <c r="CH28" s="3">
        <f>IF(COUNTIFS(FR_FUEL,K28,FR_YEAR,AP28)&gt;0,1,0)</f>
        <v/>
      </c>
      <c r="CI28" s="3">
        <f>IF(COUNTIFS(FR_FUEL,K28,FR_YEAR,AP28-1)&gt;0,1,0)</f>
        <v/>
      </c>
      <c r="CJ28" s="4">
        <f>IF(N(AQ28)&gt;0,AP28*100+AQ28,IF(AND(CH28=1,CI28=1),(AP28-1)*100+1,AP28*100+1))</f>
        <v/>
      </c>
      <c r="CK28" s="3">
        <f>IF(OR(K28="hibrido",K28="glp",K28="gnc",K28="phev"),"ECO",IF(K28="electrico","CERO",IF(K28="gasolina",IF(CJ28&gt;=GAS_C_YM,"C",IF(CJ28&gt;=GAS_B_YM,"B","A")),IF(K28="diesel",IF(CJ28&gt;=DIE_C_YM,"C",IF(CJ28&gt;=DIE_B_YM,"B","A")),""))))</f>
        <v/>
      </c>
      <c r="CL28" s="2" t="inlineStr">
        <is>
          <t>C</t>
        </is>
      </c>
      <c r="CM28" s="4">
        <f>IF(AU28="sí","sí",IF(AS28="regla",IF(AND(N(AQ28)=0,CH28=1),"sí","no"),"no"))</f>
        <v/>
      </c>
      <c r="CN28" s="3">
        <f>IFERROR(VLOOKUP(F28,MOD_TBL,16,0),IFERROR(VLOOKUP(E28,OCU_TBL,2,0),NEUTRO))</f>
        <v/>
      </c>
      <c r="CO28" s="3">
        <f>SUMIFS(MOT_AJUSTE,MOT_MOTOR,G28,MOT_MARCA,E28,MOT_DESDE,"&lt;="&amp;M28,MOT_HASTA,"&gt;="&amp;M28)+SUMIFS(MOT_AJUSTE,MOT_MOTOR,G28,MOT_MARCA,"(todas)",MOT_DESDE,"&lt;="&amp;M28,MOT_HASTA,"&gt;="&amp;M28)+SUMIFS(MOT_AJUSTE,MOT_MOTOR,"(cualquiera)",MOT_MARCA,E28,MOT_DESDE,"&lt;="&amp;M28,MOT_HASTA,"&gt;="&amp;M28)</f>
        <v/>
      </c>
      <c r="CP28" s="3">
        <f>SUMIFS(COMB_AJUSTE,COMB_COMB,K28)</f>
        <v/>
      </c>
      <c r="CQ28" s="3">
        <f>COUNTIFS(MOT_MOTOR,G28,MOT_MARCA,E28,MOT_DESDE,"&lt;="&amp;M28,MOT_HASTA,"&gt;="&amp;M28)+COUNTIFS(MOT_MOTOR,G28,MOT_MARCA,"(todas)",MOT_DESDE,"&lt;="&amp;M28,MOT_HASTA,"&gt;="&amp;M28)+COUNTIFS(MOT_MOTOR,"(cualquiera)",MOT_MARCA,E28,MOT_DESDE,"&lt;="&amp;M28,MOT_HASTA,"&gt;="&amp;M28)</f>
        <v/>
      </c>
      <c r="CR28" s="3">
        <f>IF(AND(K28="diesel",CQ28=0),MIN(CN28,NEUTRO),CN28)</f>
        <v/>
      </c>
      <c r="CS28" s="3">
        <f>MAX(0,MIN(100,CR28+CO28+CP28-IF(AX28="sí",ROB_PEN,0)))</f>
        <v/>
      </c>
      <c r="CT28" s="3">
        <f>100-MAX(0,N28-KM_TOPE_DESDE)/1000*KM_TOPE_PTS</f>
        <v/>
      </c>
      <c r="CU28" s="3">
        <f>MAX(0,MIN(100,50+CG28*PRECIO_PEND,CT28))</f>
        <v/>
      </c>
      <c r="CV28" s="3">
        <f>MAX(0,100*(1-N28/KM_MAX))</f>
        <v/>
      </c>
      <c r="CW28" s="3">
        <f>IF(BX28&lt;KMA_SOSP,IF(AA28="sí",100,KMA_PEN),IF(BX28&lt;=KMA_IDEAL_MAX,100,MAX(0,100*(KMA_CERO-BX28)/(KMA_CERO-KMA_IDEAL_MAX))))</f>
        <v/>
      </c>
      <c r="CX28" s="3">
        <f>MAX(0,MIN(100,100*(M28-ANIO_MIN)/(ANIO_ACTUAL-ANIO_MIN)))</f>
        <v/>
      </c>
      <c r="CY28" s="3">
        <f>W_KMT*CV28+W_KMA*CW28+W_EDAD*CX28</f>
        <v/>
      </c>
      <c r="CZ28" s="4">
        <f>E28&amp;"|"&amp;G28</f>
        <v/>
      </c>
      <c r="DA28" s="3">
        <f>IFERROR(VLOOKUP(CZ28,DIST_TBL,2,0),"")</f>
        <v/>
      </c>
      <c r="DB28" s="3">
        <f>E_ITV*(V28="sí")+E_LIBRO*(W28="sí")+E_PROP*IF(Y28=1,1,IF(Y28=2,0.5,0))+E_CORREA*IF(OR(DA28="cadena",AND(X28="sí",BH28="sí")),1,IF(X28="sí",0.5,0))+E_FACT*(BI28="sí")</f>
        <v/>
      </c>
      <c r="DC28" s="3">
        <f>MAX(0,MIN(100,IFERROR(VLOOKUP(CL28,ETQ_TBL,2,0),0)-IF(CM28="sí",ETQ_PEN_DUD,IF(AS28="regla",ETQ_PEN_REGLA,0))))</f>
        <v/>
      </c>
      <c r="DD28" s="3">
        <f>IF(K28&lt;&gt;"gasolina","",IFERROR(VLOOKUP(F28,CONS_MOD_TBL,2,0),IFERROR(VLOOKUP(L28,CONS_SEG_TBL,2,0),"")))</f>
        <v/>
      </c>
      <c r="DE28" s="3">
        <f>IF(DD28="",NEUTRO,MAX(0,MIN(100,100*(CONS_REF_MAX-DD28)/(CONS_REF_MAX-CONS_REF_MIN))))</f>
        <v/>
      </c>
      <c r="DF28" s="3">
        <f>IFERROR(VLOOKUP(L28,SEGURO_TBL,3,0),"")</f>
        <v/>
      </c>
      <c r="DG28" s="3">
        <f>IF(DF28="",NEUTRO,MAX(0,MIN(100,100*(SEG_REF_MAX-DF28)/(SEG_REF_MAX-SEG_REF_MIN))))</f>
        <v/>
      </c>
      <c r="DH28" s="3">
        <f>IFERROR(VLOOKUP(E28,MANT_MARCA_TBL,2,0)+0,NEUTRO)</f>
        <v/>
      </c>
      <c r="DI28" s="3">
        <f>IF(DA28="",NEUTRO,IFERROR(VLOOKUP(DA28,DIST_PTS_TBL,2,0)+0,NEUTRO))</f>
        <v/>
      </c>
      <c r="DJ28" s="4">
        <f>(DH28+DI28)/2</f>
        <v/>
      </c>
      <c r="DK28" s="3">
        <f>W_CONS*DE28+W_SEG*DG28+W_MANT*DJ28</f>
        <v/>
      </c>
      <c r="DL28" s="3">
        <f>IF(N(AB28)&gt;0,AB28,IF(AND(R28="profesional",SG_LEGAL_ON=1),GAR_LEGAL,0))</f>
        <v/>
      </c>
      <c r="DM28" s="3">
        <f>MAX(0,MIN(100,SG_GAR*MIN(1,DL28/SG_GAR_FULL)+SG_AMPL*(AC28="sí")+SG_KMC*(AF28="sí")+SG_REV*(N(AE28)&gt;0)+SG_DEV*MIN(1,N(AG28)/SG_DEV_FULL)+SG_HIST*(W28="sí")-IF(AND(R28="particular",DL28=0),SG_PART_PEN,0)))</f>
        <v/>
      </c>
      <c r="DN28" s="3">
        <f>IF(BK28="",NEUTRO,MAX(0,MIN(100,BK28/5*100)))</f>
        <v/>
      </c>
      <c r="DO28" s="3">
        <f>IF(BL28="sí",100,IF(BL28="no",0,NEUTRO))</f>
        <v/>
      </c>
      <c r="DP28" s="3">
        <f>SV_W_NCAP*DN28+SV_W_ESP*DO28</f>
        <v/>
      </c>
      <c r="DQ28" s="3">
        <f>MAX(0,MIN(100,ATR_BASE+ATR_ACAB*(BD28&lt;&gt;"")+IF(BE28="16+",ATR_LL16,IF(BE28="sí",ATR_LL,0))+ATR_FAROS*(BF28="sí")+ATR_TINT*(BG28="sí")-ATR_CHAPA*(BE28="chapa")))</f>
        <v/>
      </c>
      <c r="DR28" s="3">
        <f>EST_W_MOD*(BB28-1)/4*100+EST_W_ATR*DQ28</f>
        <v/>
      </c>
      <c r="DS28" s="3">
        <f>IF(BA28="",NEUTRO,IFERROR(VLOOKUP(BA28,COLOR_TBL,2,0)+0,NEUTRO))</f>
        <v/>
      </c>
      <c r="DT28" s="3">
        <f>MAX(0,MIN(100,100*N(BM28)/RV_N_FULL))</f>
        <v/>
      </c>
      <c r="DU28" s="3">
        <f>IF(OR(BN28="",N(BO28)&lt;RV_DIAS_MIN),NEUTRO,MAX(0,MIN(100,100*(RV_DIAS_CERO-BN28)/(RV_DIAS_CERO-RV_DIAS_FULL))))</f>
        <v/>
      </c>
      <c r="DV28" s="3">
        <f>RV_W_LIQ*DT28+RV_W_DIAS*DU28+RV_W_ETQ*DC28</f>
        <v/>
      </c>
      <c r="DW28" s="3">
        <f>IFERROR(VLOOKUP(L28,CARR_PEN_TBL,2,0),0)</f>
        <v/>
      </c>
      <c r="DX28" s="3">
        <f>W_FIAB*CS28+W_PRECIO*CU28+W_KMEDAD*CY28+W_ESTADO*DB28+W_USO*DK28+W_SEGURIDAD*DM28+W_SEGVIAL*DP28+W_ESTETICA*DR28+W_COLOR*DS28+W_REVENTA*DV28-DW28-EG28</f>
        <v/>
      </c>
      <c r="DY28" s="4">
        <f>IF(N(I28)&gt;0,I28,IFERROR(ROUND(_xlfn.NUMBERVALUE(LEFT(G28,FIND(" ",G28&amp;" ")-1),".")*1000,0),99999))</f>
        <v/>
      </c>
      <c r="DZ28" s="3">
        <f>IF(R28="profesional",0,IF(O28&lt;CUOTA_VALOR_MAX,IF(BW28&gt;ITP_TRAMO_ALTO,SUMIFS(CF_CUOTA,CF_MAS,ITP_TRAMO_ALTO,CF_CCMIN,"&lt;="&amp;DY28,CF_CCMAX,"&gt;="&amp;DY28),IF(BW28&gt;ITP_TRAMO_BAJO,SUMIFS(CF_CUOTA,CF_MAS,ITP_TRAMO_BAJO,CF_CCMIN,"&lt;="&amp;DY28,CF_CCMAX,"&gt;="&amp;DY28),O28*ITP_TIPO)),O28*ITP_TIPO))</f>
        <v/>
      </c>
      <c r="EA28" s="4">
        <f>IF(R28="profesional",N(AK28),0)</f>
        <v/>
      </c>
      <c r="EB28" s="3">
        <f>IF(AND(R28="profesional",ISNUMBER(AK28),AL28="sí"),0,TASA_DGT)</f>
        <v/>
      </c>
      <c r="EC28" s="3">
        <f>INFORME_DGT</f>
        <v/>
      </c>
      <c r="ED28" s="4">
        <f>O28+EA28+DZ28+EB28+EC28</f>
        <v/>
      </c>
      <c r="EE28" s="4">
        <f>ED28+N(DF28)</f>
        <v/>
      </c>
      <c r="EF28" s="3">
        <f>MAX(0,ED28-TOTAL_MAX)</f>
        <v/>
      </c>
      <c r="EG28" s="3">
        <f>EF28/100*PEN_100</f>
        <v/>
      </c>
      <c r="EH28" s="3">
        <f>IF(R28="particular",ED28+IF(AND(DA28&lt;&gt;"cadena",X28&lt;&gt;"sí"),RES_CORREA,0)+IF(AND(BJ28&lt;&gt;"sí",BW28&gt;=RES_NEUM_EDAD),RES_NEUM,0),"")</f>
        <v/>
      </c>
      <c r="EI28" s="3">
        <f>IF(ED28&lt;=TOTAL_MAX,"sí",IF(ED28&lt;=TECHO,"negociar","no"))</f>
        <v/>
      </c>
      <c r="EJ28" s="4">
        <f>ROUND(DX28,9)</f>
        <v/>
      </c>
      <c r="EK28" s="4">
        <f>IF(EI28&lt;&gt;"no",SUMPRODUCT(($EI$2:$EI$209&lt;&gt;"no")*($EJ$2:$EJ$209&gt;EJ28))+SUMPRODUCT(($EI$2:EI28&lt;&gt;"no")*($EJ$2:EJ28=EJ28)),"")</f>
        <v/>
      </c>
    </row>
    <row r="29">
      <c r="A29" s="2" t="inlineStr">
        <is>
          <t>ocasionplus:somqeqa3</t>
        </is>
      </c>
      <c r="B29" s="2" t="inlineStr">
        <is>
          <t>ocasionplus</t>
        </is>
      </c>
      <c r="C29" s="2" t="inlineStr">
        <is>
          <t>https://www.ocasionplus.com/coches-segunda-mano/ford-mondeo-20-tdci-ghia-con-142530km-2006-somqeqa3</t>
        </is>
      </c>
      <c r="D29" s="2" t="inlineStr">
        <is>
          <t>Ford Mondeo 2.0 TDCI Ghia (130 CV)</t>
        </is>
      </c>
      <c r="E29" s="2" t="inlineStr">
        <is>
          <t>Ford</t>
        </is>
      </c>
      <c r="F29" s="2" t="inlineStr">
        <is>
          <t>Ford Mondeo</t>
        </is>
      </c>
      <c r="G29" s="2" t="inlineStr">
        <is>
          <t>2.0 TDCi</t>
        </is>
      </c>
      <c r="H29" s="2" t="inlineStr">
        <is>
          <t>Ford Mondeo 2.0 TDCI Ghia (130 CV)</t>
        </is>
      </c>
      <c r="I29" s="2" t="n">
        <v>1998</v>
      </c>
      <c r="J29" s="2" t="n">
        <v>130</v>
      </c>
      <c r="K29" s="2" t="inlineStr">
        <is>
          <t>diesel</t>
        </is>
      </c>
      <c r="L29" s="2" t="inlineStr">
        <is>
          <t>berlina_d</t>
        </is>
      </c>
      <c r="M29" s="2" t="n">
        <v>2006</v>
      </c>
      <c r="N29" s="2" t="n">
        <v>142530</v>
      </c>
      <c r="O29" s="2" t="n">
        <v>3700</v>
      </c>
      <c r="P29" s="2" t="inlineStr">
        <is>
          <t>manual</t>
        </is>
      </c>
      <c r="Q29" s="2" t="inlineStr">
        <is>
          <t>no</t>
        </is>
      </c>
      <c r="R29" s="2" t="inlineStr">
        <is>
          <t>profesional</t>
        </is>
      </c>
      <c r="S29" s="2" t="inlineStr">
        <is>
          <t>Valencia - Paterna (Paterna, 46980)</t>
        </is>
      </c>
      <c r="T29" s="2" t="inlineStr">
        <is>
          <t>2026-05-26T00:00:00.000Z</t>
        </is>
      </c>
      <c r="U29" s="2" t="n">
        <v>33</v>
      </c>
      <c r="V29" s="2" t="inlineStr">
        <is>
          <t>sí</t>
        </is>
      </c>
      <c r="W29" s="2" t="n"/>
      <c r="X29" s="2" t="n"/>
      <c r="Y29" s="2" t="n">
        <v>1</v>
      </c>
      <c r="Z29" s="2" t="n"/>
      <c r="AA29" s="2" t="n"/>
      <c r="AB29" s="2" t="n"/>
      <c r="AC29" s="2" t="inlineStr">
        <is>
          <t>sí</t>
        </is>
      </c>
      <c r="AD29" s="2" t="n">
        <v>900</v>
      </c>
      <c r="AE29" s="2" t="n"/>
      <c r="AF29" s="2" t="inlineStr">
        <is>
          <t>sí</t>
        </is>
      </c>
      <c r="AG29" s="2" t="n"/>
      <c r="AH29" s="2" t="n">
        <v>3700</v>
      </c>
      <c r="AI29" s="2" t="n">
        <v>3700</v>
      </c>
      <c r="AJ29" s="2" t="inlineStr">
        <is>
          <t>no</t>
        </is>
      </c>
      <c r="AK29" s="2" t="n">
        <v>350</v>
      </c>
      <c r="AL29" s="2" t="inlineStr">
        <is>
          <t>sí</t>
        </is>
      </c>
      <c r="AM29" s="2" t="n">
        <v>5.9</v>
      </c>
      <c r="AN29" s="2" t="inlineStr">
        <is>
          <t>8157DVD</t>
        </is>
      </c>
      <c r="AO29" s="2" t="inlineStr">
        <is>
          <t>2006-01-05</t>
        </is>
      </c>
      <c r="AP29" s="2" t="n">
        <v>2006</v>
      </c>
      <c r="AQ29" s="2" t="n">
        <v>1</v>
      </c>
      <c r="AR29" s="2" t="inlineStr">
        <is>
          <t>B</t>
        </is>
      </c>
      <c r="AS29" s="2" t="inlineStr">
        <is>
          <t>DGT</t>
        </is>
      </c>
      <c r="AT29" s="2" t="n"/>
      <c r="AU29" s="2" t="inlineStr">
        <is>
          <t>no</t>
        </is>
      </c>
      <c r="AV29" s="2" t="inlineStr">
        <is>
          <t>B</t>
        </is>
      </c>
      <c r="AW29" s="2" t="n"/>
      <c r="AX29" s="2" t="inlineStr">
        <is>
          <t>no</t>
        </is>
      </c>
      <c r="AY29" s="2" t="inlineStr">
        <is>
          <t>no</t>
        </is>
      </c>
      <c r="AZ29" s="2" t="inlineStr">
        <is>
          <t>Azul</t>
        </is>
      </c>
      <c r="BA29" s="2" t="inlineStr">
        <is>
          <t>azul</t>
        </is>
      </c>
      <c r="BB29" s="3" t="n">
        <v>3</v>
      </c>
      <c r="BC29" s="3" t="inlineStr">
        <is>
          <t>(por segmento)</t>
        </is>
      </c>
      <c r="BD29" s="2" t="n"/>
      <c r="BE29" s="2" t="inlineStr">
        <is>
          <t>16+</t>
        </is>
      </c>
      <c r="BF29" s="2" t="n"/>
      <c r="BG29" s="2" t="inlineStr">
        <is>
          <t>sí</t>
        </is>
      </c>
      <c r="BH29" s="2" t="n"/>
      <c r="BI29" s="2" t="n"/>
      <c r="BJ29" s="2" t="n"/>
      <c r="BK29" s="2" t="n">
        <v>4</v>
      </c>
      <c r="BL29" s="2" t="inlineStr">
        <is>
          <t>sí</t>
        </is>
      </c>
      <c r="BM29" s="2" t="n">
        <v>109</v>
      </c>
      <c r="BN29" s="2" t="n">
        <v>0</v>
      </c>
      <c r="BO29" s="2" t="n">
        <v>1</v>
      </c>
      <c r="BP29" s="2" t="n">
        <v>2200</v>
      </c>
      <c r="BQ29" s="2" t="n">
        <v>21</v>
      </c>
      <c r="BR29" s="2" t="inlineStr">
        <is>
          <t>modelo+año</t>
        </is>
      </c>
      <c r="BS29" s="2" t="n"/>
      <c r="BT29" s="2" t="inlineStr">
        <is>
          <t>vendedor profesional: sin ITP (operación con IVA/REBU, confirmar en factura); diésel: motor sin fuente de fiabilidad (fiabilidad limitada a neutra); revisar: no menciona la ITV; fiabilidad del modelo PENDIENTE de fuente (puntuación neutra)</t>
        </is>
      </c>
      <c r="BU29" s="2" t="inlineStr">
        <is>
          <t>Ford Mondeo 2.0 TDCI Ghia (130 CV)</t>
        </is>
      </c>
      <c r="BV29" s="2" t="inlineStr">
        <is>
          <t>https://www.ocasionplus.com/coches-segunda-mano/ford-mondeo-20-tdci-ghia-con-142530km-2006-somqeqa3 (payload RSC 'vehicle') /home/user/Alopecia/buscador-coches/raw/ocasionplus/72f5f2ec09413c7a.json</t>
        </is>
      </c>
      <c r="BW29" s="3">
        <f>MAX(ANIO_ACTUAL-M29,0)</f>
        <v/>
      </c>
      <c r="BX29" s="4">
        <f>N29/MAX(BW29,0.5)</f>
        <v/>
      </c>
      <c r="BY29" s="4">
        <f>F29</f>
        <v/>
      </c>
      <c r="BZ29" s="3">
        <f>BY29&amp;"|"&amp;INT(M29/SEG_ANIO)*SEG_ANIO</f>
        <v/>
      </c>
      <c r="CA29" s="3">
        <f>BZ29&amp;"|"&amp;INT(N29/SEG_KM)*SEG_KM</f>
        <v/>
      </c>
      <c r="CB29" s="4">
        <f>COUNTIF($BY$2:$BY$209,BY29)</f>
        <v/>
      </c>
      <c r="CC29" s="4">
        <f>COUNTIF($BZ$2:$BZ$209,BZ29)</f>
        <v/>
      </c>
      <c r="CD29" s="4">
        <f>COUNTIF($CA$2:$CA$209,CA29)</f>
        <v/>
      </c>
      <c r="CE29" s="3">
        <f t="array" ref="CE29">IF(N(BQ29)&gt;=MIN_N,BP29,IF(CD29&gt;=MIN_N,MEDIAN(IF($CA$2:$CA$209=CA29,$O$2:$O$209)),IF(CC29&gt;=MIN_N,MEDIAN(IF($BZ$2:$BZ$209=BZ29,$O$2:$O$209)),MEDIAN(IF($BY$2:$BY$209=BY29,$O$2:$O$209)))))</f>
        <v/>
      </c>
      <c r="CF29" s="3">
        <f>IF(N(BQ29)&gt;=MIN_N,"mercado "&amp;BR29,IF(CD29&gt;=MIN_N,"modelo+año+km",IF(CC29&gt;=MIN_N,"modelo+año","modelo")))</f>
        <v/>
      </c>
      <c r="CG29" s="4">
        <f>(CE29-O29)/CE29</f>
        <v/>
      </c>
      <c r="CH29" s="3">
        <f>IF(COUNTIFS(FR_FUEL,K29,FR_YEAR,AP29)&gt;0,1,0)</f>
        <v/>
      </c>
      <c r="CI29" s="3">
        <f>IF(COUNTIFS(FR_FUEL,K29,FR_YEAR,AP29-1)&gt;0,1,0)</f>
        <v/>
      </c>
      <c r="CJ29" s="4">
        <f>IF(N(AQ29)&gt;0,AP29*100+AQ29,IF(AND(CH29=1,CI29=1),(AP29-1)*100+1,AP29*100+1))</f>
        <v/>
      </c>
      <c r="CK29" s="3">
        <f>IF(OR(K29="hibrido",K29="glp",K29="gnc",K29="phev"),"ECO",IF(K29="electrico","CERO",IF(K29="gasolina",IF(CJ29&gt;=GAS_C_YM,"C",IF(CJ29&gt;=GAS_B_YM,"B","A")),IF(K29="diesel",IF(CJ29&gt;=DIE_C_YM,"C",IF(CJ29&gt;=DIE_B_YM,"B","A")),""))))</f>
        <v/>
      </c>
      <c r="CL29" s="2" t="inlineStr">
        <is>
          <t>B</t>
        </is>
      </c>
      <c r="CM29" s="4">
        <f>IF(AU29="sí","sí",IF(AS29="regla",IF(AND(N(AQ29)=0,CH29=1),"sí","no"),"no"))</f>
        <v/>
      </c>
      <c r="CN29" s="3">
        <f>IFERROR(VLOOKUP(F29,MOD_TBL,16,0),IFERROR(VLOOKUP(E29,OCU_TBL,2,0),NEUTRO))</f>
        <v/>
      </c>
      <c r="CO29" s="3">
        <f>SUMIFS(MOT_AJUSTE,MOT_MOTOR,G29,MOT_MARCA,E29,MOT_DESDE,"&lt;="&amp;M29,MOT_HASTA,"&gt;="&amp;M29)+SUMIFS(MOT_AJUSTE,MOT_MOTOR,G29,MOT_MARCA,"(todas)",MOT_DESDE,"&lt;="&amp;M29,MOT_HASTA,"&gt;="&amp;M29)+SUMIFS(MOT_AJUSTE,MOT_MOTOR,"(cualquiera)",MOT_MARCA,E29,MOT_DESDE,"&lt;="&amp;M29,MOT_HASTA,"&gt;="&amp;M29)</f>
        <v/>
      </c>
      <c r="CP29" s="3">
        <f>SUMIFS(COMB_AJUSTE,COMB_COMB,K29)</f>
        <v/>
      </c>
      <c r="CQ29" s="3">
        <f>COUNTIFS(MOT_MOTOR,G29,MOT_MARCA,E29,MOT_DESDE,"&lt;="&amp;M29,MOT_HASTA,"&gt;="&amp;M29)+COUNTIFS(MOT_MOTOR,G29,MOT_MARCA,"(todas)",MOT_DESDE,"&lt;="&amp;M29,MOT_HASTA,"&gt;="&amp;M29)+COUNTIFS(MOT_MOTOR,"(cualquiera)",MOT_MARCA,E29,MOT_DESDE,"&lt;="&amp;M29,MOT_HASTA,"&gt;="&amp;M29)</f>
        <v/>
      </c>
      <c r="CR29" s="3">
        <f>IF(AND(K29="diesel",CQ29=0),MIN(CN29,NEUTRO),CN29)</f>
        <v/>
      </c>
      <c r="CS29" s="3">
        <f>MAX(0,MIN(100,CR29+CO29+CP29-IF(AX29="sí",ROB_PEN,0)))</f>
        <v/>
      </c>
      <c r="CT29" s="3">
        <f>100-MAX(0,N29-KM_TOPE_DESDE)/1000*KM_TOPE_PTS</f>
        <v/>
      </c>
      <c r="CU29" s="3">
        <f>MAX(0,MIN(100,50+CG29*PRECIO_PEND,CT29))</f>
        <v/>
      </c>
      <c r="CV29" s="3">
        <f>MAX(0,100*(1-N29/KM_MAX))</f>
        <v/>
      </c>
      <c r="CW29" s="3">
        <f>IF(BX29&lt;KMA_SOSP,IF(AA29="sí",100,KMA_PEN),IF(BX29&lt;=KMA_IDEAL_MAX,100,MAX(0,100*(KMA_CERO-BX29)/(KMA_CERO-KMA_IDEAL_MAX))))</f>
        <v/>
      </c>
      <c r="CX29" s="3">
        <f>MAX(0,MIN(100,100*(M29-ANIO_MIN)/(ANIO_ACTUAL-ANIO_MIN)))</f>
        <v/>
      </c>
      <c r="CY29" s="3">
        <f>W_KMT*CV29+W_KMA*CW29+W_EDAD*CX29</f>
        <v/>
      </c>
      <c r="CZ29" s="4">
        <f>E29&amp;"|"&amp;G29</f>
        <v/>
      </c>
      <c r="DA29" s="3">
        <f>IFERROR(VLOOKUP(CZ29,DIST_TBL,2,0),"")</f>
        <v/>
      </c>
      <c r="DB29" s="3">
        <f>E_ITV*(V29="sí")+E_LIBRO*(W29="sí")+E_PROP*IF(Y29=1,1,IF(Y29=2,0.5,0))+E_CORREA*IF(OR(DA29="cadena",AND(X29="sí",BH29="sí")),1,IF(X29="sí",0.5,0))+E_FACT*(BI29="sí")</f>
        <v/>
      </c>
      <c r="DC29" s="3">
        <f>MAX(0,MIN(100,IFERROR(VLOOKUP(CL29,ETQ_TBL,2,0),0)-IF(CM29="sí",ETQ_PEN_DUD,IF(AS29="regla",ETQ_PEN_REGLA,0))))</f>
        <v/>
      </c>
      <c r="DD29" s="3">
        <f>IF(K29&lt;&gt;"gasolina","",IFERROR(VLOOKUP(F29,CONS_MOD_TBL,2,0),IFERROR(VLOOKUP(L29,CONS_SEG_TBL,2,0),"")))</f>
        <v/>
      </c>
      <c r="DE29" s="3">
        <f>IF(DD29="",NEUTRO,MAX(0,MIN(100,100*(CONS_REF_MAX-DD29)/(CONS_REF_MAX-CONS_REF_MIN))))</f>
        <v/>
      </c>
      <c r="DF29" s="3">
        <f>IFERROR(VLOOKUP(L29,SEGURO_TBL,3,0),"")</f>
        <v/>
      </c>
      <c r="DG29" s="3">
        <f>IF(DF29="",NEUTRO,MAX(0,MIN(100,100*(SEG_REF_MAX-DF29)/(SEG_REF_MAX-SEG_REF_MIN))))</f>
        <v/>
      </c>
      <c r="DH29" s="3">
        <f>IFERROR(VLOOKUP(E29,MANT_MARCA_TBL,2,0)+0,NEUTRO)</f>
        <v/>
      </c>
      <c r="DI29" s="3">
        <f>IF(DA29="",NEUTRO,IFERROR(VLOOKUP(DA29,DIST_PTS_TBL,2,0)+0,NEUTRO))</f>
        <v/>
      </c>
      <c r="DJ29" s="4">
        <f>(DH29+DI29)/2</f>
        <v/>
      </c>
      <c r="DK29" s="3">
        <f>W_CONS*DE29+W_SEG*DG29+W_MANT*DJ29</f>
        <v/>
      </c>
      <c r="DL29" s="3">
        <f>IF(N(AB29)&gt;0,AB29,IF(AND(R29="profesional",SG_LEGAL_ON=1),GAR_LEGAL,0))</f>
        <v/>
      </c>
      <c r="DM29" s="3">
        <f>MAX(0,MIN(100,SG_GAR*MIN(1,DL29/SG_GAR_FULL)+SG_AMPL*(AC29="sí")+SG_KMC*(AF29="sí")+SG_REV*(N(AE29)&gt;0)+SG_DEV*MIN(1,N(AG29)/SG_DEV_FULL)+SG_HIST*(W29="sí")-IF(AND(R29="particular",DL29=0),SG_PART_PEN,0)))</f>
        <v/>
      </c>
      <c r="DN29" s="3">
        <f>IF(BK29="",NEUTRO,MAX(0,MIN(100,BK29/5*100)))</f>
        <v/>
      </c>
      <c r="DO29" s="3">
        <f>IF(BL29="sí",100,IF(BL29="no",0,NEUTRO))</f>
        <v/>
      </c>
      <c r="DP29" s="3">
        <f>SV_W_NCAP*DN29+SV_W_ESP*DO29</f>
        <v/>
      </c>
      <c r="DQ29" s="3">
        <f>MAX(0,MIN(100,ATR_BASE+ATR_ACAB*(BD29&lt;&gt;"")+IF(BE29="16+",ATR_LL16,IF(BE29="sí",ATR_LL,0))+ATR_FAROS*(BF29="sí")+ATR_TINT*(BG29="sí")-ATR_CHAPA*(BE29="chapa")))</f>
        <v/>
      </c>
      <c r="DR29" s="3">
        <f>EST_W_MOD*(BB29-1)/4*100+EST_W_ATR*DQ29</f>
        <v/>
      </c>
      <c r="DS29" s="3">
        <f>IF(BA29="",NEUTRO,IFERROR(VLOOKUP(BA29,COLOR_TBL,2,0)+0,NEUTRO))</f>
        <v/>
      </c>
      <c r="DT29" s="3">
        <f>MAX(0,MIN(100,100*N(BM29)/RV_N_FULL))</f>
        <v/>
      </c>
      <c r="DU29" s="3">
        <f>IF(OR(BN29="",N(BO29)&lt;RV_DIAS_MIN),NEUTRO,MAX(0,MIN(100,100*(RV_DIAS_CERO-BN29)/(RV_DIAS_CERO-RV_DIAS_FULL))))</f>
        <v/>
      </c>
      <c r="DV29" s="3">
        <f>RV_W_LIQ*DT29+RV_W_DIAS*DU29+RV_W_ETQ*DC29</f>
        <v/>
      </c>
      <c r="DW29" s="3">
        <f>IFERROR(VLOOKUP(L29,CARR_PEN_TBL,2,0),0)</f>
        <v/>
      </c>
      <c r="DX29" s="3">
        <f>W_FIAB*CS29+W_PRECIO*CU29+W_KMEDAD*CY29+W_ESTADO*DB29+W_USO*DK29+W_SEGURIDAD*DM29+W_SEGVIAL*DP29+W_ESTETICA*DR29+W_COLOR*DS29+W_REVENTA*DV29-DW29-EG29</f>
        <v/>
      </c>
      <c r="DY29" s="4">
        <f>IF(N(I29)&gt;0,I29,IFERROR(ROUND(_xlfn.NUMBERVALUE(LEFT(G29,FIND(" ",G29&amp;" ")-1),".")*1000,0),99999))</f>
        <v/>
      </c>
      <c r="DZ29" s="3">
        <f>IF(R29="profesional",0,IF(O29&lt;CUOTA_VALOR_MAX,IF(BW29&gt;ITP_TRAMO_ALTO,SUMIFS(CF_CUOTA,CF_MAS,ITP_TRAMO_ALTO,CF_CCMIN,"&lt;="&amp;DY29,CF_CCMAX,"&gt;="&amp;DY29),IF(BW29&gt;ITP_TRAMO_BAJO,SUMIFS(CF_CUOTA,CF_MAS,ITP_TRAMO_BAJO,CF_CCMIN,"&lt;="&amp;DY29,CF_CCMAX,"&gt;="&amp;DY29),O29*ITP_TIPO)),O29*ITP_TIPO))</f>
        <v/>
      </c>
      <c r="EA29" s="4">
        <f>IF(R29="profesional",N(AK29),0)</f>
        <v/>
      </c>
      <c r="EB29" s="3">
        <f>IF(AND(R29="profesional",ISNUMBER(AK29),AL29="sí"),0,TASA_DGT)</f>
        <v/>
      </c>
      <c r="EC29" s="3">
        <f>INFORME_DGT</f>
        <v/>
      </c>
      <c r="ED29" s="4">
        <f>O29+EA29+DZ29+EB29+EC29</f>
        <v/>
      </c>
      <c r="EE29" s="4">
        <f>ED29+N(DF29)</f>
        <v/>
      </c>
      <c r="EF29" s="3">
        <f>MAX(0,ED29-TOTAL_MAX)</f>
        <v/>
      </c>
      <c r="EG29" s="3">
        <f>EF29/100*PEN_100</f>
        <v/>
      </c>
      <c r="EH29" s="3">
        <f>IF(R29="particular",ED29+IF(AND(DA29&lt;&gt;"cadena",X29&lt;&gt;"sí"),RES_CORREA,0)+IF(AND(BJ29&lt;&gt;"sí",BW29&gt;=RES_NEUM_EDAD),RES_NEUM,0),"")</f>
        <v/>
      </c>
      <c r="EI29" s="3">
        <f>IF(ED29&lt;=TOTAL_MAX,"sí",IF(ED29&lt;=TECHO,"negociar","no"))</f>
        <v/>
      </c>
      <c r="EJ29" s="4">
        <f>ROUND(DX29,9)</f>
        <v/>
      </c>
      <c r="EK29" s="4">
        <f>IF(EI29&lt;&gt;"no",SUMPRODUCT(($EI$2:$EI$209&lt;&gt;"no")*($EJ$2:$EJ$209&gt;EJ29))+SUMPRODUCT(($EI$2:EI29&lt;&gt;"no")*($EJ$2:EJ29=EJ29)),"")</f>
        <v/>
      </c>
    </row>
    <row r="30">
      <c r="A30" s="2" t="inlineStr">
        <is>
          <t>ocasionplus:azeojqah</t>
        </is>
      </c>
      <c r="B30" s="2" t="inlineStr">
        <is>
          <t>ocasionplus</t>
        </is>
      </c>
      <c r="C30" s="2" t="inlineStr">
        <is>
          <t>https://www.ocasionplus.com/coches-segunda-mano/seat-ibiza-14-16v-reference-con-70908km-2006-azeojqah</t>
        </is>
      </c>
      <c r="D30" s="2" t="inlineStr">
        <is>
          <t>Seat Ibiza 1.4 16v Reference (100 CV)</t>
        </is>
      </c>
      <c r="E30" s="2" t="inlineStr">
        <is>
          <t>Seat</t>
        </is>
      </c>
      <c r="F30" s="2" t="inlineStr">
        <is>
          <t>Seat Ibiza</t>
        </is>
      </c>
      <c r="G30" s="2" t="inlineStr">
        <is>
          <t>1.4</t>
        </is>
      </c>
      <c r="H30" s="2" t="inlineStr">
        <is>
          <t>Seat Ibiza 1.4 16v Reference (100 CV)</t>
        </is>
      </c>
      <c r="I30" s="2" t="n">
        <v>1390</v>
      </c>
      <c r="J30" s="2" t="n">
        <v>100</v>
      </c>
      <c r="K30" s="2" t="inlineStr">
        <is>
          <t>gasolina</t>
        </is>
      </c>
      <c r="L30" s="2" t="inlineStr">
        <is>
          <t>utilitario</t>
        </is>
      </c>
      <c r="M30" s="2" t="n">
        <v>2006</v>
      </c>
      <c r="N30" s="2" t="n">
        <v>86371</v>
      </c>
      <c r="O30" s="2" t="n">
        <v>4990</v>
      </c>
      <c r="P30" s="2" t="inlineStr">
        <is>
          <t>manual</t>
        </is>
      </c>
      <c r="Q30" s="2" t="inlineStr">
        <is>
          <t>no</t>
        </is>
      </c>
      <c r="R30" s="2" t="inlineStr">
        <is>
          <t>profesional</t>
        </is>
      </c>
      <c r="S30" s="2" t="inlineStr">
        <is>
          <t>Valencia - Pista de Silla - Macrocentro (Massanassa, 46470)</t>
        </is>
      </c>
      <c r="T30" s="2" t="inlineStr">
        <is>
          <t>2026-05-21T00:00:00.000Z</t>
        </is>
      </c>
      <c r="U30" s="2" t="n">
        <v>32</v>
      </c>
      <c r="V30" s="2" t="inlineStr">
        <is>
          <t>sí</t>
        </is>
      </c>
      <c r="W30" s="2" t="n"/>
      <c r="X30" s="2" t="n"/>
      <c r="Y30" s="2" t="n">
        <v>0</v>
      </c>
      <c r="Z30" s="2" t="n"/>
      <c r="AA30" s="2" t="n"/>
      <c r="AB30" s="2" t="n"/>
      <c r="AC30" s="2" t="inlineStr">
        <is>
          <t>sí</t>
        </is>
      </c>
      <c r="AD30" s="2" t="n">
        <v>600</v>
      </c>
      <c r="AE30" s="2" t="n"/>
      <c r="AF30" s="2" t="inlineStr">
        <is>
          <t>sí</t>
        </is>
      </c>
      <c r="AG30" s="2" t="n"/>
      <c r="AH30" s="2" t="n">
        <v>4990</v>
      </c>
      <c r="AI30" s="2" t="n">
        <v>4990</v>
      </c>
      <c r="AJ30" s="2" t="inlineStr">
        <is>
          <t>no</t>
        </is>
      </c>
      <c r="AK30" s="2" t="n">
        <v>350</v>
      </c>
      <c r="AL30" s="2" t="inlineStr">
        <is>
          <t>sí</t>
        </is>
      </c>
      <c r="AM30" s="2" t="n">
        <v>7.8</v>
      </c>
      <c r="AN30" s="2" t="inlineStr">
        <is>
          <t>8323DYB</t>
        </is>
      </c>
      <c r="AO30" s="2" t="inlineStr">
        <is>
          <t>2006-04-06</t>
        </is>
      </c>
      <c r="AP30" s="2" t="n">
        <v>2006</v>
      </c>
      <c r="AQ30" s="2" t="n">
        <v>4</v>
      </c>
      <c r="AR30" s="2" t="inlineStr">
        <is>
          <t>C</t>
        </is>
      </c>
      <c r="AS30" s="2" t="inlineStr">
        <is>
          <t>DGT</t>
        </is>
      </c>
      <c r="AT30" s="2" t="n"/>
      <c r="AU30" s="2" t="inlineStr">
        <is>
          <t>no</t>
        </is>
      </c>
      <c r="AV30" s="2" t="inlineStr">
        <is>
          <t>C</t>
        </is>
      </c>
      <c r="AW30" s="2" t="n"/>
      <c r="AX30" s="2" t="inlineStr">
        <is>
          <t>no</t>
        </is>
      </c>
      <c r="AY30" s="2" t="inlineStr">
        <is>
          <t>no</t>
        </is>
      </c>
      <c r="AZ30" s="2" t="inlineStr">
        <is>
          <t>Gris Plata</t>
        </is>
      </c>
      <c r="BA30" s="2" t="inlineStr">
        <is>
          <t>plata</t>
        </is>
      </c>
      <c r="BB30" s="3" t="n">
        <v>2</v>
      </c>
      <c r="BC30" s="3" t="inlineStr">
        <is>
          <t>(por segmento)</t>
        </is>
      </c>
      <c r="BD30" s="2" t="n"/>
      <c r="BE30" s="2" t="inlineStr">
        <is>
          <t>chapa</t>
        </is>
      </c>
      <c r="BF30" s="2" t="n"/>
      <c r="BG30" s="2" t="inlineStr">
        <is>
          <t>sí</t>
        </is>
      </c>
      <c r="BH30" s="2" t="n"/>
      <c r="BI30" s="2" t="n"/>
      <c r="BJ30" s="2" t="n"/>
      <c r="BK30" s="2" t="n">
        <v>4</v>
      </c>
      <c r="BL30" s="2" t="inlineStr">
        <is>
          <t>no</t>
        </is>
      </c>
      <c r="BM30" s="2" t="n">
        <v>385</v>
      </c>
      <c r="BN30" s="2" t="n">
        <v>0.07434027781710029</v>
      </c>
      <c r="BO30" s="2" t="n">
        <v>10</v>
      </c>
      <c r="BP30" s="2" t="n">
        <v>3000</v>
      </c>
      <c r="BQ30" s="2" t="n">
        <v>31</v>
      </c>
      <c r="BR30" s="2" t="inlineStr">
        <is>
          <t>modelo+año</t>
        </is>
      </c>
      <c r="BS30" s="2" t="n"/>
      <c r="BT30" s="2" t="inlineStr">
        <is>
          <t>por encima del presupuesto: negociar 349 € (coste 5349 €; -7.0 puntos); vendedor profesional: sin ITP (operación con IVA/REBU, confirmar en factura); revisar: no menciona la ITV</t>
        </is>
      </c>
      <c r="BU30" s="2" t="inlineStr">
        <is>
          <t>Seat Ibiza 1.4 16v Reference (100 CV)</t>
        </is>
      </c>
      <c r="BV30" s="2" t="inlineStr">
        <is>
          <t>https://www.ocasionplus.com/coches-segunda-mano/seat-ibiza-14-16v-reference-con-70908km-2006-azeojqah (payload RSC 'vehicle') /home/user/Alopecia/buscador-coches/raw/ocasionplus/f23441d331de3a98.json</t>
        </is>
      </c>
      <c r="BW30" s="3">
        <f>MAX(ANIO_ACTUAL-M30,0)</f>
        <v/>
      </c>
      <c r="BX30" s="4">
        <f>N30/MAX(BW30,0.5)</f>
        <v/>
      </c>
      <c r="BY30" s="4">
        <f>F30</f>
        <v/>
      </c>
      <c r="BZ30" s="3">
        <f>BY30&amp;"|"&amp;INT(M30/SEG_ANIO)*SEG_ANIO</f>
        <v/>
      </c>
      <c r="CA30" s="3">
        <f>BZ30&amp;"|"&amp;INT(N30/SEG_KM)*SEG_KM</f>
        <v/>
      </c>
      <c r="CB30" s="4">
        <f>COUNTIF($BY$2:$BY$209,BY30)</f>
        <v/>
      </c>
      <c r="CC30" s="4">
        <f>COUNTIF($BZ$2:$BZ$209,BZ30)</f>
        <v/>
      </c>
      <c r="CD30" s="4">
        <f>COUNTIF($CA$2:$CA$209,CA30)</f>
        <v/>
      </c>
      <c r="CE30" s="3">
        <f t="array" ref="CE30">IF(N(BQ30)&gt;=MIN_N,BP30,IF(CD30&gt;=MIN_N,MEDIAN(IF($CA$2:$CA$209=CA30,$O$2:$O$209)),IF(CC30&gt;=MIN_N,MEDIAN(IF($BZ$2:$BZ$209=BZ30,$O$2:$O$209)),MEDIAN(IF($BY$2:$BY$209=BY30,$O$2:$O$209)))))</f>
        <v/>
      </c>
      <c r="CF30" s="3">
        <f>IF(N(BQ30)&gt;=MIN_N,"mercado "&amp;BR30,IF(CD30&gt;=MIN_N,"modelo+año+km",IF(CC30&gt;=MIN_N,"modelo+año","modelo")))</f>
        <v/>
      </c>
      <c r="CG30" s="4">
        <f>(CE30-O30)/CE30</f>
        <v/>
      </c>
      <c r="CH30" s="3">
        <f>IF(COUNTIFS(FR_FUEL,K30,FR_YEAR,AP30)&gt;0,1,0)</f>
        <v/>
      </c>
      <c r="CI30" s="3">
        <f>IF(COUNTIFS(FR_FUEL,K30,FR_YEAR,AP30-1)&gt;0,1,0)</f>
        <v/>
      </c>
      <c r="CJ30" s="4">
        <f>IF(N(AQ30)&gt;0,AP30*100+AQ30,IF(AND(CH30=1,CI30=1),(AP30-1)*100+1,AP30*100+1))</f>
        <v/>
      </c>
      <c r="CK30" s="3">
        <f>IF(OR(K30="hibrido",K30="glp",K30="gnc",K30="phev"),"ECO",IF(K30="electrico","CERO",IF(K30="gasolina",IF(CJ30&gt;=GAS_C_YM,"C",IF(CJ30&gt;=GAS_B_YM,"B","A")),IF(K30="diesel",IF(CJ30&gt;=DIE_C_YM,"C",IF(CJ30&gt;=DIE_B_YM,"B","A")),""))))</f>
        <v/>
      </c>
      <c r="CL30" s="2" t="inlineStr">
        <is>
          <t>C</t>
        </is>
      </c>
      <c r="CM30" s="4">
        <f>IF(AU30="sí","sí",IF(AS30="regla",IF(AND(N(AQ30)=0,CH30=1),"sí","no"),"no"))</f>
        <v/>
      </c>
      <c r="CN30" s="3">
        <f>IFERROR(VLOOKUP(F30,MOD_TBL,16,0),IFERROR(VLOOKUP(E30,OCU_TBL,2,0),NEUTRO))</f>
        <v/>
      </c>
      <c r="CO30" s="3">
        <f>SUMIFS(MOT_AJUSTE,MOT_MOTOR,G30,MOT_MARCA,E30,MOT_DESDE,"&lt;="&amp;M30,MOT_HASTA,"&gt;="&amp;M30)+SUMIFS(MOT_AJUSTE,MOT_MOTOR,G30,MOT_MARCA,"(todas)",MOT_DESDE,"&lt;="&amp;M30,MOT_HASTA,"&gt;="&amp;M30)+SUMIFS(MOT_AJUSTE,MOT_MOTOR,"(cualquiera)",MOT_MARCA,E30,MOT_DESDE,"&lt;="&amp;M30,MOT_HASTA,"&gt;="&amp;M30)</f>
        <v/>
      </c>
      <c r="CP30" s="3">
        <f>SUMIFS(COMB_AJUSTE,COMB_COMB,K30)</f>
        <v/>
      </c>
      <c r="CQ30" s="3">
        <f>COUNTIFS(MOT_MOTOR,G30,MOT_MARCA,E30,MOT_DESDE,"&lt;="&amp;M30,MOT_HASTA,"&gt;="&amp;M30)+COUNTIFS(MOT_MOTOR,G30,MOT_MARCA,"(todas)",MOT_DESDE,"&lt;="&amp;M30,MOT_HASTA,"&gt;="&amp;M30)+COUNTIFS(MOT_MOTOR,"(cualquiera)",MOT_MARCA,E30,MOT_DESDE,"&lt;="&amp;M30,MOT_HASTA,"&gt;="&amp;M30)</f>
        <v/>
      </c>
      <c r="CR30" s="3">
        <f>IF(AND(K30="diesel",CQ30=0),MIN(CN30,NEUTRO),CN30)</f>
        <v/>
      </c>
      <c r="CS30" s="3">
        <f>MAX(0,MIN(100,CR30+CO30+CP30-IF(AX30="sí",ROB_PEN,0)))</f>
        <v/>
      </c>
      <c r="CT30" s="3">
        <f>100-MAX(0,N30-KM_TOPE_DESDE)/1000*KM_TOPE_PTS</f>
        <v/>
      </c>
      <c r="CU30" s="3">
        <f>MAX(0,MIN(100,50+CG30*PRECIO_PEND,CT30))</f>
        <v/>
      </c>
      <c r="CV30" s="3">
        <f>MAX(0,100*(1-N30/KM_MAX))</f>
        <v/>
      </c>
      <c r="CW30" s="3">
        <f>IF(BX30&lt;KMA_SOSP,IF(AA30="sí",100,KMA_PEN),IF(BX30&lt;=KMA_IDEAL_MAX,100,MAX(0,100*(KMA_CERO-BX30)/(KMA_CERO-KMA_IDEAL_MAX))))</f>
        <v/>
      </c>
      <c r="CX30" s="3">
        <f>MAX(0,MIN(100,100*(M30-ANIO_MIN)/(ANIO_ACTUAL-ANIO_MIN)))</f>
        <v/>
      </c>
      <c r="CY30" s="3">
        <f>W_KMT*CV30+W_KMA*CW30+W_EDAD*CX30</f>
        <v/>
      </c>
      <c r="CZ30" s="4">
        <f>E30&amp;"|"&amp;G30</f>
        <v/>
      </c>
      <c r="DA30" s="3">
        <f>IFERROR(VLOOKUP(CZ30,DIST_TBL,2,0),"")</f>
        <v/>
      </c>
      <c r="DB30" s="3">
        <f>E_ITV*(V30="sí")+E_LIBRO*(W30="sí")+E_PROP*IF(Y30=1,1,IF(Y30=2,0.5,0))+E_CORREA*IF(OR(DA30="cadena",AND(X30="sí",BH30="sí")),1,IF(X30="sí",0.5,0))+E_FACT*(BI30="sí")</f>
        <v/>
      </c>
      <c r="DC30" s="3">
        <f>MAX(0,MIN(100,IFERROR(VLOOKUP(CL30,ETQ_TBL,2,0),0)-IF(CM30="sí",ETQ_PEN_DUD,IF(AS30="regla",ETQ_PEN_REGLA,0))))</f>
        <v/>
      </c>
      <c r="DD30" s="3">
        <f>IF(K30&lt;&gt;"gasolina","",IFERROR(VLOOKUP(F30,CONS_MOD_TBL,2,0),IFERROR(VLOOKUP(L30,CONS_SEG_TBL,2,0),"")))</f>
        <v/>
      </c>
      <c r="DE30" s="3">
        <f>IF(DD30="",NEUTRO,MAX(0,MIN(100,100*(CONS_REF_MAX-DD30)/(CONS_REF_MAX-CONS_REF_MIN))))</f>
        <v/>
      </c>
      <c r="DF30" s="3">
        <f>IFERROR(VLOOKUP(L30,SEGURO_TBL,3,0),"")</f>
        <v/>
      </c>
      <c r="DG30" s="3">
        <f>IF(DF30="",NEUTRO,MAX(0,MIN(100,100*(SEG_REF_MAX-DF30)/(SEG_REF_MAX-SEG_REF_MIN))))</f>
        <v/>
      </c>
      <c r="DH30" s="3">
        <f>IFERROR(VLOOKUP(E30,MANT_MARCA_TBL,2,0)+0,NEUTRO)</f>
        <v/>
      </c>
      <c r="DI30" s="3">
        <f>IF(DA30="",NEUTRO,IFERROR(VLOOKUP(DA30,DIST_PTS_TBL,2,0)+0,NEUTRO))</f>
        <v/>
      </c>
      <c r="DJ30" s="4">
        <f>(DH30+DI30)/2</f>
        <v/>
      </c>
      <c r="DK30" s="3">
        <f>W_CONS*DE30+W_SEG*DG30+W_MANT*DJ30</f>
        <v/>
      </c>
      <c r="DL30" s="3">
        <f>IF(N(AB30)&gt;0,AB30,IF(AND(R30="profesional",SG_LEGAL_ON=1),GAR_LEGAL,0))</f>
        <v/>
      </c>
      <c r="DM30" s="3">
        <f>MAX(0,MIN(100,SG_GAR*MIN(1,DL30/SG_GAR_FULL)+SG_AMPL*(AC30="sí")+SG_KMC*(AF30="sí")+SG_REV*(N(AE30)&gt;0)+SG_DEV*MIN(1,N(AG30)/SG_DEV_FULL)+SG_HIST*(W30="sí")-IF(AND(R30="particular",DL30=0),SG_PART_PEN,0)))</f>
        <v/>
      </c>
      <c r="DN30" s="3">
        <f>IF(BK30="",NEUTRO,MAX(0,MIN(100,BK30/5*100)))</f>
        <v/>
      </c>
      <c r="DO30" s="3">
        <f>IF(BL30="sí",100,IF(BL30="no",0,NEUTRO))</f>
        <v/>
      </c>
      <c r="DP30" s="3">
        <f>SV_W_NCAP*DN30+SV_W_ESP*DO30</f>
        <v/>
      </c>
      <c r="DQ30" s="3">
        <f>MAX(0,MIN(100,ATR_BASE+ATR_ACAB*(BD30&lt;&gt;"")+IF(BE30="16+",ATR_LL16,IF(BE30="sí",ATR_LL,0))+ATR_FAROS*(BF30="sí")+ATR_TINT*(BG30="sí")-ATR_CHAPA*(BE30="chapa")))</f>
        <v/>
      </c>
      <c r="DR30" s="3">
        <f>EST_W_MOD*(BB30-1)/4*100+EST_W_ATR*DQ30</f>
        <v/>
      </c>
      <c r="DS30" s="3">
        <f>IF(BA30="",NEUTRO,IFERROR(VLOOKUP(BA30,COLOR_TBL,2,0)+0,NEUTRO))</f>
        <v/>
      </c>
      <c r="DT30" s="3">
        <f>MAX(0,MIN(100,100*N(BM30)/RV_N_FULL))</f>
        <v/>
      </c>
      <c r="DU30" s="3">
        <f>IF(OR(BN30="",N(BO30)&lt;RV_DIAS_MIN),NEUTRO,MAX(0,MIN(100,100*(RV_DIAS_CERO-BN30)/(RV_DIAS_CERO-RV_DIAS_FULL))))</f>
        <v/>
      </c>
      <c r="DV30" s="3">
        <f>RV_W_LIQ*DT30+RV_W_DIAS*DU30+RV_W_ETQ*DC30</f>
        <v/>
      </c>
      <c r="DW30" s="3">
        <f>IFERROR(VLOOKUP(L30,CARR_PEN_TBL,2,0),0)</f>
        <v/>
      </c>
      <c r="DX30" s="3">
        <f>W_FIAB*CS30+W_PRECIO*CU30+W_KMEDAD*CY30+W_ESTADO*DB30+W_USO*DK30+W_SEGURIDAD*DM30+W_SEGVIAL*DP30+W_ESTETICA*DR30+W_COLOR*DS30+W_REVENTA*DV30-DW30-EG30</f>
        <v/>
      </c>
      <c r="DY30" s="4">
        <f>IF(N(I30)&gt;0,I30,IFERROR(ROUND(_xlfn.NUMBERVALUE(LEFT(G30,FIND(" ",G30&amp;" ")-1),".")*1000,0),99999))</f>
        <v/>
      </c>
      <c r="DZ30" s="3">
        <f>IF(R30="profesional",0,IF(O30&lt;CUOTA_VALOR_MAX,IF(BW30&gt;ITP_TRAMO_ALTO,SUMIFS(CF_CUOTA,CF_MAS,ITP_TRAMO_ALTO,CF_CCMIN,"&lt;="&amp;DY30,CF_CCMAX,"&gt;="&amp;DY30),IF(BW30&gt;ITP_TRAMO_BAJO,SUMIFS(CF_CUOTA,CF_MAS,ITP_TRAMO_BAJO,CF_CCMIN,"&lt;="&amp;DY30,CF_CCMAX,"&gt;="&amp;DY30),O30*ITP_TIPO)),O30*ITP_TIPO))</f>
        <v/>
      </c>
      <c r="EA30" s="4">
        <f>IF(R30="profesional",N(AK30),0)</f>
        <v/>
      </c>
      <c r="EB30" s="3">
        <f>IF(AND(R30="profesional",ISNUMBER(AK30),AL30="sí"),0,TASA_DGT)</f>
        <v/>
      </c>
      <c r="EC30" s="3">
        <f>INFORME_DGT</f>
        <v/>
      </c>
      <c r="ED30" s="4">
        <f>O30+EA30+DZ30+EB30+EC30</f>
        <v/>
      </c>
      <c r="EE30" s="4">
        <f>ED30+N(DF30)</f>
        <v/>
      </c>
      <c r="EF30" s="3">
        <f>MAX(0,ED30-TOTAL_MAX)</f>
        <v/>
      </c>
      <c r="EG30" s="3">
        <f>EF30/100*PEN_100</f>
        <v/>
      </c>
      <c r="EH30" s="3">
        <f>IF(R30="particular",ED30+IF(AND(DA30&lt;&gt;"cadena",X30&lt;&gt;"sí"),RES_CORREA,0)+IF(AND(BJ30&lt;&gt;"sí",BW30&gt;=RES_NEUM_EDAD),RES_NEUM,0),"")</f>
        <v/>
      </c>
      <c r="EI30" s="3">
        <f>IF(ED30&lt;=TOTAL_MAX,"sí",IF(ED30&lt;=TECHO,"negociar","no"))</f>
        <v/>
      </c>
      <c r="EJ30" s="4">
        <f>ROUND(DX30,9)</f>
        <v/>
      </c>
      <c r="EK30" s="4">
        <f>IF(EI30&lt;&gt;"no",SUMPRODUCT(($EI$2:$EI$209&lt;&gt;"no")*($EJ$2:$EJ$209&gt;EJ30))+SUMPRODUCT(($EI$2:EI30&lt;&gt;"no")*($EJ$2:EJ30=EJ30)),"")</f>
        <v/>
      </c>
    </row>
    <row r="31">
      <c r="A31" s="2" t="inlineStr">
        <is>
          <t>ocasionplus:2006</t>
        </is>
      </c>
      <c r="B31" s="2" t="inlineStr">
        <is>
          <t>ocasionplus</t>
        </is>
      </c>
      <c r="C31" s="2" t="inlineStr">
        <is>
          <t>https://www.ocasionplus.com/coches-segunda-mano/fiat-panda-12-dynamic-con-213136km-2006</t>
        </is>
      </c>
      <c r="D31" s="2" t="inlineStr">
        <is>
          <t>Fiat Panda 1.2 Dynamic (60 CV)</t>
        </is>
      </c>
      <c r="E31" s="2" t="inlineStr">
        <is>
          <t>Fiat</t>
        </is>
      </c>
      <c r="F31" s="2" t="inlineStr">
        <is>
          <t>Fiat Panda</t>
        </is>
      </c>
      <c r="G31" s="2" t="inlineStr">
        <is>
          <t>1.2</t>
        </is>
      </c>
      <c r="H31" s="2" t="inlineStr">
        <is>
          <t>Fiat Panda 1.2 Dynamic (60 CV)</t>
        </is>
      </c>
      <c r="I31" s="2" t="n">
        <v>1242</v>
      </c>
      <c r="J31" s="2" t="n">
        <v>60</v>
      </c>
      <c r="K31" s="2" t="inlineStr">
        <is>
          <t>gasolina</t>
        </is>
      </c>
      <c r="L31" s="2" t="inlineStr">
        <is>
          <t>utilitario</t>
        </is>
      </c>
      <c r="M31" s="2" t="n">
        <v>2006</v>
      </c>
      <c r="N31" s="2" t="n">
        <v>213136</v>
      </c>
      <c r="O31" s="2" t="n">
        <v>2200</v>
      </c>
      <c r="P31" s="2" t="inlineStr">
        <is>
          <t>manual</t>
        </is>
      </c>
      <c r="Q31" s="2" t="inlineStr">
        <is>
          <t>no</t>
        </is>
      </c>
      <c r="R31" s="2" t="inlineStr">
        <is>
          <t>profesional</t>
        </is>
      </c>
      <c r="S31" s="2" t="inlineStr">
        <is>
          <t>Valencia - Alzira (Alzira, 46600)</t>
        </is>
      </c>
      <c r="T31" s="2" t="inlineStr">
        <is>
          <t>2024-05-07T13:27:20.000Z</t>
        </is>
      </c>
      <c r="U31" s="2" t="n">
        <v>23</v>
      </c>
      <c r="V31" s="2" t="inlineStr">
        <is>
          <t>sí</t>
        </is>
      </c>
      <c r="W31" s="2" t="n"/>
      <c r="X31" s="2" t="n"/>
      <c r="Y31" s="2" t="n">
        <v>0</v>
      </c>
      <c r="Z31" s="2" t="n"/>
      <c r="AA31" s="2" t="n"/>
      <c r="AB31" s="2" t="n"/>
      <c r="AC31" s="2" t="inlineStr">
        <is>
          <t>sí</t>
        </is>
      </c>
      <c r="AD31" s="2" t="n">
        <v>500</v>
      </c>
      <c r="AE31" s="2" t="n"/>
      <c r="AF31" s="2" t="inlineStr">
        <is>
          <t>sí</t>
        </is>
      </c>
      <c r="AG31" s="2" t="n"/>
      <c r="AH31" s="2" t="n">
        <v>2200</v>
      </c>
      <c r="AI31" s="2" t="n">
        <v>2200</v>
      </c>
      <c r="AJ31" s="2" t="inlineStr">
        <is>
          <t>no</t>
        </is>
      </c>
      <c r="AK31" s="2" t="n">
        <v>350</v>
      </c>
      <c r="AL31" s="2" t="inlineStr">
        <is>
          <t>sí</t>
        </is>
      </c>
      <c r="AM31" s="2" t="n">
        <v>35.7</v>
      </c>
      <c r="AN31" s="2" t="inlineStr">
        <is>
          <t>9605FDM</t>
        </is>
      </c>
      <c r="AO31" s="2" t="inlineStr">
        <is>
          <t>2006-07-31</t>
        </is>
      </c>
      <c r="AP31" s="2" t="n">
        <v>2006</v>
      </c>
      <c r="AQ31" s="2" t="n">
        <v>7</v>
      </c>
      <c r="AR31" s="2" t="inlineStr">
        <is>
          <t>C</t>
        </is>
      </c>
      <c r="AS31" s="2" t="inlineStr">
        <is>
          <t>DGT</t>
        </is>
      </c>
      <c r="AT31" s="2" t="n"/>
      <c r="AU31" s="2" t="inlineStr">
        <is>
          <t>no</t>
        </is>
      </c>
      <c r="AV31" s="2" t="inlineStr">
        <is>
          <t>C</t>
        </is>
      </c>
      <c r="AW31" s="2" t="n"/>
      <c r="AX31" s="2" t="inlineStr">
        <is>
          <t>no</t>
        </is>
      </c>
      <c r="AY31" s="2" t="inlineStr">
        <is>
          <t>no</t>
        </is>
      </c>
      <c r="AZ31" s="2" t="inlineStr">
        <is>
          <t>Azul</t>
        </is>
      </c>
      <c r="BA31" s="2" t="inlineStr">
        <is>
          <t>azul</t>
        </is>
      </c>
      <c r="BB31" s="3" t="n">
        <v>2</v>
      </c>
      <c r="BC31" s="3" t="inlineStr">
        <is>
          <t>(por segmento)</t>
        </is>
      </c>
      <c r="BD31" s="2" t="n"/>
      <c r="BE31" s="2" t="inlineStr">
        <is>
          <t>chapa</t>
        </is>
      </c>
      <c r="BF31" s="2" t="n"/>
      <c r="BG31" s="2" t="inlineStr">
        <is>
          <t>sí</t>
        </is>
      </c>
      <c r="BH31" s="2" t="n"/>
      <c r="BI31" s="2" t="n"/>
      <c r="BJ31" s="2" t="n"/>
      <c r="BK31" s="2" t="n">
        <v>3</v>
      </c>
      <c r="BL31" s="2" t="inlineStr">
        <is>
          <t>no</t>
        </is>
      </c>
      <c r="BM31" s="2" t="n">
        <v>106</v>
      </c>
      <c r="BN31" s="2" t="n">
        <v>0.05126157402992249</v>
      </c>
      <c r="BO31" s="2" t="n">
        <v>1</v>
      </c>
      <c r="BP31" s="2" t="n"/>
      <c r="BQ31" s="2" t="n"/>
      <c r="BR31" s="2" t="n"/>
      <c r="BS31" s="2" t="n"/>
      <c r="BT31" s="2" t="inlineStr">
        <is>
          <t>vendedor profesional: sin ITP (operación con IVA/REBU, confirmar en factura); revisar: no menciona la ITV; mediana con solo 1 anuncio(s)</t>
        </is>
      </c>
      <c r="BU31" s="2" t="inlineStr">
        <is>
          <t>Fiat Panda 1.2 Dynamic (60 CV)</t>
        </is>
      </c>
      <c r="BV31" s="2" t="inlineStr">
        <is>
          <t>https://www.ocasionplus.com/coches-segunda-mano/fiat-panda-12-dynamic-con-213136km-2006 (payload RSC 'vehicle') /home/user/Alopecia/buscador-coches/raw/ocasionplus/36fb1d575186ed5c.json</t>
        </is>
      </c>
      <c r="BW31" s="3">
        <f>MAX(ANIO_ACTUAL-M31,0)</f>
        <v/>
      </c>
      <c r="BX31" s="4">
        <f>N31/MAX(BW31,0.5)</f>
        <v/>
      </c>
      <c r="BY31" s="4">
        <f>F31</f>
        <v/>
      </c>
      <c r="BZ31" s="3">
        <f>BY31&amp;"|"&amp;INT(M31/SEG_ANIO)*SEG_ANIO</f>
        <v/>
      </c>
      <c r="CA31" s="3">
        <f>BZ31&amp;"|"&amp;INT(N31/SEG_KM)*SEG_KM</f>
        <v/>
      </c>
      <c r="CB31" s="4">
        <f>COUNTIF($BY$2:$BY$209,BY31)</f>
        <v/>
      </c>
      <c r="CC31" s="4">
        <f>COUNTIF($BZ$2:$BZ$209,BZ31)</f>
        <v/>
      </c>
      <c r="CD31" s="4">
        <f>COUNTIF($CA$2:$CA$209,CA31)</f>
        <v/>
      </c>
      <c r="CE31" s="3">
        <f t="array" ref="CE31">IF(N(BQ31)&gt;=MIN_N,BP31,IF(CD31&gt;=MIN_N,MEDIAN(IF($CA$2:$CA$209=CA31,$O$2:$O$209)),IF(CC31&gt;=MIN_N,MEDIAN(IF($BZ$2:$BZ$209=BZ31,$O$2:$O$209)),MEDIAN(IF($BY$2:$BY$209=BY31,$O$2:$O$209)))))</f>
        <v/>
      </c>
      <c r="CF31" s="3">
        <f>IF(N(BQ31)&gt;=MIN_N,"mercado "&amp;BR31,IF(CD31&gt;=MIN_N,"modelo+año+km",IF(CC31&gt;=MIN_N,"modelo+año","modelo")))</f>
        <v/>
      </c>
      <c r="CG31" s="4">
        <f>(CE31-O31)/CE31</f>
        <v/>
      </c>
      <c r="CH31" s="3">
        <f>IF(COUNTIFS(FR_FUEL,K31,FR_YEAR,AP31)&gt;0,1,0)</f>
        <v/>
      </c>
      <c r="CI31" s="3">
        <f>IF(COUNTIFS(FR_FUEL,K31,FR_YEAR,AP31-1)&gt;0,1,0)</f>
        <v/>
      </c>
      <c r="CJ31" s="4">
        <f>IF(N(AQ31)&gt;0,AP31*100+AQ31,IF(AND(CH31=1,CI31=1),(AP31-1)*100+1,AP31*100+1))</f>
        <v/>
      </c>
      <c r="CK31" s="3">
        <f>IF(OR(K31="hibrido",K31="glp",K31="gnc",K31="phev"),"ECO",IF(K31="electrico","CERO",IF(K31="gasolina",IF(CJ31&gt;=GAS_C_YM,"C",IF(CJ31&gt;=GAS_B_YM,"B","A")),IF(K31="diesel",IF(CJ31&gt;=DIE_C_YM,"C",IF(CJ31&gt;=DIE_B_YM,"B","A")),""))))</f>
        <v/>
      </c>
      <c r="CL31" s="2" t="inlineStr">
        <is>
          <t>C</t>
        </is>
      </c>
      <c r="CM31" s="4">
        <f>IF(AU31="sí","sí",IF(AS31="regla",IF(AND(N(AQ31)=0,CH31=1),"sí","no"),"no"))</f>
        <v/>
      </c>
      <c r="CN31" s="3">
        <f>IFERROR(VLOOKUP(F31,MOD_TBL,16,0),IFERROR(VLOOKUP(E31,OCU_TBL,2,0),NEUTRO))</f>
        <v/>
      </c>
      <c r="CO31" s="3">
        <f>SUMIFS(MOT_AJUSTE,MOT_MOTOR,G31,MOT_MARCA,E31,MOT_DESDE,"&lt;="&amp;M31,MOT_HASTA,"&gt;="&amp;M31)+SUMIFS(MOT_AJUSTE,MOT_MOTOR,G31,MOT_MARCA,"(todas)",MOT_DESDE,"&lt;="&amp;M31,MOT_HASTA,"&gt;="&amp;M31)+SUMIFS(MOT_AJUSTE,MOT_MOTOR,"(cualquiera)",MOT_MARCA,E31,MOT_DESDE,"&lt;="&amp;M31,MOT_HASTA,"&gt;="&amp;M31)</f>
        <v/>
      </c>
      <c r="CP31" s="3">
        <f>SUMIFS(COMB_AJUSTE,COMB_COMB,K31)</f>
        <v/>
      </c>
      <c r="CQ31" s="3">
        <f>COUNTIFS(MOT_MOTOR,G31,MOT_MARCA,E31,MOT_DESDE,"&lt;="&amp;M31,MOT_HASTA,"&gt;="&amp;M31)+COUNTIFS(MOT_MOTOR,G31,MOT_MARCA,"(todas)",MOT_DESDE,"&lt;="&amp;M31,MOT_HASTA,"&gt;="&amp;M31)+COUNTIFS(MOT_MOTOR,"(cualquiera)",MOT_MARCA,E31,MOT_DESDE,"&lt;="&amp;M31,MOT_HASTA,"&gt;="&amp;M31)</f>
        <v/>
      </c>
      <c r="CR31" s="3">
        <f>IF(AND(K31="diesel",CQ31=0),MIN(CN31,NEUTRO),CN31)</f>
        <v/>
      </c>
      <c r="CS31" s="3">
        <f>MAX(0,MIN(100,CR31+CO31+CP31-IF(AX31="sí",ROB_PEN,0)))</f>
        <v/>
      </c>
      <c r="CT31" s="3">
        <f>100-MAX(0,N31-KM_TOPE_DESDE)/1000*KM_TOPE_PTS</f>
        <v/>
      </c>
      <c r="CU31" s="3">
        <f>MAX(0,MIN(100,50+CG31*PRECIO_PEND,CT31))</f>
        <v/>
      </c>
      <c r="CV31" s="3">
        <f>MAX(0,100*(1-N31/KM_MAX))</f>
        <v/>
      </c>
      <c r="CW31" s="3">
        <f>IF(BX31&lt;KMA_SOSP,IF(AA31="sí",100,KMA_PEN),IF(BX31&lt;=KMA_IDEAL_MAX,100,MAX(0,100*(KMA_CERO-BX31)/(KMA_CERO-KMA_IDEAL_MAX))))</f>
        <v/>
      </c>
      <c r="CX31" s="3">
        <f>MAX(0,MIN(100,100*(M31-ANIO_MIN)/(ANIO_ACTUAL-ANIO_MIN)))</f>
        <v/>
      </c>
      <c r="CY31" s="3">
        <f>W_KMT*CV31+W_KMA*CW31+W_EDAD*CX31</f>
        <v/>
      </c>
      <c r="CZ31" s="4">
        <f>E31&amp;"|"&amp;G31</f>
        <v/>
      </c>
      <c r="DA31" s="3">
        <f>IFERROR(VLOOKUP(CZ31,DIST_TBL,2,0),"")</f>
        <v/>
      </c>
      <c r="DB31" s="3">
        <f>E_ITV*(V31="sí")+E_LIBRO*(W31="sí")+E_PROP*IF(Y31=1,1,IF(Y31=2,0.5,0))+E_CORREA*IF(OR(DA31="cadena",AND(X31="sí",BH31="sí")),1,IF(X31="sí",0.5,0))+E_FACT*(BI31="sí")</f>
        <v/>
      </c>
      <c r="DC31" s="3">
        <f>MAX(0,MIN(100,IFERROR(VLOOKUP(CL31,ETQ_TBL,2,0),0)-IF(CM31="sí",ETQ_PEN_DUD,IF(AS31="regla",ETQ_PEN_REGLA,0))))</f>
        <v/>
      </c>
      <c r="DD31" s="3">
        <f>IF(K31&lt;&gt;"gasolina","",IFERROR(VLOOKUP(F31,CONS_MOD_TBL,2,0),IFERROR(VLOOKUP(L31,CONS_SEG_TBL,2,0),"")))</f>
        <v/>
      </c>
      <c r="DE31" s="3">
        <f>IF(DD31="",NEUTRO,MAX(0,MIN(100,100*(CONS_REF_MAX-DD31)/(CONS_REF_MAX-CONS_REF_MIN))))</f>
        <v/>
      </c>
      <c r="DF31" s="3">
        <f>IFERROR(VLOOKUP(L31,SEGURO_TBL,3,0),"")</f>
        <v/>
      </c>
      <c r="DG31" s="3">
        <f>IF(DF31="",NEUTRO,MAX(0,MIN(100,100*(SEG_REF_MAX-DF31)/(SEG_REF_MAX-SEG_REF_MIN))))</f>
        <v/>
      </c>
      <c r="DH31" s="3">
        <f>IFERROR(VLOOKUP(E31,MANT_MARCA_TBL,2,0)+0,NEUTRO)</f>
        <v/>
      </c>
      <c r="DI31" s="3">
        <f>IF(DA31="",NEUTRO,IFERROR(VLOOKUP(DA31,DIST_PTS_TBL,2,0)+0,NEUTRO))</f>
        <v/>
      </c>
      <c r="DJ31" s="4">
        <f>(DH31+DI31)/2</f>
        <v/>
      </c>
      <c r="DK31" s="3">
        <f>W_CONS*DE31+W_SEG*DG31+W_MANT*DJ31</f>
        <v/>
      </c>
      <c r="DL31" s="3">
        <f>IF(N(AB31)&gt;0,AB31,IF(AND(R31="profesional",SG_LEGAL_ON=1),GAR_LEGAL,0))</f>
        <v/>
      </c>
      <c r="DM31" s="3">
        <f>MAX(0,MIN(100,SG_GAR*MIN(1,DL31/SG_GAR_FULL)+SG_AMPL*(AC31="sí")+SG_KMC*(AF31="sí")+SG_REV*(N(AE31)&gt;0)+SG_DEV*MIN(1,N(AG31)/SG_DEV_FULL)+SG_HIST*(W31="sí")-IF(AND(R31="particular",DL31=0),SG_PART_PEN,0)))</f>
        <v/>
      </c>
      <c r="DN31" s="3">
        <f>IF(BK31="",NEUTRO,MAX(0,MIN(100,BK31/5*100)))</f>
        <v/>
      </c>
      <c r="DO31" s="3">
        <f>IF(BL31="sí",100,IF(BL31="no",0,NEUTRO))</f>
        <v/>
      </c>
      <c r="DP31" s="3">
        <f>SV_W_NCAP*DN31+SV_W_ESP*DO31</f>
        <v/>
      </c>
      <c r="DQ31" s="3">
        <f>MAX(0,MIN(100,ATR_BASE+ATR_ACAB*(BD31&lt;&gt;"")+IF(BE31="16+",ATR_LL16,IF(BE31="sí",ATR_LL,0))+ATR_FAROS*(BF31="sí")+ATR_TINT*(BG31="sí")-ATR_CHAPA*(BE31="chapa")))</f>
        <v/>
      </c>
      <c r="DR31" s="3">
        <f>EST_W_MOD*(BB31-1)/4*100+EST_W_ATR*DQ31</f>
        <v/>
      </c>
      <c r="DS31" s="3">
        <f>IF(BA31="",NEUTRO,IFERROR(VLOOKUP(BA31,COLOR_TBL,2,0)+0,NEUTRO))</f>
        <v/>
      </c>
      <c r="DT31" s="3">
        <f>MAX(0,MIN(100,100*N(BM31)/RV_N_FULL))</f>
        <v/>
      </c>
      <c r="DU31" s="3">
        <f>IF(OR(BN31="",N(BO31)&lt;RV_DIAS_MIN),NEUTRO,MAX(0,MIN(100,100*(RV_DIAS_CERO-BN31)/(RV_DIAS_CERO-RV_DIAS_FULL))))</f>
        <v/>
      </c>
      <c r="DV31" s="3">
        <f>RV_W_LIQ*DT31+RV_W_DIAS*DU31+RV_W_ETQ*DC31</f>
        <v/>
      </c>
      <c r="DW31" s="3">
        <f>IFERROR(VLOOKUP(L31,CARR_PEN_TBL,2,0),0)</f>
        <v/>
      </c>
      <c r="DX31" s="3">
        <f>W_FIAB*CS31+W_PRECIO*CU31+W_KMEDAD*CY31+W_ESTADO*DB31+W_USO*DK31+W_SEGURIDAD*DM31+W_SEGVIAL*DP31+W_ESTETICA*DR31+W_COLOR*DS31+W_REVENTA*DV31-DW31-EG31</f>
        <v/>
      </c>
      <c r="DY31" s="4">
        <f>IF(N(I31)&gt;0,I31,IFERROR(ROUND(_xlfn.NUMBERVALUE(LEFT(G31,FIND(" ",G31&amp;" ")-1),".")*1000,0),99999))</f>
        <v/>
      </c>
      <c r="DZ31" s="3">
        <f>IF(R31="profesional",0,IF(O31&lt;CUOTA_VALOR_MAX,IF(BW31&gt;ITP_TRAMO_ALTO,SUMIFS(CF_CUOTA,CF_MAS,ITP_TRAMO_ALTO,CF_CCMIN,"&lt;="&amp;DY31,CF_CCMAX,"&gt;="&amp;DY31),IF(BW31&gt;ITP_TRAMO_BAJO,SUMIFS(CF_CUOTA,CF_MAS,ITP_TRAMO_BAJO,CF_CCMIN,"&lt;="&amp;DY31,CF_CCMAX,"&gt;="&amp;DY31),O31*ITP_TIPO)),O31*ITP_TIPO))</f>
        <v/>
      </c>
      <c r="EA31" s="4">
        <f>IF(R31="profesional",N(AK31),0)</f>
        <v/>
      </c>
      <c r="EB31" s="3">
        <f>IF(AND(R31="profesional",ISNUMBER(AK31),AL31="sí"),0,TASA_DGT)</f>
        <v/>
      </c>
      <c r="EC31" s="3">
        <f>INFORME_DGT</f>
        <v/>
      </c>
      <c r="ED31" s="4">
        <f>O31+EA31+DZ31+EB31+EC31</f>
        <v/>
      </c>
      <c r="EE31" s="4">
        <f>ED31+N(DF31)</f>
        <v/>
      </c>
      <c r="EF31" s="3">
        <f>MAX(0,ED31-TOTAL_MAX)</f>
        <v/>
      </c>
      <c r="EG31" s="3">
        <f>EF31/100*PEN_100</f>
        <v/>
      </c>
      <c r="EH31" s="3">
        <f>IF(R31="particular",ED31+IF(AND(DA31&lt;&gt;"cadena",X31&lt;&gt;"sí"),RES_CORREA,0)+IF(AND(BJ31&lt;&gt;"sí",BW31&gt;=RES_NEUM_EDAD),RES_NEUM,0),"")</f>
        <v/>
      </c>
      <c r="EI31" s="3">
        <f>IF(ED31&lt;=TOTAL_MAX,"sí",IF(ED31&lt;=TECHO,"negociar","no"))</f>
        <v/>
      </c>
      <c r="EJ31" s="4">
        <f>ROUND(DX31,9)</f>
        <v/>
      </c>
      <c r="EK31" s="4">
        <f>IF(EI31&lt;&gt;"no",SUMPRODUCT(($EI$2:$EI$209&lt;&gt;"no")*($EJ$2:$EJ$209&gt;EJ31))+SUMPRODUCT(($EI$2:EI31&lt;&gt;"no")*($EJ$2:EJ31=EJ31)),"")</f>
        <v/>
      </c>
    </row>
    <row r="32">
      <c r="A32" s="2" t="inlineStr">
        <is>
          <t>autoscout24:1a5a1cfa-8aa2-4eb2-becc-bd32ed1bb345</t>
        </is>
      </c>
      <c r="B32" s="2" t="inlineStr">
        <is>
          <t>autoscout24</t>
        </is>
      </c>
      <c r="C32" s="2" t="inlineStr">
        <is>
          <t>https://www.autoscout24.es/anuncios/toyota-avensis-wagon-1-8-sol-gasolina-cat_ma70mo15230-1a5a1cfa-8aa2-4eb2-becc-bd32ed1bb345</t>
        </is>
      </c>
      <c r="D32" s="2" t="inlineStr">
        <is>
          <t>Toyota Avensis Wagon 1.8 Sol</t>
        </is>
      </c>
      <c r="E32" s="2" t="inlineStr">
        <is>
          <t>Toyota</t>
        </is>
      </c>
      <c r="F32" s="2" t="inlineStr">
        <is>
          <t>Toyota Avensis</t>
        </is>
      </c>
      <c r="G32" s="2" t="inlineStr">
        <is>
          <t>1.8</t>
        </is>
      </c>
      <c r="H32" s="2" t="inlineStr">
        <is>
          <t>Wagon 1.8 Sol 1.8</t>
        </is>
      </c>
      <c r="I32" s="2" t="n">
        <v>1794</v>
      </c>
      <c r="J32" s="2" t="n">
        <v>129</v>
      </c>
      <c r="K32" s="2" t="inlineStr">
        <is>
          <t>gasolina</t>
        </is>
      </c>
      <c r="L32" s="2" t="inlineStr">
        <is>
          <t>familiar</t>
        </is>
      </c>
      <c r="M32" s="2" t="n">
        <v>2007</v>
      </c>
      <c r="N32" s="2" t="n">
        <v>145000</v>
      </c>
      <c r="O32" s="2" t="n">
        <v>3000</v>
      </c>
      <c r="P32" s="2" t="inlineStr">
        <is>
          <t>manual</t>
        </is>
      </c>
      <c r="Q32" s="2" t="inlineStr">
        <is>
          <t>no</t>
        </is>
      </c>
      <c r="R32" s="2" t="inlineStr">
        <is>
          <t>particular</t>
        </is>
      </c>
      <c r="S32" s="2" t="inlineStr">
        <is>
          <t>la Pobla Llarga (46670)</t>
        </is>
      </c>
      <c r="T32" s="2" t="n"/>
      <c r="U32" s="2" t="n">
        <v>18</v>
      </c>
      <c r="V32" s="2" t="n"/>
      <c r="W32" s="2" t="n"/>
      <c r="X32" s="2" t="n"/>
      <c r="Y32" s="2" t="n"/>
      <c r="Z32" s="2" t="n"/>
      <c r="AA32" s="2" t="n"/>
      <c r="AB32" s="2" t="n"/>
      <c r="AC32" s="2" t="n"/>
      <c r="AD32" s="2" t="n"/>
      <c r="AE32" s="2" t="n"/>
      <c r="AF32" s="2" t="n"/>
      <c r="AG32" s="2" t="n"/>
      <c r="AH32" s="2" t="n"/>
      <c r="AI32" s="2" t="n"/>
      <c r="AJ32" s="2" t="n"/>
      <c r="AK32" s="2" t="n"/>
      <c r="AL32" s="2" t="n"/>
      <c r="AM32" s="2" t="n">
        <v>43.5</v>
      </c>
      <c r="AN32" s="2" t="n"/>
      <c r="AO32" s="2" t="inlineStr">
        <is>
          <t>2007-10</t>
        </is>
      </c>
      <c r="AP32" s="2" t="n">
        <v>2007</v>
      </c>
      <c r="AQ32" s="2" t="n">
        <v>10</v>
      </c>
      <c r="AR32" s="2" t="n"/>
      <c r="AS32" s="2" t="inlineStr">
        <is>
          <t>regla</t>
        </is>
      </c>
      <c r="AT32" s="2" t="n"/>
      <c r="AU32" s="2" t="inlineStr">
        <is>
          <t>no</t>
        </is>
      </c>
      <c r="AV32" s="2" t="inlineStr">
        <is>
          <t>C</t>
        </is>
      </c>
      <c r="AW32" s="2" t="n"/>
      <c r="AX32" s="2" t="inlineStr">
        <is>
          <t>no</t>
        </is>
      </c>
      <c r="AY32" s="2" t="inlineStr">
        <is>
          <t>sí</t>
        </is>
      </c>
      <c r="AZ32" s="2" t="n"/>
      <c r="BA32" s="2" t="n"/>
      <c r="BB32" s="3" t="n">
        <v>4</v>
      </c>
      <c r="BC32" s="3" t="inlineStr">
        <is>
          <t>Toyota Avensis T25 1.8 2003-2008</t>
        </is>
      </c>
      <c r="BD32" s="2" t="n"/>
      <c r="BE32" s="2" t="inlineStr">
        <is>
          <t>sí</t>
        </is>
      </c>
      <c r="BF32" s="2" t="n"/>
      <c r="BG32" s="2" t="n"/>
      <c r="BH32" s="2" t="n"/>
      <c r="BI32" s="2" t="n"/>
      <c r="BJ32" s="2" t="n"/>
      <c r="BK32" s="2" t="n">
        <v>5</v>
      </c>
      <c r="BL32" s="2" t="inlineStr">
        <is>
          <t>sí</t>
        </is>
      </c>
      <c r="BM32" s="2" t="n">
        <v>40</v>
      </c>
      <c r="BN32" s="2" t="n"/>
      <c r="BO32" s="2" t="n">
        <v>0</v>
      </c>
      <c r="BP32" s="2" t="n">
        <v>4299.5</v>
      </c>
      <c r="BQ32" s="2" t="n">
        <v>8</v>
      </c>
      <c r="BR32" s="2" t="inlineStr">
        <is>
          <t>modelo+año</t>
        </is>
      </c>
      <c r="BS32" s="2" t="n"/>
      <c r="BT32" s="2" t="inlineStr">
        <is>
          <t>particular sin garantía: pedir informe DGT, historial ITV y revisión precompra; cuota fija ITP: &gt;12 años, 1.501-2.000 cc; carrocería familiar: -3 puntos; etiqueta C deducida por fecha (sin matrícula ni dato del anuncio); revisar: no menciona la ITV</t>
        </is>
      </c>
      <c r="BU32" s="2" t="inlineStr"/>
      <c r="BV32" s="2" t="inlineStr">
        <is>
          <t>https://www.autoscout24.es/anuncios/toyota-avensis-wagon-1-8-sol-gasolina-cat_ma70mo15230-1a5a1cfa-8aa2-4eb2-becc-bd32ed1bb345 (__NEXT_DATA__ listingDetails) /home/user/Alopecia/buscador-coches/raw/autoscout24/7f41ccd0e5138a74.json</t>
        </is>
      </c>
      <c r="BW32" s="3">
        <f>MAX(ANIO_ACTUAL-M32,0)</f>
        <v/>
      </c>
      <c r="BX32" s="4">
        <f>N32/MAX(BW32,0.5)</f>
        <v/>
      </c>
      <c r="BY32" s="4">
        <f>F32</f>
        <v/>
      </c>
      <c r="BZ32" s="3">
        <f>BY32&amp;"|"&amp;INT(M32/SEG_ANIO)*SEG_ANIO</f>
        <v/>
      </c>
      <c r="CA32" s="3">
        <f>BZ32&amp;"|"&amp;INT(N32/SEG_KM)*SEG_KM</f>
        <v/>
      </c>
      <c r="CB32" s="4">
        <f>COUNTIF($BY$2:$BY$209,BY32)</f>
        <v/>
      </c>
      <c r="CC32" s="4">
        <f>COUNTIF($BZ$2:$BZ$209,BZ32)</f>
        <v/>
      </c>
      <c r="CD32" s="4">
        <f>COUNTIF($CA$2:$CA$209,CA32)</f>
        <v/>
      </c>
      <c r="CE32" s="3">
        <f t="array" ref="CE32">IF(N(BQ32)&gt;=MIN_N,BP32,IF(CD32&gt;=MIN_N,MEDIAN(IF($CA$2:$CA$209=CA32,$O$2:$O$209)),IF(CC32&gt;=MIN_N,MEDIAN(IF($BZ$2:$BZ$209=BZ32,$O$2:$O$209)),MEDIAN(IF($BY$2:$BY$209=BY32,$O$2:$O$209)))))</f>
        <v/>
      </c>
      <c r="CF32" s="3">
        <f>IF(N(BQ32)&gt;=MIN_N,"mercado "&amp;BR32,IF(CD32&gt;=MIN_N,"modelo+año+km",IF(CC32&gt;=MIN_N,"modelo+año","modelo")))</f>
        <v/>
      </c>
      <c r="CG32" s="4">
        <f>(CE32-O32)/CE32</f>
        <v/>
      </c>
      <c r="CH32" s="3">
        <f>IF(COUNTIFS(FR_FUEL,K32,FR_YEAR,AP32)&gt;0,1,0)</f>
        <v/>
      </c>
      <c r="CI32" s="3">
        <f>IF(COUNTIFS(FR_FUEL,K32,FR_YEAR,AP32-1)&gt;0,1,0)</f>
        <v/>
      </c>
      <c r="CJ32" s="4">
        <f>IF(N(AQ32)&gt;0,AP32*100+AQ32,IF(AND(CH32=1,CI32=1),(AP32-1)*100+1,AP32*100+1))</f>
        <v/>
      </c>
      <c r="CK32" s="3">
        <f>IF(OR(K32="hibrido",K32="glp",K32="gnc",K32="phev"),"ECO",IF(K32="electrico","CERO",IF(K32="gasolina",IF(CJ32&gt;=GAS_C_YM,"C",IF(CJ32&gt;=GAS_B_YM,"B","A")),IF(K32="diesel",IF(CJ32&gt;=DIE_C_YM,"C",IF(CJ32&gt;=DIE_B_YM,"B","A")),""))))</f>
        <v/>
      </c>
      <c r="CL32" s="4">
        <f>CK32</f>
        <v/>
      </c>
      <c r="CM32" s="4">
        <f>IF(AU32="sí","sí",IF(AS32="regla",IF(AND(N(AQ32)=0,CH32=1),"sí","no"),"no"))</f>
        <v/>
      </c>
      <c r="CN32" s="3">
        <f>IFERROR(VLOOKUP(F32,MOD_TBL,16,0),IFERROR(VLOOKUP(E32,OCU_TBL,2,0),NEUTRO))</f>
        <v/>
      </c>
      <c r="CO32" s="3">
        <f>SUMIFS(MOT_AJUSTE,MOT_MOTOR,G32,MOT_MARCA,E32,MOT_DESDE,"&lt;="&amp;M32,MOT_HASTA,"&gt;="&amp;M32)+SUMIFS(MOT_AJUSTE,MOT_MOTOR,G32,MOT_MARCA,"(todas)",MOT_DESDE,"&lt;="&amp;M32,MOT_HASTA,"&gt;="&amp;M32)+SUMIFS(MOT_AJUSTE,MOT_MOTOR,"(cualquiera)",MOT_MARCA,E32,MOT_DESDE,"&lt;="&amp;M32,MOT_HASTA,"&gt;="&amp;M32)</f>
        <v/>
      </c>
      <c r="CP32" s="3">
        <f>SUMIFS(COMB_AJUSTE,COMB_COMB,K32)</f>
        <v/>
      </c>
      <c r="CQ32" s="3">
        <f>COUNTIFS(MOT_MOTOR,G32,MOT_MARCA,E32,MOT_DESDE,"&lt;="&amp;M32,MOT_HASTA,"&gt;="&amp;M32)+COUNTIFS(MOT_MOTOR,G32,MOT_MARCA,"(todas)",MOT_DESDE,"&lt;="&amp;M32,MOT_HASTA,"&gt;="&amp;M32)+COUNTIFS(MOT_MOTOR,"(cualquiera)",MOT_MARCA,E32,MOT_DESDE,"&lt;="&amp;M32,MOT_HASTA,"&gt;="&amp;M32)</f>
        <v/>
      </c>
      <c r="CR32" s="3">
        <f>IF(AND(K32="diesel",CQ32=0),MIN(CN32,NEUTRO),CN32)</f>
        <v/>
      </c>
      <c r="CS32" s="3">
        <f>MAX(0,MIN(100,CR32+CO32+CP32-IF(AX32="sí",ROB_PEN,0)))</f>
        <v/>
      </c>
      <c r="CT32" s="3">
        <f>100-MAX(0,N32-KM_TOPE_DESDE)/1000*KM_TOPE_PTS</f>
        <v/>
      </c>
      <c r="CU32" s="3">
        <f>MAX(0,MIN(100,50+CG32*PRECIO_PEND,CT32))</f>
        <v/>
      </c>
      <c r="CV32" s="3">
        <f>MAX(0,100*(1-N32/KM_MAX))</f>
        <v/>
      </c>
      <c r="CW32" s="3">
        <f>IF(BX32&lt;KMA_SOSP,IF(AA32="sí",100,KMA_PEN),IF(BX32&lt;=KMA_IDEAL_MAX,100,MAX(0,100*(KMA_CERO-BX32)/(KMA_CERO-KMA_IDEAL_MAX))))</f>
        <v/>
      </c>
      <c r="CX32" s="3">
        <f>MAX(0,MIN(100,100*(M32-ANIO_MIN)/(ANIO_ACTUAL-ANIO_MIN)))</f>
        <v/>
      </c>
      <c r="CY32" s="3">
        <f>W_KMT*CV32+W_KMA*CW32+W_EDAD*CX32</f>
        <v/>
      </c>
      <c r="CZ32" s="4">
        <f>E32&amp;"|"&amp;G32</f>
        <v/>
      </c>
      <c r="DA32" s="3">
        <f>IFERROR(VLOOKUP(CZ32,DIST_TBL,2,0),"")</f>
        <v/>
      </c>
      <c r="DB32" s="3">
        <f>E_ITV*(V32="sí")+E_LIBRO*(W32="sí")+E_PROP*IF(Y32=1,1,IF(Y32=2,0.5,0))+E_CORREA*IF(OR(DA32="cadena",AND(X32="sí",BH32="sí")),1,IF(X32="sí",0.5,0))+E_FACT*(BI32="sí")</f>
        <v/>
      </c>
      <c r="DC32" s="3">
        <f>MAX(0,MIN(100,IFERROR(VLOOKUP(CL32,ETQ_TBL,2,0),0)-IF(CM32="sí",ETQ_PEN_DUD,IF(AS32="regla",ETQ_PEN_REGLA,0))))</f>
        <v/>
      </c>
      <c r="DD32" s="3">
        <f>IF(K32&lt;&gt;"gasolina","",IFERROR(VLOOKUP(F32,CONS_MOD_TBL,2,0),IFERROR(VLOOKUP(L32,CONS_SEG_TBL,2,0),"")))</f>
        <v/>
      </c>
      <c r="DE32" s="3">
        <f>IF(DD32="",NEUTRO,MAX(0,MIN(100,100*(CONS_REF_MAX-DD32)/(CONS_REF_MAX-CONS_REF_MIN))))</f>
        <v/>
      </c>
      <c r="DF32" s="3">
        <f>IFERROR(VLOOKUP(L32,SEGURO_TBL,3,0),"")</f>
        <v/>
      </c>
      <c r="DG32" s="3">
        <f>IF(DF32="",NEUTRO,MAX(0,MIN(100,100*(SEG_REF_MAX-DF32)/(SEG_REF_MAX-SEG_REF_MIN))))</f>
        <v/>
      </c>
      <c r="DH32" s="3">
        <f>IFERROR(VLOOKUP(E32,MANT_MARCA_TBL,2,0)+0,NEUTRO)</f>
        <v/>
      </c>
      <c r="DI32" s="3">
        <f>IF(DA32="",NEUTRO,IFERROR(VLOOKUP(DA32,DIST_PTS_TBL,2,0)+0,NEUTRO))</f>
        <v/>
      </c>
      <c r="DJ32" s="4">
        <f>(DH32+DI32)/2</f>
        <v/>
      </c>
      <c r="DK32" s="3">
        <f>W_CONS*DE32+W_SEG*DG32+W_MANT*DJ32</f>
        <v/>
      </c>
      <c r="DL32" s="3">
        <f>IF(N(AB32)&gt;0,AB32,IF(AND(R32="profesional",SG_LEGAL_ON=1),GAR_LEGAL,0))</f>
        <v/>
      </c>
      <c r="DM32" s="3">
        <f>MAX(0,MIN(100,SG_GAR*MIN(1,DL32/SG_GAR_FULL)+SG_AMPL*(AC32="sí")+SG_KMC*(AF32="sí")+SG_REV*(N(AE32)&gt;0)+SG_DEV*MIN(1,N(AG32)/SG_DEV_FULL)+SG_HIST*(W32="sí")-IF(AND(R32="particular",DL32=0),SG_PART_PEN,0)))</f>
        <v/>
      </c>
      <c r="DN32" s="3">
        <f>IF(BK32="",NEUTRO,MAX(0,MIN(100,BK32/5*100)))</f>
        <v/>
      </c>
      <c r="DO32" s="3">
        <f>IF(BL32="sí",100,IF(BL32="no",0,NEUTRO))</f>
        <v/>
      </c>
      <c r="DP32" s="3">
        <f>SV_W_NCAP*DN32+SV_W_ESP*DO32</f>
        <v/>
      </c>
      <c r="DQ32" s="3">
        <f>MAX(0,MIN(100,ATR_BASE+ATR_ACAB*(BD32&lt;&gt;"")+IF(BE32="16+",ATR_LL16,IF(BE32="sí",ATR_LL,0))+ATR_FAROS*(BF32="sí")+ATR_TINT*(BG32="sí")-ATR_CHAPA*(BE32="chapa")))</f>
        <v/>
      </c>
      <c r="DR32" s="3">
        <f>EST_W_MOD*(BB32-1)/4*100+EST_W_ATR*DQ32</f>
        <v/>
      </c>
      <c r="DS32" s="3">
        <f>IF(BA32="",NEUTRO,IFERROR(VLOOKUP(BA32,COLOR_TBL,2,0)+0,NEUTRO))</f>
        <v/>
      </c>
      <c r="DT32" s="3">
        <f>MAX(0,MIN(100,100*N(BM32)/RV_N_FULL))</f>
        <v/>
      </c>
      <c r="DU32" s="3">
        <f>IF(OR(BN32="",N(BO32)&lt;RV_DIAS_MIN),NEUTRO,MAX(0,MIN(100,100*(RV_DIAS_CERO-BN32)/(RV_DIAS_CERO-RV_DIAS_FULL))))</f>
        <v/>
      </c>
      <c r="DV32" s="3">
        <f>RV_W_LIQ*DT32+RV_W_DIAS*DU32+RV_W_ETQ*DC32</f>
        <v/>
      </c>
      <c r="DW32" s="3">
        <f>IFERROR(VLOOKUP(L32,CARR_PEN_TBL,2,0),0)</f>
        <v/>
      </c>
      <c r="DX32" s="3">
        <f>W_FIAB*CS32+W_PRECIO*CU32+W_KMEDAD*CY32+W_ESTADO*DB32+W_USO*DK32+W_SEGURIDAD*DM32+W_SEGVIAL*DP32+W_ESTETICA*DR32+W_COLOR*DS32+W_REVENTA*DV32-DW32-EG32</f>
        <v/>
      </c>
      <c r="DY32" s="4">
        <f>IF(N(I32)&gt;0,I32,IFERROR(ROUND(_xlfn.NUMBERVALUE(LEFT(G32,FIND(" ",G32&amp;" ")-1),".")*1000,0),99999))</f>
        <v/>
      </c>
      <c r="DZ32" s="3">
        <f>IF(R32="profesional",0,IF(O32&lt;CUOTA_VALOR_MAX,IF(BW32&gt;ITP_TRAMO_ALTO,SUMIFS(CF_CUOTA,CF_MAS,ITP_TRAMO_ALTO,CF_CCMIN,"&lt;="&amp;DY32,CF_CCMAX,"&gt;="&amp;DY32),IF(BW32&gt;ITP_TRAMO_BAJO,SUMIFS(CF_CUOTA,CF_MAS,ITP_TRAMO_BAJO,CF_CCMIN,"&lt;="&amp;DY32,CF_CCMAX,"&gt;="&amp;DY32),O32*ITP_TIPO)),O32*ITP_TIPO))</f>
        <v/>
      </c>
      <c r="EA32" s="4">
        <f>IF(R32="profesional",N(AK32),0)</f>
        <v/>
      </c>
      <c r="EB32" s="3">
        <f>IF(AND(R32="profesional",ISNUMBER(AK32),AL32="sí"),0,TASA_DGT)</f>
        <v/>
      </c>
      <c r="EC32" s="3">
        <f>INFORME_DGT</f>
        <v/>
      </c>
      <c r="ED32" s="4">
        <f>O32+EA32+DZ32+EB32+EC32</f>
        <v/>
      </c>
      <c r="EE32" s="4">
        <f>ED32+N(DF32)</f>
        <v/>
      </c>
      <c r="EF32" s="3">
        <f>MAX(0,ED32-TOTAL_MAX)</f>
        <v/>
      </c>
      <c r="EG32" s="3">
        <f>EF32/100*PEN_100</f>
        <v/>
      </c>
      <c r="EH32" s="3">
        <f>IF(R32="particular",ED32+IF(AND(DA32&lt;&gt;"cadena",X32&lt;&gt;"sí"),RES_CORREA,0)+IF(AND(BJ32&lt;&gt;"sí",BW32&gt;=RES_NEUM_EDAD),RES_NEUM,0),"")</f>
        <v/>
      </c>
      <c r="EI32" s="3">
        <f>IF(ED32&lt;=TOTAL_MAX,"sí",IF(ED32&lt;=TECHO,"negociar","no"))</f>
        <v/>
      </c>
      <c r="EJ32" s="4">
        <f>ROUND(DX32,9)</f>
        <v/>
      </c>
      <c r="EK32" s="4">
        <f>IF(EI32&lt;&gt;"no",SUMPRODUCT(($EI$2:$EI$209&lt;&gt;"no")*($EJ$2:$EJ$209&gt;EJ32))+SUMPRODUCT(($EI$2:EI32&lt;&gt;"no")*($EJ$2:EJ32=EJ32)),"")</f>
        <v/>
      </c>
    </row>
    <row r="33">
      <c r="A33" s="2" t="inlineStr">
        <is>
          <t>autoscout24:a37432b1-37f1-494e-8619-bca54f407aa3</t>
        </is>
      </c>
      <c r="B33" s="2" t="inlineStr">
        <is>
          <t>autoscout24</t>
        </is>
      </c>
      <c r="C33" s="2" t="inlineStr">
        <is>
          <t>https://www.autoscout24.es/anuncios/hyundai-i20-1-2-gasolina-100-emotion-gasolina-cat_ma33mo19188-a37432b1-37f1-494e-8619-bca54f407aa3</t>
        </is>
      </c>
      <c r="D33" s="2" t="inlineStr">
        <is>
          <t>Hyundai i20 1.2 GASOLINA 100 EMOTION</t>
        </is>
      </c>
      <c r="E33" s="2" t="inlineStr">
        <is>
          <t>Hyundai</t>
        </is>
      </c>
      <c r="F33" s="2" t="inlineStr">
        <is>
          <t>Hyundai i20</t>
        </is>
      </c>
      <c r="G33" s="2" t="inlineStr">
        <is>
          <t>1.2</t>
        </is>
      </c>
      <c r="H33" s="2" t="inlineStr">
        <is>
          <t>1.2 GASOLINA 100 EMOTION 1.2</t>
        </is>
      </c>
      <c r="I33" s="2" t="n"/>
      <c r="J33" s="2" t="n">
        <v>76</v>
      </c>
      <c r="K33" s="2" t="inlineStr">
        <is>
          <t>gasolina</t>
        </is>
      </c>
      <c r="L33" s="2" t="inlineStr">
        <is>
          <t>utilitario</t>
        </is>
      </c>
      <c r="M33" s="2" t="n">
        <v>2010</v>
      </c>
      <c r="N33" s="2" t="n">
        <v>129000</v>
      </c>
      <c r="O33" s="2" t="n">
        <v>4649</v>
      </c>
      <c r="P33" s="2" t="inlineStr">
        <is>
          <t>manual</t>
        </is>
      </c>
      <c r="Q33" s="2" t="inlineStr">
        <is>
          <t>no</t>
        </is>
      </c>
      <c r="R33" s="2" t="inlineStr">
        <is>
          <t>profesional</t>
        </is>
      </c>
      <c r="S33" s="2" t="inlineStr">
        <is>
          <t>CSV MOTOR VALENCIA — Valencia (46009)</t>
        </is>
      </c>
      <c r="T33" s="2" t="n"/>
      <c r="U33" s="2" t="n">
        <v>20</v>
      </c>
      <c r="V33" s="2" t="n"/>
      <c r="W33" s="2" t="n"/>
      <c r="X33" s="2" t="n"/>
      <c r="Y33" s="2" t="n"/>
      <c r="Z33" s="2" t="inlineStr">
        <is>
          <t>sí</t>
        </is>
      </c>
      <c r="AA33" s="2" t="n"/>
      <c r="AB33" s="2" t="n">
        <v>12</v>
      </c>
      <c r="AC33" s="2" t="inlineStr">
        <is>
          <t>sí</t>
        </is>
      </c>
      <c r="AD33" s="2" t="n"/>
      <c r="AE33" s="2" t="n">
        <v>150</v>
      </c>
      <c r="AF33" s="2" t="n"/>
      <c r="AG33" s="2" t="n"/>
      <c r="AH33" s="2" t="n">
        <v>4650</v>
      </c>
      <c r="AI33" s="2" t="n"/>
      <c r="AJ33" s="2" t="n"/>
      <c r="AK33" s="2" t="n"/>
      <c r="AL33" s="2" t="n"/>
      <c r="AM33" s="2" t="n">
        <v>1.6</v>
      </c>
      <c r="AN33" s="2" t="n"/>
      <c r="AO33" s="2" t="inlineStr">
        <is>
          <t>2010-06</t>
        </is>
      </c>
      <c r="AP33" s="2" t="n">
        <v>2010</v>
      </c>
      <c r="AQ33" s="2" t="n">
        <v>6</v>
      </c>
      <c r="AR33" s="2" t="n"/>
      <c r="AS33" s="2" t="inlineStr">
        <is>
          <t>regla</t>
        </is>
      </c>
      <c r="AT33" s="2" t="n"/>
      <c r="AU33" s="2" t="inlineStr">
        <is>
          <t>no</t>
        </is>
      </c>
      <c r="AV33" s="2" t="inlineStr">
        <is>
          <t>C</t>
        </is>
      </c>
      <c r="AW33" s="2" t="n"/>
      <c r="AX33" s="2" t="inlineStr">
        <is>
          <t>no</t>
        </is>
      </c>
      <c r="AY33" s="2" t="inlineStr">
        <is>
          <t>no</t>
        </is>
      </c>
      <c r="AZ33" s="2" t="inlineStr">
        <is>
          <t>GRIS</t>
        </is>
      </c>
      <c r="BA33" s="2" t="inlineStr">
        <is>
          <t>gris_medio</t>
        </is>
      </c>
      <c r="BB33" s="3" t="n">
        <v>2</v>
      </c>
      <c r="BC33" s="3" t="inlineStr">
        <is>
          <t>(por segmento)</t>
        </is>
      </c>
      <c r="BD33" s="2" t="n"/>
      <c r="BE33" s="2" t="n"/>
      <c r="BF33" s="2" t="n"/>
      <c r="BG33" s="2" t="n"/>
      <c r="BH33" s="2" t="n"/>
      <c r="BI33" s="2" t="n"/>
      <c r="BJ33" s="2" t="n"/>
      <c r="BK33" s="2" t="n">
        <v>5</v>
      </c>
      <c r="BL33" s="2" t="inlineStr">
        <is>
          <t>sí</t>
        </is>
      </c>
      <c r="BM33" s="2" t="n">
        <v>184</v>
      </c>
      <c r="BN33" s="2" t="n">
        <v>0.05126157402992249</v>
      </c>
      <c r="BO33" s="2" t="n">
        <v>3</v>
      </c>
      <c r="BP33" s="2" t="n">
        <v>5250</v>
      </c>
      <c r="BQ33" s="2" t="n">
        <v>5</v>
      </c>
      <c r="BR33" s="2" t="inlineStr">
        <is>
          <t>modelo+año</t>
        </is>
      </c>
      <c r="BS33" s="2" t="n"/>
      <c r="BT33" s="2" t="inlineStr">
        <is>
          <t>vendedor profesional: sin ITP (operación con IVA/REBU, confirmar en factura); gastos de gestión del vendedor no indicados: se suma la tasa DGT; preguntar el precio final; etiqueta C deducida por fecha (sin matrícula ni dato del anuncio); revisar: no menciona la ITV</t>
        </is>
      </c>
      <c r="BU33" s="2" t="inlineStr">
        <is>
          <t>&lt;strong&gt;Precio al contado: 4650 euros&lt;/strong&gt; &lt;br /&gt;&lt;br /&gt;&lt;strong&gt;Condiciones de la financiación&lt;/strong&gt; &lt;br /&gt;&lt;br /&gt;Precio financiado sujeto a la aprobación de la entidad financiera. Consulta las condiciones. &lt;br /&gt;&lt;br /&gt;✓ GARANTÍA de 12 meses (ampliable hasta 3 años; consulta condiciones).&lt;br /&gt;✓ Revisado en 150 puntos antes de su venta.&lt;br /&gt;✓ Devolución hasta 15 días tras la entrega con motivo justificado.&lt;br /&gt;► Te lo llevamos a nuestra tienda de Burjassot (Valencia): pregúntanos plazo y coste.&lt;br /&gt;&lt;br /&gt;► Está en nuestra tienda de Arroyomolinos (Madrid).&lt;br /&gt;Resérvalo con 300 € y te lo guardamos 20 días.&lt;br /&gt;Te lo enseñamos por videollamada y valoramos tu coche como parte de pago.&lt;br /&gt;&lt;br /&gt;EXTRAS DEL VEHÍCULO:&lt;br /&gt;&lt;br /&gt;ACABADO COMFORT AA ESP, AIRE ACONDICIONADO, RADIO CD MP3 CON CONEXIÓN AUXILIAR, ORDENADOR DE A BORDO, ELEVALUNAS ELÉCTRICOS DELANTEROS, RETROVISORES ELÉCTRICOS, CIERRE CENTRALIZADO CON MANDO, CONTROL DE ESTABILIDAD ESP, TAPICERÍA DE TELA, ISOFIX, ETC.&lt;br /&gt;&lt;br /&gt;⚖ Vehículo bajo Régimen Especial de Bienes Usados (REBU). IVA NO deducible.&lt;br /&gt;&lt;br /&gt;Anuncio orientativo, no vinculante. Pueden existir errores tipográficos. Para información oficial contacta con nosotros a través de los datos de contacto del concesionario.&lt;br /&gt;&lt;br /&gt;► Red CSV Motor: Arroyomolinos (Comunidad de Madrid) · Terrassa (Barcelona) · Bormujos (Sevilla) · Burjassot (Valencia)</t>
        </is>
      </c>
      <c r="BV33" s="2" t="inlineStr">
        <is>
          <t>https://www.autoscout24.es/anuncios/hyundai-i20-1-2-gasolina-100-emotion-gasolina-cat_ma33mo19188-a37432b1-37f1-494e-8619-bca54f407aa3 (__NEXT_DATA__ listingDetails) /home/user/Alopecia/buscador-coches/raw/autoscout24/290daaf4f2da0c69.json</t>
        </is>
      </c>
      <c r="BW33" s="3">
        <f>MAX(ANIO_ACTUAL-M33,0)</f>
        <v/>
      </c>
      <c r="BX33" s="4">
        <f>N33/MAX(BW33,0.5)</f>
        <v/>
      </c>
      <c r="BY33" s="4">
        <f>F33</f>
        <v/>
      </c>
      <c r="BZ33" s="3">
        <f>BY33&amp;"|"&amp;INT(M33/SEG_ANIO)*SEG_ANIO</f>
        <v/>
      </c>
      <c r="CA33" s="3">
        <f>BZ33&amp;"|"&amp;INT(N33/SEG_KM)*SEG_KM</f>
        <v/>
      </c>
      <c r="CB33" s="4">
        <f>COUNTIF($BY$2:$BY$209,BY33)</f>
        <v/>
      </c>
      <c r="CC33" s="4">
        <f>COUNTIF($BZ$2:$BZ$209,BZ33)</f>
        <v/>
      </c>
      <c r="CD33" s="4">
        <f>COUNTIF($CA$2:$CA$209,CA33)</f>
        <v/>
      </c>
      <c r="CE33" s="3">
        <f t="array" ref="CE33">IF(N(BQ33)&gt;=MIN_N,BP33,IF(CD33&gt;=MIN_N,MEDIAN(IF($CA$2:$CA$209=CA33,$O$2:$O$209)),IF(CC33&gt;=MIN_N,MEDIAN(IF($BZ$2:$BZ$209=BZ33,$O$2:$O$209)),MEDIAN(IF($BY$2:$BY$209=BY33,$O$2:$O$209)))))</f>
        <v/>
      </c>
      <c r="CF33" s="3">
        <f>IF(N(BQ33)&gt;=MIN_N,"mercado "&amp;BR33,IF(CD33&gt;=MIN_N,"modelo+año+km",IF(CC33&gt;=MIN_N,"modelo+año","modelo")))</f>
        <v/>
      </c>
      <c r="CG33" s="4">
        <f>(CE33-O33)/CE33</f>
        <v/>
      </c>
      <c r="CH33" s="3">
        <f>IF(COUNTIFS(FR_FUEL,K33,FR_YEAR,AP33)&gt;0,1,0)</f>
        <v/>
      </c>
      <c r="CI33" s="3">
        <f>IF(COUNTIFS(FR_FUEL,K33,FR_YEAR,AP33-1)&gt;0,1,0)</f>
        <v/>
      </c>
      <c r="CJ33" s="4">
        <f>IF(N(AQ33)&gt;0,AP33*100+AQ33,IF(AND(CH33=1,CI33=1),(AP33-1)*100+1,AP33*100+1))</f>
        <v/>
      </c>
      <c r="CK33" s="3">
        <f>IF(OR(K33="hibrido",K33="glp",K33="gnc",K33="phev"),"ECO",IF(K33="electrico","CERO",IF(K33="gasolina",IF(CJ33&gt;=GAS_C_YM,"C",IF(CJ33&gt;=GAS_B_YM,"B","A")),IF(K33="diesel",IF(CJ33&gt;=DIE_C_YM,"C",IF(CJ33&gt;=DIE_B_YM,"B","A")),""))))</f>
        <v/>
      </c>
      <c r="CL33" s="4">
        <f>CK33</f>
        <v/>
      </c>
      <c r="CM33" s="4">
        <f>IF(AU33="sí","sí",IF(AS33="regla",IF(AND(N(AQ33)=0,CH33=1),"sí","no"),"no"))</f>
        <v/>
      </c>
      <c r="CN33" s="3">
        <f>IFERROR(VLOOKUP(F33,MOD_TBL,16,0),IFERROR(VLOOKUP(E33,OCU_TBL,2,0),NEUTRO))</f>
        <v/>
      </c>
      <c r="CO33" s="3">
        <f>SUMIFS(MOT_AJUSTE,MOT_MOTOR,G33,MOT_MARCA,E33,MOT_DESDE,"&lt;="&amp;M33,MOT_HASTA,"&gt;="&amp;M33)+SUMIFS(MOT_AJUSTE,MOT_MOTOR,G33,MOT_MARCA,"(todas)",MOT_DESDE,"&lt;="&amp;M33,MOT_HASTA,"&gt;="&amp;M33)+SUMIFS(MOT_AJUSTE,MOT_MOTOR,"(cualquiera)",MOT_MARCA,E33,MOT_DESDE,"&lt;="&amp;M33,MOT_HASTA,"&gt;="&amp;M33)</f>
        <v/>
      </c>
      <c r="CP33" s="3">
        <f>SUMIFS(COMB_AJUSTE,COMB_COMB,K33)</f>
        <v/>
      </c>
      <c r="CQ33" s="3">
        <f>COUNTIFS(MOT_MOTOR,G33,MOT_MARCA,E33,MOT_DESDE,"&lt;="&amp;M33,MOT_HASTA,"&gt;="&amp;M33)+COUNTIFS(MOT_MOTOR,G33,MOT_MARCA,"(todas)",MOT_DESDE,"&lt;="&amp;M33,MOT_HASTA,"&gt;="&amp;M33)+COUNTIFS(MOT_MOTOR,"(cualquiera)",MOT_MARCA,E33,MOT_DESDE,"&lt;="&amp;M33,MOT_HASTA,"&gt;="&amp;M33)</f>
        <v/>
      </c>
      <c r="CR33" s="3">
        <f>IF(AND(K33="diesel",CQ33=0),MIN(CN33,NEUTRO),CN33)</f>
        <v/>
      </c>
      <c r="CS33" s="3">
        <f>MAX(0,MIN(100,CR33+CO33+CP33-IF(AX33="sí",ROB_PEN,0)))</f>
        <v/>
      </c>
      <c r="CT33" s="3">
        <f>100-MAX(0,N33-KM_TOPE_DESDE)/1000*KM_TOPE_PTS</f>
        <v/>
      </c>
      <c r="CU33" s="3">
        <f>MAX(0,MIN(100,50+CG33*PRECIO_PEND,CT33))</f>
        <v/>
      </c>
      <c r="CV33" s="3">
        <f>MAX(0,100*(1-N33/KM_MAX))</f>
        <v/>
      </c>
      <c r="CW33" s="3">
        <f>IF(BX33&lt;KMA_SOSP,IF(AA33="sí",100,KMA_PEN),IF(BX33&lt;=KMA_IDEAL_MAX,100,MAX(0,100*(KMA_CERO-BX33)/(KMA_CERO-KMA_IDEAL_MAX))))</f>
        <v/>
      </c>
      <c r="CX33" s="3">
        <f>MAX(0,MIN(100,100*(M33-ANIO_MIN)/(ANIO_ACTUAL-ANIO_MIN)))</f>
        <v/>
      </c>
      <c r="CY33" s="3">
        <f>W_KMT*CV33+W_KMA*CW33+W_EDAD*CX33</f>
        <v/>
      </c>
      <c r="CZ33" s="4">
        <f>E33&amp;"|"&amp;G33</f>
        <v/>
      </c>
      <c r="DA33" s="3">
        <f>IFERROR(VLOOKUP(CZ33,DIST_TBL,2,0),"")</f>
        <v/>
      </c>
      <c r="DB33" s="3">
        <f>E_ITV*(V33="sí")+E_LIBRO*(W33="sí")+E_PROP*IF(Y33=1,1,IF(Y33=2,0.5,0))+E_CORREA*IF(OR(DA33="cadena",AND(X33="sí",BH33="sí")),1,IF(X33="sí",0.5,0))+E_FACT*(BI33="sí")</f>
        <v/>
      </c>
      <c r="DC33" s="3">
        <f>MAX(0,MIN(100,IFERROR(VLOOKUP(CL33,ETQ_TBL,2,0),0)-IF(CM33="sí",ETQ_PEN_DUD,IF(AS33="regla",ETQ_PEN_REGLA,0))))</f>
        <v/>
      </c>
      <c r="DD33" s="3">
        <f>IF(K33&lt;&gt;"gasolina","",IFERROR(VLOOKUP(F33,CONS_MOD_TBL,2,0),IFERROR(VLOOKUP(L33,CONS_SEG_TBL,2,0),"")))</f>
        <v/>
      </c>
      <c r="DE33" s="3">
        <f>IF(DD33="",NEUTRO,MAX(0,MIN(100,100*(CONS_REF_MAX-DD33)/(CONS_REF_MAX-CONS_REF_MIN))))</f>
        <v/>
      </c>
      <c r="DF33" s="3">
        <f>IFERROR(VLOOKUP(L33,SEGURO_TBL,3,0),"")</f>
        <v/>
      </c>
      <c r="DG33" s="3">
        <f>IF(DF33="",NEUTRO,MAX(0,MIN(100,100*(SEG_REF_MAX-DF33)/(SEG_REF_MAX-SEG_REF_MIN))))</f>
        <v/>
      </c>
      <c r="DH33" s="3">
        <f>IFERROR(VLOOKUP(E33,MANT_MARCA_TBL,2,0)+0,NEUTRO)</f>
        <v/>
      </c>
      <c r="DI33" s="3">
        <f>IF(DA33="",NEUTRO,IFERROR(VLOOKUP(DA33,DIST_PTS_TBL,2,0)+0,NEUTRO))</f>
        <v/>
      </c>
      <c r="DJ33" s="4">
        <f>(DH33+DI33)/2</f>
        <v/>
      </c>
      <c r="DK33" s="3">
        <f>W_CONS*DE33+W_SEG*DG33+W_MANT*DJ33</f>
        <v/>
      </c>
      <c r="DL33" s="3">
        <f>IF(N(AB33)&gt;0,AB33,IF(AND(R33="profesional",SG_LEGAL_ON=1),GAR_LEGAL,0))</f>
        <v/>
      </c>
      <c r="DM33" s="3">
        <f>MAX(0,MIN(100,SG_GAR*MIN(1,DL33/SG_GAR_FULL)+SG_AMPL*(AC33="sí")+SG_KMC*(AF33="sí")+SG_REV*(N(AE33)&gt;0)+SG_DEV*MIN(1,N(AG33)/SG_DEV_FULL)+SG_HIST*(W33="sí")-IF(AND(R33="particular",DL33=0),SG_PART_PEN,0)))</f>
        <v/>
      </c>
      <c r="DN33" s="3">
        <f>IF(BK33="",NEUTRO,MAX(0,MIN(100,BK33/5*100)))</f>
        <v/>
      </c>
      <c r="DO33" s="3">
        <f>IF(BL33="sí",100,IF(BL33="no",0,NEUTRO))</f>
        <v/>
      </c>
      <c r="DP33" s="3">
        <f>SV_W_NCAP*DN33+SV_W_ESP*DO33</f>
        <v/>
      </c>
      <c r="DQ33" s="3">
        <f>MAX(0,MIN(100,ATR_BASE+ATR_ACAB*(BD33&lt;&gt;"")+IF(BE33="16+",ATR_LL16,IF(BE33="sí",ATR_LL,0))+ATR_FAROS*(BF33="sí")+ATR_TINT*(BG33="sí")-ATR_CHAPA*(BE33="chapa")))</f>
        <v/>
      </c>
      <c r="DR33" s="3">
        <f>EST_W_MOD*(BB33-1)/4*100+EST_W_ATR*DQ33</f>
        <v/>
      </c>
      <c r="DS33" s="3">
        <f>IF(BA33="",NEUTRO,IFERROR(VLOOKUP(BA33,COLOR_TBL,2,0)+0,NEUTRO))</f>
        <v/>
      </c>
      <c r="DT33" s="3">
        <f>MAX(0,MIN(100,100*N(BM33)/RV_N_FULL))</f>
        <v/>
      </c>
      <c r="DU33" s="3">
        <f>IF(OR(BN33="",N(BO33)&lt;RV_DIAS_MIN),NEUTRO,MAX(0,MIN(100,100*(RV_DIAS_CERO-BN33)/(RV_DIAS_CERO-RV_DIAS_FULL))))</f>
        <v/>
      </c>
      <c r="DV33" s="3">
        <f>RV_W_LIQ*DT33+RV_W_DIAS*DU33+RV_W_ETQ*DC33</f>
        <v/>
      </c>
      <c r="DW33" s="3">
        <f>IFERROR(VLOOKUP(L33,CARR_PEN_TBL,2,0),0)</f>
        <v/>
      </c>
      <c r="DX33" s="3">
        <f>W_FIAB*CS33+W_PRECIO*CU33+W_KMEDAD*CY33+W_ESTADO*DB33+W_USO*DK33+W_SEGURIDAD*DM33+W_SEGVIAL*DP33+W_ESTETICA*DR33+W_COLOR*DS33+W_REVENTA*DV33-DW33-EG33</f>
        <v/>
      </c>
      <c r="DY33" s="4">
        <f>IF(N(I33)&gt;0,I33,IFERROR(ROUND(_xlfn.NUMBERVALUE(LEFT(G33,FIND(" ",G33&amp;" ")-1),".")*1000,0),99999))</f>
        <v/>
      </c>
      <c r="DZ33" s="3">
        <f>IF(R33="profesional",0,IF(O33&lt;CUOTA_VALOR_MAX,IF(BW33&gt;ITP_TRAMO_ALTO,SUMIFS(CF_CUOTA,CF_MAS,ITP_TRAMO_ALTO,CF_CCMIN,"&lt;="&amp;DY33,CF_CCMAX,"&gt;="&amp;DY33),IF(BW33&gt;ITP_TRAMO_BAJO,SUMIFS(CF_CUOTA,CF_MAS,ITP_TRAMO_BAJO,CF_CCMIN,"&lt;="&amp;DY33,CF_CCMAX,"&gt;="&amp;DY33),O33*ITP_TIPO)),O33*ITP_TIPO))</f>
        <v/>
      </c>
      <c r="EA33" s="4">
        <f>IF(R33="profesional",N(AK33),0)</f>
        <v/>
      </c>
      <c r="EB33" s="3">
        <f>IF(AND(R33="profesional",ISNUMBER(AK33),AL33="sí"),0,TASA_DGT)</f>
        <v/>
      </c>
      <c r="EC33" s="3">
        <f>INFORME_DGT</f>
        <v/>
      </c>
      <c r="ED33" s="4">
        <f>O33+EA33+DZ33+EB33+EC33</f>
        <v/>
      </c>
      <c r="EE33" s="4">
        <f>ED33+N(DF33)</f>
        <v/>
      </c>
      <c r="EF33" s="3">
        <f>MAX(0,ED33-TOTAL_MAX)</f>
        <v/>
      </c>
      <c r="EG33" s="3">
        <f>EF33/100*PEN_100</f>
        <v/>
      </c>
      <c r="EH33" s="3">
        <f>IF(R33="particular",ED33+IF(AND(DA33&lt;&gt;"cadena",X33&lt;&gt;"sí"),RES_CORREA,0)+IF(AND(BJ33&lt;&gt;"sí",BW33&gt;=RES_NEUM_EDAD),RES_NEUM,0),"")</f>
        <v/>
      </c>
      <c r="EI33" s="3">
        <f>IF(ED33&lt;=TOTAL_MAX,"sí",IF(ED33&lt;=TECHO,"negociar","no"))</f>
        <v/>
      </c>
      <c r="EJ33" s="4">
        <f>ROUND(DX33,9)</f>
        <v/>
      </c>
      <c r="EK33" s="4">
        <f>IF(EI33&lt;&gt;"no",SUMPRODUCT(($EI$2:$EI$209&lt;&gt;"no")*($EJ$2:$EJ$209&gt;EJ33))+SUMPRODUCT(($EI$2:EI33&lt;&gt;"no")*($EJ$2:EJ33=EJ33)),"")</f>
        <v/>
      </c>
    </row>
    <row r="34">
      <c r="A34" s="2" t="inlineStr">
        <is>
          <t>autoscout24:5db2cfac-b438-4efe-865b-c5e5c9526f20</t>
        </is>
      </c>
      <c r="B34" s="2" t="inlineStr">
        <is>
          <t>autoscout24</t>
        </is>
      </c>
      <c r="C34" s="2" t="inlineStr">
        <is>
          <t>https://www.autoscout24.es/anuncios/opel-meriva-1-7cdti-cosmo-110-diesel-blanco-cat_ma54mo18341-5db2cfac-b438-4efe-865b-c5e5c9526f20</t>
        </is>
      </c>
      <c r="D34" s="2" t="inlineStr">
        <is>
          <t>Opel Meriva 1.7CDTi Cosmo 110</t>
        </is>
      </c>
      <c r="E34" s="2" t="inlineStr">
        <is>
          <t>Opel</t>
        </is>
      </c>
      <c r="F34" s="2" t="inlineStr">
        <is>
          <t>Opel Meriva</t>
        </is>
      </c>
      <c r="G34" s="2" t="inlineStr">
        <is>
          <t>1.7 CDTi</t>
        </is>
      </c>
      <c r="H34" s="2" t="inlineStr">
        <is>
          <t>1.7CDTi Cosmo 110 1.7 CDTI</t>
        </is>
      </c>
      <c r="I34" s="2" t="n">
        <v>1686</v>
      </c>
      <c r="J34" s="2" t="n">
        <v>110</v>
      </c>
      <c r="K34" s="2" t="inlineStr">
        <is>
          <t>diesel</t>
        </is>
      </c>
      <c r="L34" s="2" t="inlineStr">
        <is>
          <t>monovolumen_pequeno</t>
        </is>
      </c>
      <c r="M34" s="2" t="n">
        <v>2011</v>
      </c>
      <c r="N34" s="2" t="n">
        <v>173000</v>
      </c>
      <c r="O34" s="2" t="n">
        <v>4990</v>
      </c>
      <c r="P34" s="2" t="inlineStr">
        <is>
          <t>manual</t>
        </is>
      </c>
      <c r="Q34" s="2" t="inlineStr">
        <is>
          <t>no</t>
        </is>
      </c>
      <c r="R34" s="2" t="inlineStr">
        <is>
          <t>profesional</t>
        </is>
      </c>
      <c r="S34" s="2" t="inlineStr">
        <is>
          <t>SAGA VEHICULOS — MASSANASSA (46470)</t>
        </is>
      </c>
      <c r="T34" s="2" t="n"/>
      <c r="U34" s="2" t="n">
        <v>32</v>
      </c>
      <c r="V34" s="2" t="n"/>
      <c r="W34" s="2" t="n"/>
      <c r="X34" s="2" t="n"/>
      <c r="Y34" s="2" t="n"/>
      <c r="Z34" s="2" t="inlineStr">
        <is>
          <t>sí</t>
        </is>
      </c>
      <c r="AA34" s="2" t="n"/>
      <c r="AB34" s="2" t="n">
        <v>12</v>
      </c>
      <c r="AC34" s="2" t="inlineStr">
        <is>
          <t>sí</t>
        </is>
      </c>
      <c r="AD34" s="2" t="n"/>
      <c r="AE34" s="2" t="n"/>
      <c r="AF34" s="2" t="n"/>
      <c r="AG34" s="2" t="n"/>
      <c r="AH34" s="2" t="n"/>
      <c r="AI34" s="2" t="n"/>
      <c r="AJ34" s="2" t="n"/>
      <c r="AK34" s="2" t="n">
        <v>350</v>
      </c>
      <c r="AL34" s="2" t="inlineStr">
        <is>
          <t>no</t>
        </is>
      </c>
      <c r="AM34" s="2" t="n">
        <v>7.1</v>
      </c>
      <c r="AN34" s="2" t="n"/>
      <c r="AO34" s="2" t="inlineStr">
        <is>
          <t>2011-11</t>
        </is>
      </c>
      <c r="AP34" s="2" t="n">
        <v>2011</v>
      </c>
      <c r="AQ34" s="2" t="n">
        <v>11</v>
      </c>
      <c r="AR34" s="2" t="n"/>
      <c r="AS34" s="2" t="inlineStr">
        <is>
          <t>regla</t>
        </is>
      </c>
      <c r="AT34" s="2" t="n"/>
      <c r="AU34" s="2" t="inlineStr">
        <is>
          <t>no</t>
        </is>
      </c>
      <c r="AV34" s="2" t="inlineStr">
        <is>
          <t>B</t>
        </is>
      </c>
      <c r="AW34" s="2" t="n"/>
      <c r="AX34" s="2" t="inlineStr">
        <is>
          <t>no</t>
        </is>
      </c>
      <c r="AY34" s="2" t="inlineStr">
        <is>
          <t>no</t>
        </is>
      </c>
      <c r="AZ34" s="2" t="inlineStr">
        <is>
          <t>Blanco</t>
        </is>
      </c>
      <c r="BA34" s="2" t="inlineStr">
        <is>
          <t>blanco</t>
        </is>
      </c>
      <c r="BB34" s="3" t="n">
        <v>2</v>
      </c>
      <c r="BC34" s="3" t="inlineStr">
        <is>
          <t>(por segmento)</t>
        </is>
      </c>
      <c r="BD34" s="2" t="n"/>
      <c r="BE34" s="2" t="inlineStr">
        <is>
          <t>sí</t>
        </is>
      </c>
      <c r="BF34" s="2" t="n"/>
      <c r="BG34" s="2" t="n"/>
      <c r="BH34" s="2" t="n"/>
      <c r="BI34" s="2" t="n"/>
      <c r="BJ34" s="2" t="n"/>
      <c r="BK34" s="2" t="n"/>
      <c r="BL34" s="2" t="inlineStr">
        <is>
          <t>sí</t>
        </is>
      </c>
      <c r="BM34" s="2" t="n">
        <v>33</v>
      </c>
      <c r="BN34" s="2" t="n"/>
      <c r="BO34" s="2" t="n">
        <v>0</v>
      </c>
      <c r="BP34" s="2" t="n">
        <v>4990</v>
      </c>
      <c r="BQ34" s="2" t="n">
        <v>4</v>
      </c>
      <c r="BR34" s="2" t="inlineStr">
        <is>
          <t>modelo+año</t>
        </is>
      </c>
      <c r="BS34" s="2" t="inlineStr">
        <is>
          <t>cochesnet:71555949 (https://www.coches.net/opel-meriva-17-cdti-110-cv-cosmo-5p-diesel-2012-en-valencia-71555949-covo.aspx)</t>
        </is>
      </c>
      <c r="BT34" s="2" t="inlineStr">
        <is>
          <t>por encima del presupuesto: negociar 404 € (coste 5404 €; -8.1 puntos); vendedor profesional: sin ITP (operación con IVA/REBU, confirmar en factura); gastos del vendedor sin indicar si incluyen la transferencia: se suma la tasa DGT; Euro NCAP de la generación PENDIENTE (seguridad neutra); diésel: motor sin fuente de fiabilidad (fiabilidad limitada a neutra); carrocería monovolumen_pequeno: -6 puntos; etiqueta B deducida por fecha (sin matrícula ni dato del anuncio); revisar: no menciona la ITV; fiabilidad del modelo PENDIENTE de fuente (puntuación neutra)</t>
        </is>
      </c>
      <c r="BU34" s="2" t="inlineStr">
        <is>
          <t>Opel Meriva Cosmo 1.7 CDTi turbo, 110CV, Diésel, vehículo muy bien cuidado.&lt;br /&gt;Más de 100 coches en stock, Por favor llámenos para más información, atendemos SOLO CON CITA PREVIA. Gracias!!!!&lt;br /&gt;Financiación de hasta el 100% del vehículo!&lt;br /&gt;Gestión documental no incluido 350€ &lt;br /&gt;Garantía Premium 12 Meses con cobertura a nivel nacional 399€&lt;br /&gt;Saga Vehículos, estamos en C/ Motor Sant Agustí, 41, 46470 Massanassa, Valencia.&lt;br /&gt;Horario: De lunes a viernes de 10:00 a 14:00 y de 16:00 a 19:00.&lt;br /&gt;Sabado de 10:00 a 14:00.&lt;br /&gt;- Aire acondicionado dual zone&lt;br /&gt;- Dirección asistida&lt;br /&gt;- Freno ABS/EBD&lt;br /&gt;- Control de estabilidad ESP&lt;br /&gt;- Airbags&lt;br /&gt;- Control de crucero&lt;br /&gt;- Ordenador abordo&lt;br /&gt;- Sistema multimedia Bluetooth&lt;br /&gt;- Llaves mandos a distancia y mucho mas....&lt;br /&gt;Este anuncio no es vinculante, se muestra a titulo informativo y no contractual.&lt;br /&gt;&lt;br /&gt;&lt;br /&gt; &lt;strong&gt;Extras&lt;/strong&gt; &lt;br /&gt; &lt;strong&gt;Equipamiento destacado seleccionado por el usuario&lt;/strong&gt; &lt;br /&gt; &lt;br /&gt;- Asistente de salida en cuesta&lt;br /&gt;- Radio CD 400&lt;br /&gt;- Conexión USB&lt;br /&gt;- Toma de 12V en el maletero&lt;br /&gt;- Pack Exterior&lt;br /&gt;- Pack Elegance&lt;br /&gt;- Pack Comfort&lt;br /&gt;- Tapicería cuero&lt;br /&gt;- Faros adaptativos (AFL)&lt;br /&gt;- Pack Visibilidad&lt;br /&gt;- Sistema teléfono móvil Bluetooth SIM (SIM acc&lt;br /&gt;- Sistema teléfono móvil con Bluetooth (t)&lt;br /&gt;- Pack Comunicación Plus&lt;br /&gt;- Pack Versatilidad&lt;br /&gt;- Pack Funcional&lt;br /&gt;</t>
        </is>
      </c>
      <c r="BV34" s="2" t="inlineStr">
        <is>
          <t>https://www.autoscout24.es/anuncios/opel-meriva-1-7cdti-cosmo-110-diesel-blanco-cat_ma54mo18341-5db2cfac-b438-4efe-865b-c5e5c9526f20 (__NEXT_DATA__ listingDetails) /home/user/Alopecia/buscador-coches/raw/autoscout24/539c4d2bcfcfd561.json</t>
        </is>
      </c>
      <c r="BW34" s="3">
        <f>MAX(ANIO_ACTUAL-M34,0)</f>
        <v/>
      </c>
      <c r="BX34" s="4">
        <f>N34/MAX(BW34,0.5)</f>
        <v/>
      </c>
      <c r="BY34" s="4">
        <f>F34</f>
        <v/>
      </c>
      <c r="BZ34" s="3">
        <f>BY34&amp;"|"&amp;INT(M34/SEG_ANIO)*SEG_ANIO</f>
        <v/>
      </c>
      <c r="CA34" s="3">
        <f>BZ34&amp;"|"&amp;INT(N34/SEG_KM)*SEG_KM</f>
        <v/>
      </c>
      <c r="CB34" s="4">
        <f>COUNTIF($BY$2:$BY$209,BY34)</f>
        <v/>
      </c>
      <c r="CC34" s="4">
        <f>COUNTIF($BZ$2:$BZ$209,BZ34)</f>
        <v/>
      </c>
      <c r="CD34" s="4">
        <f>COUNTIF($CA$2:$CA$209,CA34)</f>
        <v/>
      </c>
      <c r="CE34" s="3">
        <f t="array" ref="CE34">IF(N(BQ34)&gt;=MIN_N,BP34,IF(CD34&gt;=MIN_N,MEDIAN(IF($CA$2:$CA$209=CA34,$O$2:$O$209)),IF(CC34&gt;=MIN_N,MEDIAN(IF($BZ$2:$BZ$209=BZ34,$O$2:$O$209)),MEDIAN(IF($BY$2:$BY$209=BY34,$O$2:$O$209)))))</f>
        <v/>
      </c>
      <c r="CF34" s="3">
        <f>IF(N(BQ34)&gt;=MIN_N,"mercado "&amp;BR34,IF(CD34&gt;=MIN_N,"modelo+año+km",IF(CC34&gt;=MIN_N,"modelo+año","modelo")))</f>
        <v/>
      </c>
      <c r="CG34" s="4">
        <f>(CE34-O34)/CE34</f>
        <v/>
      </c>
      <c r="CH34" s="3">
        <f>IF(COUNTIFS(FR_FUEL,K34,FR_YEAR,AP34)&gt;0,1,0)</f>
        <v/>
      </c>
      <c r="CI34" s="3">
        <f>IF(COUNTIFS(FR_FUEL,K34,FR_YEAR,AP34-1)&gt;0,1,0)</f>
        <v/>
      </c>
      <c r="CJ34" s="4">
        <f>IF(N(AQ34)&gt;0,AP34*100+AQ34,IF(AND(CH34=1,CI34=1),(AP34-1)*100+1,AP34*100+1))</f>
        <v/>
      </c>
      <c r="CK34" s="3">
        <f>IF(OR(K34="hibrido",K34="glp",K34="gnc",K34="phev"),"ECO",IF(K34="electrico","CERO",IF(K34="gasolina",IF(CJ34&gt;=GAS_C_YM,"C",IF(CJ34&gt;=GAS_B_YM,"B","A")),IF(K34="diesel",IF(CJ34&gt;=DIE_C_YM,"C",IF(CJ34&gt;=DIE_B_YM,"B","A")),""))))</f>
        <v/>
      </c>
      <c r="CL34" s="4">
        <f>CK34</f>
        <v/>
      </c>
      <c r="CM34" s="4">
        <f>IF(AU34="sí","sí",IF(AS34="regla",IF(AND(N(AQ34)=0,CH34=1),"sí","no"),"no"))</f>
        <v/>
      </c>
      <c r="CN34" s="3">
        <f>IFERROR(VLOOKUP(F34,MOD_TBL,16,0),IFERROR(VLOOKUP(E34,OCU_TBL,2,0),NEUTRO))</f>
        <v/>
      </c>
      <c r="CO34" s="3">
        <f>SUMIFS(MOT_AJUSTE,MOT_MOTOR,G34,MOT_MARCA,E34,MOT_DESDE,"&lt;="&amp;M34,MOT_HASTA,"&gt;="&amp;M34)+SUMIFS(MOT_AJUSTE,MOT_MOTOR,G34,MOT_MARCA,"(todas)",MOT_DESDE,"&lt;="&amp;M34,MOT_HASTA,"&gt;="&amp;M34)+SUMIFS(MOT_AJUSTE,MOT_MOTOR,"(cualquiera)",MOT_MARCA,E34,MOT_DESDE,"&lt;="&amp;M34,MOT_HASTA,"&gt;="&amp;M34)</f>
        <v/>
      </c>
      <c r="CP34" s="3">
        <f>SUMIFS(COMB_AJUSTE,COMB_COMB,K34)</f>
        <v/>
      </c>
      <c r="CQ34" s="3">
        <f>COUNTIFS(MOT_MOTOR,G34,MOT_MARCA,E34,MOT_DESDE,"&lt;="&amp;M34,MOT_HASTA,"&gt;="&amp;M34)+COUNTIFS(MOT_MOTOR,G34,MOT_MARCA,"(todas)",MOT_DESDE,"&lt;="&amp;M34,MOT_HASTA,"&gt;="&amp;M34)+COUNTIFS(MOT_MOTOR,"(cualquiera)",MOT_MARCA,E34,MOT_DESDE,"&lt;="&amp;M34,MOT_HASTA,"&gt;="&amp;M34)</f>
        <v/>
      </c>
      <c r="CR34" s="3">
        <f>IF(AND(K34="diesel",CQ34=0),MIN(CN34,NEUTRO),CN34)</f>
        <v/>
      </c>
      <c r="CS34" s="3">
        <f>MAX(0,MIN(100,CR34+CO34+CP34-IF(AX34="sí",ROB_PEN,0)))</f>
        <v/>
      </c>
      <c r="CT34" s="3">
        <f>100-MAX(0,N34-KM_TOPE_DESDE)/1000*KM_TOPE_PTS</f>
        <v/>
      </c>
      <c r="CU34" s="3">
        <f>MAX(0,MIN(100,50+CG34*PRECIO_PEND,CT34))</f>
        <v/>
      </c>
      <c r="CV34" s="3">
        <f>MAX(0,100*(1-N34/KM_MAX))</f>
        <v/>
      </c>
      <c r="CW34" s="3">
        <f>IF(BX34&lt;KMA_SOSP,IF(AA34="sí",100,KMA_PEN),IF(BX34&lt;=KMA_IDEAL_MAX,100,MAX(0,100*(KMA_CERO-BX34)/(KMA_CERO-KMA_IDEAL_MAX))))</f>
        <v/>
      </c>
      <c r="CX34" s="3">
        <f>MAX(0,MIN(100,100*(M34-ANIO_MIN)/(ANIO_ACTUAL-ANIO_MIN)))</f>
        <v/>
      </c>
      <c r="CY34" s="3">
        <f>W_KMT*CV34+W_KMA*CW34+W_EDAD*CX34</f>
        <v/>
      </c>
      <c r="CZ34" s="4">
        <f>E34&amp;"|"&amp;G34</f>
        <v/>
      </c>
      <c r="DA34" s="3">
        <f>IFERROR(VLOOKUP(CZ34,DIST_TBL,2,0),"")</f>
        <v/>
      </c>
      <c r="DB34" s="3">
        <f>E_ITV*(V34="sí")+E_LIBRO*(W34="sí")+E_PROP*IF(Y34=1,1,IF(Y34=2,0.5,0))+E_CORREA*IF(OR(DA34="cadena",AND(X34="sí",BH34="sí")),1,IF(X34="sí",0.5,0))+E_FACT*(BI34="sí")</f>
        <v/>
      </c>
      <c r="DC34" s="3">
        <f>MAX(0,MIN(100,IFERROR(VLOOKUP(CL34,ETQ_TBL,2,0),0)-IF(CM34="sí",ETQ_PEN_DUD,IF(AS34="regla",ETQ_PEN_REGLA,0))))</f>
        <v/>
      </c>
      <c r="DD34" s="3">
        <f>IF(K34&lt;&gt;"gasolina","",IFERROR(VLOOKUP(F34,CONS_MOD_TBL,2,0),IFERROR(VLOOKUP(L34,CONS_SEG_TBL,2,0),"")))</f>
        <v/>
      </c>
      <c r="DE34" s="3">
        <f>IF(DD34="",NEUTRO,MAX(0,MIN(100,100*(CONS_REF_MAX-DD34)/(CONS_REF_MAX-CONS_REF_MIN))))</f>
        <v/>
      </c>
      <c r="DF34" s="3">
        <f>IFERROR(VLOOKUP(L34,SEGURO_TBL,3,0),"")</f>
        <v/>
      </c>
      <c r="DG34" s="3">
        <f>IF(DF34="",NEUTRO,MAX(0,MIN(100,100*(SEG_REF_MAX-DF34)/(SEG_REF_MAX-SEG_REF_MIN))))</f>
        <v/>
      </c>
      <c r="DH34" s="3">
        <f>IFERROR(VLOOKUP(E34,MANT_MARCA_TBL,2,0)+0,NEUTRO)</f>
        <v/>
      </c>
      <c r="DI34" s="3">
        <f>IF(DA34="",NEUTRO,IFERROR(VLOOKUP(DA34,DIST_PTS_TBL,2,0)+0,NEUTRO))</f>
        <v/>
      </c>
      <c r="DJ34" s="4">
        <f>(DH34+DI34)/2</f>
        <v/>
      </c>
      <c r="DK34" s="3">
        <f>W_CONS*DE34+W_SEG*DG34+W_MANT*DJ34</f>
        <v/>
      </c>
      <c r="DL34" s="3">
        <f>IF(N(AB34)&gt;0,AB34,IF(AND(R34="profesional",SG_LEGAL_ON=1),GAR_LEGAL,0))</f>
        <v/>
      </c>
      <c r="DM34" s="3">
        <f>MAX(0,MIN(100,SG_GAR*MIN(1,DL34/SG_GAR_FULL)+SG_AMPL*(AC34="sí")+SG_KMC*(AF34="sí")+SG_REV*(N(AE34)&gt;0)+SG_DEV*MIN(1,N(AG34)/SG_DEV_FULL)+SG_HIST*(W34="sí")-IF(AND(R34="particular",DL34=0),SG_PART_PEN,0)))</f>
        <v/>
      </c>
      <c r="DN34" s="3">
        <f>IF(BK34="",NEUTRO,MAX(0,MIN(100,BK34/5*100)))</f>
        <v/>
      </c>
      <c r="DO34" s="3">
        <f>IF(BL34="sí",100,IF(BL34="no",0,NEUTRO))</f>
        <v/>
      </c>
      <c r="DP34" s="3">
        <f>SV_W_NCAP*DN34+SV_W_ESP*DO34</f>
        <v/>
      </c>
      <c r="DQ34" s="3">
        <f>MAX(0,MIN(100,ATR_BASE+ATR_ACAB*(BD34&lt;&gt;"")+IF(BE34="16+",ATR_LL16,IF(BE34="sí",ATR_LL,0))+ATR_FAROS*(BF34="sí")+ATR_TINT*(BG34="sí")-ATR_CHAPA*(BE34="chapa")))</f>
        <v/>
      </c>
      <c r="DR34" s="3">
        <f>EST_W_MOD*(BB34-1)/4*100+EST_W_ATR*DQ34</f>
        <v/>
      </c>
      <c r="DS34" s="3">
        <f>IF(BA34="",NEUTRO,IFERROR(VLOOKUP(BA34,COLOR_TBL,2,0)+0,NEUTRO))</f>
        <v/>
      </c>
      <c r="DT34" s="3">
        <f>MAX(0,MIN(100,100*N(BM34)/RV_N_FULL))</f>
        <v/>
      </c>
      <c r="DU34" s="3">
        <f>IF(OR(BN34="",N(BO34)&lt;RV_DIAS_MIN),NEUTRO,MAX(0,MIN(100,100*(RV_DIAS_CERO-BN34)/(RV_DIAS_CERO-RV_DIAS_FULL))))</f>
        <v/>
      </c>
      <c r="DV34" s="3">
        <f>RV_W_LIQ*DT34+RV_W_DIAS*DU34+RV_W_ETQ*DC34</f>
        <v/>
      </c>
      <c r="DW34" s="3">
        <f>IFERROR(VLOOKUP(L34,CARR_PEN_TBL,2,0),0)</f>
        <v/>
      </c>
      <c r="DX34" s="3">
        <f>W_FIAB*CS34+W_PRECIO*CU34+W_KMEDAD*CY34+W_ESTADO*DB34+W_USO*DK34+W_SEGURIDAD*DM34+W_SEGVIAL*DP34+W_ESTETICA*DR34+W_COLOR*DS34+W_REVENTA*DV34-DW34-EG34</f>
        <v/>
      </c>
      <c r="DY34" s="4">
        <f>IF(N(I34)&gt;0,I34,IFERROR(ROUND(_xlfn.NUMBERVALUE(LEFT(G34,FIND(" ",G34&amp;" ")-1),".")*1000,0),99999))</f>
        <v/>
      </c>
      <c r="DZ34" s="3">
        <f>IF(R34="profesional",0,IF(O34&lt;CUOTA_VALOR_MAX,IF(BW34&gt;ITP_TRAMO_ALTO,SUMIFS(CF_CUOTA,CF_MAS,ITP_TRAMO_ALTO,CF_CCMIN,"&lt;="&amp;DY34,CF_CCMAX,"&gt;="&amp;DY34),IF(BW34&gt;ITP_TRAMO_BAJO,SUMIFS(CF_CUOTA,CF_MAS,ITP_TRAMO_BAJO,CF_CCMIN,"&lt;="&amp;DY34,CF_CCMAX,"&gt;="&amp;DY34),O34*ITP_TIPO)),O34*ITP_TIPO))</f>
        <v/>
      </c>
      <c r="EA34" s="4">
        <f>IF(R34="profesional",N(AK34),0)</f>
        <v/>
      </c>
      <c r="EB34" s="3">
        <f>IF(AND(R34="profesional",ISNUMBER(AK34),AL34="sí"),0,TASA_DGT)</f>
        <v/>
      </c>
      <c r="EC34" s="3">
        <f>INFORME_DGT</f>
        <v/>
      </c>
      <c r="ED34" s="4">
        <f>O34+EA34+DZ34+EB34+EC34</f>
        <v/>
      </c>
      <c r="EE34" s="4">
        <f>ED34+N(DF34)</f>
        <v/>
      </c>
      <c r="EF34" s="3">
        <f>MAX(0,ED34-TOTAL_MAX)</f>
        <v/>
      </c>
      <c r="EG34" s="3">
        <f>EF34/100*PEN_100</f>
        <v/>
      </c>
      <c r="EH34" s="3">
        <f>IF(R34="particular",ED34+IF(AND(DA34&lt;&gt;"cadena",X34&lt;&gt;"sí"),RES_CORREA,0)+IF(AND(BJ34&lt;&gt;"sí",BW34&gt;=RES_NEUM_EDAD),RES_NEUM,0),"")</f>
        <v/>
      </c>
      <c r="EI34" s="3">
        <f>IF(ED34&lt;=TOTAL_MAX,"sí",IF(ED34&lt;=TECHO,"negociar","no"))</f>
        <v/>
      </c>
      <c r="EJ34" s="4">
        <f>ROUND(DX34,9)</f>
        <v/>
      </c>
      <c r="EK34" s="4">
        <f>IF(EI34&lt;&gt;"no",SUMPRODUCT(($EI$2:$EI$209&lt;&gt;"no")*($EJ$2:$EJ$209&gt;EJ34))+SUMPRODUCT(($EI$2:EI34&lt;&gt;"no")*($EJ$2:EJ34=EJ34)),"")</f>
        <v/>
      </c>
    </row>
    <row r="35">
      <c r="A35" s="2" t="inlineStr">
        <is>
          <t>wallapop:1292118678</t>
        </is>
      </c>
      <c r="B35" s="2" t="inlineStr">
        <is>
          <t>wallapop</t>
        </is>
      </c>
      <c r="C35" s="2" t="inlineStr">
        <is>
          <t>https://es.wallapop.com/item/peugeot-208-peugeot-208-5p-style-1-4-hdi-68-1292118678</t>
        </is>
      </c>
      <c r="D35" s="2" t="inlineStr">
        <is>
          <t>Peugeot 208 Peugeot 208 5P STYLE 1.4 HDi 68</t>
        </is>
      </c>
      <c r="E35" s="2" t="inlineStr">
        <is>
          <t>Peugeot</t>
        </is>
      </c>
      <c r="F35" s="2" t="inlineStr">
        <is>
          <t>Peugeot 208</t>
        </is>
      </c>
      <c r="G35" s="2" t="inlineStr">
        <is>
          <t>1.4 HDi</t>
        </is>
      </c>
      <c r="H35" s="2" t="inlineStr">
        <is>
          <t>Peugeot 208 5P STYLE 1.4 HDi 68</t>
        </is>
      </c>
      <c r="I35" s="2" t="n"/>
      <c r="J35" s="2" t="n">
        <v>68</v>
      </c>
      <c r="K35" s="2" t="inlineStr">
        <is>
          <t>diesel</t>
        </is>
      </c>
      <c r="L35" s="2" t="inlineStr">
        <is>
          <t>utilitario</t>
        </is>
      </c>
      <c r="M35" s="2" t="n">
        <v>2014</v>
      </c>
      <c r="N35" s="2" t="n">
        <v>143000</v>
      </c>
      <c r="O35" s="2" t="n">
        <v>4950</v>
      </c>
      <c r="P35" s="2" t="inlineStr">
        <is>
          <t>manual</t>
        </is>
      </c>
      <c r="Q35" s="2" t="inlineStr">
        <is>
          <t>no</t>
        </is>
      </c>
      <c r="R35" s="2" t="inlineStr">
        <is>
          <t>profesional</t>
        </is>
      </c>
      <c r="S35" s="2" t="inlineStr">
        <is>
          <t>Manises (46940)</t>
        </is>
      </c>
      <c r="T35" s="2" t="inlineStr">
        <is>
          <t>2026-10-30T18:10:05</t>
        </is>
      </c>
      <c r="U35" s="2" t="n">
        <v>11</v>
      </c>
      <c r="V35" s="2" t="n"/>
      <c r="W35" s="2" t="inlineStr">
        <is>
          <t>sí</t>
        </is>
      </c>
      <c r="X35" s="2" t="n"/>
      <c r="Y35" s="2" t="n"/>
      <c r="Z35" s="2" t="inlineStr">
        <is>
          <t>sí</t>
        </is>
      </c>
      <c r="AA35" s="2" t="n"/>
      <c r="AB35" s="2" t="n"/>
      <c r="AC35" s="2" t="n"/>
      <c r="AD35" s="2" t="n"/>
      <c r="AE35" s="2" t="n"/>
      <c r="AF35" s="2" t="n"/>
      <c r="AG35" s="2" t="n"/>
      <c r="AH35" s="2" t="n"/>
      <c r="AI35" s="2" t="n"/>
      <c r="AJ35" s="2" t="n"/>
      <c r="AK35" s="2" t="n"/>
      <c r="AL35" s="2" t="n"/>
      <c r="AM35" s="2" t="n">
        <v>7.2</v>
      </c>
      <c r="AN35" s="2" t="n"/>
      <c r="AO35" s="2" t="inlineStr">
        <is>
          <t>2014</t>
        </is>
      </c>
      <c r="AP35" s="2" t="n">
        <v>2014</v>
      </c>
      <c r="AQ35" s="2" t="n"/>
      <c r="AR35" s="2" t="n"/>
      <c r="AS35" s="2" t="inlineStr">
        <is>
          <t>regla</t>
        </is>
      </c>
      <c r="AT35" s="2" t="n"/>
      <c r="AU35" s="2" t="inlineStr">
        <is>
          <t>no</t>
        </is>
      </c>
      <c r="AV35" s="2" t="inlineStr">
        <is>
          <t>B</t>
        </is>
      </c>
      <c r="AW35" s="2" t="n"/>
      <c r="AX35" s="2" t="inlineStr">
        <is>
          <t>no</t>
        </is>
      </c>
      <c r="AY35" s="2" t="inlineStr">
        <is>
          <t>no</t>
        </is>
      </c>
      <c r="AZ35" s="2" t="n"/>
      <c r="BA35" s="2" t="n"/>
      <c r="BB35" s="3" t="n">
        <v>2</v>
      </c>
      <c r="BC35" s="3" t="inlineStr">
        <is>
          <t>(por segmento)</t>
        </is>
      </c>
      <c r="BD35" s="2" t="n"/>
      <c r="BE35" s="2" t="n"/>
      <c r="BF35" s="2" t="n"/>
      <c r="BG35" s="2" t="n"/>
      <c r="BH35" s="2" t="n"/>
      <c r="BI35" s="2" t="n"/>
      <c r="BJ35" s="2" t="n"/>
      <c r="BK35" s="2" t="n"/>
      <c r="BL35" s="2" t="n"/>
      <c r="BM35" s="2" t="n">
        <v>374</v>
      </c>
      <c r="BN35" s="2" t="n">
        <v>0.05126157402992249</v>
      </c>
      <c r="BO35" s="2" t="n">
        <v>4</v>
      </c>
      <c r="BP35" s="2" t="n">
        <v>5990</v>
      </c>
      <c r="BQ35" s="2" t="n">
        <v>18</v>
      </c>
      <c r="BR35" s="2" t="inlineStr">
        <is>
          <t>modelo+año+km</t>
        </is>
      </c>
      <c r="BS35" s="2" t="inlineStr">
        <is>
          <t>autoscout24:64e6b0a8-18eb-4eb0-be8b-355ee5efba37 (https://www.autoscout24.es/anuncios/peugeot-208-5p-style-1-4-hdi-68-diesel-blanco-cat_ma55mo20057-64e6b0a8-18eb-4eb0-be8b-355ee5efba37)</t>
        </is>
      </c>
      <c r="BT35" s="2" t="inlineStr">
        <is>
          <t>por encima del presupuesto: negociar 14 € (coste 5014 €; -0.3 puntos); vendedor profesional: sin ITP (operación con IVA/REBU, confirmar en factura); gastos de gestión del vendedor no indicados: se suma la tasa DGT; preguntar el precio final; Euro NCAP de la generación PENDIENTE (seguridad neutra); diésel: motor sin fuente de fiabilidad (fiabilidad limitada a neutra); etiqueta B deducida por fecha (sin matrícula ni dato del anuncio); revisar: no menciona la ITV</t>
        </is>
      </c>
      <c r="BU35" s="2" t="inlineStr">
        <is>
          <t>✅-Con la posibilidad de financiar desde 95€/mes🤝🚗
!!!ATENCIÓN VEHICULO COMERCIAL !!
💥-PEUGEOT 208(comercial)2 plazas 
💥-12-2014
💥-142.000 KILÓMETROS 
💥-1.4 HDI 68CV
💥-MANTENIMIENTO AL DÍA 
💥-1 AÑO GARANTÍA!!✅ 
💥-4950€
-aceptamos coche inferior como parte de pago 🤝🚗
-tiktok @eurocochesmanival
- instagram @eloy_manival
(Mini,208,Clío,micra,Ibiza,kalos,picanto,i10,i20,Mazda 2,Golf,polo,a3,Leon,Ibiza,i30,Astra,Megane,adam,c2,c3,punto,fabia,mg3,colt,evo 3,panda,aveo,duster)</t>
        </is>
      </c>
      <c r="BV35" s="2" t="inlineStr">
        <is>
          <t>https://es.wallapop.com/item/peugeot-208-peugeot-208-5p-style-1-4-hdi-68-1292118678 (__NEXT_DATA__ item) /home/user/Alopecia/buscador-coches/raw/wallapop/057cbbee9d634e7b.json</t>
        </is>
      </c>
      <c r="BW35" s="3">
        <f>MAX(ANIO_ACTUAL-M35,0)</f>
        <v/>
      </c>
      <c r="BX35" s="4">
        <f>N35/MAX(BW35,0.5)</f>
        <v/>
      </c>
      <c r="BY35" s="4">
        <f>F35</f>
        <v/>
      </c>
      <c r="BZ35" s="3">
        <f>BY35&amp;"|"&amp;INT(M35/SEG_ANIO)*SEG_ANIO</f>
        <v/>
      </c>
      <c r="CA35" s="3">
        <f>BZ35&amp;"|"&amp;INT(N35/SEG_KM)*SEG_KM</f>
        <v/>
      </c>
      <c r="CB35" s="4">
        <f>COUNTIF($BY$2:$BY$209,BY35)</f>
        <v/>
      </c>
      <c r="CC35" s="4">
        <f>COUNTIF($BZ$2:$BZ$209,BZ35)</f>
        <v/>
      </c>
      <c r="CD35" s="4">
        <f>COUNTIF($CA$2:$CA$209,CA35)</f>
        <v/>
      </c>
      <c r="CE35" s="3">
        <f t="array" ref="CE35">IF(N(BQ35)&gt;=MIN_N,BP35,IF(CD35&gt;=MIN_N,MEDIAN(IF($CA$2:$CA$209=CA35,$O$2:$O$209)),IF(CC35&gt;=MIN_N,MEDIAN(IF($BZ$2:$BZ$209=BZ35,$O$2:$O$209)),MEDIAN(IF($BY$2:$BY$209=BY35,$O$2:$O$209)))))</f>
        <v/>
      </c>
      <c r="CF35" s="3">
        <f>IF(N(BQ35)&gt;=MIN_N,"mercado "&amp;BR35,IF(CD35&gt;=MIN_N,"modelo+año+km",IF(CC35&gt;=MIN_N,"modelo+año","modelo")))</f>
        <v/>
      </c>
      <c r="CG35" s="4">
        <f>(CE35-O35)/CE35</f>
        <v/>
      </c>
      <c r="CH35" s="3">
        <f>IF(COUNTIFS(FR_FUEL,K35,FR_YEAR,AP35)&gt;0,1,0)</f>
        <v/>
      </c>
      <c r="CI35" s="3">
        <f>IF(COUNTIFS(FR_FUEL,K35,FR_YEAR,AP35-1)&gt;0,1,0)</f>
        <v/>
      </c>
      <c r="CJ35" s="4">
        <f>IF(N(AQ35)&gt;0,AP35*100+AQ35,IF(AND(CH35=1,CI35=1),(AP35-1)*100+1,AP35*100+1))</f>
        <v/>
      </c>
      <c r="CK35" s="3">
        <f>IF(OR(K35="hibrido",K35="glp",K35="gnc",K35="phev"),"ECO",IF(K35="electrico","CERO",IF(K35="gasolina",IF(CJ35&gt;=GAS_C_YM,"C",IF(CJ35&gt;=GAS_B_YM,"B","A")),IF(K35="diesel",IF(CJ35&gt;=DIE_C_YM,"C",IF(CJ35&gt;=DIE_B_YM,"B","A")),""))))</f>
        <v/>
      </c>
      <c r="CL35" s="4">
        <f>CK35</f>
        <v/>
      </c>
      <c r="CM35" s="4">
        <f>IF(AU35="sí","sí",IF(AS35="regla",IF(AND(N(AQ35)=0,CH35=1),"sí","no"),"no"))</f>
        <v/>
      </c>
      <c r="CN35" s="3">
        <f>IFERROR(VLOOKUP(F35,MOD_TBL,16,0),IFERROR(VLOOKUP(E35,OCU_TBL,2,0),NEUTRO))</f>
        <v/>
      </c>
      <c r="CO35" s="3">
        <f>SUMIFS(MOT_AJUSTE,MOT_MOTOR,G35,MOT_MARCA,E35,MOT_DESDE,"&lt;="&amp;M35,MOT_HASTA,"&gt;="&amp;M35)+SUMIFS(MOT_AJUSTE,MOT_MOTOR,G35,MOT_MARCA,"(todas)",MOT_DESDE,"&lt;="&amp;M35,MOT_HASTA,"&gt;="&amp;M35)+SUMIFS(MOT_AJUSTE,MOT_MOTOR,"(cualquiera)",MOT_MARCA,E35,MOT_DESDE,"&lt;="&amp;M35,MOT_HASTA,"&gt;="&amp;M35)</f>
        <v/>
      </c>
      <c r="CP35" s="3">
        <f>SUMIFS(COMB_AJUSTE,COMB_COMB,K35)</f>
        <v/>
      </c>
      <c r="CQ35" s="3">
        <f>COUNTIFS(MOT_MOTOR,G35,MOT_MARCA,E35,MOT_DESDE,"&lt;="&amp;M35,MOT_HASTA,"&gt;="&amp;M35)+COUNTIFS(MOT_MOTOR,G35,MOT_MARCA,"(todas)",MOT_DESDE,"&lt;="&amp;M35,MOT_HASTA,"&gt;="&amp;M35)+COUNTIFS(MOT_MOTOR,"(cualquiera)",MOT_MARCA,E35,MOT_DESDE,"&lt;="&amp;M35,MOT_HASTA,"&gt;="&amp;M35)</f>
        <v/>
      </c>
      <c r="CR35" s="3">
        <f>IF(AND(K35="diesel",CQ35=0),MIN(CN35,NEUTRO),CN35)</f>
        <v/>
      </c>
      <c r="CS35" s="3">
        <f>MAX(0,MIN(100,CR35+CO35+CP35-IF(AX35="sí",ROB_PEN,0)))</f>
        <v/>
      </c>
      <c r="CT35" s="3">
        <f>100-MAX(0,N35-KM_TOPE_DESDE)/1000*KM_TOPE_PTS</f>
        <v/>
      </c>
      <c r="CU35" s="3">
        <f>MAX(0,MIN(100,50+CG35*PRECIO_PEND,CT35))</f>
        <v/>
      </c>
      <c r="CV35" s="3">
        <f>MAX(0,100*(1-N35/KM_MAX))</f>
        <v/>
      </c>
      <c r="CW35" s="3">
        <f>IF(BX35&lt;KMA_SOSP,IF(AA35="sí",100,KMA_PEN),IF(BX35&lt;=KMA_IDEAL_MAX,100,MAX(0,100*(KMA_CERO-BX35)/(KMA_CERO-KMA_IDEAL_MAX))))</f>
        <v/>
      </c>
      <c r="CX35" s="3">
        <f>MAX(0,MIN(100,100*(M35-ANIO_MIN)/(ANIO_ACTUAL-ANIO_MIN)))</f>
        <v/>
      </c>
      <c r="CY35" s="3">
        <f>W_KMT*CV35+W_KMA*CW35+W_EDAD*CX35</f>
        <v/>
      </c>
      <c r="CZ35" s="4">
        <f>E35&amp;"|"&amp;G35</f>
        <v/>
      </c>
      <c r="DA35" s="3">
        <f>IFERROR(VLOOKUP(CZ35,DIST_TBL,2,0),"")</f>
        <v/>
      </c>
      <c r="DB35" s="3">
        <f>E_ITV*(V35="sí")+E_LIBRO*(W35="sí")+E_PROP*IF(Y35=1,1,IF(Y35=2,0.5,0))+E_CORREA*IF(OR(DA35="cadena",AND(X35="sí",BH35="sí")),1,IF(X35="sí",0.5,0))+E_FACT*(BI35="sí")</f>
        <v/>
      </c>
      <c r="DC35" s="3">
        <f>MAX(0,MIN(100,IFERROR(VLOOKUP(CL35,ETQ_TBL,2,0),0)-IF(CM35="sí",ETQ_PEN_DUD,IF(AS35="regla",ETQ_PEN_REGLA,0))))</f>
        <v/>
      </c>
      <c r="DD35" s="3">
        <f>IF(K35&lt;&gt;"gasolina","",IFERROR(VLOOKUP(F35,CONS_MOD_TBL,2,0),IFERROR(VLOOKUP(L35,CONS_SEG_TBL,2,0),"")))</f>
        <v/>
      </c>
      <c r="DE35" s="3">
        <f>IF(DD35="",NEUTRO,MAX(0,MIN(100,100*(CONS_REF_MAX-DD35)/(CONS_REF_MAX-CONS_REF_MIN))))</f>
        <v/>
      </c>
      <c r="DF35" s="3">
        <f>IFERROR(VLOOKUP(L35,SEGURO_TBL,3,0),"")</f>
        <v/>
      </c>
      <c r="DG35" s="3">
        <f>IF(DF35="",NEUTRO,MAX(0,MIN(100,100*(SEG_REF_MAX-DF35)/(SEG_REF_MAX-SEG_REF_MIN))))</f>
        <v/>
      </c>
      <c r="DH35" s="3">
        <f>IFERROR(VLOOKUP(E35,MANT_MARCA_TBL,2,0)+0,NEUTRO)</f>
        <v/>
      </c>
      <c r="DI35" s="3">
        <f>IF(DA35="",NEUTRO,IFERROR(VLOOKUP(DA35,DIST_PTS_TBL,2,0)+0,NEUTRO))</f>
        <v/>
      </c>
      <c r="DJ35" s="4">
        <f>(DH35+DI35)/2</f>
        <v/>
      </c>
      <c r="DK35" s="3">
        <f>W_CONS*DE35+W_SEG*DG35+W_MANT*DJ35</f>
        <v/>
      </c>
      <c r="DL35" s="3">
        <f>IF(N(AB35)&gt;0,AB35,IF(AND(R35="profesional",SG_LEGAL_ON=1),GAR_LEGAL,0))</f>
        <v/>
      </c>
      <c r="DM35" s="3">
        <f>MAX(0,MIN(100,SG_GAR*MIN(1,DL35/SG_GAR_FULL)+SG_AMPL*(AC35="sí")+SG_KMC*(AF35="sí")+SG_REV*(N(AE35)&gt;0)+SG_DEV*MIN(1,N(AG35)/SG_DEV_FULL)+SG_HIST*(W35="sí")-IF(AND(R35="particular",DL35=0),SG_PART_PEN,0)))</f>
        <v/>
      </c>
      <c r="DN35" s="3">
        <f>IF(BK35="",NEUTRO,MAX(0,MIN(100,BK35/5*100)))</f>
        <v/>
      </c>
      <c r="DO35" s="3">
        <f>IF(BL35="sí",100,IF(BL35="no",0,NEUTRO))</f>
        <v/>
      </c>
      <c r="DP35" s="3">
        <f>SV_W_NCAP*DN35+SV_W_ESP*DO35</f>
        <v/>
      </c>
      <c r="DQ35" s="3">
        <f>MAX(0,MIN(100,ATR_BASE+ATR_ACAB*(BD35&lt;&gt;"")+IF(BE35="16+",ATR_LL16,IF(BE35="sí",ATR_LL,0))+ATR_FAROS*(BF35="sí")+ATR_TINT*(BG35="sí")-ATR_CHAPA*(BE35="chapa")))</f>
        <v/>
      </c>
      <c r="DR35" s="3">
        <f>EST_W_MOD*(BB35-1)/4*100+EST_W_ATR*DQ35</f>
        <v/>
      </c>
      <c r="DS35" s="3">
        <f>IF(BA35="",NEUTRO,IFERROR(VLOOKUP(BA35,COLOR_TBL,2,0)+0,NEUTRO))</f>
        <v/>
      </c>
      <c r="DT35" s="3">
        <f>MAX(0,MIN(100,100*N(BM35)/RV_N_FULL))</f>
        <v/>
      </c>
      <c r="DU35" s="3">
        <f>IF(OR(BN35="",N(BO35)&lt;RV_DIAS_MIN),NEUTRO,MAX(0,MIN(100,100*(RV_DIAS_CERO-BN35)/(RV_DIAS_CERO-RV_DIAS_FULL))))</f>
        <v/>
      </c>
      <c r="DV35" s="3">
        <f>RV_W_LIQ*DT35+RV_W_DIAS*DU35+RV_W_ETQ*DC35</f>
        <v/>
      </c>
      <c r="DW35" s="3">
        <f>IFERROR(VLOOKUP(L35,CARR_PEN_TBL,2,0),0)</f>
        <v/>
      </c>
      <c r="DX35" s="3">
        <f>W_FIAB*CS35+W_PRECIO*CU35+W_KMEDAD*CY35+W_ESTADO*DB35+W_USO*DK35+W_SEGURIDAD*DM35+W_SEGVIAL*DP35+W_ESTETICA*DR35+W_COLOR*DS35+W_REVENTA*DV35-DW35-EG35</f>
        <v/>
      </c>
      <c r="DY35" s="4">
        <f>IF(N(I35)&gt;0,I35,IFERROR(ROUND(_xlfn.NUMBERVALUE(LEFT(G35,FIND(" ",G35&amp;" ")-1),".")*1000,0),99999))</f>
        <v/>
      </c>
      <c r="DZ35" s="3">
        <f>IF(R35="profesional",0,IF(O35&lt;CUOTA_VALOR_MAX,IF(BW35&gt;ITP_TRAMO_ALTO,SUMIFS(CF_CUOTA,CF_MAS,ITP_TRAMO_ALTO,CF_CCMIN,"&lt;="&amp;DY35,CF_CCMAX,"&gt;="&amp;DY35),IF(BW35&gt;ITP_TRAMO_BAJO,SUMIFS(CF_CUOTA,CF_MAS,ITP_TRAMO_BAJO,CF_CCMIN,"&lt;="&amp;DY35,CF_CCMAX,"&gt;="&amp;DY35),O35*ITP_TIPO)),O35*ITP_TIPO))</f>
        <v/>
      </c>
      <c r="EA35" s="4">
        <f>IF(R35="profesional",N(AK35),0)</f>
        <v/>
      </c>
      <c r="EB35" s="3">
        <f>IF(AND(R35="profesional",ISNUMBER(AK35),AL35="sí"),0,TASA_DGT)</f>
        <v/>
      </c>
      <c r="EC35" s="3">
        <f>INFORME_DGT</f>
        <v/>
      </c>
      <c r="ED35" s="4">
        <f>O35+EA35+DZ35+EB35+EC35</f>
        <v/>
      </c>
      <c r="EE35" s="4">
        <f>ED35+N(DF35)</f>
        <v/>
      </c>
      <c r="EF35" s="3">
        <f>MAX(0,ED35-TOTAL_MAX)</f>
        <v/>
      </c>
      <c r="EG35" s="3">
        <f>EF35/100*PEN_100</f>
        <v/>
      </c>
      <c r="EH35" s="3">
        <f>IF(R35="particular",ED35+IF(AND(DA35&lt;&gt;"cadena",X35&lt;&gt;"sí"),RES_CORREA,0)+IF(AND(BJ35&lt;&gt;"sí",BW35&gt;=RES_NEUM_EDAD),RES_NEUM,0),"")</f>
        <v/>
      </c>
      <c r="EI35" s="3">
        <f>IF(ED35&lt;=TOTAL_MAX,"sí",IF(ED35&lt;=TECHO,"negociar","no"))</f>
        <v/>
      </c>
      <c r="EJ35" s="4">
        <f>ROUND(DX35,9)</f>
        <v/>
      </c>
      <c r="EK35" s="4">
        <f>IF(EI35&lt;&gt;"no",SUMPRODUCT(($EI$2:$EI$209&lt;&gt;"no")*($EJ$2:$EJ$209&gt;EJ35))+SUMPRODUCT(($EI$2:EI35&lt;&gt;"no")*($EJ$2:EJ35=EJ35)),"")</f>
        <v/>
      </c>
    </row>
    <row r="36">
      <c r="A36" s="2" t="inlineStr">
        <is>
          <t>autoscout24:b12d74bc-f99b-46aa-8160-c375b65746c5</t>
        </is>
      </c>
      <c r="B36" s="2" t="inlineStr">
        <is>
          <t>autoscout24</t>
        </is>
      </c>
      <c r="C36" s="2" t="inlineStr">
        <is>
          <t>https://www.autoscout24.es/anuncios/citroen-c3-1-4i-16v-exclusive-gasolina-azul-cat_ma21mo18264-b12d74bc-f99b-46aa-8160-c375b65746c5</t>
        </is>
      </c>
      <c r="D36" s="2" t="inlineStr">
        <is>
          <t>Citroën C3 1.4i 16v Exclusive</t>
        </is>
      </c>
      <c r="E36" s="2" t="inlineStr">
        <is>
          <t>Citroën</t>
        </is>
      </c>
      <c r="F36" s="2" t="inlineStr">
        <is>
          <t>Citroën C3</t>
        </is>
      </c>
      <c r="G36" s="2" t="inlineStr">
        <is>
          <t>1.4</t>
        </is>
      </c>
      <c r="H36" s="2" t="inlineStr">
        <is>
          <t>1.4i 16v Exclusive 1.4</t>
        </is>
      </c>
      <c r="I36" s="2" t="n">
        <v>1360</v>
      </c>
      <c r="J36" s="2" t="n">
        <v>90</v>
      </c>
      <c r="K36" s="2" t="inlineStr">
        <is>
          <t>gasolina</t>
        </is>
      </c>
      <c r="L36" s="2" t="inlineStr">
        <is>
          <t>utilitario</t>
        </is>
      </c>
      <c r="M36" s="2" t="n">
        <v>2006</v>
      </c>
      <c r="N36" s="2" t="n">
        <v>136000</v>
      </c>
      <c r="O36" s="2" t="n">
        <v>4500</v>
      </c>
      <c r="P36" s="2" t="inlineStr">
        <is>
          <t>manual</t>
        </is>
      </c>
      <c r="Q36" s="2" t="inlineStr">
        <is>
          <t>no</t>
        </is>
      </c>
      <c r="R36" s="2" t="inlineStr">
        <is>
          <t>profesional</t>
        </is>
      </c>
      <c r="S36" s="2" t="inlineStr">
        <is>
          <t>IMPOR WAGEN — XATIVA (46800)</t>
        </is>
      </c>
      <c r="T36" s="2" t="n"/>
      <c r="U36" s="2" t="n">
        <v>25</v>
      </c>
      <c r="V36" s="2" t="n"/>
      <c r="W36" s="2" t="n"/>
      <c r="X36" s="2" t="n"/>
      <c r="Y36" s="2" t="n"/>
      <c r="Z36" s="2" t="inlineStr">
        <is>
          <t>sí</t>
        </is>
      </c>
      <c r="AA36" s="2" t="n"/>
      <c r="AB36" s="2" t="n">
        <v>12</v>
      </c>
      <c r="AC36" s="2" t="n"/>
      <c r="AD36" s="2" t="n"/>
      <c r="AE36" s="2" t="n"/>
      <c r="AF36" s="2" t="n"/>
      <c r="AG36" s="2" t="n"/>
      <c r="AH36" s="2" t="n">
        <v>4500</v>
      </c>
      <c r="AI36" s="2" t="n"/>
      <c r="AJ36" s="2" t="n"/>
      <c r="AK36" s="2" t="n"/>
      <c r="AL36" s="2" t="n"/>
      <c r="AM36" s="2" t="n">
        <v>54</v>
      </c>
      <c r="AN36" s="2" t="n"/>
      <c r="AO36" s="2" t="inlineStr">
        <is>
          <t>2006-09</t>
        </is>
      </c>
      <c r="AP36" s="2" t="n">
        <v>2006</v>
      </c>
      <c r="AQ36" s="2" t="n">
        <v>9</v>
      </c>
      <c r="AR36" s="2" t="n"/>
      <c r="AS36" s="2" t="inlineStr">
        <is>
          <t>regla</t>
        </is>
      </c>
      <c r="AT36" s="2" t="n"/>
      <c r="AU36" s="2" t="inlineStr">
        <is>
          <t>no</t>
        </is>
      </c>
      <c r="AV36" s="2" t="inlineStr">
        <is>
          <t>C</t>
        </is>
      </c>
      <c r="AW36" s="2" t="n"/>
      <c r="AX36" s="2" t="inlineStr">
        <is>
          <t>no</t>
        </is>
      </c>
      <c r="AY36" s="2" t="inlineStr">
        <is>
          <t>no</t>
        </is>
      </c>
      <c r="AZ36" s="2" t="inlineStr">
        <is>
          <t>Azul Metalizado</t>
        </is>
      </c>
      <c r="BA36" s="2" t="inlineStr">
        <is>
          <t>azul</t>
        </is>
      </c>
      <c r="BB36" s="3" t="n">
        <v>2</v>
      </c>
      <c r="BC36" s="3" t="inlineStr">
        <is>
          <t>(por segmento)</t>
        </is>
      </c>
      <c r="BD36" s="2" t="inlineStr">
        <is>
          <t>exclusive</t>
        </is>
      </c>
      <c r="BE36" s="2" t="n"/>
      <c r="BF36" s="2" t="n"/>
      <c r="BG36" s="2" t="n"/>
      <c r="BH36" s="2" t="n"/>
      <c r="BI36" s="2" t="n"/>
      <c r="BJ36" s="2" t="n"/>
      <c r="BK36" s="2" t="n">
        <v>4</v>
      </c>
      <c r="BL36" s="2" t="inlineStr">
        <is>
          <t>no</t>
        </is>
      </c>
      <c r="BM36" s="2" t="n">
        <v>405</v>
      </c>
      <c r="BN36" s="2" t="n">
        <v>0</v>
      </c>
      <c r="BO36" s="2" t="n">
        <v>3</v>
      </c>
      <c r="BP36" s="2" t="n">
        <v>3495</v>
      </c>
      <c r="BQ36" s="2" t="n">
        <v>6</v>
      </c>
      <c r="BR36" s="2" t="inlineStr">
        <is>
          <t>modelo+año+km</t>
        </is>
      </c>
      <c r="BS36" s="2" t="n"/>
      <c r="BT36" s="2" t="inlineStr">
        <is>
          <t>vendedor profesional: sin ITP (operación con IVA/REBU, confirmar en factura); gastos de gestión del vendedor no indicados: se suma la tasa DGT; preguntar el precio final; etiqueta C deducida por fecha (sin matrícula ni dato del anuncio); revisar: no menciona la ITV</t>
        </is>
      </c>
      <c r="BU36" s="2" t="inlineStr">
        <is>
          <t>&lt;strong&gt;Precio al contado: 4500 euros&lt;/strong&gt; &lt;br /&gt;&lt;br /&gt;&lt;strong&gt;Condiciones de la financiación&lt;/strong&gt; &lt;br /&gt;&lt;br /&gt;Desde 90€ mes , sujeto a condiciones financieras .&lt;br /&gt;&amp;lt;hr&amp;gt; &lt;br /&gt;&lt;br /&gt;• Tapicería PIEL BEIGE &lt;br /&gt;• Climatizador &lt;br /&gt;• llantas &lt;br /&gt;• espejos abatibles eléctricos &lt;br /&gt;• sensores aparcamiento &lt;br /&gt;• regulador de velocidad &lt;br /&gt;• sensor de luces y lluvia &lt;br /&gt;• ordenador &lt;br /&gt;• 1 AÑO DE GARANTIA INCLUIDO &lt;br /&gt;• ACEPTAMOS COCHE COMO PARTE DE PAGO &lt;br /&gt;• LLEVAMOS EL COCHE A CUALQUIER PUNTO DE ESPAÑA &lt;br /&gt;• TELEFONOS: y movil:. atendemos WHATSAPP y sábado tarde y domingo previa cita. &lt;br /&gt;Las especificaciones en esta ficha pueden contener algún error y por tanto no tienen carácter vinculante , no pudiendo constituir en ningún caso la base de un futuro contrato.    &lt;br /&gt;&lt;br /&gt;</t>
        </is>
      </c>
      <c r="BV36" s="2" t="inlineStr">
        <is>
          <t>https://www.autoscout24.es/anuncios/citroen-c3-1-4i-16v-exclusive-gasolina-azul-cat_ma21mo18264-b12d74bc-f99b-46aa-8160-c375b65746c5 (__NEXT_DATA__ listingDetails) /home/user/Alopecia/buscador-coches/raw/autoscout24/52475f84438cf96f.json</t>
        </is>
      </c>
      <c r="BW36" s="3">
        <f>MAX(ANIO_ACTUAL-M36,0)</f>
        <v/>
      </c>
      <c r="BX36" s="4">
        <f>N36/MAX(BW36,0.5)</f>
        <v/>
      </c>
      <c r="BY36" s="4">
        <f>F36</f>
        <v/>
      </c>
      <c r="BZ36" s="3">
        <f>BY36&amp;"|"&amp;INT(M36/SEG_ANIO)*SEG_ANIO</f>
        <v/>
      </c>
      <c r="CA36" s="3">
        <f>BZ36&amp;"|"&amp;INT(N36/SEG_KM)*SEG_KM</f>
        <v/>
      </c>
      <c r="CB36" s="4">
        <f>COUNTIF($BY$2:$BY$209,BY36)</f>
        <v/>
      </c>
      <c r="CC36" s="4">
        <f>COUNTIF($BZ$2:$BZ$209,BZ36)</f>
        <v/>
      </c>
      <c r="CD36" s="4">
        <f>COUNTIF($CA$2:$CA$209,CA36)</f>
        <v/>
      </c>
      <c r="CE36" s="3">
        <f t="array" ref="CE36">IF(N(BQ36)&gt;=MIN_N,BP36,IF(CD36&gt;=MIN_N,MEDIAN(IF($CA$2:$CA$209=CA36,$O$2:$O$209)),IF(CC36&gt;=MIN_N,MEDIAN(IF($BZ$2:$BZ$209=BZ36,$O$2:$O$209)),MEDIAN(IF($BY$2:$BY$209=BY36,$O$2:$O$209)))))</f>
        <v/>
      </c>
      <c r="CF36" s="3">
        <f>IF(N(BQ36)&gt;=MIN_N,"mercado "&amp;BR36,IF(CD36&gt;=MIN_N,"modelo+año+km",IF(CC36&gt;=MIN_N,"modelo+año","modelo")))</f>
        <v/>
      </c>
      <c r="CG36" s="4">
        <f>(CE36-O36)/CE36</f>
        <v/>
      </c>
      <c r="CH36" s="3">
        <f>IF(COUNTIFS(FR_FUEL,K36,FR_YEAR,AP36)&gt;0,1,0)</f>
        <v/>
      </c>
      <c r="CI36" s="3">
        <f>IF(COUNTIFS(FR_FUEL,K36,FR_YEAR,AP36-1)&gt;0,1,0)</f>
        <v/>
      </c>
      <c r="CJ36" s="4">
        <f>IF(N(AQ36)&gt;0,AP36*100+AQ36,IF(AND(CH36=1,CI36=1),(AP36-1)*100+1,AP36*100+1))</f>
        <v/>
      </c>
      <c r="CK36" s="3">
        <f>IF(OR(K36="hibrido",K36="glp",K36="gnc",K36="phev"),"ECO",IF(K36="electrico","CERO",IF(K36="gasolina",IF(CJ36&gt;=GAS_C_YM,"C",IF(CJ36&gt;=GAS_B_YM,"B","A")),IF(K36="diesel",IF(CJ36&gt;=DIE_C_YM,"C",IF(CJ36&gt;=DIE_B_YM,"B","A")),""))))</f>
        <v/>
      </c>
      <c r="CL36" s="4">
        <f>CK36</f>
        <v/>
      </c>
      <c r="CM36" s="4">
        <f>IF(AU36="sí","sí",IF(AS36="regla",IF(AND(N(AQ36)=0,CH36=1),"sí","no"),"no"))</f>
        <v/>
      </c>
      <c r="CN36" s="3">
        <f>IFERROR(VLOOKUP(F36,MOD_TBL,16,0),IFERROR(VLOOKUP(E36,OCU_TBL,2,0),NEUTRO))</f>
        <v/>
      </c>
      <c r="CO36" s="3">
        <f>SUMIFS(MOT_AJUSTE,MOT_MOTOR,G36,MOT_MARCA,E36,MOT_DESDE,"&lt;="&amp;M36,MOT_HASTA,"&gt;="&amp;M36)+SUMIFS(MOT_AJUSTE,MOT_MOTOR,G36,MOT_MARCA,"(todas)",MOT_DESDE,"&lt;="&amp;M36,MOT_HASTA,"&gt;="&amp;M36)+SUMIFS(MOT_AJUSTE,MOT_MOTOR,"(cualquiera)",MOT_MARCA,E36,MOT_DESDE,"&lt;="&amp;M36,MOT_HASTA,"&gt;="&amp;M36)</f>
        <v/>
      </c>
      <c r="CP36" s="3">
        <f>SUMIFS(COMB_AJUSTE,COMB_COMB,K36)</f>
        <v/>
      </c>
      <c r="CQ36" s="3">
        <f>COUNTIFS(MOT_MOTOR,G36,MOT_MARCA,E36,MOT_DESDE,"&lt;="&amp;M36,MOT_HASTA,"&gt;="&amp;M36)+COUNTIFS(MOT_MOTOR,G36,MOT_MARCA,"(todas)",MOT_DESDE,"&lt;="&amp;M36,MOT_HASTA,"&gt;="&amp;M36)+COUNTIFS(MOT_MOTOR,"(cualquiera)",MOT_MARCA,E36,MOT_DESDE,"&lt;="&amp;M36,MOT_HASTA,"&gt;="&amp;M36)</f>
        <v/>
      </c>
      <c r="CR36" s="3">
        <f>IF(AND(K36="diesel",CQ36=0),MIN(CN36,NEUTRO),CN36)</f>
        <v/>
      </c>
      <c r="CS36" s="3">
        <f>MAX(0,MIN(100,CR36+CO36+CP36-IF(AX36="sí",ROB_PEN,0)))</f>
        <v/>
      </c>
      <c r="CT36" s="3">
        <f>100-MAX(0,N36-KM_TOPE_DESDE)/1000*KM_TOPE_PTS</f>
        <v/>
      </c>
      <c r="CU36" s="3">
        <f>MAX(0,MIN(100,50+CG36*PRECIO_PEND,CT36))</f>
        <v/>
      </c>
      <c r="CV36" s="3">
        <f>MAX(0,100*(1-N36/KM_MAX))</f>
        <v/>
      </c>
      <c r="CW36" s="3">
        <f>IF(BX36&lt;KMA_SOSP,IF(AA36="sí",100,KMA_PEN),IF(BX36&lt;=KMA_IDEAL_MAX,100,MAX(0,100*(KMA_CERO-BX36)/(KMA_CERO-KMA_IDEAL_MAX))))</f>
        <v/>
      </c>
      <c r="CX36" s="3">
        <f>MAX(0,MIN(100,100*(M36-ANIO_MIN)/(ANIO_ACTUAL-ANIO_MIN)))</f>
        <v/>
      </c>
      <c r="CY36" s="3">
        <f>W_KMT*CV36+W_KMA*CW36+W_EDAD*CX36</f>
        <v/>
      </c>
      <c r="CZ36" s="4">
        <f>E36&amp;"|"&amp;G36</f>
        <v/>
      </c>
      <c r="DA36" s="3">
        <f>IFERROR(VLOOKUP(CZ36,DIST_TBL,2,0),"")</f>
        <v/>
      </c>
      <c r="DB36" s="3">
        <f>E_ITV*(V36="sí")+E_LIBRO*(W36="sí")+E_PROP*IF(Y36=1,1,IF(Y36=2,0.5,0))+E_CORREA*IF(OR(DA36="cadena",AND(X36="sí",BH36="sí")),1,IF(X36="sí",0.5,0))+E_FACT*(BI36="sí")</f>
        <v/>
      </c>
      <c r="DC36" s="3">
        <f>MAX(0,MIN(100,IFERROR(VLOOKUP(CL36,ETQ_TBL,2,0),0)-IF(CM36="sí",ETQ_PEN_DUD,IF(AS36="regla",ETQ_PEN_REGLA,0))))</f>
        <v/>
      </c>
      <c r="DD36" s="3">
        <f>IF(K36&lt;&gt;"gasolina","",IFERROR(VLOOKUP(F36,CONS_MOD_TBL,2,0),IFERROR(VLOOKUP(L36,CONS_SEG_TBL,2,0),"")))</f>
        <v/>
      </c>
      <c r="DE36" s="3">
        <f>IF(DD36="",NEUTRO,MAX(0,MIN(100,100*(CONS_REF_MAX-DD36)/(CONS_REF_MAX-CONS_REF_MIN))))</f>
        <v/>
      </c>
      <c r="DF36" s="3">
        <f>IFERROR(VLOOKUP(L36,SEGURO_TBL,3,0),"")</f>
        <v/>
      </c>
      <c r="DG36" s="3">
        <f>IF(DF36="",NEUTRO,MAX(0,MIN(100,100*(SEG_REF_MAX-DF36)/(SEG_REF_MAX-SEG_REF_MIN))))</f>
        <v/>
      </c>
      <c r="DH36" s="3">
        <f>IFERROR(VLOOKUP(E36,MANT_MARCA_TBL,2,0)+0,NEUTRO)</f>
        <v/>
      </c>
      <c r="DI36" s="3">
        <f>IF(DA36="",NEUTRO,IFERROR(VLOOKUP(DA36,DIST_PTS_TBL,2,0)+0,NEUTRO))</f>
        <v/>
      </c>
      <c r="DJ36" s="4">
        <f>(DH36+DI36)/2</f>
        <v/>
      </c>
      <c r="DK36" s="3">
        <f>W_CONS*DE36+W_SEG*DG36+W_MANT*DJ36</f>
        <v/>
      </c>
      <c r="DL36" s="3">
        <f>IF(N(AB36)&gt;0,AB36,IF(AND(R36="profesional",SG_LEGAL_ON=1),GAR_LEGAL,0))</f>
        <v/>
      </c>
      <c r="DM36" s="3">
        <f>MAX(0,MIN(100,SG_GAR*MIN(1,DL36/SG_GAR_FULL)+SG_AMPL*(AC36="sí")+SG_KMC*(AF36="sí")+SG_REV*(N(AE36)&gt;0)+SG_DEV*MIN(1,N(AG36)/SG_DEV_FULL)+SG_HIST*(W36="sí")-IF(AND(R36="particular",DL36=0),SG_PART_PEN,0)))</f>
        <v/>
      </c>
      <c r="DN36" s="3">
        <f>IF(BK36="",NEUTRO,MAX(0,MIN(100,BK36/5*100)))</f>
        <v/>
      </c>
      <c r="DO36" s="3">
        <f>IF(BL36="sí",100,IF(BL36="no",0,NEUTRO))</f>
        <v/>
      </c>
      <c r="DP36" s="3">
        <f>SV_W_NCAP*DN36+SV_W_ESP*DO36</f>
        <v/>
      </c>
      <c r="DQ36" s="3">
        <f>MAX(0,MIN(100,ATR_BASE+ATR_ACAB*(BD36&lt;&gt;"")+IF(BE36="16+",ATR_LL16,IF(BE36="sí",ATR_LL,0))+ATR_FAROS*(BF36="sí")+ATR_TINT*(BG36="sí")-ATR_CHAPA*(BE36="chapa")))</f>
        <v/>
      </c>
      <c r="DR36" s="3">
        <f>EST_W_MOD*(BB36-1)/4*100+EST_W_ATR*DQ36</f>
        <v/>
      </c>
      <c r="DS36" s="3">
        <f>IF(BA36="",NEUTRO,IFERROR(VLOOKUP(BA36,COLOR_TBL,2,0)+0,NEUTRO))</f>
        <v/>
      </c>
      <c r="DT36" s="3">
        <f>MAX(0,MIN(100,100*N(BM36)/RV_N_FULL))</f>
        <v/>
      </c>
      <c r="DU36" s="3">
        <f>IF(OR(BN36="",N(BO36)&lt;RV_DIAS_MIN),NEUTRO,MAX(0,MIN(100,100*(RV_DIAS_CERO-BN36)/(RV_DIAS_CERO-RV_DIAS_FULL))))</f>
        <v/>
      </c>
      <c r="DV36" s="3">
        <f>RV_W_LIQ*DT36+RV_W_DIAS*DU36+RV_W_ETQ*DC36</f>
        <v/>
      </c>
      <c r="DW36" s="3">
        <f>IFERROR(VLOOKUP(L36,CARR_PEN_TBL,2,0),0)</f>
        <v/>
      </c>
      <c r="DX36" s="3">
        <f>W_FIAB*CS36+W_PRECIO*CU36+W_KMEDAD*CY36+W_ESTADO*DB36+W_USO*DK36+W_SEGURIDAD*DM36+W_SEGVIAL*DP36+W_ESTETICA*DR36+W_COLOR*DS36+W_REVENTA*DV36-DW36-EG36</f>
        <v/>
      </c>
      <c r="DY36" s="4">
        <f>IF(N(I36)&gt;0,I36,IFERROR(ROUND(_xlfn.NUMBERVALUE(LEFT(G36,FIND(" ",G36&amp;" ")-1),".")*1000,0),99999))</f>
        <v/>
      </c>
      <c r="DZ36" s="3">
        <f>IF(R36="profesional",0,IF(O36&lt;CUOTA_VALOR_MAX,IF(BW36&gt;ITP_TRAMO_ALTO,SUMIFS(CF_CUOTA,CF_MAS,ITP_TRAMO_ALTO,CF_CCMIN,"&lt;="&amp;DY36,CF_CCMAX,"&gt;="&amp;DY36),IF(BW36&gt;ITP_TRAMO_BAJO,SUMIFS(CF_CUOTA,CF_MAS,ITP_TRAMO_BAJO,CF_CCMIN,"&lt;="&amp;DY36,CF_CCMAX,"&gt;="&amp;DY36),O36*ITP_TIPO)),O36*ITP_TIPO))</f>
        <v/>
      </c>
      <c r="EA36" s="4">
        <f>IF(R36="profesional",N(AK36),0)</f>
        <v/>
      </c>
      <c r="EB36" s="3">
        <f>IF(AND(R36="profesional",ISNUMBER(AK36),AL36="sí"),0,TASA_DGT)</f>
        <v/>
      </c>
      <c r="EC36" s="3">
        <f>INFORME_DGT</f>
        <v/>
      </c>
      <c r="ED36" s="4">
        <f>O36+EA36+DZ36+EB36+EC36</f>
        <v/>
      </c>
      <c r="EE36" s="4">
        <f>ED36+N(DF36)</f>
        <v/>
      </c>
      <c r="EF36" s="3">
        <f>MAX(0,ED36-TOTAL_MAX)</f>
        <v/>
      </c>
      <c r="EG36" s="3">
        <f>EF36/100*PEN_100</f>
        <v/>
      </c>
      <c r="EH36" s="3">
        <f>IF(R36="particular",ED36+IF(AND(DA36&lt;&gt;"cadena",X36&lt;&gt;"sí"),RES_CORREA,0)+IF(AND(BJ36&lt;&gt;"sí",BW36&gt;=RES_NEUM_EDAD),RES_NEUM,0),"")</f>
        <v/>
      </c>
      <c r="EI36" s="3">
        <f>IF(ED36&lt;=TOTAL_MAX,"sí",IF(ED36&lt;=TECHO,"negociar","no"))</f>
        <v/>
      </c>
      <c r="EJ36" s="4">
        <f>ROUND(DX36,9)</f>
        <v/>
      </c>
      <c r="EK36" s="4">
        <f>IF(EI36&lt;&gt;"no",SUMPRODUCT(($EI$2:$EI$209&lt;&gt;"no")*($EJ$2:$EJ$209&gt;EJ36))+SUMPRODUCT(($EI$2:EI36&lt;&gt;"no")*($EJ$2:EJ36=EJ36)),"")</f>
        <v/>
      </c>
    </row>
    <row r="37">
      <c r="A37" s="2" t="inlineStr">
        <is>
          <t>cochesnet:71753984</t>
        </is>
      </c>
      <c r="B37" s="2" t="inlineStr">
        <is>
          <t>cochesnet</t>
        </is>
      </c>
      <c r="C37" s="2" t="inlineStr">
        <is>
          <t>https://www.coches.net/ford-focus-18-tdci-ghia-4p-diesel-2007-en-valencia-71753984-covo.aspx</t>
        </is>
      </c>
      <c r="D37" s="2" t="inlineStr">
        <is>
          <t>FORD Focus 1.8 TDCi Ghia</t>
        </is>
      </c>
      <c r="E37" s="2" t="inlineStr">
        <is>
          <t>Ford</t>
        </is>
      </c>
      <c r="F37" s="2" t="inlineStr">
        <is>
          <t>Ford Focus</t>
        </is>
      </c>
      <c r="G37" s="2" t="inlineStr">
        <is>
          <t>1.8 TDCi</t>
        </is>
      </c>
      <c r="H37" s="2" t="inlineStr">
        <is>
          <t>1.8 TDCi Ghia</t>
        </is>
      </c>
      <c r="I37" s="2" t="n"/>
      <c r="J37" s="2" t="n"/>
      <c r="K37" s="2" t="inlineStr">
        <is>
          <t>diesel</t>
        </is>
      </c>
      <c r="L37" s="2" t="inlineStr">
        <is>
          <t>compacto</t>
        </is>
      </c>
      <c r="M37" s="2" t="n">
        <v>2007</v>
      </c>
      <c r="N37" s="2" t="n">
        <v>208000</v>
      </c>
      <c r="O37" s="2" t="n">
        <v>3500</v>
      </c>
      <c r="P37" s="2" t="inlineStr">
        <is>
          <t>manual</t>
        </is>
      </c>
      <c r="Q37" s="2" t="inlineStr">
        <is>
          <t>no</t>
        </is>
      </c>
      <c r="R37" s="2" t="inlineStr">
        <is>
          <t>profesional</t>
        </is>
      </c>
      <c r="S37" s="2" t="inlineStr">
        <is>
          <t>Los autos locos xirivella  Xirivella</t>
        </is>
      </c>
      <c r="T37" s="2" t="inlineStr">
        <is>
          <t>2026-10-15T16:38:59Z</t>
        </is>
      </c>
      <c r="U37" s="2" t="n">
        <v>8</v>
      </c>
      <c r="V37" s="2" t="inlineStr">
        <is>
          <t>sí</t>
        </is>
      </c>
      <c r="W37" s="2" t="n"/>
      <c r="X37" s="2" t="n"/>
      <c r="Y37" s="2" t="n"/>
      <c r="Z37" s="2" t="inlineStr">
        <is>
          <t>sí</t>
        </is>
      </c>
      <c r="AA37" s="2" t="n"/>
      <c r="AB37" s="2" t="n">
        <v>12</v>
      </c>
      <c r="AC37" s="2" t="n"/>
      <c r="AD37" s="2" t="n"/>
      <c r="AE37" s="2" t="n"/>
      <c r="AF37" s="2" t="n"/>
      <c r="AG37" s="2" t="n"/>
      <c r="AH37" s="2" t="n">
        <v>3500</v>
      </c>
      <c r="AI37" s="2" t="n"/>
      <c r="AJ37" s="2" t="n"/>
      <c r="AK37" s="2" t="n"/>
      <c r="AL37" s="2" t="n"/>
      <c r="AM37" s="2" t="n">
        <v>4.7</v>
      </c>
      <c r="AN37" s="2" t="n"/>
      <c r="AO37" s="2" t="inlineStr">
        <is>
          <t>2007</t>
        </is>
      </c>
      <c r="AP37" s="2" t="n">
        <v>2007</v>
      </c>
      <c r="AQ37" s="2" t="n"/>
      <c r="AR37" s="2" t="inlineStr">
        <is>
          <t>B</t>
        </is>
      </c>
      <c r="AS37" s="2" t="inlineStr">
        <is>
          <t>anuncio</t>
        </is>
      </c>
      <c r="AT37" s="2" t="n"/>
      <c r="AU37" s="2" t="inlineStr">
        <is>
          <t>no</t>
        </is>
      </c>
      <c r="AV37" s="2" t="inlineStr">
        <is>
          <t>B</t>
        </is>
      </c>
      <c r="AW37" s="2" t="n"/>
      <c r="AX37" s="2" t="inlineStr">
        <is>
          <t>no</t>
        </is>
      </c>
      <c r="AY37" s="2" t="inlineStr">
        <is>
          <t>no</t>
        </is>
      </c>
      <c r="AZ37" s="2" t="inlineStr">
        <is>
          <t>COMMON.COLOR_BLUE</t>
        </is>
      </c>
      <c r="BA37" s="2" t="inlineStr">
        <is>
          <t>azul</t>
        </is>
      </c>
      <c r="BB37" s="3" t="n">
        <v>3</v>
      </c>
      <c r="BC37" s="3" t="inlineStr">
        <is>
          <t>(por segmento)</t>
        </is>
      </c>
      <c r="BD37" s="2" t="n"/>
      <c r="BE37" s="2" t="inlineStr">
        <is>
          <t>sí</t>
        </is>
      </c>
      <c r="BF37" s="2" t="n"/>
      <c r="BG37" s="2" t="inlineStr">
        <is>
          <t>sí</t>
        </is>
      </c>
      <c r="BH37" s="2" t="n"/>
      <c r="BI37" s="2" t="n"/>
      <c r="BJ37" s="2" t="n"/>
      <c r="BK37" s="2" t="n">
        <v>5</v>
      </c>
      <c r="BL37" s="2" t="n"/>
      <c r="BM37" s="2" t="n">
        <v>421</v>
      </c>
      <c r="BN37" s="2" t="n">
        <v>0.05126157402992249</v>
      </c>
      <c r="BO37" s="2" t="n">
        <v>7</v>
      </c>
      <c r="BP37" s="2" t="n">
        <v>3500</v>
      </c>
      <c r="BQ37" s="2" t="n">
        <v>12</v>
      </c>
      <c r="BR37" s="2" t="inlineStr">
        <is>
          <t>modelo+año+km</t>
        </is>
      </c>
      <c r="BS37" s="2" t="inlineStr">
        <is>
          <t>autoscout24:4610ffd3-0fd9-4263-9810-e608873ff1be (https://www.autoscout24.es/anuncios/ford-focus-berlina-manual-de-4-puertas-diesel-azul-cat_ma29mo15537-4610ffd3-0fd9-4263-9810-e608873ff1be)</t>
        </is>
      </c>
      <c r="BT37" s="2" t="inlineStr">
        <is>
          <t>vendedor profesional: sin ITP (operación con IVA/REBU, confirmar en factura); gastos de gestión del vendedor no indicados: se suma la tasa DGT; preguntar el precio final; diésel: motor sin fuente de fiabilidad (fiabilidad limitada a neutra)</t>
        </is>
      </c>
      <c r="BU37" s="2" t="inlineStr">
        <is>
          <t>Este Focus TDCi Ghia destaca por su completo equipamiento de confort y tecnología. Dispone de aire acondicionado bizona automático, volante multifuncional de cuero ajustable, asientos delanteros con regulación lumbar, climatización con filtro de partículas, limpiaparabrisas con sensor de lluvia y retrovisores eléctricos desempañables. El sistema de audio incluye reproductor de CD con control remoto en volante, seis altavoces y ordenador de viaje con datos de consumo e autonomía. Incorpora control de crucero, cierre centralizado con mando a distancia, elevalunas eléctricos en todas las puertas y apertura de maletero eléctrica. La iluminación combina faros dobles halógenos con regulación automática de altura y sensor de luz ambiental, más luces antiniebla delanteras. Cristales tintados en toda la cabina y llantas de aleación completan este equipamiento integral pensado para viajes cómodos y seguros.
12 meses garantia
se entrega con la ITV recién pasada
se entrega con kit distribucion hecho
aceite y filtros
aire acondicionado ok
neumaticos ok
2 llaves
el iva se podra pactar entre ambos</t>
        </is>
      </c>
      <c r="BV37" s="2" t="inlineStr">
        <is>
          <t>https://www.coches.net/ford-focus-18-tdci-ghia-4p-diesel-2007-en-valencia-71753984-covo.aspx (window.__INITIAL_PROPS__.ad) /home/user/Alopecia/buscador-coches/raw/cochesnet/69aa5db4018a61a1.json</t>
        </is>
      </c>
      <c r="BW37" s="3">
        <f>MAX(ANIO_ACTUAL-M37,0)</f>
        <v/>
      </c>
      <c r="BX37" s="4">
        <f>N37/MAX(BW37,0.5)</f>
        <v/>
      </c>
      <c r="BY37" s="4">
        <f>F37</f>
        <v/>
      </c>
      <c r="BZ37" s="3">
        <f>BY37&amp;"|"&amp;INT(M37/SEG_ANIO)*SEG_ANIO</f>
        <v/>
      </c>
      <c r="CA37" s="3">
        <f>BZ37&amp;"|"&amp;INT(N37/SEG_KM)*SEG_KM</f>
        <v/>
      </c>
      <c r="CB37" s="4">
        <f>COUNTIF($BY$2:$BY$209,BY37)</f>
        <v/>
      </c>
      <c r="CC37" s="4">
        <f>COUNTIF($BZ$2:$BZ$209,BZ37)</f>
        <v/>
      </c>
      <c r="CD37" s="4">
        <f>COUNTIF($CA$2:$CA$209,CA37)</f>
        <v/>
      </c>
      <c r="CE37" s="3">
        <f t="array" ref="CE37">IF(N(BQ37)&gt;=MIN_N,BP37,IF(CD37&gt;=MIN_N,MEDIAN(IF($CA$2:$CA$209=CA37,$O$2:$O$209)),IF(CC37&gt;=MIN_N,MEDIAN(IF($BZ$2:$BZ$209=BZ37,$O$2:$O$209)),MEDIAN(IF($BY$2:$BY$209=BY37,$O$2:$O$209)))))</f>
        <v/>
      </c>
      <c r="CF37" s="3">
        <f>IF(N(BQ37)&gt;=MIN_N,"mercado "&amp;BR37,IF(CD37&gt;=MIN_N,"modelo+año+km",IF(CC37&gt;=MIN_N,"modelo+año","modelo")))</f>
        <v/>
      </c>
      <c r="CG37" s="4">
        <f>(CE37-O37)/CE37</f>
        <v/>
      </c>
      <c r="CH37" s="3">
        <f>IF(COUNTIFS(FR_FUEL,K37,FR_YEAR,AP37)&gt;0,1,0)</f>
        <v/>
      </c>
      <c r="CI37" s="3">
        <f>IF(COUNTIFS(FR_FUEL,K37,FR_YEAR,AP37-1)&gt;0,1,0)</f>
        <v/>
      </c>
      <c r="CJ37" s="4">
        <f>IF(N(AQ37)&gt;0,AP37*100+AQ37,IF(AND(CH37=1,CI37=1),(AP37-1)*100+1,AP37*100+1))</f>
        <v/>
      </c>
      <c r="CK37" s="3">
        <f>IF(OR(K37="hibrido",K37="glp",K37="gnc",K37="phev"),"ECO",IF(K37="electrico","CERO",IF(K37="gasolina",IF(CJ37&gt;=GAS_C_YM,"C",IF(CJ37&gt;=GAS_B_YM,"B","A")),IF(K37="diesel",IF(CJ37&gt;=DIE_C_YM,"C",IF(CJ37&gt;=DIE_B_YM,"B","A")),""))))</f>
        <v/>
      </c>
      <c r="CL37" s="2" t="inlineStr">
        <is>
          <t>B</t>
        </is>
      </c>
      <c r="CM37" s="4">
        <f>IF(AU37="sí","sí",IF(AS37="regla",IF(AND(N(AQ37)=0,CH37=1),"sí","no"),"no"))</f>
        <v/>
      </c>
      <c r="CN37" s="3">
        <f>IFERROR(VLOOKUP(F37,MOD_TBL,16,0),IFERROR(VLOOKUP(E37,OCU_TBL,2,0),NEUTRO))</f>
        <v/>
      </c>
      <c r="CO37" s="3">
        <f>SUMIFS(MOT_AJUSTE,MOT_MOTOR,G37,MOT_MARCA,E37,MOT_DESDE,"&lt;="&amp;M37,MOT_HASTA,"&gt;="&amp;M37)+SUMIFS(MOT_AJUSTE,MOT_MOTOR,G37,MOT_MARCA,"(todas)",MOT_DESDE,"&lt;="&amp;M37,MOT_HASTA,"&gt;="&amp;M37)+SUMIFS(MOT_AJUSTE,MOT_MOTOR,"(cualquiera)",MOT_MARCA,E37,MOT_DESDE,"&lt;="&amp;M37,MOT_HASTA,"&gt;="&amp;M37)</f>
        <v/>
      </c>
      <c r="CP37" s="3">
        <f>SUMIFS(COMB_AJUSTE,COMB_COMB,K37)</f>
        <v/>
      </c>
      <c r="CQ37" s="3">
        <f>COUNTIFS(MOT_MOTOR,G37,MOT_MARCA,E37,MOT_DESDE,"&lt;="&amp;M37,MOT_HASTA,"&gt;="&amp;M37)+COUNTIFS(MOT_MOTOR,G37,MOT_MARCA,"(todas)",MOT_DESDE,"&lt;="&amp;M37,MOT_HASTA,"&gt;="&amp;M37)+COUNTIFS(MOT_MOTOR,"(cualquiera)",MOT_MARCA,E37,MOT_DESDE,"&lt;="&amp;M37,MOT_HASTA,"&gt;="&amp;M37)</f>
        <v/>
      </c>
      <c r="CR37" s="3">
        <f>IF(AND(K37="diesel",CQ37=0),MIN(CN37,NEUTRO),CN37)</f>
        <v/>
      </c>
      <c r="CS37" s="3">
        <f>MAX(0,MIN(100,CR37+CO37+CP37-IF(AX37="sí",ROB_PEN,0)))</f>
        <v/>
      </c>
      <c r="CT37" s="3">
        <f>100-MAX(0,N37-KM_TOPE_DESDE)/1000*KM_TOPE_PTS</f>
        <v/>
      </c>
      <c r="CU37" s="3">
        <f>MAX(0,MIN(100,50+CG37*PRECIO_PEND,CT37))</f>
        <v/>
      </c>
      <c r="CV37" s="3">
        <f>MAX(0,100*(1-N37/KM_MAX))</f>
        <v/>
      </c>
      <c r="CW37" s="3">
        <f>IF(BX37&lt;KMA_SOSP,IF(AA37="sí",100,KMA_PEN),IF(BX37&lt;=KMA_IDEAL_MAX,100,MAX(0,100*(KMA_CERO-BX37)/(KMA_CERO-KMA_IDEAL_MAX))))</f>
        <v/>
      </c>
      <c r="CX37" s="3">
        <f>MAX(0,MIN(100,100*(M37-ANIO_MIN)/(ANIO_ACTUAL-ANIO_MIN)))</f>
        <v/>
      </c>
      <c r="CY37" s="3">
        <f>W_KMT*CV37+W_KMA*CW37+W_EDAD*CX37</f>
        <v/>
      </c>
      <c r="CZ37" s="4">
        <f>E37&amp;"|"&amp;G37</f>
        <v/>
      </c>
      <c r="DA37" s="3">
        <f>IFERROR(VLOOKUP(CZ37,DIST_TBL,2,0),"")</f>
        <v/>
      </c>
      <c r="DB37" s="3">
        <f>E_ITV*(V37="sí")+E_LIBRO*(W37="sí")+E_PROP*IF(Y37=1,1,IF(Y37=2,0.5,0))+E_CORREA*IF(OR(DA37="cadena",AND(X37="sí",BH37="sí")),1,IF(X37="sí",0.5,0))+E_FACT*(BI37="sí")</f>
        <v/>
      </c>
      <c r="DC37" s="3">
        <f>MAX(0,MIN(100,IFERROR(VLOOKUP(CL37,ETQ_TBL,2,0),0)-IF(CM37="sí",ETQ_PEN_DUD,IF(AS37="regla",ETQ_PEN_REGLA,0))))</f>
        <v/>
      </c>
      <c r="DD37" s="3">
        <f>IF(K37&lt;&gt;"gasolina","",IFERROR(VLOOKUP(F37,CONS_MOD_TBL,2,0),IFERROR(VLOOKUP(L37,CONS_SEG_TBL,2,0),"")))</f>
        <v/>
      </c>
      <c r="DE37" s="3">
        <f>IF(DD37="",NEUTRO,MAX(0,MIN(100,100*(CONS_REF_MAX-DD37)/(CONS_REF_MAX-CONS_REF_MIN))))</f>
        <v/>
      </c>
      <c r="DF37" s="3">
        <f>IFERROR(VLOOKUP(L37,SEGURO_TBL,3,0),"")</f>
        <v/>
      </c>
      <c r="DG37" s="3">
        <f>IF(DF37="",NEUTRO,MAX(0,MIN(100,100*(SEG_REF_MAX-DF37)/(SEG_REF_MAX-SEG_REF_MIN))))</f>
        <v/>
      </c>
      <c r="DH37" s="3">
        <f>IFERROR(VLOOKUP(E37,MANT_MARCA_TBL,2,0)+0,NEUTRO)</f>
        <v/>
      </c>
      <c r="DI37" s="3">
        <f>IF(DA37="",NEUTRO,IFERROR(VLOOKUP(DA37,DIST_PTS_TBL,2,0)+0,NEUTRO))</f>
        <v/>
      </c>
      <c r="DJ37" s="4">
        <f>(DH37+DI37)/2</f>
        <v/>
      </c>
      <c r="DK37" s="3">
        <f>W_CONS*DE37+W_SEG*DG37+W_MANT*DJ37</f>
        <v/>
      </c>
      <c r="DL37" s="3">
        <f>IF(N(AB37)&gt;0,AB37,IF(AND(R37="profesional",SG_LEGAL_ON=1),GAR_LEGAL,0))</f>
        <v/>
      </c>
      <c r="DM37" s="3">
        <f>MAX(0,MIN(100,SG_GAR*MIN(1,DL37/SG_GAR_FULL)+SG_AMPL*(AC37="sí")+SG_KMC*(AF37="sí")+SG_REV*(N(AE37)&gt;0)+SG_DEV*MIN(1,N(AG37)/SG_DEV_FULL)+SG_HIST*(W37="sí")-IF(AND(R37="particular",DL37=0),SG_PART_PEN,0)))</f>
        <v/>
      </c>
      <c r="DN37" s="3">
        <f>IF(BK37="",NEUTRO,MAX(0,MIN(100,BK37/5*100)))</f>
        <v/>
      </c>
      <c r="DO37" s="3">
        <f>IF(BL37="sí",100,IF(BL37="no",0,NEUTRO))</f>
        <v/>
      </c>
      <c r="DP37" s="3">
        <f>SV_W_NCAP*DN37+SV_W_ESP*DO37</f>
        <v/>
      </c>
      <c r="DQ37" s="3">
        <f>MAX(0,MIN(100,ATR_BASE+ATR_ACAB*(BD37&lt;&gt;"")+IF(BE37="16+",ATR_LL16,IF(BE37="sí",ATR_LL,0))+ATR_FAROS*(BF37="sí")+ATR_TINT*(BG37="sí")-ATR_CHAPA*(BE37="chapa")))</f>
        <v/>
      </c>
      <c r="DR37" s="3">
        <f>EST_W_MOD*(BB37-1)/4*100+EST_W_ATR*DQ37</f>
        <v/>
      </c>
      <c r="DS37" s="3">
        <f>IF(BA37="",NEUTRO,IFERROR(VLOOKUP(BA37,COLOR_TBL,2,0)+0,NEUTRO))</f>
        <v/>
      </c>
      <c r="DT37" s="3">
        <f>MAX(0,MIN(100,100*N(BM37)/RV_N_FULL))</f>
        <v/>
      </c>
      <c r="DU37" s="3">
        <f>IF(OR(BN37="",N(BO37)&lt;RV_DIAS_MIN),NEUTRO,MAX(0,MIN(100,100*(RV_DIAS_CERO-BN37)/(RV_DIAS_CERO-RV_DIAS_FULL))))</f>
        <v/>
      </c>
      <c r="DV37" s="3">
        <f>RV_W_LIQ*DT37+RV_W_DIAS*DU37+RV_W_ETQ*DC37</f>
        <v/>
      </c>
      <c r="DW37" s="3">
        <f>IFERROR(VLOOKUP(L37,CARR_PEN_TBL,2,0),0)</f>
        <v/>
      </c>
      <c r="DX37" s="3">
        <f>W_FIAB*CS37+W_PRECIO*CU37+W_KMEDAD*CY37+W_ESTADO*DB37+W_USO*DK37+W_SEGURIDAD*DM37+W_SEGVIAL*DP37+W_ESTETICA*DR37+W_COLOR*DS37+W_REVENTA*DV37-DW37-EG37</f>
        <v/>
      </c>
      <c r="DY37" s="4">
        <f>IF(N(I37)&gt;0,I37,IFERROR(ROUND(_xlfn.NUMBERVALUE(LEFT(G37,FIND(" ",G37&amp;" ")-1),".")*1000,0),99999))</f>
        <v/>
      </c>
      <c r="DZ37" s="3">
        <f>IF(R37="profesional",0,IF(O37&lt;CUOTA_VALOR_MAX,IF(BW37&gt;ITP_TRAMO_ALTO,SUMIFS(CF_CUOTA,CF_MAS,ITP_TRAMO_ALTO,CF_CCMIN,"&lt;="&amp;DY37,CF_CCMAX,"&gt;="&amp;DY37),IF(BW37&gt;ITP_TRAMO_BAJO,SUMIFS(CF_CUOTA,CF_MAS,ITP_TRAMO_BAJO,CF_CCMIN,"&lt;="&amp;DY37,CF_CCMAX,"&gt;="&amp;DY37),O37*ITP_TIPO)),O37*ITP_TIPO))</f>
        <v/>
      </c>
      <c r="EA37" s="4">
        <f>IF(R37="profesional",N(AK37),0)</f>
        <v/>
      </c>
      <c r="EB37" s="3">
        <f>IF(AND(R37="profesional",ISNUMBER(AK37),AL37="sí"),0,TASA_DGT)</f>
        <v/>
      </c>
      <c r="EC37" s="3">
        <f>INFORME_DGT</f>
        <v/>
      </c>
      <c r="ED37" s="4">
        <f>O37+EA37+DZ37+EB37+EC37</f>
        <v/>
      </c>
      <c r="EE37" s="4">
        <f>ED37+N(DF37)</f>
        <v/>
      </c>
      <c r="EF37" s="3">
        <f>MAX(0,ED37-TOTAL_MAX)</f>
        <v/>
      </c>
      <c r="EG37" s="3">
        <f>EF37/100*PEN_100</f>
        <v/>
      </c>
      <c r="EH37" s="3">
        <f>IF(R37="particular",ED37+IF(AND(DA37&lt;&gt;"cadena",X37&lt;&gt;"sí"),RES_CORREA,0)+IF(AND(BJ37&lt;&gt;"sí",BW37&gt;=RES_NEUM_EDAD),RES_NEUM,0),"")</f>
        <v/>
      </c>
      <c r="EI37" s="3">
        <f>IF(ED37&lt;=TOTAL_MAX,"sí",IF(ED37&lt;=TECHO,"negociar","no"))</f>
        <v/>
      </c>
      <c r="EJ37" s="4">
        <f>ROUND(DX37,9)</f>
        <v/>
      </c>
      <c r="EK37" s="4">
        <f>IF(EI37&lt;&gt;"no",SUMPRODUCT(($EI$2:$EI$209&lt;&gt;"no")*($EJ$2:$EJ$209&gt;EJ37))+SUMPRODUCT(($EI$2:EI37&lt;&gt;"no")*($EJ$2:EJ37=EJ37)),"")</f>
        <v/>
      </c>
    </row>
    <row r="38">
      <c r="A38" s="2" t="inlineStr">
        <is>
          <t>autoscout24:309efac1-c1bf-44d7-9fec-a231f0fb8dd4</t>
        </is>
      </c>
      <c r="B38" s="2" t="inlineStr">
        <is>
          <t>autoscout24</t>
        </is>
      </c>
      <c r="C38" s="2" t="inlineStr">
        <is>
          <t>https://www.autoscout24.es/anuncios/ford-focus-1-8tdci-trend-diesel-plateado-cat_ma29mo15537-309efac1-c1bf-44d7-9fec-a231f0fb8dd4</t>
        </is>
      </c>
      <c r="D38" s="2" t="inlineStr">
        <is>
          <t>Ford Focus 1.8TDCI Trend</t>
        </is>
      </c>
      <c r="E38" s="2" t="inlineStr">
        <is>
          <t>Ford</t>
        </is>
      </c>
      <c r="F38" s="2" t="inlineStr">
        <is>
          <t>Ford Focus</t>
        </is>
      </c>
      <c r="G38" s="2" t="inlineStr">
        <is>
          <t>1.8 TDCi</t>
        </is>
      </c>
      <c r="H38" s="2" t="inlineStr">
        <is>
          <t>1.8TDCI Trend 1.8 TDCi</t>
        </is>
      </c>
      <c r="I38" s="2" t="n">
        <v>1753</v>
      </c>
      <c r="J38" s="2" t="n">
        <v>116</v>
      </c>
      <c r="K38" s="2" t="inlineStr">
        <is>
          <t>diesel</t>
        </is>
      </c>
      <c r="L38" s="2" t="inlineStr">
        <is>
          <t>compacto</t>
        </is>
      </c>
      <c r="M38" s="2" t="n">
        <v>2007</v>
      </c>
      <c r="N38" s="2" t="n">
        <v>130353</v>
      </c>
      <c r="O38" s="2" t="n">
        <v>4990</v>
      </c>
      <c r="P38" s="2" t="inlineStr">
        <is>
          <t>manual</t>
        </is>
      </c>
      <c r="Q38" s="2" t="inlineStr">
        <is>
          <t>no</t>
        </is>
      </c>
      <c r="R38" s="2" t="inlineStr">
        <is>
          <t>profesional</t>
        </is>
      </c>
      <c r="S38" s="2" t="inlineStr">
        <is>
          <t>COCHESAMIL — Manises (46940)</t>
        </is>
      </c>
      <c r="T38" s="2" t="n"/>
      <c r="U38" s="2" t="n">
        <v>20</v>
      </c>
      <c r="V38" s="2" t="n"/>
      <c r="W38" s="2" t="n"/>
      <c r="X38" s="2" t="n"/>
      <c r="Y38" s="2" t="n"/>
      <c r="Z38" s="2" t="inlineStr">
        <is>
          <t>sí</t>
        </is>
      </c>
      <c r="AA38" s="2" t="n"/>
      <c r="AB38" s="2" t="n">
        <v>12</v>
      </c>
      <c r="AC38" s="2" t="n"/>
      <c r="AD38" s="2" t="n"/>
      <c r="AE38" s="2" t="n"/>
      <c r="AF38" s="2" t="n"/>
      <c r="AG38" s="2" t="n"/>
      <c r="AH38" s="2" t="n">
        <v>4990</v>
      </c>
      <c r="AI38" s="2" t="n"/>
      <c r="AJ38" s="2" t="n"/>
      <c r="AK38" s="2" t="n"/>
      <c r="AL38" s="2" t="n"/>
      <c r="AM38" s="2" t="n">
        <v>8.199999999999999</v>
      </c>
      <c r="AN38" s="2" t="n"/>
      <c r="AO38" s="2" t="inlineStr">
        <is>
          <t>2007-07</t>
        </is>
      </c>
      <c r="AP38" s="2" t="n">
        <v>2007</v>
      </c>
      <c r="AQ38" s="2" t="n">
        <v>7</v>
      </c>
      <c r="AR38" s="2" t="n"/>
      <c r="AS38" s="2" t="inlineStr">
        <is>
          <t>regla</t>
        </is>
      </c>
      <c r="AT38" s="2" t="n"/>
      <c r="AU38" s="2" t="inlineStr">
        <is>
          <t>no</t>
        </is>
      </c>
      <c r="AV38" s="2" t="inlineStr">
        <is>
          <t>B</t>
        </is>
      </c>
      <c r="AW38" s="2" t="n"/>
      <c r="AX38" s="2" t="inlineStr">
        <is>
          <t>no</t>
        </is>
      </c>
      <c r="AY38" s="2" t="inlineStr">
        <is>
          <t>no</t>
        </is>
      </c>
      <c r="AZ38" s="2" t="inlineStr">
        <is>
          <t>Plateado</t>
        </is>
      </c>
      <c r="BA38" s="2" t="inlineStr">
        <is>
          <t>plata</t>
        </is>
      </c>
      <c r="BB38" s="3" t="n">
        <v>3</v>
      </c>
      <c r="BC38" s="3" t="inlineStr">
        <is>
          <t>(por segmento)</t>
        </is>
      </c>
      <c r="BD38" s="2" t="n"/>
      <c r="BE38" s="2" t="n"/>
      <c r="BF38" s="2" t="n"/>
      <c r="BG38" s="2" t="n"/>
      <c r="BH38" s="2" t="n"/>
      <c r="BI38" s="2" t="n"/>
      <c r="BJ38" s="2" t="n"/>
      <c r="BK38" s="2" t="n">
        <v>5</v>
      </c>
      <c r="BL38" s="2" t="n"/>
      <c r="BM38" s="2" t="n">
        <v>421</v>
      </c>
      <c r="BN38" s="2" t="n">
        <v>0.05126157402992249</v>
      </c>
      <c r="BO38" s="2" t="n">
        <v>7</v>
      </c>
      <c r="BP38" s="2" t="n">
        <v>4970</v>
      </c>
      <c r="BQ38" s="2" t="n">
        <v>8</v>
      </c>
      <c r="BR38" s="2" t="inlineStr">
        <is>
          <t>modelo+año+km</t>
        </is>
      </c>
      <c r="BS38" s="2" t="inlineStr">
        <is>
          <t>cochesnet:71039073 (https://www.coches.net/ford-focus-18-tdci-trend-3p-diesel-2007-en-valencia-71039073-covo.aspx)</t>
        </is>
      </c>
      <c r="BT38" s="2" t="inlineStr">
        <is>
          <t>por encima del presupuesto: negociar 54 € (coste 5054 €; -1.1 puntos); vendedor profesional: sin ITP (operación con IVA/REBU, confirmar en factura); gastos de gestión del vendedor no indicados: se suma la tasa DGT; preguntar el precio final; diésel: motor sin fuente de fiabilidad (fiabilidad limitada a neutra); etiqueta B deducida por fecha (sin matrícula ni dato del anuncio); revisar: no menciona la ITV</t>
        </is>
      </c>
      <c r="BU38" s="2" t="inlineStr">
        <is>
          <t>&lt;strong&gt;Precio al contado: 4990 euros&lt;/strong&gt; &lt;br /&gt;&lt;br /&gt;&lt;strong&gt;Condiciones de la financiación&lt;/strong&gt; &lt;br /&gt;&lt;br /&gt;Consulta condiciones de financiación con nuestros comerciales.&lt;br /&gt;Este anuncio es meramente informativo, no es vinculante ni contractual.&lt;br /&gt; &lt;br /&gt;&lt;br /&gt;&lt;strong&gt;Precio promocional si financias con nosotros y entregando un vehículo de más de 10 años.&lt;/strong&gt;&lt;br /&gt;&lt;strong&gt;Consultar condiciones de financiación con nuestros comerciales.&lt;/strong&gt;&lt;br /&gt;&lt;strong&gt;Este anuncio es meramente informativo, no es vinculante ni contractual&lt;/strong&gt;.&lt;br /&gt; &lt;br /&gt; &lt;br /&gt;</t>
        </is>
      </c>
      <c r="BV38" s="2" t="inlineStr">
        <is>
          <t>https://www.autoscout24.es/anuncios/ford-focus-1-8tdci-trend-diesel-plateado-cat_ma29mo15537-309efac1-c1bf-44d7-9fec-a231f0fb8dd4 (__NEXT_DATA__ listingDetails) /home/user/Alopecia/buscador-coches/raw/autoscout24/0e58ca9ac21ac8ee.json</t>
        </is>
      </c>
      <c r="BW38" s="3">
        <f>MAX(ANIO_ACTUAL-M38,0)</f>
        <v/>
      </c>
      <c r="BX38" s="4">
        <f>N38/MAX(BW38,0.5)</f>
        <v/>
      </c>
      <c r="BY38" s="4">
        <f>F38</f>
        <v/>
      </c>
      <c r="BZ38" s="3">
        <f>BY38&amp;"|"&amp;INT(M38/SEG_ANIO)*SEG_ANIO</f>
        <v/>
      </c>
      <c r="CA38" s="3">
        <f>BZ38&amp;"|"&amp;INT(N38/SEG_KM)*SEG_KM</f>
        <v/>
      </c>
      <c r="CB38" s="4">
        <f>COUNTIF($BY$2:$BY$209,BY38)</f>
        <v/>
      </c>
      <c r="CC38" s="4">
        <f>COUNTIF($BZ$2:$BZ$209,BZ38)</f>
        <v/>
      </c>
      <c r="CD38" s="4">
        <f>COUNTIF($CA$2:$CA$209,CA38)</f>
        <v/>
      </c>
      <c r="CE38" s="3">
        <f t="array" ref="CE38">IF(N(BQ38)&gt;=MIN_N,BP38,IF(CD38&gt;=MIN_N,MEDIAN(IF($CA$2:$CA$209=CA38,$O$2:$O$209)),IF(CC38&gt;=MIN_N,MEDIAN(IF($BZ$2:$BZ$209=BZ38,$O$2:$O$209)),MEDIAN(IF($BY$2:$BY$209=BY38,$O$2:$O$209)))))</f>
        <v/>
      </c>
      <c r="CF38" s="3">
        <f>IF(N(BQ38)&gt;=MIN_N,"mercado "&amp;BR38,IF(CD38&gt;=MIN_N,"modelo+año+km",IF(CC38&gt;=MIN_N,"modelo+año","modelo")))</f>
        <v/>
      </c>
      <c r="CG38" s="4">
        <f>(CE38-O38)/CE38</f>
        <v/>
      </c>
      <c r="CH38" s="3">
        <f>IF(COUNTIFS(FR_FUEL,K38,FR_YEAR,AP38)&gt;0,1,0)</f>
        <v/>
      </c>
      <c r="CI38" s="3">
        <f>IF(COUNTIFS(FR_FUEL,K38,FR_YEAR,AP38-1)&gt;0,1,0)</f>
        <v/>
      </c>
      <c r="CJ38" s="4">
        <f>IF(N(AQ38)&gt;0,AP38*100+AQ38,IF(AND(CH38=1,CI38=1),(AP38-1)*100+1,AP38*100+1))</f>
        <v/>
      </c>
      <c r="CK38" s="3">
        <f>IF(OR(K38="hibrido",K38="glp",K38="gnc",K38="phev"),"ECO",IF(K38="electrico","CERO",IF(K38="gasolina",IF(CJ38&gt;=GAS_C_YM,"C",IF(CJ38&gt;=GAS_B_YM,"B","A")),IF(K38="diesel",IF(CJ38&gt;=DIE_C_YM,"C",IF(CJ38&gt;=DIE_B_YM,"B","A")),""))))</f>
        <v/>
      </c>
      <c r="CL38" s="4">
        <f>CK38</f>
        <v/>
      </c>
      <c r="CM38" s="4">
        <f>IF(AU38="sí","sí",IF(AS38="regla",IF(AND(N(AQ38)=0,CH38=1),"sí","no"),"no"))</f>
        <v/>
      </c>
      <c r="CN38" s="3">
        <f>IFERROR(VLOOKUP(F38,MOD_TBL,16,0),IFERROR(VLOOKUP(E38,OCU_TBL,2,0),NEUTRO))</f>
        <v/>
      </c>
      <c r="CO38" s="3">
        <f>SUMIFS(MOT_AJUSTE,MOT_MOTOR,G38,MOT_MARCA,E38,MOT_DESDE,"&lt;="&amp;M38,MOT_HASTA,"&gt;="&amp;M38)+SUMIFS(MOT_AJUSTE,MOT_MOTOR,G38,MOT_MARCA,"(todas)",MOT_DESDE,"&lt;="&amp;M38,MOT_HASTA,"&gt;="&amp;M38)+SUMIFS(MOT_AJUSTE,MOT_MOTOR,"(cualquiera)",MOT_MARCA,E38,MOT_DESDE,"&lt;="&amp;M38,MOT_HASTA,"&gt;="&amp;M38)</f>
        <v/>
      </c>
      <c r="CP38" s="3">
        <f>SUMIFS(COMB_AJUSTE,COMB_COMB,K38)</f>
        <v/>
      </c>
      <c r="CQ38" s="3">
        <f>COUNTIFS(MOT_MOTOR,G38,MOT_MARCA,E38,MOT_DESDE,"&lt;="&amp;M38,MOT_HASTA,"&gt;="&amp;M38)+COUNTIFS(MOT_MOTOR,G38,MOT_MARCA,"(todas)",MOT_DESDE,"&lt;="&amp;M38,MOT_HASTA,"&gt;="&amp;M38)+COUNTIFS(MOT_MOTOR,"(cualquiera)",MOT_MARCA,E38,MOT_DESDE,"&lt;="&amp;M38,MOT_HASTA,"&gt;="&amp;M38)</f>
        <v/>
      </c>
      <c r="CR38" s="3">
        <f>IF(AND(K38="diesel",CQ38=0),MIN(CN38,NEUTRO),CN38)</f>
        <v/>
      </c>
      <c r="CS38" s="3">
        <f>MAX(0,MIN(100,CR38+CO38+CP38-IF(AX38="sí",ROB_PEN,0)))</f>
        <v/>
      </c>
      <c r="CT38" s="3">
        <f>100-MAX(0,N38-KM_TOPE_DESDE)/1000*KM_TOPE_PTS</f>
        <v/>
      </c>
      <c r="CU38" s="3">
        <f>MAX(0,MIN(100,50+CG38*PRECIO_PEND,CT38))</f>
        <v/>
      </c>
      <c r="CV38" s="3">
        <f>MAX(0,100*(1-N38/KM_MAX))</f>
        <v/>
      </c>
      <c r="CW38" s="3">
        <f>IF(BX38&lt;KMA_SOSP,IF(AA38="sí",100,KMA_PEN),IF(BX38&lt;=KMA_IDEAL_MAX,100,MAX(0,100*(KMA_CERO-BX38)/(KMA_CERO-KMA_IDEAL_MAX))))</f>
        <v/>
      </c>
      <c r="CX38" s="3">
        <f>MAX(0,MIN(100,100*(M38-ANIO_MIN)/(ANIO_ACTUAL-ANIO_MIN)))</f>
        <v/>
      </c>
      <c r="CY38" s="3">
        <f>W_KMT*CV38+W_KMA*CW38+W_EDAD*CX38</f>
        <v/>
      </c>
      <c r="CZ38" s="4">
        <f>E38&amp;"|"&amp;G38</f>
        <v/>
      </c>
      <c r="DA38" s="3">
        <f>IFERROR(VLOOKUP(CZ38,DIST_TBL,2,0),"")</f>
        <v/>
      </c>
      <c r="DB38" s="3">
        <f>E_ITV*(V38="sí")+E_LIBRO*(W38="sí")+E_PROP*IF(Y38=1,1,IF(Y38=2,0.5,0))+E_CORREA*IF(OR(DA38="cadena",AND(X38="sí",BH38="sí")),1,IF(X38="sí",0.5,0))+E_FACT*(BI38="sí")</f>
        <v/>
      </c>
      <c r="DC38" s="3">
        <f>MAX(0,MIN(100,IFERROR(VLOOKUP(CL38,ETQ_TBL,2,0),0)-IF(CM38="sí",ETQ_PEN_DUD,IF(AS38="regla",ETQ_PEN_REGLA,0))))</f>
        <v/>
      </c>
      <c r="DD38" s="3">
        <f>IF(K38&lt;&gt;"gasolina","",IFERROR(VLOOKUP(F38,CONS_MOD_TBL,2,0),IFERROR(VLOOKUP(L38,CONS_SEG_TBL,2,0),"")))</f>
        <v/>
      </c>
      <c r="DE38" s="3">
        <f>IF(DD38="",NEUTRO,MAX(0,MIN(100,100*(CONS_REF_MAX-DD38)/(CONS_REF_MAX-CONS_REF_MIN))))</f>
        <v/>
      </c>
      <c r="DF38" s="3">
        <f>IFERROR(VLOOKUP(L38,SEGURO_TBL,3,0),"")</f>
        <v/>
      </c>
      <c r="DG38" s="3">
        <f>IF(DF38="",NEUTRO,MAX(0,MIN(100,100*(SEG_REF_MAX-DF38)/(SEG_REF_MAX-SEG_REF_MIN))))</f>
        <v/>
      </c>
      <c r="DH38" s="3">
        <f>IFERROR(VLOOKUP(E38,MANT_MARCA_TBL,2,0)+0,NEUTRO)</f>
        <v/>
      </c>
      <c r="DI38" s="3">
        <f>IF(DA38="",NEUTRO,IFERROR(VLOOKUP(DA38,DIST_PTS_TBL,2,0)+0,NEUTRO))</f>
        <v/>
      </c>
      <c r="DJ38" s="4">
        <f>(DH38+DI38)/2</f>
        <v/>
      </c>
      <c r="DK38" s="3">
        <f>W_CONS*DE38+W_SEG*DG38+W_MANT*DJ38</f>
        <v/>
      </c>
      <c r="DL38" s="3">
        <f>IF(N(AB38)&gt;0,AB38,IF(AND(R38="profesional",SG_LEGAL_ON=1),GAR_LEGAL,0))</f>
        <v/>
      </c>
      <c r="DM38" s="3">
        <f>MAX(0,MIN(100,SG_GAR*MIN(1,DL38/SG_GAR_FULL)+SG_AMPL*(AC38="sí")+SG_KMC*(AF38="sí")+SG_REV*(N(AE38)&gt;0)+SG_DEV*MIN(1,N(AG38)/SG_DEV_FULL)+SG_HIST*(W38="sí")-IF(AND(R38="particular",DL38=0),SG_PART_PEN,0)))</f>
        <v/>
      </c>
      <c r="DN38" s="3">
        <f>IF(BK38="",NEUTRO,MAX(0,MIN(100,BK38/5*100)))</f>
        <v/>
      </c>
      <c r="DO38" s="3">
        <f>IF(BL38="sí",100,IF(BL38="no",0,NEUTRO))</f>
        <v/>
      </c>
      <c r="DP38" s="3">
        <f>SV_W_NCAP*DN38+SV_W_ESP*DO38</f>
        <v/>
      </c>
      <c r="DQ38" s="3">
        <f>MAX(0,MIN(100,ATR_BASE+ATR_ACAB*(BD38&lt;&gt;"")+IF(BE38="16+",ATR_LL16,IF(BE38="sí",ATR_LL,0))+ATR_FAROS*(BF38="sí")+ATR_TINT*(BG38="sí")-ATR_CHAPA*(BE38="chapa")))</f>
        <v/>
      </c>
      <c r="DR38" s="3">
        <f>EST_W_MOD*(BB38-1)/4*100+EST_W_ATR*DQ38</f>
        <v/>
      </c>
      <c r="DS38" s="3">
        <f>IF(BA38="",NEUTRO,IFERROR(VLOOKUP(BA38,COLOR_TBL,2,0)+0,NEUTRO))</f>
        <v/>
      </c>
      <c r="DT38" s="3">
        <f>MAX(0,MIN(100,100*N(BM38)/RV_N_FULL))</f>
        <v/>
      </c>
      <c r="DU38" s="3">
        <f>IF(OR(BN38="",N(BO38)&lt;RV_DIAS_MIN),NEUTRO,MAX(0,MIN(100,100*(RV_DIAS_CERO-BN38)/(RV_DIAS_CERO-RV_DIAS_FULL))))</f>
        <v/>
      </c>
      <c r="DV38" s="3">
        <f>RV_W_LIQ*DT38+RV_W_DIAS*DU38+RV_W_ETQ*DC38</f>
        <v/>
      </c>
      <c r="DW38" s="3">
        <f>IFERROR(VLOOKUP(L38,CARR_PEN_TBL,2,0),0)</f>
        <v/>
      </c>
      <c r="DX38" s="3">
        <f>W_FIAB*CS38+W_PRECIO*CU38+W_KMEDAD*CY38+W_ESTADO*DB38+W_USO*DK38+W_SEGURIDAD*DM38+W_SEGVIAL*DP38+W_ESTETICA*DR38+W_COLOR*DS38+W_REVENTA*DV38-DW38-EG38</f>
        <v/>
      </c>
      <c r="DY38" s="4">
        <f>IF(N(I38)&gt;0,I38,IFERROR(ROUND(_xlfn.NUMBERVALUE(LEFT(G38,FIND(" ",G38&amp;" ")-1),".")*1000,0),99999))</f>
        <v/>
      </c>
      <c r="DZ38" s="3">
        <f>IF(R38="profesional",0,IF(O38&lt;CUOTA_VALOR_MAX,IF(BW38&gt;ITP_TRAMO_ALTO,SUMIFS(CF_CUOTA,CF_MAS,ITP_TRAMO_ALTO,CF_CCMIN,"&lt;="&amp;DY38,CF_CCMAX,"&gt;="&amp;DY38),IF(BW38&gt;ITP_TRAMO_BAJO,SUMIFS(CF_CUOTA,CF_MAS,ITP_TRAMO_BAJO,CF_CCMIN,"&lt;="&amp;DY38,CF_CCMAX,"&gt;="&amp;DY38),O38*ITP_TIPO)),O38*ITP_TIPO))</f>
        <v/>
      </c>
      <c r="EA38" s="4">
        <f>IF(R38="profesional",N(AK38),0)</f>
        <v/>
      </c>
      <c r="EB38" s="3">
        <f>IF(AND(R38="profesional",ISNUMBER(AK38),AL38="sí"),0,TASA_DGT)</f>
        <v/>
      </c>
      <c r="EC38" s="3">
        <f>INFORME_DGT</f>
        <v/>
      </c>
      <c r="ED38" s="4">
        <f>O38+EA38+DZ38+EB38+EC38</f>
        <v/>
      </c>
      <c r="EE38" s="4">
        <f>ED38+N(DF38)</f>
        <v/>
      </c>
      <c r="EF38" s="3">
        <f>MAX(0,ED38-TOTAL_MAX)</f>
        <v/>
      </c>
      <c r="EG38" s="3">
        <f>EF38/100*PEN_100</f>
        <v/>
      </c>
      <c r="EH38" s="3">
        <f>IF(R38="particular",ED38+IF(AND(DA38&lt;&gt;"cadena",X38&lt;&gt;"sí"),RES_CORREA,0)+IF(AND(BJ38&lt;&gt;"sí",BW38&gt;=RES_NEUM_EDAD),RES_NEUM,0),"")</f>
        <v/>
      </c>
      <c r="EI38" s="3">
        <f>IF(ED38&lt;=TOTAL_MAX,"sí",IF(ED38&lt;=TECHO,"negociar","no"))</f>
        <v/>
      </c>
      <c r="EJ38" s="4">
        <f>ROUND(DX38,9)</f>
        <v/>
      </c>
      <c r="EK38" s="4">
        <f>IF(EI38&lt;&gt;"no",SUMPRODUCT(($EI$2:$EI$209&lt;&gt;"no")*($EJ$2:$EJ$209&gt;EJ38))+SUMPRODUCT(($EI$2:EI38&lt;&gt;"no")*($EJ$2:EJ38=EJ38)),"")</f>
        <v/>
      </c>
    </row>
    <row r="39">
      <c r="A39" s="2" t="inlineStr">
        <is>
          <t>autoscout24:7c82171e-675b-4fab-b114-97b5d9d6543d</t>
        </is>
      </c>
      <c r="B39" s="2" t="inlineStr">
        <is>
          <t>autoscout24</t>
        </is>
      </c>
      <c r="C39" s="2" t="inlineStr">
        <is>
          <t>https://www.autoscout24.es/anuncios/nissan-pixo-1-0-acenta-gasolina-rojo-cat_ma52mo19222-7c82171e-675b-4fab-b114-97b5d9d6543d</t>
        </is>
      </c>
      <c r="D39" s="2" t="inlineStr">
        <is>
          <t>Nissan Pixo 1.0 Acenta</t>
        </is>
      </c>
      <c r="E39" s="2" t="inlineStr">
        <is>
          <t>Nissan</t>
        </is>
      </c>
      <c r="F39" s="2" t="inlineStr">
        <is>
          <t>Nissan Pixo</t>
        </is>
      </c>
      <c r="G39" s="2" t="inlineStr">
        <is>
          <t>1.0</t>
        </is>
      </c>
      <c r="H39" s="2" t="inlineStr">
        <is>
          <t>1.0 Acenta 1.0</t>
        </is>
      </c>
      <c r="I39" s="2" t="n">
        <v>996</v>
      </c>
      <c r="J39" s="2" t="n">
        <v>68</v>
      </c>
      <c r="K39" s="2" t="inlineStr">
        <is>
          <t>gasolina</t>
        </is>
      </c>
      <c r="L39" s="2" t="inlineStr">
        <is>
          <t>utilitario</t>
        </is>
      </c>
      <c r="M39" s="2" t="n">
        <v>2012</v>
      </c>
      <c r="N39" s="2" t="n">
        <v>68000</v>
      </c>
      <c r="O39" s="2" t="n">
        <v>4990</v>
      </c>
      <c r="P39" s="2" t="inlineStr">
        <is>
          <t>manual</t>
        </is>
      </c>
      <c r="Q39" s="2" t="inlineStr">
        <is>
          <t>no</t>
        </is>
      </c>
      <c r="R39" s="2" t="inlineStr">
        <is>
          <t>profesional</t>
        </is>
      </c>
      <c r="S39" s="2" t="inlineStr">
        <is>
          <t>SAGA VEHICULOS — MASSANASSA (46470)</t>
        </is>
      </c>
      <c r="T39" s="2" t="n"/>
      <c r="U39" s="2" t="n">
        <v>26</v>
      </c>
      <c r="V39" s="2" t="n"/>
      <c r="W39" s="2" t="n"/>
      <c r="X39" s="2" t="n"/>
      <c r="Y39" s="2" t="n"/>
      <c r="Z39" s="2" t="inlineStr">
        <is>
          <t>sí</t>
        </is>
      </c>
      <c r="AA39" s="2" t="n"/>
      <c r="AB39" s="2" t="n">
        <v>12</v>
      </c>
      <c r="AC39" s="2" t="inlineStr">
        <is>
          <t>sí</t>
        </is>
      </c>
      <c r="AD39" s="2" t="n"/>
      <c r="AE39" s="2" t="n"/>
      <c r="AF39" s="2" t="n"/>
      <c r="AG39" s="2" t="n"/>
      <c r="AH39" s="2" t="n"/>
      <c r="AI39" s="2" t="n"/>
      <c r="AJ39" s="2" t="n"/>
      <c r="AK39" s="2" t="n">
        <v>350</v>
      </c>
      <c r="AL39" s="2" t="inlineStr">
        <is>
          <t>no</t>
        </is>
      </c>
      <c r="AM39" s="2" t="n">
        <v>7.1</v>
      </c>
      <c r="AN39" s="2" t="n"/>
      <c r="AO39" s="2" t="inlineStr">
        <is>
          <t>2012-03</t>
        </is>
      </c>
      <c r="AP39" s="2" t="n">
        <v>2012</v>
      </c>
      <c r="AQ39" s="2" t="n">
        <v>3</v>
      </c>
      <c r="AR39" s="2" t="n"/>
      <c r="AS39" s="2" t="inlineStr">
        <is>
          <t>regla</t>
        </is>
      </c>
      <c r="AT39" s="2" t="n"/>
      <c r="AU39" s="2" t="inlineStr">
        <is>
          <t>no</t>
        </is>
      </c>
      <c r="AV39" s="2" t="inlineStr">
        <is>
          <t>C</t>
        </is>
      </c>
      <c r="AW39" s="2" t="n"/>
      <c r="AX39" s="2" t="inlineStr">
        <is>
          <t>no</t>
        </is>
      </c>
      <c r="AY39" s="2" t="inlineStr">
        <is>
          <t>no</t>
        </is>
      </c>
      <c r="AZ39" s="2" t="inlineStr">
        <is>
          <t>Rojo</t>
        </is>
      </c>
      <c r="BA39" s="2" t="inlineStr">
        <is>
          <t>rojo</t>
        </is>
      </c>
      <c r="BB39" s="3" t="n">
        <v>2</v>
      </c>
      <c r="BC39" s="3" t="inlineStr">
        <is>
          <t>(por segmento)</t>
        </is>
      </c>
      <c r="BD39" s="2" t="n"/>
      <c r="BE39" s="2" t="n"/>
      <c r="BF39" s="2" t="n"/>
      <c r="BG39" s="2" t="n"/>
      <c r="BH39" s="2" t="n"/>
      <c r="BI39" s="2" t="n"/>
      <c r="BJ39" s="2" t="n"/>
      <c r="BK39" s="2" t="n"/>
      <c r="BL39" s="2" t="inlineStr">
        <is>
          <t>sí</t>
        </is>
      </c>
      <c r="BM39" s="2" t="n">
        <v>3</v>
      </c>
      <c r="BN39" s="2" t="n"/>
      <c r="BO39" s="2" t="n">
        <v>0</v>
      </c>
      <c r="BP39" s="2" t="n"/>
      <c r="BQ39" s="2" t="n"/>
      <c r="BR39" s="2" t="n"/>
      <c r="BS39" s="2" t="inlineStr">
        <is>
          <t>cochesnet:71849245 (https://www.coches.net/nissan-pixo-5p-10g-68cv-acenta-pack-safety-5p-gasolina-2011-en-valencia-71849245-covo.aspx)</t>
        </is>
      </c>
      <c r="BT39" s="2" t="inlineStr">
        <is>
          <t>por encima del presupuesto: negociar 404 € (coste 5404 €; -8.1 puntos); vendedor profesional: sin ITP (operación con IVA/REBU, confirmar en factura); gastos del vendedor sin indicar si incluyen la transferencia: se suma la tasa DGT; Euro NCAP de la generación PENDIENTE (seguridad neutra); etiqueta C deducida por fecha (sin matrícula ni dato del anuncio); revisar: no menciona la ITV; fiabilidad del modelo PENDIENTE de fuente (puntuación neutra); mediana con solo 1 anuncio(s)</t>
        </is>
      </c>
      <c r="BU39" s="2" t="inlineStr">
        <is>
          <t>Nissan Pixo 1.0 Acenta, PACK SAFETY, 68CV, Gasolina, unico proprietario, vehículo muy bien cuidado.&lt;br /&gt;Más de 100 coches en stock, Por favor llámenos para más información, atendemos SOLO CON CITA PREVIA. Gracias!!!!&lt;br /&gt;Financiacíon de hasta el 100% del vehículo!&lt;br /&gt;Gestión documental no incluido 350€ &lt;br /&gt;Garantía Premium 12 Meses con cobertura a nivel nacional 399€&lt;br /&gt;Saga Vehículos, estamos en C/ Motor Sant Agustí, 41, 46470 Massanassa, Valencia.&lt;br /&gt;Horario: De lunes a viernes de 10:00 a 14:00 y de 16:00 a 19:00.&lt;br /&gt;Sabado de 10:00 a 14:00.&lt;br /&gt;- Aire acondicionado&lt;br /&gt;- Dirección asistida&lt;br /&gt;- Frenos ABS/EBD&lt;br /&gt;- Airbags&lt;br /&gt;- Control de estabilidad &lt;br /&gt;- Ordenador abordo&lt;br /&gt;- Sistema radio CD/MP3/USB&lt;br /&gt;- Llaves presencial con mandos a distancia y mucho mas....&lt;br /&gt;Este anuncio no es vinculante, se muestra a titulo informativo y no contractual.&lt;br /&gt;&lt;br /&gt;&lt;br /&gt;&lt;br /&gt; &lt;strong&gt;Extras&lt;/strong&gt; &lt;br /&gt; &lt;strong&gt;Equipamiento destacado seleccionado por el usuario&lt;/strong&gt; &lt;br /&gt; &lt;br /&gt;- Pack Safety&lt;br /&gt;</t>
        </is>
      </c>
      <c r="BV39" s="2" t="inlineStr">
        <is>
          <t>https://www.autoscout24.es/anuncios/nissan-pixo-1-0-acenta-gasolina-rojo-cat_ma52mo19222-7c82171e-675b-4fab-b114-97b5d9d6543d (__NEXT_DATA__ listingDetails) /home/user/Alopecia/buscador-coches/raw/autoscout24/c8e87a87c3975daa.json</t>
        </is>
      </c>
      <c r="BW39" s="3">
        <f>MAX(ANIO_ACTUAL-M39,0)</f>
        <v/>
      </c>
      <c r="BX39" s="4">
        <f>N39/MAX(BW39,0.5)</f>
        <v/>
      </c>
      <c r="BY39" s="4">
        <f>F39</f>
        <v/>
      </c>
      <c r="BZ39" s="3">
        <f>BY39&amp;"|"&amp;INT(M39/SEG_ANIO)*SEG_ANIO</f>
        <v/>
      </c>
      <c r="CA39" s="3">
        <f>BZ39&amp;"|"&amp;INT(N39/SEG_KM)*SEG_KM</f>
        <v/>
      </c>
      <c r="CB39" s="4">
        <f>COUNTIF($BY$2:$BY$209,BY39)</f>
        <v/>
      </c>
      <c r="CC39" s="4">
        <f>COUNTIF($BZ$2:$BZ$209,BZ39)</f>
        <v/>
      </c>
      <c r="CD39" s="4">
        <f>COUNTIF($CA$2:$CA$209,CA39)</f>
        <v/>
      </c>
      <c r="CE39" s="3">
        <f t="array" ref="CE39">IF(N(BQ39)&gt;=MIN_N,BP39,IF(CD39&gt;=MIN_N,MEDIAN(IF($CA$2:$CA$209=CA39,$O$2:$O$209)),IF(CC39&gt;=MIN_N,MEDIAN(IF($BZ$2:$BZ$209=BZ39,$O$2:$O$209)),MEDIAN(IF($BY$2:$BY$209=BY39,$O$2:$O$209)))))</f>
        <v/>
      </c>
      <c r="CF39" s="3">
        <f>IF(N(BQ39)&gt;=MIN_N,"mercado "&amp;BR39,IF(CD39&gt;=MIN_N,"modelo+año+km",IF(CC39&gt;=MIN_N,"modelo+año","modelo")))</f>
        <v/>
      </c>
      <c r="CG39" s="4">
        <f>(CE39-O39)/CE39</f>
        <v/>
      </c>
      <c r="CH39" s="3">
        <f>IF(COUNTIFS(FR_FUEL,K39,FR_YEAR,AP39)&gt;0,1,0)</f>
        <v/>
      </c>
      <c r="CI39" s="3">
        <f>IF(COUNTIFS(FR_FUEL,K39,FR_YEAR,AP39-1)&gt;0,1,0)</f>
        <v/>
      </c>
      <c r="CJ39" s="4">
        <f>IF(N(AQ39)&gt;0,AP39*100+AQ39,IF(AND(CH39=1,CI39=1),(AP39-1)*100+1,AP39*100+1))</f>
        <v/>
      </c>
      <c r="CK39" s="3">
        <f>IF(OR(K39="hibrido",K39="glp",K39="gnc",K39="phev"),"ECO",IF(K39="electrico","CERO",IF(K39="gasolina",IF(CJ39&gt;=GAS_C_YM,"C",IF(CJ39&gt;=GAS_B_YM,"B","A")),IF(K39="diesel",IF(CJ39&gt;=DIE_C_YM,"C",IF(CJ39&gt;=DIE_B_YM,"B","A")),""))))</f>
        <v/>
      </c>
      <c r="CL39" s="4">
        <f>CK39</f>
        <v/>
      </c>
      <c r="CM39" s="4">
        <f>IF(AU39="sí","sí",IF(AS39="regla",IF(AND(N(AQ39)=0,CH39=1),"sí","no"),"no"))</f>
        <v/>
      </c>
      <c r="CN39" s="3">
        <f>IFERROR(VLOOKUP(F39,MOD_TBL,16,0),IFERROR(VLOOKUP(E39,OCU_TBL,2,0),NEUTRO))</f>
        <v/>
      </c>
      <c r="CO39" s="3">
        <f>SUMIFS(MOT_AJUSTE,MOT_MOTOR,G39,MOT_MARCA,E39,MOT_DESDE,"&lt;="&amp;M39,MOT_HASTA,"&gt;="&amp;M39)+SUMIFS(MOT_AJUSTE,MOT_MOTOR,G39,MOT_MARCA,"(todas)",MOT_DESDE,"&lt;="&amp;M39,MOT_HASTA,"&gt;="&amp;M39)+SUMIFS(MOT_AJUSTE,MOT_MOTOR,"(cualquiera)",MOT_MARCA,E39,MOT_DESDE,"&lt;="&amp;M39,MOT_HASTA,"&gt;="&amp;M39)</f>
        <v/>
      </c>
      <c r="CP39" s="3">
        <f>SUMIFS(COMB_AJUSTE,COMB_COMB,K39)</f>
        <v/>
      </c>
      <c r="CQ39" s="3">
        <f>COUNTIFS(MOT_MOTOR,G39,MOT_MARCA,E39,MOT_DESDE,"&lt;="&amp;M39,MOT_HASTA,"&gt;="&amp;M39)+COUNTIFS(MOT_MOTOR,G39,MOT_MARCA,"(todas)",MOT_DESDE,"&lt;="&amp;M39,MOT_HASTA,"&gt;="&amp;M39)+COUNTIFS(MOT_MOTOR,"(cualquiera)",MOT_MARCA,E39,MOT_DESDE,"&lt;="&amp;M39,MOT_HASTA,"&gt;="&amp;M39)</f>
        <v/>
      </c>
      <c r="CR39" s="3">
        <f>IF(AND(K39="diesel",CQ39=0),MIN(CN39,NEUTRO),CN39)</f>
        <v/>
      </c>
      <c r="CS39" s="3">
        <f>MAX(0,MIN(100,CR39+CO39+CP39-IF(AX39="sí",ROB_PEN,0)))</f>
        <v/>
      </c>
      <c r="CT39" s="3">
        <f>100-MAX(0,N39-KM_TOPE_DESDE)/1000*KM_TOPE_PTS</f>
        <v/>
      </c>
      <c r="CU39" s="3">
        <f>MAX(0,MIN(100,50+CG39*PRECIO_PEND,CT39))</f>
        <v/>
      </c>
      <c r="CV39" s="3">
        <f>MAX(0,100*(1-N39/KM_MAX))</f>
        <v/>
      </c>
      <c r="CW39" s="3">
        <f>IF(BX39&lt;KMA_SOSP,IF(AA39="sí",100,KMA_PEN),IF(BX39&lt;=KMA_IDEAL_MAX,100,MAX(0,100*(KMA_CERO-BX39)/(KMA_CERO-KMA_IDEAL_MAX))))</f>
        <v/>
      </c>
      <c r="CX39" s="3">
        <f>MAX(0,MIN(100,100*(M39-ANIO_MIN)/(ANIO_ACTUAL-ANIO_MIN)))</f>
        <v/>
      </c>
      <c r="CY39" s="3">
        <f>W_KMT*CV39+W_KMA*CW39+W_EDAD*CX39</f>
        <v/>
      </c>
      <c r="CZ39" s="4">
        <f>E39&amp;"|"&amp;G39</f>
        <v/>
      </c>
      <c r="DA39" s="3">
        <f>IFERROR(VLOOKUP(CZ39,DIST_TBL,2,0),"")</f>
        <v/>
      </c>
      <c r="DB39" s="3">
        <f>E_ITV*(V39="sí")+E_LIBRO*(W39="sí")+E_PROP*IF(Y39=1,1,IF(Y39=2,0.5,0))+E_CORREA*IF(OR(DA39="cadena",AND(X39="sí",BH39="sí")),1,IF(X39="sí",0.5,0))+E_FACT*(BI39="sí")</f>
        <v/>
      </c>
      <c r="DC39" s="3">
        <f>MAX(0,MIN(100,IFERROR(VLOOKUP(CL39,ETQ_TBL,2,0),0)-IF(CM39="sí",ETQ_PEN_DUD,IF(AS39="regla",ETQ_PEN_REGLA,0))))</f>
        <v/>
      </c>
      <c r="DD39" s="3">
        <f>IF(K39&lt;&gt;"gasolina","",IFERROR(VLOOKUP(F39,CONS_MOD_TBL,2,0),IFERROR(VLOOKUP(L39,CONS_SEG_TBL,2,0),"")))</f>
        <v/>
      </c>
      <c r="DE39" s="3">
        <f>IF(DD39="",NEUTRO,MAX(0,MIN(100,100*(CONS_REF_MAX-DD39)/(CONS_REF_MAX-CONS_REF_MIN))))</f>
        <v/>
      </c>
      <c r="DF39" s="3">
        <f>IFERROR(VLOOKUP(L39,SEGURO_TBL,3,0),"")</f>
        <v/>
      </c>
      <c r="DG39" s="3">
        <f>IF(DF39="",NEUTRO,MAX(0,MIN(100,100*(SEG_REF_MAX-DF39)/(SEG_REF_MAX-SEG_REF_MIN))))</f>
        <v/>
      </c>
      <c r="DH39" s="3">
        <f>IFERROR(VLOOKUP(E39,MANT_MARCA_TBL,2,0)+0,NEUTRO)</f>
        <v/>
      </c>
      <c r="DI39" s="3">
        <f>IF(DA39="",NEUTRO,IFERROR(VLOOKUP(DA39,DIST_PTS_TBL,2,0)+0,NEUTRO))</f>
        <v/>
      </c>
      <c r="DJ39" s="4">
        <f>(DH39+DI39)/2</f>
        <v/>
      </c>
      <c r="DK39" s="3">
        <f>W_CONS*DE39+W_SEG*DG39+W_MANT*DJ39</f>
        <v/>
      </c>
      <c r="DL39" s="3">
        <f>IF(N(AB39)&gt;0,AB39,IF(AND(R39="profesional",SG_LEGAL_ON=1),GAR_LEGAL,0))</f>
        <v/>
      </c>
      <c r="DM39" s="3">
        <f>MAX(0,MIN(100,SG_GAR*MIN(1,DL39/SG_GAR_FULL)+SG_AMPL*(AC39="sí")+SG_KMC*(AF39="sí")+SG_REV*(N(AE39)&gt;0)+SG_DEV*MIN(1,N(AG39)/SG_DEV_FULL)+SG_HIST*(W39="sí")-IF(AND(R39="particular",DL39=0),SG_PART_PEN,0)))</f>
        <v/>
      </c>
      <c r="DN39" s="3">
        <f>IF(BK39="",NEUTRO,MAX(0,MIN(100,BK39/5*100)))</f>
        <v/>
      </c>
      <c r="DO39" s="3">
        <f>IF(BL39="sí",100,IF(BL39="no",0,NEUTRO))</f>
        <v/>
      </c>
      <c r="DP39" s="3">
        <f>SV_W_NCAP*DN39+SV_W_ESP*DO39</f>
        <v/>
      </c>
      <c r="DQ39" s="3">
        <f>MAX(0,MIN(100,ATR_BASE+ATR_ACAB*(BD39&lt;&gt;"")+IF(BE39="16+",ATR_LL16,IF(BE39="sí",ATR_LL,0))+ATR_FAROS*(BF39="sí")+ATR_TINT*(BG39="sí")-ATR_CHAPA*(BE39="chapa")))</f>
        <v/>
      </c>
      <c r="DR39" s="3">
        <f>EST_W_MOD*(BB39-1)/4*100+EST_W_ATR*DQ39</f>
        <v/>
      </c>
      <c r="DS39" s="3">
        <f>IF(BA39="",NEUTRO,IFERROR(VLOOKUP(BA39,COLOR_TBL,2,0)+0,NEUTRO))</f>
        <v/>
      </c>
      <c r="DT39" s="3">
        <f>MAX(0,MIN(100,100*N(BM39)/RV_N_FULL))</f>
        <v/>
      </c>
      <c r="DU39" s="3">
        <f>IF(OR(BN39="",N(BO39)&lt;RV_DIAS_MIN),NEUTRO,MAX(0,MIN(100,100*(RV_DIAS_CERO-BN39)/(RV_DIAS_CERO-RV_DIAS_FULL))))</f>
        <v/>
      </c>
      <c r="DV39" s="3">
        <f>RV_W_LIQ*DT39+RV_W_DIAS*DU39+RV_W_ETQ*DC39</f>
        <v/>
      </c>
      <c r="DW39" s="3">
        <f>IFERROR(VLOOKUP(L39,CARR_PEN_TBL,2,0),0)</f>
        <v/>
      </c>
      <c r="DX39" s="3">
        <f>W_FIAB*CS39+W_PRECIO*CU39+W_KMEDAD*CY39+W_ESTADO*DB39+W_USO*DK39+W_SEGURIDAD*DM39+W_SEGVIAL*DP39+W_ESTETICA*DR39+W_COLOR*DS39+W_REVENTA*DV39-DW39-EG39</f>
        <v/>
      </c>
      <c r="DY39" s="4">
        <f>IF(N(I39)&gt;0,I39,IFERROR(ROUND(_xlfn.NUMBERVALUE(LEFT(G39,FIND(" ",G39&amp;" ")-1),".")*1000,0),99999))</f>
        <v/>
      </c>
      <c r="DZ39" s="3">
        <f>IF(R39="profesional",0,IF(O39&lt;CUOTA_VALOR_MAX,IF(BW39&gt;ITP_TRAMO_ALTO,SUMIFS(CF_CUOTA,CF_MAS,ITP_TRAMO_ALTO,CF_CCMIN,"&lt;="&amp;DY39,CF_CCMAX,"&gt;="&amp;DY39),IF(BW39&gt;ITP_TRAMO_BAJO,SUMIFS(CF_CUOTA,CF_MAS,ITP_TRAMO_BAJO,CF_CCMIN,"&lt;="&amp;DY39,CF_CCMAX,"&gt;="&amp;DY39),O39*ITP_TIPO)),O39*ITP_TIPO))</f>
        <v/>
      </c>
      <c r="EA39" s="4">
        <f>IF(R39="profesional",N(AK39),0)</f>
        <v/>
      </c>
      <c r="EB39" s="3">
        <f>IF(AND(R39="profesional",ISNUMBER(AK39),AL39="sí"),0,TASA_DGT)</f>
        <v/>
      </c>
      <c r="EC39" s="3">
        <f>INFORME_DGT</f>
        <v/>
      </c>
      <c r="ED39" s="4">
        <f>O39+EA39+DZ39+EB39+EC39</f>
        <v/>
      </c>
      <c r="EE39" s="4">
        <f>ED39+N(DF39)</f>
        <v/>
      </c>
      <c r="EF39" s="3">
        <f>MAX(0,ED39-TOTAL_MAX)</f>
        <v/>
      </c>
      <c r="EG39" s="3">
        <f>EF39/100*PEN_100</f>
        <v/>
      </c>
      <c r="EH39" s="3">
        <f>IF(R39="particular",ED39+IF(AND(DA39&lt;&gt;"cadena",X39&lt;&gt;"sí"),RES_CORREA,0)+IF(AND(BJ39&lt;&gt;"sí",BW39&gt;=RES_NEUM_EDAD),RES_NEUM,0),"")</f>
        <v/>
      </c>
      <c r="EI39" s="3">
        <f>IF(ED39&lt;=TOTAL_MAX,"sí",IF(ED39&lt;=TECHO,"negociar","no"))</f>
        <v/>
      </c>
      <c r="EJ39" s="4">
        <f>ROUND(DX39,9)</f>
        <v/>
      </c>
      <c r="EK39" s="4">
        <f>IF(EI39&lt;&gt;"no",SUMPRODUCT(($EI$2:$EI$209&lt;&gt;"no")*($EJ$2:$EJ$209&gt;EJ39))+SUMPRODUCT(($EI$2:EI39&lt;&gt;"no")*($EJ$2:EJ39=EJ39)),"")</f>
        <v/>
      </c>
    </row>
    <row r="40">
      <c r="A40" s="2" t="inlineStr">
        <is>
          <t>autoscout24:14c4abf7-f10e-4e2e-8196-6f9a04f367f5</t>
        </is>
      </c>
      <c r="B40" s="2" t="inlineStr">
        <is>
          <t>autoscout24</t>
        </is>
      </c>
      <c r="C40" s="2" t="inlineStr">
        <is>
          <t>https://www.autoscout24.es/anuncios/nissan-micra-c+c-1-4i-tekna-gasolina-plateado-cat_ma52mo1904-14c4abf7-f10e-4e2e-8196-6f9a04f367f5</t>
        </is>
      </c>
      <c r="D40" s="2" t="inlineStr">
        <is>
          <t>Nissan Micra C+C 1.4i Tekna</t>
        </is>
      </c>
      <c r="E40" s="2" t="inlineStr">
        <is>
          <t>Nissan</t>
        </is>
      </c>
      <c r="F40" s="2" t="inlineStr">
        <is>
          <t>Nissan Micra</t>
        </is>
      </c>
      <c r="G40" s="2" t="inlineStr">
        <is>
          <t>1.4</t>
        </is>
      </c>
      <c r="H40" s="2" t="inlineStr">
        <is>
          <t>C+C 1.4i Tekna 1.4</t>
        </is>
      </c>
      <c r="I40" s="2" t="n">
        <v>1386</v>
      </c>
      <c r="J40" s="2" t="n">
        <v>88</v>
      </c>
      <c r="K40" s="2" t="inlineStr">
        <is>
          <t>gasolina</t>
        </is>
      </c>
      <c r="L40" s="2" t="inlineStr">
        <is>
          <t>utilitario</t>
        </is>
      </c>
      <c r="M40" s="2" t="n">
        <v>2006</v>
      </c>
      <c r="N40" s="2" t="n">
        <v>112069</v>
      </c>
      <c r="O40" s="2" t="n">
        <v>5000</v>
      </c>
      <c r="P40" s="2" t="inlineStr">
        <is>
          <t>manual</t>
        </is>
      </c>
      <c r="Q40" s="2" t="inlineStr">
        <is>
          <t>no</t>
        </is>
      </c>
      <c r="R40" s="2" t="inlineStr">
        <is>
          <t>profesional</t>
        </is>
      </c>
      <c r="S40" s="2" t="inlineStr">
        <is>
          <t>COCHESAMIL — Manises (46940)</t>
        </is>
      </c>
      <c r="T40" s="2" t="n"/>
      <c r="U40" s="2" t="n">
        <v>25</v>
      </c>
      <c r="V40" s="2" t="n"/>
      <c r="W40" s="2" t="n"/>
      <c r="X40" s="2" t="n"/>
      <c r="Y40" s="2" t="n"/>
      <c r="Z40" s="2" t="inlineStr">
        <is>
          <t>sí</t>
        </is>
      </c>
      <c r="AA40" s="2" t="n"/>
      <c r="AB40" s="2" t="n">
        <v>12</v>
      </c>
      <c r="AC40" s="2" t="n"/>
      <c r="AD40" s="2" t="n"/>
      <c r="AE40" s="2" t="n"/>
      <c r="AF40" s="2" t="n"/>
      <c r="AG40" s="2" t="n"/>
      <c r="AH40" s="2" t="n">
        <v>5000</v>
      </c>
      <c r="AI40" s="2" t="n"/>
      <c r="AJ40" s="2" t="n"/>
      <c r="AK40" s="2" t="n"/>
      <c r="AL40" s="2" t="n"/>
      <c r="AM40" s="2" t="n">
        <v>8.199999999999999</v>
      </c>
      <c r="AN40" s="2" t="n"/>
      <c r="AO40" s="2" t="inlineStr">
        <is>
          <t>2006-04</t>
        </is>
      </c>
      <c r="AP40" s="2" t="n">
        <v>2006</v>
      </c>
      <c r="AQ40" s="2" t="n">
        <v>4</v>
      </c>
      <c r="AR40" s="2" t="n"/>
      <c r="AS40" s="2" t="inlineStr">
        <is>
          <t>regla</t>
        </is>
      </c>
      <c r="AT40" s="2" t="n"/>
      <c r="AU40" s="2" t="inlineStr">
        <is>
          <t>no</t>
        </is>
      </c>
      <c r="AV40" s="2" t="inlineStr">
        <is>
          <t>C</t>
        </is>
      </c>
      <c r="AW40" s="2" t="n"/>
      <c r="AX40" s="2" t="inlineStr">
        <is>
          <t>no</t>
        </is>
      </c>
      <c r="AY40" s="2" t="inlineStr">
        <is>
          <t>no</t>
        </is>
      </c>
      <c r="AZ40" s="2" t="inlineStr">
        <is>
          <t>Plateado</t>
        </is>
      </c>
      <c r="BA40" s="2" t="inlineStr">
        <is>
          <t>plata</t>
        </is>
      </c>
      <c r="BB40" s="3" t="n">
        <v>2</v>
      </c>
      <c r="BC40" s="3" t="inlineStr">
        <is>
          <t>(por segmento)</t>
        </is>
      </c>
      <c r="BD40" s="2" t="n"/>
      <c r="BE40" s="2" t="inlineStr">
        <is>
          <t>sí</t>
        </is>
      </c>
      <c r="BF40" s="2" t="n"/>
      <c r="BG40" s="2" t="n"/>
      <c r="BH40" s="2" t="n"/>
      <c r="BI40" s="2" t="n"/>
      <c r="BJ40" s="2" t="n"/>
      <c r="BK40" s="2" t="n">
        <v>4</v>
      </c>
      <c r="BL40" s="2" t="inlineStr">
        <is>
          <t>no</t>
        </is>
      </c>
      <c r="BM40" s="2" t="n">
        <v>98</v>
      </c>
      <c r="BN40" s="2" t="n">
        <v>0.05126157402992249</v>
      </c>
      <c r="BO40" s="2" t="n">
        <v>3</v>
      </c>
      <c r="BP40" s="2" t="n">
        <v>2500</v>
      </c>
      <c r="BQ40" s="2" t="n">
        <v>10</v>
      </c>
      <c r="BR40" s="2" t="inlineStr">
        <is>
          <t>modelo+año</t>
        </is>
      </c>
      <c r="BS40" s="2" t="n"/>
      <c r="BT40" s="2" t="inlineStr">
        <is>
          <t>por encima del presupuesto: negociar 64 € (coste 5064 €; -1.3 puntos); vendedor profesional: sin ITP (operación con IVA/REBU, confirmar en factura); gastos de gestión del vendedor no indicados: se suma la tasa DGT; preguntar el precio final; etiqueta C deducida por fecha (sin matrícula ni dato del anuncio); revisar: no menciona la ITV</t>
        </is>
      </c>
      <c r="BU40" s="2" t="inlineStr">
        <is>
          <t>&lt;strong&gt;Precio al contado: 5000 euros&lt;/strong&gt; &lt;br /&gt;&lt;br /&gt;&lt;strong&gt;Condiciones de la financiación&lt;/strong&gt; &lt;br /&gt;&lt;br /&gt;Consulta condiciones de financiación con nuestros comerciales.&lt;br /&gt;Este anuncio es meramente informativo, no es vinculante ni contractual.&lt;br /&gt; &lt;br /&gt;&lt;br /&gt; &lt;strong&gt;Este anuncio es meramente informativo, no es vinculante ni contractual.&lt;/strong&gt;&lt;br /&gt;&lt;br /&gt;</t>
        </is>
      </c>
      <c r="BV40" s="2" t="inlineStr">
        <is>
          <t>https://www.autoscout24.es/anuncios/nissan-micra-c+c-1-4i-tekna-gasolina-plateado-cat_ma52mo1904-14c4abf7-f10e-4e2e-8196-6f9a04f367f5 (__NEXT_DATA__ listingDetails) /home/user/Alopecia/buscador-coches/raw/autoscout24/c901b0aebb40fe1c.json</t>
        </is>
      </c>
      <c r="BW40" s="3">
        <f>MAX(ANIO_ACTUAL-M40,0)</f>
        <v/>
      </c>
      <c r="BX40" s="4">
        <f>N40/MAX(BW40,0.5)</f>
        <v/>
      </c>
      <c r="BY40" s="4">
        <f>F40</f>
        <v/>
      </c>
      <c r="BZ40" s="3">
        <f>BY40&amp;"|"&amp;INT(M40/SEG_ANIO)*SEG_ANIO</f>
        <v/>
      </c>
      <c r="CA40" s="3">
        <f>BZ40&amp;"|"&amp;INT(N40/SEG_KM)*SEG_KM</f>
        <v/>
      </c>
      <c r="CB40" s="4">
        <f>COUNTIF($BY$2:$BY$209,BY40)</f>
        <v/>
      </c>
      <c r="CC40" s="4">
        <f>COUNTIF($BZ$2:$BZ$209,BZ40)</f>
        <v/>
      </c>
      <c r="CD40" s="4">
        <f>COUNTIF($CA$2:$CA$209,CA40)</f>
        <v/>
      </c>
      <c r="CE40" s="3">
        <f t="array" ref="CE40">IF(N(BQ40)&gt;=MIN_N,BP40,IF(CD40&gt;=MIN_N,MEDIAN(IF($CA$2:$CA$209=CA40,$O$2:$O$209)),IF(CC40&gt;=MIN_N,MEDIAN(IF($BZ$2:$BZ$209=BZ40,$O$2:$O$209)),MEDIAN(IF($BY$2:$BY$209=BY40,$O$2:$O$209)))))</f>
        <v/>
      </c>
      <c r="CF40" s="3">
        <f>IF(N(BQ40)&gt;=MIN_N,"mercado "&amp;BR40,IF(CD40&gt;=MIN_N,"modelo+año+km",IF(CC40&gt;=MIN_N,"modelo+año","modelo")))</f>
        <v/>
      </c>
      <c r="CG40" s="4">
        <f>(CE40-O40)/CE40</f>
        <v/>
      </c>
      <c r="CH40" s="3">
        <f>IF(COUNTIFS(FR_FUEL,K40,FR_YEAR,AP40)&gt;0,1,0)</f>
        <v/>
      </c>
      <c r="CI40" s="3">
        <f>IF(COUNTIFS(FR_FUEL,K40,FR_YEAR,AP40-1)&gt;0,1,0)</f>
        <v/>
      </c>
      <c r="CJ40" s="4">
        <f>IF(N(AQ40)&gt;0,AP40*100+AQ40,IF(AND(CH40=1,CI40=1),(AP40-1)*100+1,AP40*100+1))</f>
        <v/>
      </c>
      <c r="CK40" s="3">
        <f>IF(OR(K40="hibrido",K40="glp",K40="gnc",K40="phev"),"ECO",IF(K40="electrico","CERO",IF(K40="gasolina",IF(CJ40&gt;=GAS_C_YM,"C",IF(CJ40&gt;=GAS_B_YM,"B","A")),IF(K40="diesel",IF(CJ40&gt;=DIE_C_YM,"C",IF(CJ40&gt;=DIE_B_YM,"B","A")),""))))</f>
        <v/>
      </c>
      <c r="CL40" s="4">
        <f>CK40</f>
        <v/>
      </c>
      <c r="CM40" s="4">
        <f>IF(AU40="sí","sí",IF(AS40="regla",IF(AND(N(AQ40)=0,CH40=1),"sí","no"),"no"))</f>
        <v/>
      </c>
      <c r="CN40" s="3">
        <f>IFERROR(VLOOKUP(F40,MOD_TBL,16,0),IFERROR(VLOOKUP(E40,OCU_TBL,2,0),NEUTRO))</f>
        <v/>
      </c>
      <c r="CO40" s="3">
        <f>SUMIFS(MOT_AJUSTE,MOT_MOTOR,G40,MOT_MARCA,E40,MOT_DESDE,"&lt;="&amp;M40,MOT_HASTA,"&gt;="&amp;M40)+SUMIFS(MOT_AJUSTE,MOT_MOTOR,G40,MOT_MARCA,"(todas)",MOT_DESDE,"&lt;="&amp;M40,MOT_HASTA,"&gt;="&amp;M40)+SUMIFS(MOT_AJUSTE,MOT_MOTOR,"(cualquiera)",MOT_MARCA,E40,MOT_DESDE,"&lt;="&amp;M40,MOT_HASTA,"&gt;="&amp;M40)</f>
        <v/>
      </c>
      <c r="CP40" s="3">
        <f>SUMIFS(COMB_AJUSTE,COMB_COMB,K40)</f>
        <v/>
      </c>
      <c r="CQ40" s="3">
        <f>COUNTIFS(MOT_MOTOR,G40,MOT_MARCA,E40,MOT_DESDE,"&lt;="&amp;M40,MOT_HASTA,"&gt;="&amp;M40)+COUNTIFS(MOT_MOTOR,G40,MOT_MARCA,"(todas)",MOT_DESDE,"&lt;="&amp;M40,MOT_HASTA,"&gt;="&amp;M40)+COUNTIFS(MOT_MOTOR,"(cualquiera)",MOT_MARCA,E40,MOT_DESDE,"&lt;="&amp;M40,MOT_HASTA,"&gt;="&amp;M40)</f>
        <v/>
      </c>
      <c r="CR40" s="3">
        <f>IF(AND(K40="diesel",CQ40=0),MIN(CN40,NEUTRO),CN40)</f>
        <v/>
      </c>
      <c r="CS40" s="3">
        <f>MAX(0,MIN(100,CR40+CO40+CP40-IF(AX40="sí",ROB_PEN,0)))</f>
        <v/>
      </c>
      <c r="CT40" s="3">
        <f>100-MAX(0,N40-KM_TOPE_DESDE)/1000*KM_TOPE_PTS</f>
        <v/>
      </c>
      <c r="CU40" s="3">
        <f>MAX(0,MIN(100,50+CG40*PRECIO_PEND,CT40))</f>
        <v/>
      </c>
      <c r="CV40" s="3">
        <f>MAX(0,100*(1-N40/KM_MAX))</f>
        <v/>
      </c>
      <c r="CW40" s="3">
        <f>IF(BX40&lt;KMA_SOSP,IF(AA40="sí",100,KMA_PEN),IF(BX40&lt;=KMA_IDEAL_MAX,100,MAX(0,100*(KMA_CERO-BX40)/(KMA_CERO-KMA_IDEAL_MAX))))</f>
        <v/>
      </c>
      <c r="CX40" s="3">
        <f>MAX(0,MIN(100,100*(M40-ANIO_MIN)/(ANIO_ACTUAL-ANIO_MIN)))</f>
        <v/>
      </c>
      <c r="CY40" s="3">
        <f>W_KMT*CV40+W_KMA*CW40+W_EDAD*CX40</f>
        <v/>
      </c>
      <c r="CZ40" s="4">
        <f>E40&amp;"|"&amp;G40</f>
        <v/>
      </c>
      <c r="DA40" s="3">
        <f>IFERROR(VLOOKUP(CZ40,DIST_TBL,2,0),"")</f>
        <v/>
      </c>
      <c r="DB40" s="3">
        <f>E_ITV*(V40="sí")+E_LIBRO*(W40="sí")+E_PROP*IF(Y40=1,1,IF(Y40=2,0.5,0))+E_CORREA*IF(OR(DA40="cadena",AND(X40="sí",BH40="sí")),1,IF(X40="sí",0.5,0))+E_FACT*(BI40="sí")</f>
        <v/>
      </c>
      <c r="DC40" s="3">
        <f>MAX(0,MIN(100,IFERROR(VLOOKUP(CL40,ETQ_TBL,2,0),0)-IF(CM40="sí",ETQ_PEN_DUD,IF(AS40="regla",ETQ_PEN_REGLA,0))))</f>
        <v/>
      </c>
      <c r="DD40" s="3">
        <f>IF(K40&lt;&gt;"gasolina","",IFERROR(VLOOKUP(F40,CONS_MOD_TBL,2,0),IFERROR(VLOOKUP(L40,CONS_SEG_TBL,2,0),"")))</f>
        <v/>
      </c>
      <c r="DE40" s="3">
        <f>IF(DD40="",NEUTRO,MAX(0,MIN(100,100*(CONS_REF_MAX-DD40)/(CONS_REF_MAX-CONS_REF_MIN))))</f>
        <v/>
      </c>
      <c r="DF40" s="3">
        <f>IFERROR(VLOOKUP(L40,SEGURO_TBL,3,0),"")</f>
        <v/>
      </c>
      <c r="DG40" s="3">
        <f>IF(DF40="",NEUTRO,MAX(0,MIN(100,100*(SEG_REF_MAX-DF40)/(SEG_REF_MAX-SEG_REF_MIN))))</f>
        <v/>
      </c>
      <c r="DH40" s="3">
        <f>IFERROR(VLOOKUP(E40,MANT_MARCA_TBL,2,0)+0,NEUTRO)</f>
        <v/>
      </c>
      <c r="DI40" s="3">
        <f>IF(DA40="",NEUTRO,IFERROR(VLOOKUP(DA40,DIST_PTS_TBL,2,0)+0,NEUTRO))</f>
        <v/>
      </c>
      <c r="DJ40" s="4">
        <f>(DH40+DI40)/2</f>
        <v/>
      </c>
      <c r="DK40" s="3">
        <f>W_CONS*DE40+W_SEG*DG40+W_MANT*DJ40</f>
        <v/>
      </c>
      <c r="DL40" s="3">
        <f>IF(N(AB40)&gt;0,AB40,IF(AND(R40="profesional",SG_LEGAL_ON=1),GAR_LEGAL,0))</f>
        <v/>
      </c>
      <c r="DM40" s="3">
        <f>MAX(0,MIN(100,SG_GAR*MIN(1,DL40/SG_GAR_FULL)+SG_AMPL*(AC40="sí")+SG_KMC*(AF40="sí")+SG_REV*(N(AE40)&gt;0)+SG_DEV*MIN(1,N(AG40)/SG_DEV_FULL)+SG_HIST*(W40="sí")-IF(AND(R40="particular",DL40=0),SG_PART_PEN,0)))</f>
        <v/>
      </c>
      <c r="DN40" s="3">
        <f>IF(BK40="",NEUTRO,MAX(0,MIN(100,BK40/5*100)))</f>
        <v/>
      </c>
      <c r="DO40" s="3">
        <f>IF(BL40="sí",100,IF(BL40="no",0,NEUTRO))</f>
        <v/>
      </c>
      <c r="DP40" s="3">
        <f>SV_W_NCAP*DN40+SV_W_ESP*DO40</f>
        <v/>
      </c>
      <c r="DQ40" s="3">
        <f>MAX(0,MIN(100,ATR_BASE+ATR_ACAB*(BD40&lt;&gt;"")+IF(BE40="16+",ATR_LL16,IF(BE40="sí",ATR_LL,0))+ATR_FAROS*(BF40="sí")+ATR_TINT*(BG40="sí")-ATR_CHAPA*(BE40="chapa")))</f>
        <v/>
      </c>
      <c r="DR40" s="3">
        <f>EST_W_MOD*(BB40-1)/4*100+EST_W_ATR*DQ40</f>
        <v/>
      </c>
      <c r="DS40" s="3">
        <f>IF(BA40="",NEUTRO,IFERROR(VLOOKUP(BA40,COLOR_TBL,2,0)+0,NEUTRO))</f>
        <v/>
      </c>
      <c r="DT40" s="3">
        <f>MAX(0,MIN(100,100*N(BM40)/RV_N_FULL))</f>
        <v/>
      </c>
      <c r="DU40" s="3">
        <f>IF(OR(BN40="",N(BO40)&lt;RV_DIAS_MIN),NEUTRO,MAX(0,MIN(100,100*(RV_DIAS_CERO-BN40)/(RV_DIAS_CERO-RV_DIAS_FULL))))</f>
        <v/>
      </c>
      <c r="DV40" s="3">
        <f>RV_W_LIQ*DT40+RV_W_DIAS*DU40+RV_W_ETQ*DC40</f>
        <v/>
      </c>
      <c r="DW40" s="3">
        <f>IFERROR(VLOOKUP(L40,CARR_PEN_TBL,2,0),0)</f>
        <v/>
      </c>
      <c r="DX40" s="3">
        <f>W_FIAB*CS40+W_PRECIO*CU40+W_KMEDAD*CY40+W_ESTADO*DB40+W_USO*DK40+W_SEGURIDAD*DM40+W_SEGVIAL*DP40+W_ESTETICA*DR40+W_COLOR*DS40+W_REVENTA*DV40-DW40-EG40</f>
        <v/>
      </c>
      <c r="DY40" s="4">
        <f>IF(N(I40)&gt;0,I40,IFERROR(ROUND(_xlfn.NUMBERVALUE(LEFT(G40,FIND(" ",G40&amp;" ")-1),".")*1000,0),99999))</f>
        <v/>
      </c>
      <c r="DZ40" s="3">
        <f>IF(R40="profesional",0,IF(O40&lt;CUOTA_VALOR_MAX,IF(BW40&gt;ITP_TRAMO_ALTO,SUMIFS(CF_CUOTA,CF_MAS,ITP_TRAMO_ALTO,CF_CCMIN,"&lt;="&amp;DY40,CF_CCMAX,"&gt;="&amp;DY40),IF(BW40&gt;ITP_TRAMO_BAJO,SUMIFS(CF_CUOTA,CF_MAS,ITP_TRAMO_BAJO,CF_CCMIN,"&lt;="&amp;DY40,CF_CCMAX,"&gt;="&amp;DY40),O40*ITP_TIPO)),O40*ITP_TIPO))</f>
        <v/>
      </c>
      <c r="EA40" s="4">
        <f>IF(R40="profesional",N(AK40),0)</f>
        <v/>
      </c>
      <c r="EB40" s="3">
        <f>IF(AND(R40="profesional",ISNUMBER(AK40),AL40="sí"),0,TASA_DGT)</f>
        <v/>
      </c>
      <c r="EC40" s="3">
        <f>INFORME_DGT</f>
        <v/>
      </c>
      <c r="ED40" s="4">
        <f>O40+EA40+DZ40+EB40+EC40</f>
        <v/>
      </c>
      <c r="EE40" s="4">
        <f>ED40+N(DF40)</f>
        <v/>
      </c>
      <c r="EF40" s="3">
        <f>MAX(0,ED40-TOTAL_MAX)</f>
        <v/>
      </c>
      <c r="EG40" s="3">
        <f>EF40/100*PEN_100</f>
        <v/>
      </c>
      <c r="EH40" s="3">
        <f>IF(R40="particular",ED40+IF(AND(DA40&lt;&gt;"cadena",X40&lt;&gt;"sí"),RES_CORREA,0)+IF(AND(BJ40&lt;&gt;"sí",BW40&gt;=RES_NEUM_EDAD),RES_NEUM,0),"")</f>
        <v/>
      </c>
      <c r="EI40" s="3">
        <f>IF(ED40&lt;=TOTAL_MAX,"sí",IF(ED40&lt;=TECHO,"negociar","no"))</f>
        <v/>
      </c>
      <c r="EJ40" s="4">
        <f>ROUND(DX40,9)</f>
        <v/>
      </c>
      <c r="EK40" s="4">
        <f>IF(EI40&lt;&gt;"no",SUMPRODUCT(($EI$2:$EI$209&lt;&gt;"no")*($EJ$2:$EJ$209&gt;EJ40))+SUMPRODUCT(($EI$2:EI40&lt;&gt;"no")*($EJ$2:EJ40=EJ40)),"")</f>
        <v/>
      </c>
    </row>
    <row r="41">
      <c r="A41" s="2" t="inlineStr">
        <is>
          <t>autoscout24:71abdbb4-80a2-4744-b90c-ca00a2a9d98c</t>
        </is>
      </c>
      <c r="B41" s="2" t="inlineStr">
        <is>
          <t>autoscout24</t>
        </is>
      </c>
      <c r="C41" s="2" t="inlineStr">
        <is>
          <t>https://www.autoscout24.es/anuncios/chevrolet-cruze-2-0vcdi-lt+-clima-diesel-blanco-cat_ma19mo19172-71abdbb4-80a2-4744-b90c-ca00a2a9d98c</t>
        </is>
      </c>
      <c r="D41" s="2" t="inlineStr">
        <is>
          <t>Chevrolet Cruze 2.0VCDi LT+ Clima</t>
        </is>
      </c>
      <c r="E41" s="2" t="inlineStr">
        <is>
          <t>Chevrolet</t>
        </is>
      </c>
      <c r="F41" s="2" t="inlineStr">
        <is>
          <t>Chevrolet Cruze</t>
        </is>
      </c>
      <c r="G41" s="2" t="inlineStr">
        <is>
          <t>2.0</t>
        </is>
      </c>
      <c r="H41" s="2" t="inlineStr">
        <is>
          <t>2.0VCDi LT+ Clima 2.0TD</t>
        </is>
      </c>
      <c r="I41" s="2" t="n">
        <v>1998</v>
      </c>
      <c r="J41" s="2" t="n">
        <v>163</v>
      </c>
      <c r="K41" s="2" t="inlineStr">
        <is>
          <t>diesel</t>
        </is>
      </c>
      <c r="L41" s="2" t="inlineStr">
        <is>
          <t>compacto</t>
        </is>
      </c>
      <c r="M41" s="2" t="n">
        <v>2012</v>
      </c>
      <c r="N41" s="2" t="n">
        <v>176000</v>
      </c>
      <c r="O41" s="2" t="n">
        <v>4990</v>
      </c>
      <c r="P41" s="2" t="inlineStr">
        <is>
          <t>manual</t>
        </is>
      </c>
      <c r="Q41" s="2" t="inlineStr">
        <is>
          <t>no</t>
        </is>
      </c>
      <c r="R41" s="2" t="inlineStr">
        <is>
          <t>profesional</t>
        </is>
      </c>
      <c r="S41" s="2" t="inlineStr">
        <is>
          <t>SAGA VEHICULOS — MASSANASSA (46470)</t>
        </is>
      </c>
      <c r="T41" s="2" t="n"/>
      <c r="U41" s="2" t="n">
        <v>26</v>
      </c>
      <c r="V41" s="2" t="n"/>
      <c r="W41" s="2" t="n"/>
      <c r="X41" s="2" t="n"/>
      <c r="Y41" s="2" t="n"/>
      <c r="Z41" s="2" t="inlineStr">
        <is>
          <t>sí</t>
        </is>
      </c>
      <c r="AA41" s="2" t="n"/>
      <c r="AB41" s="2" t="n">
        <v>12</v>
      </c>
      <c r="AC41" s="2" t="inlineStr">
        <is>
          <t>sí</t>
        </is>
      </c>
      <c r="AD41" s="2" t="n"/>
      <c r="AE41" s="2" t="n"/>
      <c r="AF41" s="2" t="n"/>
      <c r="AG41" s="2" t="n"/>
      <c r="AH41" s="2" t="n"/>
      <c r="AI41" s="2" t="n"/>
      <c r="AJ41" s="2" t="n"/>
      <c r="AK41" s="2" t="n">
        <v>350</v>
      </c>
      <c r="AL41" s="2" t="inlineStr">
        <is>
          <t>no</t>
        </is>
      </c>
      <c r="AM41" s="2" t="n">
        <v>7.1</v>
      </c>
      <c r="AN41" s="2" t="n"/>
      <c r="AO41" s="2" t="inlineStr">
        <is>
          <t>2012-10</t>
        </is>
      </c>
      <c r="AP41" s="2" t="n">
        <v>2012</v>
      </c>
      <c r="AQ41" s="2" t="n">
        <v>10</v>
      </c>
      <c r="AR41" s="2" t="n"/>
      <c r="AS41" s="2" t="inlineStr">
        <is>
          <t>regla</t>
        </is>
      </c>
      <c r="AT41" s="2" t="n"/>
      <c r="AU41" s="2" t="inlineStr">
        <is>
          <t>no</t>
        </is>
      </c>
      <c r="AV41" s="2" t="inlineStr">
        <is>
          <t>B</t>
        </is>
      </c>
      <c r="AW41" s="2" t="n"/>
      <c r="AX41" s="2" t="inlineStr">
        <is>
          <t>no</t>
        </is>
      </c>
      <c r="AY41" s="2" t="inlineStr">
        <is>
          <t>no</t>
        </is>
      </c>
      <c r="AZ41" s="2" t="inlineStr">
        <is>
          <t>Blanco</t>
        </is>
      </c>
      <c r="BA41" s="2" t="inlineStr">
        <is>
          <t>blanco</t>
        </is>
      </c>
      <c r="BB41" s="3" t="n">
        <v>3</v>
      </c>
      <c r="BC41" s="3" t="inlineStr">
        <is>
          <t>(por segmento)</t>
        </is>
      </c>
      <c r="BD41" s="2" t="n"/>
      <c r="BE41" s="2" t="inlineStr">
        <is>
          <t>sí</t>
        </is>
      </c>
      <c r="BF41" s="2" t="n"/>
      <c r="BG41" s="2" t="n"/>
      <c r="BH41" s="2" t="n"/>
      <c r="BI41" s="2" t="n"/>
      <c r="BJ41" s="2" t="n"/>
      <c r="BK41" s="2" t="n"/>
      <c r="BL41" s="2" t="inlineStr">
        <is>
          <t>sí</t>
        </is>
      </c>
      <c r="BM41" s="2" t="n">
        <v>26</v>
      </c>
      <c r="BN41" s="2" t="n"/>
      <c r="BO41" s="2" t="n">
        <v>0</v>
      </c>
      <c r="BP41" s="2" t="n">
        <v>4990</v>
      </c>
      <c r="BQ41" s="2" t="n">
        <v>4</v>
      </c>
      <c r="BR41" s="2" t="inlineStr">
        <is>
          <t>modelo+año+km</t>
        </is>
      </c>
      <c r="BS41" s="2" t="inlineStr">
        <is>
          <t>cochesnet:71786529 (https://www.coches.net/chevrolet-cruze-20-vcdi-lt-5p-diesel-2013-en-valencia-71786529-covo.aspx)</t>
        </is>
      </c>
      <c r="BT41" s="2" t="inlineStr">
        <is>
          <t>por encima del presupuesto: negociar 404 € (coste 5404 €; -8.1 puntos); vendedor profesional: sin ITP (operación con IVA/REBU, confirmar en factura); gastos del vendedor sin indicar si incluyen la transferencia: se suma la tasa DGT; Euro NCAP de la generación PENDIENTE (seguridad neutra); diésel: motor sin fuente de fiabilidad (fiabilidad limitada a neutra); etiqueta B deducida por fecha (sin matrícula ni dato del anuncio); revisar: no menciona la ITV; fiabilidad del modelo PENDIENTE de fuente (puntuación neutra)</t>
        </is>
      </c>
      <c r="BU41" s="2" t="inlineStr">
        <is>
          <t>Chevrolet Cruze LT+ 2.0, Diésel, 163CV, vehículo muy bien cuidado.&lt;br /&gt;Más de 100 coches en stock, Por favor llámenos para más información, atendemos SOLO CON CITA PREVIA. Gracias!!!!&lt;br /&gt;Financiacíon de hasta el 100% del vehículo!&lt;br /&gt;Gestión documental no incluido 350€ &lt;br /&gt;Garantía Premium 12 Meses con cobertura a nivel nacional 399€&lt;br /&gt;Saga Vehículos, estamos en C/ Motor Sant Agustí, 41, 46470 Massanassa, Valencia.&lt;br /&gt;Horario: De lunes a viernes de 10:00 a 14:00 y de 16:00 a 19:00.&lt;br /&gt;Sabado de 10:00 a 14:00.&lt;br /&gt;- Aire acondicionado&lt;br /&gt;- Dirección asistida&lt;br /&gt;- Frenos ABS/EBD&lt;br /&gt;- Control de estabilidad ESP&lt;br /&gt;- Airbags&lt;br /&gt;- Control de crucero&lt;br /&gt;- Ordenador abordo&lt;br /&gt;- Sistema multimedia Bluetooth&lt;br /&gt;- Sensores Park-Distance-Control (PDC)&lt;br /&gt;- Llaves con mandos a distancia y mucho mas....&lt;br /&gt;Este anuncio no es vinculante, se muestra a titulo informativo y no contractual.&lt;br /&gt;&lt;br /&gt;&lt;br /&gt;</t>
        </is>
      </c>
      <c r="BV41" s="2" t="inlineStr">
        <is>
          <t>https://www.autoscout24.es/anuncios/chevrolet-cruze-2-0vcdi-lt+-clima-diesel-blanco-cat_ma19mo19172-71abdbb4-80a2-4744-b90c-ca00a2a9d98c (__NEXT_DATA__ listingDetails) /home/user/Alopecia/buscador-coches/raw/autoscout24/dec541213f61ae4d.json</t>
        </is>
      </c>
      <c r="BW41" s="3">
        <f>MAX(ANIO_ACTUAL-M41,0)</f>
        <v/>
      </c>
      <c r="BX41" s="4">
        <f>N41/MAX(BW41,0.5)</f>
        <v/>
      </c>
      <c r="BY41" s="4">
        <f>F41</f>
        <v/>
      </c>
      <c r="BZ41" s="3">
        <f>BY41&amp;"|"&amp;INT(M41/SEG_ANIO)*SEG_ANIO</f>
        <v/>
      </c>
      <c r="CA41" s="3">
        <f>BZ41&amp;"|"&amp;INT(N41/SEG_KM)*SEG_KM</f>
        <v/>
      </c>
      <c r="CB41" s="4">
        <f>COUNTIF($BY$2:$BY$209,BY41)</f>
        <v/>
      </c>
      <c r="CC41" s="4">
        <f>COUNTIF($BZ$2:$BZ$209,BZ41)</f>
        <v/>
      </c>
      <c r="CD41" s="4">
        <f>COUNTIF($CA$2:$CA$209,CA41)</f>
        <v/>
      </c>
      <c r="CE41" s="3">
        <f t="array" ref="CE41">IF(N(BQ41)&gt;=MIN_N,BP41,IF(CD41&gt;=MIN_N,MEDIAN(IF($CA$2:$CA$209=CA41,$O$2:$O$209)),IF(CC41&gt;=MIN_N,MEDIAN(IF($BZ$2:$BZ$209=BZ41,$O$2:$O$209)),MEDIAN(IF($BY$2:$BY$209=BY41,$O$2:$O$209)))))</f>
        <v/>
      </c>
      <c r="CF41" s="3">
        <f>IF(N(BQ41)&gt;=MIN_N,"mercado "&amp;BR41,IF(CD41&gt;=MIN_N,"modelo+año+km",IF(CC41&gt;=MIN_N,"modelo+año","modelo")))</f>
        <v/>
      </c>
      <c r="CG41" s="4">
        <f>(CE41-O41)/CE41</f>
        <v/>
      </c>
      <c r="CH41" s="3">
        <f>IF(COUNTIFS(FR_FUEL,K41,FR_YEAR,AP41)&gt;0,1,0)</f>
        <v/>
      </c>
      <c r="CI41" s="3">
        <f>IF(COUNTIFS(FR_FUEL,K41,FR_YEAR,AP41-1)&gt;0,1,0)</f>
        <v/>
      </c>
      <c r="CJ41" s="4">
        <f>IF(N(AQ41)&gt;0,AP41*100+AQ41,IF(AND(CH41=1,CI41=1),(AP41-1)*100+1,AP41*100+1))</f>
        <v/>
      </c>
      <c r="CK41" s="3">
        <f>IF(OR(K41="hibrido",K41="glp",K41="gnc",K41="phev"),"ECO",IF(K41="electrico","CERO",IF(K41="gasolina",IF(CJ41&gt;=GAS_C_YM,"C",IF(CJ41&gt;=GAS_B_YM,"B","A")),IF(K41="diesel",IF(CJ41&gt;=DIE_C_YM,"C",IF(CJ41&gt;=DIE_B_YM,"B","A")),""))))</f>
        <v/>
      </c>
      <c r="CL41" s="4">
        <f>CK41</f>
        <v/>
      </c>
      <c r="CM41" s="4">
        <f>IF(AU41="sí","sí",IF(AS41="regla",IF(AND(N(AQ41)=0,CH41=1),"sí","no"),"no"))</f>
        <v/>
      </c>
      <c r="CN41" s="3">
        <f>IFERROR(VLOOKUP(F41,MOD_TBL,16,0),IFERROR(VLOOKUP(E41,OCU_TBL,2,0),NEUTRO))</f>
        <v/>
      </c>
      <c r="CO41" s="3">
        <f>SUMIFS(MOT_AJUSTE,MOT_MOTOR,G41,MOT_MARCA,E41,MOT_DESDE,"&lt;="&amp;M41,MOT_HASTA,"&gt;="&amp;M41)+SUMIFS(MOT_AJUSTE,MOT_MOTOR,G41,MOT_MARCA,"(todas)",MOT_DESDE,"&lt;="&amp;M41,MOT_HASTA,"&gt;="&amp;M41)+SUMIFS(MOT_AJUSTE,MOT_MOTOR,"(cualquiera)",MOT_MARCA,E41,MOT_DESDE,"&lt;="&amp;M41,MOT_HASTA,"&gt;="&amp;M41)</f>
        <v/>
      </c>
      <c r="CP41" s="3">
        <f>SUMIFS(COMB_AJUSTE,COMB_COMB,K41)</f>
        <v/>
      </c>
      <c r="CQ41" s="3">
        <f>COUNTIFS(MOT_MOTOR,G41,MOT_MARCA,E41,MOT_DESDE,"&lt;="&amp;M41,MOT_HASTA,"&gt;="&amp;M41)+COUNTIFS(MOT_MOTOR,G41,MOT_MARCA,"(todas)",MOT_DESDE,"&lt;="&amp;M41,MOT_HASTA,"&gt;="&amp;M41)+COUNTIFS(MOT_MOTOR,"(cualquiera)",MOT_MARCA,E41,MOT_DESDE,"&lt;="&amp;M41,MOT_HASTA,"&gt;="&amp;M41)</f>
        <v/>
      </c>
      <c r="CR41" s="3">
        <f>IF(AND(K41="diesel",CQ41=0),MIN(CN41,NEUTRO),CN41)</f>
        <v/>
      </c>
      <c r="CS41" s="3">
        <f>MAX(0,MIN(100,CR41+CO41+CP41-IF(AX41="sí",ROB_PEN,0)))</f>
        <v/>
      </c>
      <c r="CT41" s="3">
        <f>100-MAX(0,N41-KM_TOPE_DESDE)/1000*KM_TOPE_PTS</f>
        <v/>
      </c>
      <c r="CU41" s="3">
        <f>MAX(0,MIN(100,50+CG41*PRECIO_PEND,CT41))</f>
        <v/>
      </c>
      <c r="CV41" s="3">
        <f>MAX(0,100*(1-N41/KM_MAX))</f>
        <v/>
      </c>
      <c r="CW41" s="3">
        <f>IF(BX41&lt;KMA_SOSP,IF(AA41="sí",100,KMA_PEN),IF(BX41&lt;=KMA_IDEAL_MAX,100,MAX(0,100*(KMA_CERO-BX41)/(KMA_CERO-KMA_IDEAL_MAX))))</f>
        <v/>
      </c>
      <c r="CX41" s="3">
        <f>MAX(0,MIN(100,100*(M41-ANIO_MIN)/(ANIO_ACTUAL-ANIO_MIN)))</f>
        <v/>
      </c>
      <c r="CY41" s="3">
        <f>W_KMT*CV41+W_KMA*CW41+W_EDAD*CX41</f>
        <v/>
      </c>
      <c r="CZ41" s="4">
        <f>E41&amp;"|"&amp;G41</f>
        <v/>
      </c>
      <c r="DA41" s="3">
        <f>IFERROR(VLOOKUP(CZ41,DIST_TBL,2,0),"")</f>
        <v/>
      </c>
      <c r="DB41" s="3">
        <f>E_ITV*(V41="sí")+E_LIBRO*(W41="sí")+E_PROP*IF(Y41=1,1,IF(Y41=2,0.5,0))+E_CORREA*IF(OR(DA41="cadena",AND(X41="sí",BH41="sí")),1,IF(X41="sí",0.5,0))+E_FACT*(BI41="sí")</f>
        <v/>
      </c>
      <c r="DC41" s="3">
        <f>MAX(0,MIN(100,IFERROR(VLOOKUP(CL41,ETQ_TBL,2,0),0)-IF(CM41="sí",ETQ_PEN_DUD,IF(AS41="regla",ETQ_PEN_REGLA,0))))</f>
        <v/>
      </c>
      <c r="DD41" s="3">
        <f>IF(K41&lt;&gt;"gasolina","",IFERROR(VLOOKUP(F41,CONS_MOD_TBL,2,0),IFERROR(VLOOKUP(L41,CONS_SEG_TBL,2,0),"")))</f>
        <v/>
      </c>
      <c r="DE41" s="3">
        <f>IF(DD41="",NEUTRO,MAX(0,MIN(100,100*(CONS_REF_MAX-DD41)/(CONS_REF_MAX-CONS_REF_MIN))))</f>
        <v/>
      </c>
      <c r="DF41" s="3">
        <f>IFERROR(VLOOKUP(L41,SEGURO_TBL,3,0),"")</f>
        <v/>
      </c>
      <c r="DG41" s="3">
        <f>IF(DF41="",NEUTRO,MAX(0,MIN(100,100*(SEG_REF_MAX-DF41)/(SEG_REF_MAX-SEG_REF_MIN))))</f>
        <v/>
      </c>
      <c r="DH41" s="3">
        <f>IFERROR(VLOOKUP(E41,MANT_MARCA_TBL,2,0)+0,NEUTRO)</f>
        <v/>
      </c>
      <c r="DI41" s="3">
        <f>IF(DA41="",NEUTRO,IFERROR(VLOOKUP(DA41,DIST_PTS_TBL,2,0)+0,NEUTRO))</f>
        <v/>
      </c>
      <c r="DJ41" s="4">
        <f>(DH41+DI41)/2</f>
        <v/>
      </c>
      <c r="DK41" s="3">
        <f>W_CONS*DE41+W_SEG*DG41+W_MANT*DJ41</f>
        <v/>
      </c>
      <c r="DL41" s="3">
        <f>IF(N(AB41)&gt;0,AB41,IF(AND(R41="profesional",SG_LEGAL_ON=1),GAR_LEGAL,0))</f>
        <v/>
      </c>
      <c r="DM41" s="3">
        <f>MAX(0,MIN(100,SG_GAR*MIN(1,DL41/SG_GAR_FULL)+SG_AMPL*(AC41="sí")+SG_KMC*(AF41="sí")+SG_REV*(N(AE41)&gt;0)+SG_DEV*MIN(1,N(AG41)/SG_DEV_FULL)+SG_HIST*(W41="sí")-IF(AND(R41="particular",DL41=0),SG_PART_PEN,0)))</f>
        <v/>
      </c>
      <c r="DN41" s="3">
        <f>IF(BK41="",NEUTRO,MAX(0,MIN(100,BK41/5*100)))</f>
        <v/>
      </c>
      <c r="DO41" s="3">
        <f>IF(BL41="sí",100,IF(BL41="no",0,NEUTRO))</f>
        <v/>
      </c>
      <c r="DP41" s="3">
        <f>SV_W_NCAP*DN41+SV_W_ESP*DO41</f>
        <v/>
      </c>
      <c r="DQ41" s="3">
        <f>MAX(0,MIN(100,ATR_BASE+ATR_ACAB*(BD41&lt;&gt;"")+IF(BE41="16+",ATR_LL16,IF(BE41="sí",ATR_LL,0))+ATR_FAROS*(BF41="sí")+ATR_TINT*(BG41="sí")-ATR_CHAPA*(BE41="chapa")))</f>
        <v/>
      </c>
      <c r="DR41" s="3">
        <f>EST_W_MOD*(BB41-1)/4*100+EST_W_ATR*DQ41</f>
        <v/>
      </c>
      <c r="DS41" s="3">
        <f>IF(BA41="",NEUTRO,IFERROR(VLOOKUP(BA41,COLOR_TBL,2,0)+0,NEUTRO))</f>
        <v/>
      </c>
      <c r="DT41" s="3">
        <f>MAX(0,MIN(100,100*N(BM41)/RV_N_FULL))</f>
        <v/>
      </c>
      <c r="DU41" s="3">
        <f>IF(OR(BN41="",N(BO41)&lt;RV_DIAS_MIN),NEUTRO,MAX(0,MIN(100,100*(RV_DIAS_CERO-BN41)/(RV_DIAS_CERO-RV_DIAS_FULL))))</f>
        <v/>
      </c>
      <c r="DV41" s="3">
        <f>RV_W_LIQ*DT41+RV_W_DIAS*DU41+RV_W_ETQ*DC41</f>
        <v/>
      </c>
      <c r="DW41" s="3">
        <f>IFERROR(VLOOKUP(L41,CARR_PEN_TBL,2,0),0)</f>
        <v/>
      </c>
      <c r="DX41" s="3">
        <f>W_FIAB*CS41+W_PRECIO*CU41+W_KMEDAD*CY41+W_ESTADO*DB41+W_USO*DK41+W_SEGURIDAD*DM41+W_SEGVIAL*DP41+W_ESTETICA*DR41+W_COLOR*DS41+W_REVENTA*DV41-DW41-EG41</f>
        <v/>
      </c>
      <c r="DY41" s="4">
        <f>IF(N(I41)&gt;0,I41,IFERROR(ROUND(_xlfn.NUMBERVALUE(LEFT(G41,FIND(" ",G41&amp;" ")-1),".")*1000,0),99999))</f>
        <v/>
      </c>
      <c r="DZ41" s="3">
        <f>IF(R41="profesional",0,IF(O41&lt;CUOTA_VALOR_MAX,IF(BW41&gt;ITP_TRAMO_ALTO,SUMIFS(CF_CUOTA,CF_MAS,ITP_TRAMO_ALTO,CF_CCMIN,"&lt;="&amp;DY41,CF_CCMAX,"&gt;="&amp;DY41),IF(BW41&gt;ITP_TRAMO_BAJO,SUMIFS(CF_CUOTA,CF_MAS,ITP_TRAMO_BAJO,CF_CCMIN,"&lt;="&amp;DY41,CF_CCMAX,"&gt;="&amp;DY41),O41*ITP_TIPO)),O41*ITP_TIPO))</f>
        <v/>
      </c>
      <c r="EA41" s="4">
        <f>IF(R41="profesional",N(AK41),0)</f>
        <v/>
      </c>
      <c r="EB41" s="3">
        <f>IF(AND(R41="profesional",ISNUMBER(AK41),AL41="sí"),0,TASA_DGT)</f>
        <v/>
      </c>
      <c r="EC41" s="3">
        <f>INFORME_DGT</f>
        <v/>
      </c>
      <c r="ED41" s="4">
        <f>O41+EA41+DZ41+EB41+EC41</f>
        <v/>
      </c>
      <c r="EE41" s="4">
        <f>ED41+N(DF41)</f>
        <v/>
      </c>
      <c r="EF41" s="3">
        <f>MAX(0,ED41-TOTAL_MAX)</f>
        <v/>
      </c>
      <c r="EG41" s="3">
        <f>EF41/100*PEN_100</f>
        <v/>
      </c>
      <c r="EH41" s="3">
        <f>IF(R41="particular",ED41+IF(AND(DA41&lt;&gt;"cadena",X41&lt;&gt;"sí"),RES_CORREA,0)+IF(AND(BJ41&lt;&gt;"sí",BW41&gt;=RES_NEUM_EDAD),RES_NEUM,0),"")</f>
        <v/>
      </c>
      <c r="EI41" s="3">
        <f>IF(ED41&lt;=TOTAL_MAX,"sí",IF(ED41&lt;=TECHO,"negociar","no"))</f>
        <v/>
      </c>
      <c r="EJ41" s="4">
        <f>ROUND(DX41,9)</f>
        <v/>
      </c>
      <c r="EK41" s="4">
        <f>IF(EI41&lt;&gt;"no",SUMPRODUCT(($EI$2:$EI$209&lt;&gt;"no")*($EJ$2:$EJ$209&gt;EJ41))+SUMPRODUCT(($EI$2:EI41&lt;&gt;"no")*($EJ$2:EJ41=EJ41)),"")</f>
        <v/>
      </c>
    </row>
    <row r="42">
      <c r="A42" s="2" t="inlineStr">
        <is>
          <t>autoscout24:3c813df0-fdf9-4779-88cc-cd1d22b47c92</t>
        </is>
      </c>
      <c r="B42" s="2" t="inlineStr">
        <is>
          <t>autoscout24</t>
        </is>
      </c>
      <c r="C42" s="2" t="inlineStr">
        <is>
          <t>https://www.autoscout24.es/anuncios/chevrolet-kalos-1-4-16v-sx-gasolina-rojo-cat_ma19mo18571-3c813df0-fdf9-4779-88cc-cd1d22b47c92</t>
        </is>
      </c>
      <c r="D42" s="2" t="inlineStr">
        <is>
          <t>Chevrolet Kalos 1.4 16v SX</t>
        </is>
      </c>
      <c r="E42" s="2" t="inlineStr">
        <is>
          <t>Chevrolet</t>
        </is>
      </c>
      <c r="F42" s="2" t="inlineStr">
        <is>
          <t>Chevrolet Kalos</t>
        </is>
      </c>
      <c r="G42" s="2" t="inlineStr">
        <is>
          <t>1.4</t>
        </is>
      </c>
      <c r="H42" s="2" t="inlineStr">
        <is>
          <t>1.4 16v SX 1.4</t>
        </is>
      </c>
      <c r="I42" s="2" t="n">
        <v>1399</v>
      </c>
      <c r="J42" s="2" t="n">
        <v>94</v>
      </c>
      <c r="K42" s="2" t="inlineStr">
        <is>
          <t>gasolina</t>
        </is>
      </c>
      <c r="L42" s="2" t="inlineStr">
        <is>
          <t>utilitario</t>
        </is>
      </c>
      <c r="M42" s="2" t="n">
        <v>2006</v>
      </c>
      <c r="N42" s="2" t="n">
        <v>100200</v>
      </c>
      <c r="O42" s="2" t="n">
        <v>3990</v>
      </c>
      <c r="P42" s="2" t="inlineStr">
        <is>
          <t>manual</t>
        </is>
      </c>
      <c r="Q42" s="2" t="inlineStr">
        <is>
          <t>no</t>
        </is>
      </c>
      <c r="R42" s="2" t="inlineStr">
        <is>
          <t>profesional</t>
        </is>
      </c>
      <c r="S42" s="2" t="inlineStr">
        <is>
          <t>SAGA VEHICULOS — MASSANASSA (46470)</t>
        </is>
      </c>
      <c r="T42" s="2" t="n"/>
      <c r="U42" s="2" t="n">
        <v>27</v>
      </c>
      <c r="V42" s="2" t="n"/>
      <c r="W42" s="2" t="n"/>
      <c r="X42" s="2" t="n"/>
      <c r="Y42" s="2" t="n"/>
      <c r="Z42" s="2" t="inlineStr">
        <is>
          <t>sí</t>
        </is>
      </c>
      <c r="AA42" s="2" t="n"/>
      <c r="AB42" s="2" t="n">
        <v>12</v>
      </c>
      <c r="AC42" s="2" t="inlineStr">
        <is>
          <t>sí</t>
        </is>
      </c>
      <c r="AD42" s="2" t="n"/>
      <c r="AE42" s="2" t="n"/>
      <c r="AF42" s="2" t="n"/>
      <c r="AG42" s="2" t="n"/>
      <c r="AH42" s="2" t="n"/>
      <c r="AI42" s="2" t="n"/>
      <c r="AJ42" s="2" t="n"/>
      <c r="AK42" s="2" t="n">
        <v>350</v>
      </c>
      <c r="AL42" s="2" t="inlineStr">
        <is>
          <t>no</t>
        </is>
      </c>
      <c r="AM42" s="2" t="n">
        <v>7.1</v>
      </c>
      <c r="AN42" s="2" t="n"/>
      <c r="AO42" s="2" t="inlineStr">
        <is>
          <t>2006-01</t>
        </is>
      </c>
      <c r="AP42" s="2" t="n">
        <v>2006</v>
      </c>
      <c r="AQ42" s="2" t="n">
        <v>1</v>
      </c>
      <c r="AR42" s="2" t="n"/>
      <c r="AS42" s="2" t="inlineStr">
        <is>
          <t>regla</t>
        </is>
      </c>
      <c r="AT42" s="2" t="n"/>
      <c r="AU42" s="2" t="inlineStr">
        <is>
          <t>no</t>
        </is>
      </c>
      <c r="AV42" s="2" t="inlineStr">
        <is>
          <t>C</t>
        </is>
      </c>
      <c r="AW42" s="2" t="n"/>
      <c r="AX42" s="2" t="inlineStr">
        <is>
          <t>no</t>
        </is>
      </c>
      <c r="AY42" s="2" t="inlineStr">
        <is>
          <t>no</t>
        </is>
      </c>
      <c r="AZ42" s="2" t="inlineStr">
        <is>
          <t>Rojo</t>
        </is>
      </c>
      <c r="BA42" s="2" t="inlineStr">
        <is>
          <t>rojo</t>
        </is>
      </c>
      <c r="BB42" s="3" t="n">
        <v>2</v>
      </c>
      <c r="BC42" s="3" t="inlineStr">
        <is>
          <t>(por segmento)</t>
        </is>
      </c>
      <c r="BD42" s="2" t="n"/>
      <c r="BE42" s="2" t="inlineStr">
        <is>
          <t>sí</t>
        </is>
      </c>
      <c r="BF42" s="2" t="n"/>
      <c r="BG42" s="2" t="n"/>
      <c r="BH42" s="2" t="n"/>
      <c r="BI42" s="2" t="n"/>
      <c r="BJ42" s="2" t="n"/>
      <c r="BK42" s="2" t="n"/>
      <c r="BL42" s="2" t="n"/>
      <c r="BM42" s="2" t="n">
        <v>11</v>
      </c>
      <c r="BN42" s="2" t="n"/>
      <c r="BO42" s="2" t="n">
        <v>0</v>
      </c>
      <c r="BP42" s="2" t="n">
        <v>3195</v>
      </c>
      <c r="BQ42" s="2" t="n">
        <v>4</v>
      </c>
      <c r="BR42" s="2" t="inlineStr">
        <is>
          <t>modelo+año+km</t>
        </is>
      </c>
      <c r="BS42" s="2" t="inlineStr">
        <is>
          <t>cochesnet:71757437 (https://www.coches.net/chevrolet-kalos-14-16v-sx-5p-gasolina-2007-en-valencia-71757437-covo.aspx)</t>
        </is>
      </c>
      <c r="BT42" s="2" t="inlineStr">
        <is>
          <t>vendedor profesional: sin ITP (operación con IVA/REBU, confirmar en factura); gastos del vendedor sin indicar si incluyen la transferencia: se suma la tasa DGT; Euro NCAP de la generación PENDIENTE (seguridad neutra); etiqueta C deducida por fecha (sin matrícula ni dato del anuncio); revisar: no menciona la ITV; fiabilidad del modelo PENDIENTE de fuente (puntuación neutra)</t>
        </is>
      </c>
      <c r="BU42" s="2" t="inlineStr">
        <is>
          <t>Chevrolet Kalos 1.4 SX, 95CV, Gasolina, unico proprietario, vehículo muy bien cuidado.&lt;br /&gt;&lt;br /&gt;Más de 100 coches en stock, Por favor llámenos para más información, atendemos SOLO CON CITA PREVIA. Gracias!!!!&lt;br /&gt;&lt;br /&gt;Financiacíon de hasta el 100% del vehículo!&lt;br /&gt;&lt;br /&gt;Gestión documental no incluido 350€ &lt;br /&gt;Garantía Premium 12 Meses con cobertura a nivel nacional 399€&lt;br /&gt;&lt;br /&gt;Saga Vehículos, estamos en C/ Motor Sant Agustí, 41, 46470 Massanassa, Valencia.&lt;br /&gt;Horario: De lunes a viernes de 10:00 a 14:00 y de 16:00 a 19:00.&lt;br /&gt;Sabado de 10:00 a 14:00.&lt;br /&gt;&lt;br /&gt;- Aire acondicionado&lt;br /&gt;- Dirección asistida&lt;br /&gt;- Frenos ABS/EBD&lt;br /&gt;- Airbags&lt;br /&gt;- Ordenador abordo&lt;br /&gt;- Sistema radio CD/MP3/USB&lt;br /&gt;- Llaves presencial con mandos a distancia y mucho mas....&lt;br /&gt;&lt;br /&gt;Este anuncio no es vinculante, se muestra a titulo informativo y no contractual.&lt;br /&gt;&lt;br /&gt;&lt;br /&gt;</t>
        </is>
      </c>
      <c r="BV42" s="2" t="inlineStr">
        <is>
          <t>https://www.autoscout24.es/anuncios/chevrolet-kalos-1-4-16v-sx-gasolina-rojo-cat_ma19mo18571-3c813df0-fdf9-4779-88cc-cd1d22b47c92 (__NEXT_DATA__ listingDetails) /home/user/Alopecia/buscador-coches/raw/autoscout24/dc52bdb9f92182d8.json</t>
        </is>
      </c>
      <c r="BW42" s="3">
        <f>MAX(ANIO_ACTUAL-M42,0)</f>
        <v/>
      </c>
      <c r="BX42" s="4">
        <f>N42/MAX(BW42,0.5)</f>
        <v/>
      </c>
      <c r="BY42" s="4">
        <f>F42</f>
        <v/>
      </c>
      <c r="BZ42" s="3">
        <f>BY42&amp;"|"&amp;INT(M42/SEG_ANIO)*SEG_ANIO</f>
        <v/>
      </c>
      <c r="CA42" s="3">
        <f>BZ42&amp;"|"&amp;INT(N42/SEG_KM)*SEG_KM</f>
        <v/>
      </c>
      <c r="CB42" s="4">
        <f>COUNTIF($BY$2:$BY$209,BY42)</f>
        <v/>
      </c>
      <c r="CC42" s="4">
        <f>COUNTIF($BZ$2:$BZ$209,BZ42)</f>
        <v/>
      </c>
      <c r="CD42" s="4">
        <f>COUNTIF($CA$2:$CA$209,CA42)</f>
        <v/>
      </c>
      <c r="CE42" s="3">
        <f t="array" ref="CE42">IF(N(BQ42)&gt;=MIN_N,BP42,IF(CD42&gt;=MIN_N,MEDIAN(IF($CA$2:$CA$209=CA42,$O$2:$O$209)),IF(CC42&gt;=MIN_N,MEDIAN(IF($BZ$2:$BZ$209=BZ42,$O$2:$O$209)),MEDIAN(IF($BY$2:$BY$209=BY42,$O$2:$O$209)))))</f>
        <v/>
      </c>
      <c r="CF42" s="3">
        <f>IF(N(BQ42)&gt;=MIN_N,"mercado "&amp;BR42,IF(CD42&gt;=MIN_N,"modelo+año+km",IF(CC42&gt;=MIN_N,"modelo+año","modelo")))</f>
        <v/>
      </c>
      <c r="CG42" s="4">
        <f>(CE42-O42)/CE42</f>
        <v/>
      </c>
      <c r="CH42" s="3">
        <f>IF(COUNTIFS(FR_FUEL,K42,FR_YEAR,AP42)&gt;0,1,0)</f>
        <v/>
      </c>
      <c r="CI42" s="3">
        <f>IF(COUNTIFS(FR_FUEL,K42,FR_YEAR,AP42-1)&gt;0,1,0)</f>
        <v/>
      </c>
      <c r="CJ42" s="4">
        <f>IF(N(AQ42)&gt;0,AP42*100+AQ42,IF(AND(CH42=1,CI42=1),(AP42-1)*100+1,AP42*100+1))</f>
        <v/>
      </c>
      <c r="CK42" s="3">
        <f>IF(OR(K42="hibrido",K42="glp",K42="gnc",K42="phev"),"ECO",IF(K42="electrico","CERO",IF(K42="gasolina",IF(CJ42&gt;=GAS_C_YM,"C",IF(CJ42&gt;=GAS_B_YM,"B","A")),IF(K42="diesel",IF(CJ42&gt;=DIE_C_YM,"C",IF(CJ42&gt;=DIE_B_YM,"B","A")),""))))</f>
        <v/>
      </c>
      <c r="CL42" s="4">
        <f>CK42</f>
        <v/>
      </c>
      <c r="CM42" s="4">
        <f>IF(AU42="sí","sí",IF(AS42="regla",IF(AND(N(AQ42)=0,CH42=1),"sí","no"),"no"))</f>
        <v/>
      </c>
      <c r="CN42" s="3">
        <f>IFERROR(VLOOKUP(F42,MOD_TBL,16,0),IFERROR(VLOOKUP(E42,OCU_TBL,2,0),NEUTRO))</f>
        <v/>
      </c>
      <c r="CO42" s="3">
        <f>SUMIFS(MOT_AJUSTE,MOT_MOTOR,G42,MOT_MARCA,E42,MOT_DESDE,"&lt;="&amp;M42,MOT_HASTA,"&gt;="&amp;M42)+SUMIFS(MOT_AJUSTE,MOT_MOTOR,G42,MOT_MARCA,"(todas)",MOT_DESDE,"&lt;="&amp;M42,MOT_HASTA,"&gt;="&amp;M42)+SUMIFS(MOT_AJUSTE,MOT_MOTOR,"(cualquiera)",MOT_MARCA,E42,MOT_DESDE,"&lt;="&amp;M42,MOT_HASTA,"&gt;="&amp;M42)</f>
        <v/>
      </c>
      <c r="CP42" s="3">
        <f>SUMIFS(COMB_AJUSTE,COMB_COMB,K42)</f>
        <v/>
      </c>
      <c r="CQ42" s="3">
        <f>COUNTIFS(MOT_MOTOR,G42,MOT_MARCA,E42,MOT_DESDE,"&lt;="&amp;M42,MOT_HASTA,"&gt;="&amp;M42)+COUNTIFS(MOT_MOTOR,G42,MOT_MARCA,"(todas)",MOT_DESDE,"&lt;="&amp;M42,MOT_HASTA,"&gt;="&amp;M42)+COUNTIFS(MOT_MOTOR,"(cualquiera)",MOT_MARCA,E42,MOT_DESDE,"&lt;="&amp;M42,MOT_HASTA,"&gt;="&amp;M42)</f>
        <v/>
      </c>
      <c r="CR42" s="3">
        <f>IF(AND(K42="diesel",CQ42=0),MIN(CN42,NEUTRO),CN42)</f>
        <v/>
      </c>
      <c r="CS42" s="3">
        <f>MAX(0,MIN(100,CR42+CO42+CP42-IF(AX42="sí",ROB_PEN,0)))</f>
        <v/>
      </c>
      <c r="CT42" s="3">
        <f>100-MAX(0,N42-KM_TOPE_DESDE)/1000*KM_TOPE_PTS</f>
        <v/>
      </c>
      <c r="CU42" s="3">
        <f>MAX(0,MIN(100,50+CG42*PRECIO_PEND,CT42))</f>
        <v/>
      </c>
      <c r="CV42" s="3">
        <f>MAX(0,100*(1-N42/KM_MAX))</f>
        <v/>
      </c>
      <c r="CW42" s="3">
        <f>IF(BX42&lt;KMA_SOSP,IF(AA42="sí",100,KMA_PEN),IF(BX42&lt;=KMA_IDEAL_MAX,100,MAX(0,100*(KMA_CERO-BX42)/(KMA_CERO-KMA_IDEAL_MAX))))</f>
        <v/>
      </c>
      <c r="CX42" s="3">
        <f>MAX(0,MIN(100,100*(M42-ANIO_MIN)/(ANIO_ACTUAL-ANIO_MIN)))</f>
        <v/>
      </c>
      <c r="CY42" s="3">
        <f>W_KMT*CV42+W_KMA*CW42+W_EDAD*CX42</f>
        <v/>
      </c>
      <c r="CZ42" s="4">
        <f>E42&amp;"|"&amp;G42</f>
        <v/>
      </c>
      <c r="DA42" s="3">
        <f>IFERROR(VLOOKUP(CZ42,DIST_TBL,2,0),"")</f>
        <v/>
      </c>
      <c r="DB42" s="3">
        <f>E_ITV*(V42="sí")+E_LIBRO*(W42="sí")+E_PROP*IF(Y42=1,1,IF(Y42=2,0.5,0))+E_CORREA*IF(OR(DA42="cadena",AND(X42="sí",BH42="sí")),1,IF(X42="sí",0.5,0))+E_FACT*(BI42="sí")</f>
        <v/>
      </c>
      <c r="DC42" s="3">
        <f>MAX(0,MIN(100,IFERROR(VLOOKUP(CL42,ETQ_TBL,2,0),0)-IF(CM42="sí",ETQ_PEN_DUD,IF(AS42="regla",ETQ_PEN_REGLA,0))))</f>
        <v/>
      </c>
      <c r="DD42" s="3">
        <f>IF(K42&lt;&gt;"gasolina","",IFERROR(VLOOKUP(F42,CONS_MOD_TBL,2,0),IFERROR(VLOOKUP(L42,CONS_SEG_TBL,2,0),"")))</f>
        <v/>
      </c>
      <c r="DE42" s="3">
        <f>IF(DD42="",NEUTRO,MAX(0,MIN(100,100*(CONS_REF_MAX-DD42)/(CONS_REF_MAX-CONS_REF_MIN))))</f>
        <v/>
      </c>
      <c r="DF42" s="3">
        <f>IFERROR(VLOOKUP(L42,SEGURO_TBL,3,0),"")</f>
        <v/>
      </c>
      <c r="DG42" s="3">
        <f>IF(DF42="",NEUTRO,MAX(0,MIN(100,100*(SEG_REF_MAX-DF42)/(SEG_REF_MAX-SEG_REF_MIN))))</f>
        <v/>
      </c>
      <c r="DH42" s="3">
        <f>IFERROR(VLOOKUP(E42,MANT_MARCA_TBL,2,0)+0,NEUTRO)</f>
        <v/>
      </c>
      <c r="DI42" s="3">
        <f>IF(DA42="",NEUTRO,IFERROR(VLOOKUP(DA42,DIST_PTS_TBL,2,0)+0,NEUTRO))</f>
        <v/>
      </c>
      <c r="DJ42" s="4">
        <f>(DH42+DI42)/2</f>
        <v/>
      </c>
      <c r="DK42" s="3">
        <f>W_CONS*DE42+W_SEG*DG42+W_MANT*DJ42</f>
        <v/>
      </c>
      <c r="DL42" s="3">
        <f>IF(N(AB42)&gt;0,AB42,IF(AND(R42="profesional",SG_LEGAL_ON=1),GAR_LEGAL,0))</f>
        <v/>
      </c>
      <c r="DM42" s="3">
        <f>MAX(0,MIN(100,SG_GAR*MIN(1,DL42/SG_GAR_FULL)+SG_AMPL*(AC42="sí")+SG_KMC*(AF42="sí")+SG_REV*(N(AE42)&gt;0)+SG_DEV*MIN(1,N(AG42)/SG_DEV_FULL)+SG_HIST*(W42="sí")-IF(AND(R42="particular",DL42=0),SG_PART_PEN,0)))</f>
        <v/>
      </c>
      <c r="DN42" s="3">
        <f>IF(BK42="",NEUTRO,MAX(0,MIN(100,BK42/5*100)))</f>
        <v/>
      </c>
      <c r="DO42" s="3">
        <f>IF(BL42="sí",100,IF(BL42="no",0,NEUTRO))</f>
        <v/>
      </c>
      <c r="DP42" s="3">
        <f>SV_W_NCAP*DN42+SV_W_ESP*DO42</f>
        <v/>
      </c>
      <c r="DQ42" s="3">
        <f>MAX(0,MIN(100,ATR_BASE+ATR_ACAB*(BD42&lt;&gt;"")+IF(BE42="16+",ATR_LL16,IF(BE42="sí",ATR_LL,0))+ATR_FAROS*(BF42="sí")+ATR_TINT*(BG42="sí")-ATR_CHAPA*(BE42="chapa")))</f>
        <v/>
      </c>
      <c r="DR42" s="3">
        <f>EST_W_MOD*(BB42-1)/4*100+EST_W_ATR*DQ42</f>
        <v/>
      </c>
      <c r="DS42" s="3">
        <f>IF(BA42="",NEUTRO,IFERROR(VLOOKUP(BA42,COLOR_TBL,2,0)+0,NEUTRO))</f>
        <v/>
      </c>
      <c r="DT42" s="3">
        <f>MAX(0,MIN(100,100*N(BM42)/RV_N_FULL))</f>
        <v/>
      </c>
      <c r="DU42" s="3">
        <f>IF(OR(BN42="",N(BO42)&lt;RV_DIAS_MIN),NEUTRO,MAX(0,MIN(100,100*(RV_DIAS_CERO-BN42)/(RV_DIAS_CERO-RV_DIAS_FULL))))</f>
        <v/>
      </c>
      <c r="DV42" s="3">
        <f>RV_W_LIQ*DT42+RV_W_DIAS*DU42+RV_W_ETQ*DC42</f>
        <v/>
      </c>
      <c r="DW42" s="3">
        <f>IFERROR(VLOOKUP(L42,CARR_PEN_TBL,2,0),0)</f>
        <v/>
      </c>
      <c r="DX42" s="3">
        <f>W_FIAB*CS42+W_PRECIO*CU42+W_KMEDAD*CY42+W_ESTADO*DB42+W_USO*DK42+W_SEGURIDAD*DM42+W_SEGVIAL*DP42+W_ESTETICA*DR42+W_COLOR*DS42+W_REVENTA*DV42-DW42-EG42</f>
        <v/>
      </c>
      <c r="DY42" s="4">
        <f>IF(N(I42)&gt;0,I42,IFERROR(ROUND(_xlfn.NUMBERVALUE(LEFT(G42,FIND(" ",G42&amp;" ")-1),".")*1000,0),99999))</f>
        <v/>
      </c>
      <c r="DZ42" s="3">
        <f>IF(R42="profesional",0,IF(O42&lt;CUOTA_VALOR_MAX,IF(BW42&gt;ITP_TRAMO_ALTO,SUMIFS(CF_CUOTA,CF_MAS,ITP_TRAMO_ALTO,CF_CCMIN,"&lt;="&amp;DY42,CF_CCMAX,"&gt;="&amp;DY42),IF(BW42&gt;ITP_TRAMO_BAJO,SUMIFS(CF_CUOTA,CF_MAS,ITP_TRAMO_BAJO,CF_CCMIN,"&lt;="&amp;DY42,CF_CCMAX,"&gt;="&amp;DY42),O42*ITP_TIPO)),O42*ITP_TIPO))</f>
        <v/>
      </c>
      <c r="EA42" s="4">
        <f>IF(R42="profesional",N(AK42),0)</f>
        <v/>
      </c>
      <c r="EB42" s="3">
        <f>IF(AND(R42="profesional",ISNUMBER(AK42),AL42="sí"),0,TASA_DGT)</f>
        <v/>
      </c>
      <c r="EC42" s="3">
        <f>INFORME_DGT</f>
        <v/>
      </c>
      <c r="ED42" s="4">
        <f>O42+EA42+DZ42+EB42+EC42</f>
        <v/>
      </c>
      <c r="EE42" s="4">
        <f>ED42+N(DF42)</f>
        <v/>
      </c>
      <c r="EF42" s="3">
        <f>MAX(0,ED42-TOTAL_MAX)</f>
        <v/>
      </c>
      <c r="EG42" s="3">
        <f>EF42/100*PEN_100</f>
        <v/>
      </c>
      <c r="EH42" s="3">
        <f>IF(R42="particular",ED42+IF(AND(DA42&lt;&gt;"cadena",X42&lt;&gt;"sí"),RES_CORREA,0)+IF(AND(BJ42&lt;&gt;"sí",BW42&gt;=RES_NEUM_EDAD),RES_NEUM,0),"")</f>
        <v/>
      </c>
      <c r="EI42" s="3">
        <f>IF(ED42&lt;=TOTAL_MAX,"sí",IF(ED42&lt;=TECHO,"negociar","no"))</f>
        <v/>
      </c>
      <c r="EJ42" s="4">
        <f>ROUND(DX42,9)</f>
        <v/>
      </c>
      <c r="EK42" s="4">
        <f>IF(EI42&lt;&gt;"no",SUMPRODUCT(($EI$2:$EI$209&lt;&gt;"no")*($EJ$2:$EJ$209&gt;EJ42))+SUMPRODUCT(($EI$2:EI42&lt;&gt;"no")*($EJ$2:EJ42=EJ42)),"")</f>
        <v/>
      </c>
    </row>
    <row r="43">
      <c r="A43" s="2" t="inlineStr">
        <is>
          <t>autoscout24:cb92863f-e240-4427-af20-4d726bf3e8c3</t>
        </is>
      </c>
      <c r="B43" s="2" t="inlineStr">
        <is>
          <t>autoscout24</t>
        </is>
      </c>
      <c r="C43" s="2" t="inlineStr">
        <is>
          <t>https://www.autoscout24.es/anuncios/chevrolet-aveo-1-2-16v-ls-gasolina-blanco-cat_ma19mo18685-cb92863f-e240-4427-af20-4d726bf3e8c3</t>
        </is>
      </c>
      <c r="D43" s="2" t="inlineStr">
        <is>
          <t>Chevrolet Aveo 1.2 16v LS</t>
        </is>
      </c>
      <c r="E43" s="2" t="inlineStr">
        <is>
          <t>Chevrolet</t>
        </is>
      </c>
      <c r="F43" s="2" t="inlineStr">
        <is>
          <t>Chevrolet Aveo</t>
        </is>
      </c>
      <c r="G43" s="2" t="inlineStr">
        <is>
          <t>1.2</t>
        </is>
      </c>
      <c r="H43" s="2" t="inlineStr">
        <is>
          <t>1.2 16v LS 1.2</t>
        </is>
      </c>
      <c r="I43" s="2" t="n">
        <v>1229</v>
      </c>
      <c r="J43" s="2" t="n">
        <v>86</v>
      </c>
      <c r="K43" s="2" t="inlineStr">
        <is>
          <t>gasolina</t>
        </is>
      </c>
      <c r="L43" s="2" t="inlineStr">
        <is>
          <t>utilitario</t>
        </is>
      </c>
      <c r="M43" s="2" t="n">
        <v>2011</v>
      </c>
      <c r="N43" s="2" t="n">
        <v>66000</v>
      </c>
      <c r="O43" s="2" t="n">
        <v>4990</v>
      </c>
      <c r="P43" s="2" t="inlineStr">
        <is>
          <t>manual</t>
        </is>
      </c>
      <c r="Q43" s="2" t="inlineStr">
        <is>
          <t>no</t>
        </is>
      </c>
      <c r="R43" s="2" t="inlineStr">
        <is>
          <t>profesional</t>
        </is>
      </c>
      <c r="S43" s="2" t="inlineStr">
        <is>
          <t>SAGA VEHICULOS — MASSANASSA (46470)</t>
        </is>
      </c>
      <c r="T43" s="2" t="n"/>
      <c r="U43" s="2" t="n">
        <v>24</v>
      </c>
      <c r="V43" s="2" t="n"/>
      <c r="W43" s="2" t="n"/>
      <c r="X43" s="2" t="n"/>
      <c r="Y43" s="2" t="n"/>
      <c r="Z43" s="2" t="inlineStr">
        <is>
          <t>sí</t>
        </is>
      </c>
      <c r="AA43" s="2" t="n"/>
      <c r="AB43" s="2" t="n">
        <v>12</v>
      </c>
      <c r="AC43" s="2" t="inlineStr">
        <is>
          <t>sí</t>
        </is>
      </c>
      <c r="AD43" s="2" t="n"/>
      <c r="AE43" s="2" t="n"/>
      <c r="AF43" s="2" t="n"/>
      <c r="AG43" s="2" t="n"/>
      <c r="AH43" s="2" t="n"/>
      <c r="AI43" s="2" t="n"/>
      <c r="AJ43" s="2" t="n"/>
      <c r="AK43" s="2" t="n">
        <v>350</v>
      </c>
      <c r="AL43" s="2" t="inlineStr">
        <is>
          <t>no</t>
        </is>
      </c>
      <c r="AM43" s="2" t="n">
        <v>7.1</v>
      </c>
      <c r="AN43" s="2" t="n"/>
      <c r="AO43" s="2" t="inlineStr">
        <is>
          <t>2011-10</t>
        </is>
      </c>
      <c r="AP43" s="2" t="n">
        <v>2011</v>
      </c>
      <c r="AQ43" s="2" t="n">
        <v>10</v>
      </c>
      <c r="AR43" s="2" t="n"/>
      <c r="AS43" s="2" t="inlineStr">
        <is>
          <t>regla</t>
        </is>
      </c>
      <c r="AT43" s="2" t="n"/>
      <c r="AU43" s="2" t="inlineStr">
        <is>
          <t>no</t>
        </is>
      </c>
      <c r="AV43" s="2" t="inlineStr">
        <is>
          <t>C</t>
        </is>
      </c>
      <c r="AW43" s="2" t="n"/>
      <c r="AX43" s="2" t="inlineStr">
        <is>
          <t>no</t>
        </is>
      </c>
      <c r="AY43" s="2" t="inlineStr">
        <is>
          <t>no</t>
        </is>
      </c>
      <c r="AZ43" s="2" t="inlineStr">
        <is>
          <t>Blanco</t>
        </is>
      </c>
      <c r="BA43" s="2" t="inlineStr">
        <is>
          <t>blanco</t>
        </is>
      </c>
      <c r="BB43" s="3" t="n">
        <v>2</v>
      </c>
      <c r="BC43" s="3" t="inlineStr">
        <is>
          <t>(por segmento)</t>
        </is>
      </c>
      <c r="BD43" s="2" t="n"/>
      <c r="BE43" s="2" t="n"/>
      <c r="BF43" s="2" t="n"/>
      <c r="BG43" s="2" t="n"/>
      <c r="BH43" s="2" t="n"/>
      <c r="BI43" s="2" t="n"/>
      <c r="BJ43" s="2" t="n"/>
      <c r="BK43" s="2" t="n">
        <v>2</v>
      </c>
      <c r="BL43" s="2" t="inlineStr">
        <is>
          <t>no</t>
        </is>
      </c>
      <c r="BM43" s="2" t="n">
        <v>27</v>
      </c>
      <c r="BN43" s="2" t="n"/>
      <c r="BO43" s="2" t="n">
        <v>0</v>
      </c>
      <c r="BP43" s="2" t="n">
        <v>4990</v>
      </c>
      <c r="BQ43" s="2" t="n">
        <v>5</v>
      </c>
      <c r="BR43" s="2" t="inlineStr">
        <is>
          <t>modelo+año+km</t>
        </is>
      </c>
      <c r="BS43" s="2" t="inlineStr">
        <is>
          <t>cochesnet:71574866 (https://www.coches.net/chevrolet-aveo-12-ls-5p-gasolina-2012-en-valencia-71574866-covo.aspx)</t>
        </is>
      </c>
      <c r="BT43" s="2" t="inlineStr">
        <is>
          <t>por encima del presupuesto: negociar 404 € (coste 5404 €; -8.1 puntos); vendedor profesional: sin ITP (operación con IVA/REBU, confirmar en factura); gastos del vendedor sin indicar si incluyen la transferencia: se suma la tasa DGT; etiqueta C deducida por fecha (sin matrícula ni dato del anuncio); revisar: no menciona la ITV; fiabilidad del modelo PENDIENTE de fuente (puntuación neutra)</t>
        </is>
      </c>
      <c r="BU43" s="2" t="inlineStr">
        <is>
          <t>Chevrolet Aveo 1.2 LS, 85CV, Gasolina, vehículo muy bien cuidado.&lt;br /&gt;Más de 100 coches en stock, Por favor llámenos para más información, atendemos SOLO CON CITA PREVIA. Gracias!!!!&lt;br /&gt;Financiacíon de hasta el 100% del vehículo!&lt;br /&gt;Gestión documental no incluido 350€ &lt;br /&gt;Garantía Premium 12 Meses con cobertura a nivel nacional 399€&lt;br /&gt;Saga Vehículos, estamos en C/ Motor Sant Agustí, 41, 46470 Massanassa, Valencia.&lt;br /&gt;Horario: De lunes a viernes de 10:00 a 14:00 y de 16:00 a 19:00.&lt;br /&gt;Sabado de 10:00 a 14:00.&lt;br /&gt;- Aire acondicionado&lt;br /&gt;- Dirección asistida&lt;br /&gt;- Frenos ABS/EBD&lt;br /&gt;- Airbags&lt;br /&gt;- Ordenador abordo&lt;br /&gt;- Sistema radio CD/MP3/USB&lt;br /&gt;- Llaves presencial con mandos a distancia y mucho mas....&lt;br /&gt;Este anuncio no es vinculante, se muestra a titulo informativo y no contractual.&lt;br /&gt;&lt;br /&gt;&lt;br /&gt;&lt;br /&gt; &lt;strong&gt;Extras&lt;/strong&gt; &lt;br /&gt; &lt;strong&gt;Equipamiento destacado seleccionado por el usuario&lt;/strong&gt; &lt;br /&gt; &lt;br /&gt;- Aire acondicionado con filtro&lt;br /&gt;</t>
        </is>
      </c>
      <c r="BV43" s="2" t="inlineStr">
        <is>
          <t>https://www.autoscout24.es/anuncios/chevrolet-aveo-1-2-16v-ls-gasolina-blanco-cat_ma19mo18685-cb92863f-e240-4427-af20-4d726bf3e8c3 (__NEXT_DATA__ listingDetails) /home/user/Alopecia/buscador-coches/raw/autoscout24/9ef978ebd864e69b.json</t>
        </is>
      </c>
      <c r="BW43" s="3">
        <f>MAX(ANIO_ACTUAL-M43,0)</f>
        <v/>
      </c>
      <c r="BX43" s="4">
        <f>N43/MAX(BW43,0.5)</f>
        <v/>
      </c>
      <c r="BY43" s="4">
        <f>F43</f>
        <v/>
      </c>
      <c r="BZ43" s="3">
        <f>BY43&amp;"|"&amp;INT(M43/SEG_ANIO)*SEG_ANIO</f>
        <v/>
      </c>
      <c r="CA43" s="3">
        <f>BZ43&amp;"|"&amp;INT(N43/SEG_KM)*SEG_KM</f>
        <v/>
      </c>
      <c r="CB43" s="4">
        <f>COUNTIF($BY$2:$BY$209,BY43)</f>
        <v/>
      </c>
      <c r="CC43" s="4">
        <f>COUNTIF($BZ$2:$BZ$209,BZ43)</f>
        <v/>
      </c>
      <c r="CD43" s="4">
        <f>COUNTIF($CA$2:$CA$209,CA43)</f>
        <v/>
      </c>
      <c r="CE43" s="3">
        <f t="array" ref="CE43">IF(N(BQ43)&gt;=MIN_N,BP43,IF(CD43&gt;=MIN_N,MEDIAN(IF($CA$2:$CA$209=CA43,$O$2:$O$209)),IF(CC43&gt;=MIN_N,MEDIAN(IF($BZ$2:$BZ$209=BZ43,$O$2:$O$209)),MEDIAN(IF($BY$2:$BY$209=BY43,$O$2:$O$209)))))</f>
        <v/>
      </c>
      <c r="CF43" s="3">
        <f>IF(N(BQ43)&gt;=MIN_N,"mercado "&amp;BR43,IF(CD43&gt;=MIN_N,"modelo+año+km",IF(CC43&gt;=MIN_N,"modelo+año","modelo")))</f>
        <v/>
      </c>
      <c r="CG43" s="4">
        <f>(CE43-O43)/CE43</f>
        <v/>
      </c>
      <c r="CH43" s="3">
        <f>IF(COUNTIFS(FR_FUEL,K43,FR_YEAR,AP43)&gt;0,1,0)</f>
        <v/>
      </c>
      <c r="CI43" s="3">
        <f>IF(COUNTIFS(FR_FUEL,K43,FR_YEAR,AP43-1)&gt;0,1,0)</f>
        <v/>
      </c>
      <c r="CJ43" s="4">
        <f>IF(N(AQ43)&gt;0,AP43*100+AQ43,IF(AND(CH43=1,CI43=1),(AP43-1)*100+1,AP43*100+1))</f>
        <v/>
      </c>
      <c r="CK43" s="3">
        <f>IF(OR(K43="hibrido",K43="glp",K43="gnc",K43="phev"),"ECO",IF(K43="electrico","CERO",IF(K43="gasolina",IF(CJ43&gt;=GAS_C_YM,"C",IF(CJ43&gt;=GAS_B_YM,"B","A")),IF(K43="diesel",IF(CJ43&gt;=DIE_C_YM,"C",IF(CJ43&gt;=DIE_B_YM,"B","A")),""))))</f>
        <v/>
      </c>
      <c r="CL43" s="4">
        <f>CK43</f>
        <v/>
      </c>
      <c r="CM43" s="4">
        <f>IF(AU43="sí","sí",IF(AS43="regla",IF(AND(N(AQ43)=0,CH43=1),"sí","no"),"no"))</f>
        <v/>
      </c>
      <c r="CN43" s="3">
        <f>IFERROR(VLOOKUP(F43,MOD_TBL,16,0),IFERROR(VLOOKUP(E43,OCU_TBL,2,0),NEUTRO))</f>
        <v/>
      </c>
      <c r="CO43" s="3">
        <f>SUMIFS(MOT_AJUSTE,MOT_MOTOR,G43,MOT_MARCA,E43,MOT_DESDE,"&lt;="&amp;M43,MOT_HASTA,"&gt;="&amp;M43)+SUMIFS(MOT_AJUSTE,MOT_MOTOR,G43,MOT_MARCA,"(todas)",MOT_DESDE,"&lt;="&amp;M43,MOT_HASTA,"&gt;="&amp;M43)+SUMIFS(MOT_AJUSTE,MOT_MOTOR,"(cualquiera)",MOT_MARCA,E43,MOT_DESDE,"&lt;="&amp;M43,MOT_HASTA,"&gt;="&amp;M43)</f>
        <v/>
      </c>
      <c r="CP43" s="3">
        <f>SUMIFS(COMB_AJUSTE,COMB_COMB,K43)</f>
        <v/>
      </c>
      <c r="CQ43" s="3">
        <f>COUNTIFS(MOT_MOTOR,G43,MOT_MARCA,E43,MOT_DESDE,"&lt;="&amp;M43,MOT_HASTA,"&gt;="&amp;M43)+COUNTIFS(MOT_MOTOR,G43,MOT_MARCA,"(todas)",MOT_DESDE,"&lt;="&amp;M43,MOT_HASTA,"&gt;="&amp;M43)+COUNTIFS(MOT_MOTOR,"(cualquiera)",MOT_MARCA,E43,MOT_DESDE,"&lt;="&amp;M43,MOT_HASTA,"&gt;="&amp;M43)</f>
        <v/>
      </c>
      <c r="CR43" s="3">
        <f>IF(AND(K43="diesel",CQ43=0),MIN(CN43,NEUTRO),CN43)</f>
        <v/>
      </c>
      <c r="CS43" s="3">
        <f>MAX(0,MIN(100,CR43+CO43+CP43-IF(AX43="sí",ROB_PEN,0)))</f>
        <v/>
      </c>
      <c r="CT43" s="3">
        <f>100-MAX(0,N43-KM_TOPE_DESDE)/1000*KM_TOPE_PTS</f>
        <v/>
      </c>
      <c r="CU43" s="3">
        <f>MAX(0,MIN(100,50+CG43*PRECIO_PEND,CT43))</f>
        <v/>
      </c>
      <c r="CV43" s="3">
        <f>MAX(0,100*(1-N43/KM_MAX))</f>
        <v/>
      </c>
      <c r="CW43" s="3">
        <f>IF(BX43&lt;KMA_SOSP,IF(AA43="sí",100,KMA_PEN),IF(BX43&lt;=KMA_IDEAL_MAX,100,MAX(0,100*(KMA_CERO-BX43)/(KMA_CERO-KMA_IDEAL_MAX))))</f>
        <v/>
      </c>
      <c r="CX43" s="3">
        <f>MAX(0,MIN(100,100*(M43-ANIO_MIN)/(ANIO_ACTUAL-ANIO_MIN)))</f>
        <v/>
      </c>
      <c r="CY43" s="3">
        <f>W_KMT*CV43+W_KMA*CW43+W_EDAD*CX43</f>
        <v/>
      </c>
      <c r="CZ43" s="4">
        <f>E43&amp;"|"&amp;G43</f>
        <v/>
      </c>
      <c r="DA43" s="3">
        <f>IFERROR(VLOOKUP(CZ43,DIST_TBL,2,0),"")</f>
        <v/>
      </c>
      <c r="DB43" s="3">
        <f>E_ITV*(V43="sí")+E_LIBRO*(W43="sí")+E_PROP*IF(Y43=1,1,IF(Y43=2,0.5,0))+E_CORREA*IF(OR(DA43="cadena",AND(X43="sí",BH43="sí")),1,IF(X43="sí",0.5,0))+E_FACT*(BI43="sí")</f>
        <v/>
      </c>
      <c r="DC43" s="3">
        <f>MAX(0,MIN(100,IFERROR(VLOOKUP(CL43,ETQ_TBL,2,0),0)-IF(CM43="sí",ETQ_PEN_DUD,IF(AS43="regla",ETQ_PEN_REGLA,0))))</f>
        <v/>
      </c>
      <c r="DD43" s="3">
        <f>IF(K43&lt;&gt;"gasolina","",IFERROR(VLOOKUP(F43,CONS_MOD_TBL,2,0),IFERROR(VLOOKUP(L43,CONS_SEG_TBL,2,0),"")))</f>
        <v/>
      </c>
      <c r="DE43" s="3">
        <f>IF(DD43="",NEUTRO,MAX(0,MIN(100,100*(CONS_REF_MAX-DD43)/(CONS_REF_MAX-CONS_REF_MIN))))</f>
        <v/>
      </c>
      <c r="DF43" s="3">
        <f>IFERROR(VLOOKUP(L43,SEGURO_TBL,3,0),"")</f>
        <v/>
      </c>
      <c r="DG43" s="3">
        <f>IF(DF43="",NEUTRO,MAX(0,MIN(100,100*(SEG_REF_MAX-DF43)/(SEG_REF_MAX-SEG_REF_MIN))))</f>
        <v/>
      </c>
      <c r="DH43" s="3">
        <f>IFERROR(VLOOKUP(E43,MANT_MARCA_TBL,2,0)+0,NEUTRO)</f>
        <v/>
      </c>
      <c r="DI43" s="3">
        <f>IF(DA43="",NEUTRO,IFERROR(VLOOKUP(DA43,DIST_PTS_TBL,2,0)+0,NEUTRO))</f>
        <v/>
      </c>
      <c r="DJ43" s="4">
        <f>(DH43+DI43)/2</f>
        <v/>
      </c>
      <c r="DK43" s="3">
        <f>W_CONS*DE43+W_SEG*DG43+W_MANT*DJ43</f>
        <v/>
      </c>
      <c r="DL43" s="3">
        <f>IF(N(AB43)&gt;0,AB43,IF(AND(R43="profesional",SG_LEGAL_ON=1),GAR_LEGAL,0))</f>
        <v/>
      </c>
      <c r="DM43" s="3">
        <f>MAX(0,MIN(100,SG_GAR*MIN(1,DL43/SG_GAR_FULL)+SG_AMPL*(AC43="sí")+SG_KMC*(AF43="sí")+SG_REV*(N(AE43)&gt;0)+SG_DEV*MIN(1,N(AG43)/SG_DEV_FULL)+SG_HIST*(W43="sí")-IF(AND(R43="particular",DL43=0),SG_PART_PEN,0)))</f>
        <v/>
      </c>
      <c r="DN43" s="3">
        <f>IF(BK43="",NEUTRO,MAX(0,MIN(100,BK43/5*100)))</f>
        <v/>
      </c>
      <c r="DO43" s="3">
        <f>IF(BL43="sí",100,IF(BL43="no",0,NEUTRO))</f>
        <v/>
      </c>
      <c r="DP43" s="3">
        <f>SV_W_NCAP*DN43+SV_W_ESP*DO43</f>
        <v/>
      </c>
      <c r="DQ43" s="3">
        <f>MAX(0,MIN(100,ATR_BASE+ATR_ACAB*(BD43&lt;&gt;"")+IF(BE43="16+",ATR_LL16,IF(BE43="sí",ATR_LL,0))+ATR_FAROS*(BF43="sí")+ATR_TINT*(BG43="sí")-ATR_CHAPA*(BE43="chapa")))</f>
        <v/>
      </c>
      <c r="DR43" s="3">
        <f>EST_W_MOD*(BB43-1)/4*100+EST_W_ATR*DQ43</f>
        <v/>
      </c>
      <c r="DS43" s="3">
        <f>IF(BA43="",NEUTRO,IFERROR(VLOOKUP(BA43,COLOR_TBL,2,0)+0,NEUTRO))</f>
        <v/>
      </c>
      <c r="DT43" s="3">
        <f>MAX(0,MIN(100,100*N(BM43)/RV_N_FULL))</f>
        <v/>
      </c>
      <c r="DU43" s="3">
        <f>IF(OR(BN43="",N(BO43)&lt;RV_DIAS_MIN),NEUTRO,MAX(0,MIN(100,100*(RV_DIAS_CERO-BN43)/(RV_DIAS_CERO-RV_DIAS_FULL))))</f>
        <v/>
      </c>
      <c r="DV43" s="3">
        <f>RV_W_LIQ*DT43+RV_W_DIAS*DU43+RV_W_ETQ*DC43</f>
        <v/>
      </c>
      <c r="DW43" s="3">
        <f>IFERROR(VLOOKUP(L43,CARR_PEN_TBL,2,0),0)</f>
        <v/>
      </c>
      <c r="DX43" s="3">
        <f>W_FIAB*CS43+W_PRECIO*CU43+W_KMEDAD*CY43+W_ESTADO*DB43+W_USO*DK43+W_SEGURIDAD*DM43+W_SEGVIAL*DP43+W_ESTETICA*DR43+W_COLOR*DS43+W_REVENTA*DV43-DW43-EG43</f>
        <v/>
      </c>
      <c r="DY43" s="4">
        <f>IF(N(I43)&gt;0,I43,IFERROR(ROUND(_xlfn.NUMBERVALUE(LEFT(G43,FIND(" ",G43&amp;" ")-1),".")*1000,0),99999))</f>
        <v/>
      </c>
      <c r="DZ43" s="3">
        <f>IF(R43="profesional",0,IF(O43&lt;CUOTA_VALOR_MAX,IF(BW43&gt;ITP_TRAMO_ALTO,SUMIFS(CF_CUOTA,CF_MAS,ITP_TRAMO_ALTO,CF_CCMIN,"&lt;="&amp;DY43,CF_CCMAX,"&gt;="&amp;DY43),IF(BW43&gt;ITP_TRAMO_BAJO,SUMIFS(CF_CUOTA,CF_MAS,ITP_TRAMO_BAJO,CF_CCMIN,"&lt;="&amp;DY43,CF_CCMAX,"&gt;="&amp;DY43),O43*ITP_TIPO)),O43*ITP_TIPO))</f>
        <v/>
      </c>
      <c r="EA43" s="4">
        <f>IF(R43="profesional",N(AK43),0)</f>
        <v/>
      </c>
      <c r="EB43" s="3">
        <f>IF(AND(R43="profesional",ISNUMBER(AK43),AL43="sí"),0,TASA_DGT)</f>
        <v/>
      </c>
      <c r="EC43" s="3">
        <f>INFORME_DGT</f>
        <v/>
      </c>
      <c r="ED43" s="4">
        <f>O43+EA43+DZ43+EB43+EC43</f>
        <v/>
      </c>
      <c r="EE43" s="4">
        <f>ED43+N(DF43)</f>
        <v/>
      </c>
      <c r="EF43" s="3">
        <f>MAX(0,ED43-TOTAL_MAX)</f>
        <v/>
      </c>
      <c r="EG43" s="3">
        <f>EF43/100*PEN_100</f>
        <v/>
      </c>
      <c r="EH43" s="3">
        <f>IF(R43="particular",ED43+IF(AND(DA43&lt;&gt;"cadena",X43&lt;&gt;"sí"),RES_CORREA,0)+IF(AND(BJ43&lt;&gt;"sí",BW43&gt;=RES_NEUM_EDAD),RES_NEUM,0),"")</f>
        <v/>
      </c>
      <c r="EI43" s="3">
        <f>IF(ED43&lt;=TOTAL_MAX,"sí",IF(ED43&lt;=TECHO,"negociar","no"))</f>
        <v/>
      </c>
      <c r="EJ43" s="4">
        <f>ROUND(DX43,9)</f>
        <v/>
      </c>
      <c r="EK43" s="4">
        <f>IF(EI43&lt;&gt;"no",SUMPRODUCT(($EI$2:$EI$209&lt;&gt;"no")*($EJ$2:$EJ$209&gt;EJ43))+SUMPRODUCT(($EI$2:EI43&lt;&gt;"no")*($EJ$2:EJ43=EJ43)),"")</f>
        <v/>
      </c>
    </row>
    <row r="44">
      <c r="A44" s="2" t="inlineStr">
        <is>
          <t>cochesnet:71732041</t>
        </is>
      </c>
      <c r="B44" s="2" t="inlineStr">
        <is>
          <t>cochesnet</t>
        </is>
      </c>
      <c r="C44" s="2" t="inlineStr">
        <is>
          <t>https://www.coches.net/mazda-mazda2-active-14-crtd-5p-diesel-2007-en-valencia-71732041-covo.aspx</t>
        </is>
      </c>
      <c r="D44" s="2" t="inlineStr">
        <is>
          <t>MAZDA Mazda2 Active 1.4 CRTD</t>
        </is>
      </c>
      <c r="E44" s="2" t="inlineStr">
        <is>
          <t>Mazda</t>
        </is>
      </c>
      <c r="F44" s="2" t="inlineStr">
        <is>
          <t>Mazda 2</t>
        </is>
      </c>
      <c r="G44" s="2" t="inlineStr">
        <is>
          <t>1.4</t>
        </is>
      </c>
      <c r="H44" s="2" t="inlineStr">
        <is>
          <t>Active 1.4 CRTD</t>
        </is>
      </c>
      <c r="I44" s="2" t="n"/>
      <c r="J44" s="2" t="n"/>
      <c r="K44" s="2" t="inlineStr">
        <is>
          <t>diesel</t>
        </is>
      </c>
      <c r="L44" s="2" t="inlineStr">
        <is>
          <t>utilitario</t>
        </is>
      </c>
      <c r="M44" s="2" t="n">
        <v>2008</v>
      </c>
      <c r="N44" s="2" t="n">
        <v>111000</v>
      </c>
      <c r="O44" s="2" t="n">
        <v>4990</v>
      </c>
      <c r="P44" s="2" t="inlineStr">
        <is>
          <t>manual</t>
        </is>
      </c>
      <c r="Q44" s="2" t="inlineStr">
        <is>
          <t>no</t>
        </is>
      </c>
      <c r="R44" s="2" t="inlineStr">
        <is>
          <t>profesional</t>
        </is>
      </c>
      <c r="S44" s="2" t="inlineStr">
        <is>
          <t>Only Cars Valencia Aldaia</t>
        </is>
      </c>
      <c r="T44" s="2" t="inlineStr">
        <is>
          <t>2026-10-13T12:02:29Z</t>
        </is>
      </c>
      <c r="U44" s="2" t="n">
        <v>10</v>
      </c>
      <c r="V44" s="2" t="n"/>
      <c r="W44" s="2" t="n"/>
      <c r="X44" s="2" t="n"/>
      <c r="Y44" s="2" t="n">
        <v>1</v>
      </c>
      <c r="Z44" s="2" t="inlineStr">
        <is>
          <t>sí</t>
        </is>
      </c>
      <c r="AA44" s="2" t="n"/>
      <c r="AB44" s="2" t="n">
        <v>12</v>
      </c>
      <c r="AC44" s="2" t="n"/>
      <c r="AD44" s="2" t="n"/>
      <c r="AE44" s="2" t="n"/>
      <c r="AF44" s="2" t="n"/>
      <c r="AG44" s="2" t="n"/>
      <c r="AH44" s="2" t="n">
        <v>4990</v>
      </c>
      <c r="AI44" s="2" t="n"/>
      <c r="AJ44" s="2" t="n"/>
      <c r="AK44" s="2" t="n"/>
      <c r="AL44" s="2" t="n"/>
      <c r="AM44" s="2" t="n">
        <v>7.5</v>
      </c>
      <c r="AN44" s="2" t="n"/>
      <c r="AO44" s="2" t="inlineStr">
        <is>
          <t>2008</t>
        </is>
      </c>
      <c r="AP44" s="2" t="n">
        <v>2008</v>
      </c>
      <c r="AQ44" s="2" t="n"/>
      <c r="AR44" s="2" t="inlineStr">
        <is>
          <t>B</t>
        </is>
      </c>
      <c r="AS44" s="2" t="inlineStr">
        <is>
          <t>anuncio</t>
        </is>
      </c>
      <c r="AT44" s="2" t="n">
        <v>2007</v>
      </c>
      <c r="AU44" s="2" t="inlineStr">
        <is>
          <t>no</t>
        </is>
      </c>
      <c r="AV44" s="2" t="inlineStr">
        <is>
          <t>B</t>
        </is>
      </c>
      <c r="AW44" s="2" t="n"/>
      <c r="AX44" s="2" t="inlineStr">
        <is>
          <t>no</t>
        </is>
      </c>
      <c r="AY44" s="2" t="inlineStr">
        <is>
          <t>no</t>
        </is>
      </c>
      <c r="AZ44" s="2" t="inlineStr">
        <is>
          <t>COMMON.COLOR_GRAY</t>
        </is>
      </c>
      <c r="BA44" s="2" t="inlineStr">
        <is>
          <t>gris_medio</t>
        </is>
      </c>
      <c r="BB44" s="3" t="n">
        <v>2</v>
      </c>
      <c r="BC44" s="3" t="inlineStr">
        <is>
          <t>(por segmento)</t>
        </is>
      </c>
      <c r="BD44" s="2" t="n"/>
      <c r="BE44" s="2" t="n"/>
      <c r="BF44" s="2" t="n"/>
      <c r="BG44" s="2" t="n"/>
      <c r="BH44" s="2" t="n"/>
      <c r="BI44" s="2" t="n"/>
      <c r="BJ44" s="2" t="n"/>
      <c r="BK44" s="2" t="n">
        <v>5</v>
      </c>
      <c r="BL44" s="2" t="inlineStr">
        <is>
          <t>no</t>
        </is>
      </c>
      <c r="BM44" s="2" t="n">
        <v>136</v>
      </c>
      <c r="BN44" s="2" t="n">
        <v>0.02939236117526889</v>
      </c>
      <c r="BO44" s="2" t="n">
        <v>2</v>
      </c>
      <c r="BP44" s="2" t="n">
        <v>5000</v>
      </c>
      <c r="BQ44" s="2" t="n">
        <v>11</v>
      </c>
      <c r="BR44" s="2" t="inlineStr">
        <is>
          <t>modelo+año</t>
        </is>
      </c>
      <c r="BS44" s="2" t="n"/>
      <c r="BT44" s="2" t="inlineStr">
        <is>
          <t>año a confirmar: la URL/título dice 2007; por encima del presupuesto: negociar 54 € (coste 5054 €; -1.1 puntos); vendedor profesional: sin ITP (operación con IVA/REBU, confirmar en factura); gastos de gestión del vendedor no indicados: se suma la tasa DGT; preguntar el precio final; diésel: motor sin fuente de fiabilidad (fiabilidad limitada a neutra); revisar: no menciona la ITV</t>
        </is>
      </c>
      <c r="BU44" s="2" t="inlineStr">
        <is>
          <t>Mazda 2 1.4 Diesel CRTD Active año 2008 con 111.000Kms 70CV. UNICO PROPIETARIO
Equipamiento:
- elevalunas eléctricos
- Espejos eléctricos
- Aire acondicionado
- Dirección asistida
- Mando a distancia
- Ordenador de abordo
- Control de velocidad
- Velocidad crucero
Mantenimiento:
- cambio de filtro de aire
- cambio de filtro de aceite
- cambio de aceite
- Dos juegos de llave
- Alfombrillas</t>
        </is>
      </c>
      <c r="BV44" s="2" t="inlineStr">
        <is>
          <t>https://www.coches.net/mazda-mazda2-active-14-crtd-5p-diesel-2007-en-valencia-71732041-covo.aspx (window.__INITIAL_PROPS__.ad) /home/user/Alopecia/buscador-coches/raw/cochesnet/787c54b4e793f020.json</t>
        </is>
      </c>
      <c r="BW44" s="3">
        <f>MAX(ANIO_ACTUAL-M44,0)</f>
        <v/>
      </c>
      <c r="BX44" s="4">
        <f>N44/MAX(BW44,0.5)</f>
        <v/>
      </c>
      <c r="BY44" s="4">
        <f>F44</f>
        <v/>
      </c>
      <c r="BZ44" s="3">
        <f>BY44&amp;"|"&amp;INT(M44/SEG_ANIO)*SEG_ANIO</f>
        <v/>
      </c>
      <c r="CA44" s="3">
        <f>BZ44&amp;"|"&amp;INT(N44/SEG_KM)*SEG_KM</f>
        <v/>
      </c>
      <c r="CB44" s="4">
        <f>COUNTIF($BY$2:$BY$209,BY44)</f>
        <v/>
      </c>
      <c r="CC44" s="4">
        <f>COUNTIF($BZ$2:$BZ$209,BZ44)</f>
        <v/>
      </c>
      <c r="CD44" s="4">
        <f>COUNTIF($CA$2:$CA$209,CA44)</f>
        <v/>
      </c>
      <c r="CE44" s="3">
        <f t="array" ref="CE44">IF(N(BQ44)&gt;=MIN_N,BP44,IF(CD44&gt;=MIN_N,MEDIAN(IF($CA$2:$CA$209=CA44,$O$2:$O$209)),IF(CC44&gt;=MIN_N,MEDIAN(IF($BZ$2:$BZ$209=BZ44,$O$2:$O$209)),MEDIAN(IF($BY$2:$BY$209=BY44,$O$2:$O$209)))))</f>
        <v/>
      </c>
      <c r="CF44" s="3">
        <f>IF(N(BQ44)&gt;=MIN_N,"mercado "&amp;BR44,IF(CD44&gt;=MIN_N,"modelo+año+km",IF(CC44&gt;=MIN_N,"modelo+año","modelo")))</f>
        <v/>
      </c>
      <c r="CG44" s="4">
        <f>(CE44-O44)/CE44</f>
        <v/>
      </c>
      <c r="CH44" s="3">
        <f>IF(COUNTIFS(FR_FUEL,K44,FR_YEAR,AP44)&gt;0,1,0)</f>
        <v/>
      </c>
      <c r="CI44" s="3">
        <f>IF(COUNTIFS(FR_FUEL,K44,FR_YEAR,AP44-1)&gt;0,1,0)</f>
        <v/>
      </c>
      <c r="CJ44" s="4">
        <f>IF(N(AQ44)&gt;0,AP44*100+AQ44,IF(AND(CH44=1,CI44=1),(AP44-1)*100+1,AP44*100+1))</f>
        <v/>
      </c>
      <c r="CK44" s="3">
        <f>IF(OR(K44="hibrido",K44="glp",K44="gnc",K44="phev"),"ECO",IF(K44="electrico","CERO",IF(K44="gasolina",IF(CJ44&gt;=GAS_C_YM,"C",IF(CJ44&gt;=GAS_B_YM,"B","A")),IF(K44="diesel",IF(CJ44&gt;=DIE_C_YM,"C",IF(CJ44&gt;=DIE_B_YM,"B","A")),""))))</f>
        <v/>
      </c>
      <c r="CL44" s="2" t="inlineStr">
        <is>
          <t>B</t>
        </is>
      </c>
      <c r="CM44" s="4">
        <f>IF(AU44="sí","sí",IF(AS44="regla",IF(AND(N(AQ44)=0,CH44=1),"sí","no"),"no"))</f>
        <v/>
      </c>
      <c r="CN44" s="3">
        <f>IFERROR(VLOOKUP(F44,MOD_TBL,16,0),IFERROR(VLOOKUP(E44,OCU_TBL,2,0),NEUTRO))</f>
        <v/>
      </c>
      <c r="CO44" s="3">
        <f>SUMIFS(MOT_AJUSTE,MOT_MOTOR,G44,MOT_MARCA,E44,MOT_DESDE,"&lt;="&amp;M44,MOT_HASTA,"&gt;="&amp;M44)+SUMIFS(MOT_AJUSTE,MOT_MOTOR,G44,MOT_MARCA,"(todas)",MOT_DESDE,"&lt;="&amp;M44,MOT_HASTA,"&gt;="&amp;M44)+SUMIFS(MOT_AJUSTE,MOT_MOTOR,"(cualquiera)",MOT_MARCA,E44,MOT_DESDE,"&lt;="&amp;M44,MOT_HASTA,"&gt;="&amp;M44)</f>
        <v/>
      </c>
      <c r="CP44" s="3">
        <f>SUMIFS(COMB_AJUSTE,COMB_COMB,K44)</f>
        <v/>
      </c>
      <c r="CQ44" s="3">
        <f>COUNTIFS(MOT_MOTOR,G44,MOT_MARCA,E44,MOT_DESDE,"&lt;="&amp;M44,MOT_HASTA,"&gt;="&amp;M44)+COUNTIFS(MOT_MOTOR,G44,MOT_MARCA,"(todas)",MOT_DESDE,"&lt;="&amp;M44,MOT_HASTA,"&gt;="&amp;M44)+COUNTIFS(MOT_MOTOR,"(cualquiera)",MOT_MARCA,E44,MOT_DESDE,"&lt;="&amp;M44,MOT_HASTA,"&gt;="&amp;M44)</f>
        <v/>
      </c>
      <c r="CR44" s="3">
        <f>IF(AND(K44="diesel",CQ44=0),MIN(CN44,NEUTRO),CN44)</f>
        <v/>
      </c>
      <c r="CS44" s="3">
        <f>MAX(0,MIN(100,CR44+CO44+CP44-IF(AX44="sí",ROB_PEN,0)))</f>
        <v/>
      </c>
      <c r="CT44" s="3">
        <f>100-MAX(0,N44-KM_TOPE_DESDE)/1000*KM_TOPE_PTS</f>
        <v/>
      </c>
      <c r="CU44" s="3">
        <f>MAX(0,MIN(100,50+CG44*PRECIO_PEND,CT44))</f>
        <v/>
      </c>
      <c r="CV44" s="3">
        <f>MAX(0,100*(1-N44/KM_MAX))</f>
        <v/>
      </c>
      <c r="CW44" s="3">
        <f>IF(BX44&lt;KMA_SOSP,IF(AA44="sí",100,KMA_PEN),IF(BX44&lt;=KMA_IDEAL_MAX,100,MAX(0,100*(KMA_CERO-BX44)/(KMA_CERO-KMA_IDEAL_MAX))))</f>
        <v/>
      </c>
      <c r="CX44" s="3">
        <f>MAX(0,MIN(100,100*(M44-ANIO_MIN)/(ANIO_ACTUAL-ANIO_MIN)))</f>
        <v/>
      </c>
      <c r="CY44" s="3">
        <f>W_KMT*CV44+W_KMA*CW44+W_EDAD*CX44</f>
        <v/>
      </c>
      <c r="CZ44" s="4">
        <f>E44&amp;"|"&amp;G44</f>
        <v/>
      </c>
      <c r="DA44" s="3">
        <f>IFERROR(VLOOKUP(CZ44,DIST_TBL,2,0),"")</f>
        <v/>
      </c>
      <c r="DB44" s="3">
        <f>E_ITV*(V44="sí")+E_LIBRO*(W44="sí")+E_PROP*IF(Y44=1,1,IF(Y44=2,0.5,0))+E_CORREA*IF(OR(DA44="cadena",AND(X44="sí",BH44="sí")),1,IF(X44="sí",0.5,0))+E_FACT*(BI44="sí")</f>
        <v/>
      </c>
      <c r="DC44" s="3">
        <f>MAX(0,MIN(100,IFERROR(VLOOKUP(CL44,ETQ_TBL,2,0),0)-IF(CM44="sí",ETQ_PEN_DUD,IF(AS44="regla",ETQ_PEN_REGLA,0))))</f>
        <v/>
      </c>
      <c r="DD44" s="3">
        <f>IF(K44&lt;&gt;"gasolina","",IFERROR(VLOOKUP(F44,CONS_MOD_TBL,2,0),IFERROR(VLOOKUP(L44,CONS_SEG_TBL,2,0),"")))</f>
        <v/>
      </c>
      <c r="DE44" s="3">
        <f>IF(DD44="",NEUTRO,MAX(0,MIN(100,100*(CONS_REF_MAX-DD44)/(CONS_REF_MAX-CONS_REF_MIN))))</f>
        <v/>
      </c>
      <c r="DF44" s="3">
        <f>IFERROR(VLOOKUP(L44,SEGURO_TBL,3,0),"")</f>
        <v/>
      </c>
      <c r="DG44" s="3">
        <f>IF(DF44="",NEUTRO,MAX(0,MIN(100,100*(SEG_REF_MAX-DF44)/(SEG_REF_MAX-SEG_REF_MIN))))</f>
        <v/>
      </c>
      <c r="DH44" s="3">
        <f>IFERROR(VLOOKUP(E44,MANT_MARCA_TBL,2,0)+0,NEUTRO)</f>
        <v/>
      </c>
      <c r="DI44" s="3">
        <f>IF(DA44="",NEUTRO,IFERROR(VLOOKUP(DA44,DIST_PTS_TBL,2,0)+0,NEUTRO))</f>
        <v/>
      </c>
      <c r="DJ44" s="4">
        <f>(DH44+DI44)/2</f>
        <v/>
      </c>
      <c r="DK44" s="3">
        <f>W_CONS*DE44+W_SEG*DG44+W_MANT*DJ44</f>
        <v/>
      </c>
      <c r="DL44" s="3">
        <f>IF(N(AB44)&gt;0,AB44,IF(AND(R44="profesional",SG_LEGAL_ON=1),GAR_LEGAL,0))</f>
        <v/>
      </c>
      <c r="DM44" s="3">
        <f>MAX(0,MIN(100,SG_GAR*MIN(1,DL44/SG_GAR_FULL)+SG_AMPL*(AC44="sí")+SG_KMC*(AF44="sí")+SG_REV*(N(AE44)&gt;0)+SG_DEV*MIN(1,N(AG44)/SG_DEV_FULL)+SG_HIST*(W44="sí")-IF(AND(R44="particular",DL44=0),SG_PART_PEN,0)))</f>
        <v/>
      </c>
      <c r="DN44" s="3">
        <f>IF(BK44="",NEUTRO,MAX(0,MIN(100,BK44/5*100)))</f>
        <v/>
      </c>
      <c r="DO44" s="3">
        <f>IF(BL44="sí",100,IF(BL44="no",0,NEUTRO))</f>
        <v/>
      </c>
      <c r="DP44" s="3">
        <f>SV_W_NCAP*DN44+SV_W_ESP*DO44</f>
        <v/>
      </c>
      <c r="DQ44" s="3">
        <f>MAX(0,MIN(100,ATR_BASE+ATR_ACAB*(BD44&lt;&gt;"")+IF(BE44="16+",ATR_LL16,IF(BE44="sí",ATR_LL,0))+ATR_FAROS*(BF44="sí")+ATR_TINT*(BG44="sí")-ATR_CHAPA*(BE44="chapa")))</f>
        <v/>
      </c>
      <c r="DR44" s="3">
        <f>EST_W_MOD*(BB44-1)/4*100+EST_W_ATR*DQ44</f>
        <v/>
      </c>
      <c r="DS44" s="3">
        <f>IF(BA44="",NEUTRO,IFERROR(VLOOKUP(BA44,COLOR_TBL,2,0)+0,NEUTRO))</f>
        <v/>
      </c>
      <c r="DT44" s="3">
        <f>MAX(0,MIN(100,100*N(BM44)/RV_N_FULL))</f>
        <v/>
      </c>
      <c r="DU44" s="3">
        <f>IF(OR(BN44="",N(BO44)&lt;RV_DIAS_MIN),NEUTRO,MAX(0,MIN(100,100*(RV_DIAS_CERO-BN44)/(RV_DIAS_CERO-RV_DIAS_FULL))))</f>
        <v/>
      </c>
      <c r="DV44" s="3">
        <f>RV_W_LIQ*DT44+RV_W_DIAS*DU44+RV_W_ETQ*DC44</f>
        <v/>
      </c>
      <c r="DW44" s="3">
        <f>IFERROR(VLOOKUP(L44,CARR_PEN_TBL,2,0),0)</f>
        <v/>
      </c>
      <c r="DX44" s="3">
        <f>W_FIAB*CS44+W_PRECIO*CU44+W_KMEDAD*CY44+W_ESTADO*DB44+W_USO*DK44+W_SEGURIDAD*DM44+W_SEGVIAL*DP44+W_ESTETICA*DR44+W_COLOR*DS44+W_REVENTA*DV44-DW44-EG44</f>
        <v/>
      </c>
      <c r="DY44" s="4">
        <f>IF(N(I44)&gt;0,I44,IFERROR(ROUND(_xlfn.NUMBERVALUE(LEFT(G44,FIND(" ",G44&amp;" ")-1),".")*1000,0),99999))</f>
        <v/>
      </c>
      <c r="DZ44" s="3">
        <f>IF(R44="profesional",0,IF(O44&lt;CUOTA_VALOR_MAX,IF(BW44&gt;ITP_TRAMO_ALTO,SUMIFS(CF_CUOTA,CF_MAS,ITP_TRAMO_ALTO,CF_CCMIN,"&lt;="&amp;DY44,CF_CCMAX,"&gt;="&amp;DY44),IF(BW44&gt;ITP_TRAMO_BAJO,SUMIFS(CF_CUOTA,CF_MAS,ITP_TRAMO_BAJO,CF_CCMIN,"&lt;="&amp;DY44,CF_CCMAX,"&gt;="&amp;DY44),O44*ITP_TIPO)),O44*ITP_TIPO))</f>
        <v/>
      </c>
      <c r="EA44" s="4">
        <f>IF(R44="profesional",N(AK44),0)</f>
        <v/>
      </c>
      <c r="EB44" s="3">
        <f>IF(AND(R44="profesional",ISNUMBER(AK44),AL44="sí"),0,TASA_DGT)</f>
        <v/>
      </c>
      <c r="EC44" s="3">
        <f>INFORME_DGT</f>
        <v/>
      </c>
      <c r="ED44" s="4">
        <f>O44+EA44+DZ44+EB44+EC44</f>
        <v/>
      </c>
      <c r="EE44" s="4">
        <f>ED44+N(DF44)</f>
        <v/>
      </c>
      <c r="EF44" s="3">
        <f>MAX(0,ED44-TOTAL_MAX)</f>
        <v/>
      </c>
      <c r="EG44" s="3">
        <f>EF44/100*PEN_100</f>
        <v/>
      </c>
      <c r="EH44" s="3">
        <f>IF(R44="particular",ED44+IF(AND(DA44&lt;&gt;"cadena",X44&lt;&gt;"sí"),RES_CORREA,0)+IF(AND(BJ44&lt;&gt;"sí",BW44&gt;=RES_NEUM_EDAD),RES_NEUM,0),"")</f>
        <v/>
      </c>
      <c r="EI44" s="3">
        <f>IF(ED44&lt;=TOTAL_MAX,"sí",IF(ED44&lt;=TECHO,"negociar","no"))</f>
        <v/>
      </c>
      <c r="EJ44" s="4">
        <f>ROUND(DX44,9)</f>
        <v/>
      </c>
      <c r="EK44" s="4">
        <f>IF(EI44&lt;&gt;"no",SUMPRODUCT(($EI$2:$EI$209&lt;&gt;"no")*($EJ$2:$EJ$209&gt;EJ44))+SUMPRODUCT(($EI$2:EI44&lt;&gt;"no")*($EJ$2:EJ44=EJ44)),"")</f>
        <v/>
      </c>
    </row>
    <row r="45">
      <c r="A45" s="2" t="inlineStr">
        <is>
          <t>cochesnet:71778568</t>
        </is>
      </c>
      <c r="B45" s="2" t="inlineStr">
        <is>
          <t>cochesnet</t>
        </is>
      </c>
      <c r="C45" s="2" t="inlineStr">
        <is>
          <t>https://www.coches.net/kia-picanto-11-sohc-lx-5p-gasolina-2007-en-valencia-71778568-covo.aspx</t>
        </is>
      </c>
      <c r="D45" s="2" t="inlineStr">
        <is>
          <t>KIA Picanto 1.1 SOHC LX</t>
        </is>
      </c>
      <c r="E45" s="2" t="inlineStr">
        <is>
          <t>Kia</t>
        </is>
      </c>
      <c r="F45" s="2" t="inlineStr">
        <is>
          <t>Kia Picanto</t>
        </is>
      </c>
      <c r="G45" s="2" t="inlineStr">
        <is>
          <t>1.1</t>
        </is>
      </c>
      <c r="H45" s="2" t="inlineStr">
        <is>
          <t>1.1 SOHC LX</t>
        </is>
      </c>
      <c r="I45" s="2" t="n"/>
      <c r="J45" s="2" t="n"/>
      <c r="K45" s="2" t="inlineStr">
        <is>
          <t>gasolina</t>
        </is>
      </c>
      <c r="L45" s="2" t="inlineStr">
        <is>
          <t>utilitario</t>
        </is>
      </c>
      <c r="M45" s="2" t="n">
        <v>2007</v>
      </c>
      <c r="N45" s="2" t="n">
        <v>200000</v>
      </c>
      <c r="O45" s="2" t="n">
        <v>2480</v>
      </c>
      <c r="P45" s="2" t="inlineStr">
        <is>
          <t>manual</t>
        </is>
      </c>
      <c r="Q45" s="2" t="inlineStr">
        <is>
          <t>no</t>
        </is>
      </c>
      <c r="R45" s="2" t="inlineStr">
        <is>
          <t>profesional</t>
        </is>
      </c>
      <c r="S45" s="2" t="inlineStr">
        <is>
          <t>AUTOMOVILES CASTILLO PEPE Manises</t>
        </is>
      </c>
      <c r="T45" s="2" t="inlineStr">
        <is>
          <t>2026-10-19T10:37:43Z</t>
        </is>
      </c>
      <c r="U45" s="2" t="n">
        <v>19</v>
      </c>
      <c r="V45" s="2" t="inlineStr">
        <is>
          <t>sí</t>
        </is>
      </c>
      <c r="W45" s="2" t="n"/>
      <c r="X45" s="2" t="inlineStr">
        <is>
          <t>sí</t>
        </is>
      </c>
      <c r="Y45" s="2" t="n"/>
      <c r="Z45" s="2" t="inlineStr">
        <is>
          <t>sí</t>
        </is>
      </c>
      <c r="AA45" s="2" t="n"/>
      <c r="AB45" s="2" t="n">
        <v>12</v>
      </c>
      <c r="AC45" s="2" t="n"/>
      <c r="AD45" s="2" t="n"/>
      <c r="AE45" s="2" t="n"/>
      <c r="AF45" s="2" t="inlineStr">
        <is>
          <t>sí</t>
        </is>
      </c>
      <c r="AG45" s="2" t="n"/>
      <c r="AH45" s="2" t="n">
        <v>2480</v>
      </c>
      <c r="AI45" s="2" t="n">
        <v>2480</v>
      </c>
      <c r="AJ45" s="2" t="n"/>
      <c r="AK45" s="2" t="n"/>
      <c r="AL45" s="2" t="n"/>
      <c r="AM45" s="2" t="n">
        <v>8.1</v>
      </c>
      <c r="AN45" s="2" t="n"/>
      <c r="AO45" s="2" t="inlineStr">
        <is>
          <t>2007</t>
        </is>
      </c>
      <c r="AP45" s="2" t="n">
        <v>2007</v>
      </c>
      <c r="AQ45" s="2" t="n"/>
      <c r="AR45" s="2" t="inlineStr">
        <is>
          <t>C</t>
        </is>
      </c>
      <c r="AS45" s="2" t="inlineStr">
        <is>
          <t>anuncio</t>
        </is>
      </c>
      <c r="AT45" s="2" t="n"/>
      <c r="AU45" s="2" t="inlineStr">
        <is>
          <t>no</t>
        </is>
      </c>
      <c r="AV45" s="2" t="inlineStr">
        <is>
          <t>C</t>
        </is>
      </c>
      <c r="AW45" s="2" t="n"/>
      <c r="AX45" s="2" t="inlineStr">
        <is>
          <t>no</t>
        </is>
      </c>
      <c r="AY45" s="2" t="inlineStr">
        <is>
          <t>no</t>
        </is>
      </c>
      <c r="AZ45" s="2" t="inlineStr">
        <is>
          <t>COMMON.COLOR_GRAY</t>
        </is>
      </c>
      <c r="BA45" s="2" t="inlineStr">
        <is>
          <t>gris_medio</t>
        </is>
      </c>
      <c r="BB45" s="3" t="n">
        <v>2</v>
      </c>
      <c r="BC45" s="3" t="inlineStr">
        <is>
          <t>(por segmento)</t>
        </is>
      </c>
      <c r="BD45" s="2" t="n"/>
      <c r="BE45" s="2" t="n"/>
      <c r="BF45" s="2" t="n"/>
      <c r="BG45" s="2" t="n"/>
      <c r="BH45" s="2" t="n"/>
      <c r="BI45" s="2" t="inlineStr">
        <is>
          <t>sí</t>
        </is>
      </c>
      <c r="BJ45" s="2" t="n"/>
      <c r="BK45" s="2" t="n">
        <v>3</v>
      </c>
      <c r="BL45" s="2" t="inlineStr">
        <is>
          <t>no</t>
        </is>
      </c>
      <c r="BM45" s="2" t="n">
        <v>130</v>
      </c>
      <c r="BN45" s="2" t="n"/>
      <c r="BO45" s="2" t="n">
        <v>0</v>
      </c>
      <c r="BP45" s="2" t="n">
        <v>2590</v>
      </c>
      <c r="BQ45" s="2" t="n">
        <v>4</v>
      </c>
      <c r="BR45" s="2" t="inlineStr">
        <is>
          <t>modelo+año</t>
        </is>
      </c>
      <c r="BS45" s="2" t="n"/>
      <c r="BT45" s="2" t="inlineStr">
        <is>
          <t>vendedor profesional: sin ITP (operación con IVA/REBU, confirmar en factura); gastos de gestión del vendedor no indicados: se suma la tasa DGT; preguntar el precio final; revisar: detalles «detalles»</t>
        </is>
      </c>
      <c r="BU45" s="2" t="inlineStr">
        <is>
          <t>1. KIT DE DISTRIBUCIÓN NUEVO 
DISCOS DELANTEROS NUEVOS A TRENAR CON LAS PASTILLAS DE FRENO 
2. suspensión revisada y he cambiado piezas como rotula izquierda que estaba en mal estado 
3. Correa servicio nueva 
4. Aceite nuevo 
5. Filtro de aire nuevo
6.bomba de agua nueva 
7. Kit de embrague nuevo completo 
8. Cable de embrague al pedal nuevo
9. Bieletas de suspensión nuevas 
10. Bujías nuevas y cables de bujías nuevos también 
 TODO CON FACTURA DEMOSTRABLE 
ITV HASTA JULIO 2027 RECIEN PASADA 
* KILOMETROS CERTIFICADOS. 
 * AIRE ACONDICIONADO ENFRIA MUY BIEN, CALEFECCION FUNCIONA MUY BIEN. 
* NEUMATICOS DELANTEROS Y TRASEROS 90% DE VIDA 
*COCHE LISTO Y REVISADO PARA HACER KILOMETROS 
TODO DEMOSTRABLE !!!!
GARANTIA 1 AÑO
CONTAMOS CON TALLER PROPIO EXCLUSIVO PARA PREPARAR NUESTROS COCHES PARA LA VENTA, Y SERVICIO POST VENTA LO QUE GARANTIZA LA ATENCIÓN RÁPIDA Y PERSONALIZADA EN TODO EL PERIODO DE GARANTÍA OFRECIDO. 
COCHE CONFIABLE CON AIRBAGS BUEN MOTOR Y TODO REVISADO
ACEPTAMOS VEHICULO EN PARTE DE PAGO
ATENDEMOS SOLO CON CITA PREVIA.
Atención en Tienda Lunes A Viernes 10:00-18.30 Sábados 10:00-14:00.
CONCERTAR CITA PREVIA PARA SU MUESTRA, ACEPTAMOS TU COCHE COMO PARTE DE PAGO, 
*IMPORTANTE: POR FAVOR CONSULTAR DETALLES Y CONDICIONES Y CONCERTAR CITA PREVIA</t>
        </is>
      </c>
      <c r="BV45" s="2" t="inlineStr">
        <is>
          <t>https://www.coches.net/kia-picanto-11-sohc-lx-5p-gasolina-2007-en-valencia-71778568-covo.aspx (window.__INITIAL_PROPS__.ad) /home/user/Alopecia/buscador-coches/raw/cochesnet/3d35ecebcd70427d.json</t>
        </is>
      </c>
      <c r="BW45" s="3">
        <f>MAX(ANIO_ACTUAL-M45,0)</f>
        <v/>
      </c>
      <c r="BX45" s="4">
        <f>N45/MAX(BW45,0.5)</f>
        <v/>
      </c>
      <c r="BY45" s="4">
        <f>F45</f>
        <v/>
      </c>
      <c r="BZ45" s="3">
        <f>BY45&amp;"|"&amp;INT(M45/SEG_ANIO)*SEG_ANIO</f>
        <v/>
      </c>
      <c r="CA45" s="3">
        <f>BZ45&amp;"|"&amp;INT(N45/SEG_KM)*SEG_KM</f>
        <v/>
      </c>
      <c r="CB45" s="4">
        <f>COUNTIF($BY$2:$BY$209,BY45)</f>
        <v/>
      </c>
      <c r="CC45" s="4">
        <f>COUNTIF($BZ$2:$BZ$209,BZ45)</f>
        <v/>
      </c>
      <c r="CD45" s="4">
        <f>COUNTIF($CA$2:$CA$209,CA45)</f>
        <v/>
      </c>
      <c r="CE45" s="3">
        <f t="array" ref="CE45">IF(N(BQ45)&gt;=MIN_N,BP45,IF(CD45&gt;=MIN_N,MEDIAN(IF($CA$2:$CA$209=CA45,$O$2:$O$209)),IF(CC45&gt;=MIN_N,MEDIAN(IF($BZ$2:$BZ$209=BZ45,$O$2:$O$209)),MEDIAN(IF($BY$2:$BY$209=BY45,$O$2:$O$209)))))</f>
        <v/>
      </c>
      <c r="CF45" s="3">
        <f>IF(N(BQ45)&gt;=MIN_N,"mercado "&amp;BR45,IF(CD45&gt;=MIN_N,"modelo+año+km",IF(CC45&gt;=MIN_N,"modelo+año","modelo")))</f>
        <v/>
      </c>
      <c r="CG45" s="4">
        <f>(CE45-O45)/CE45</f>
        <v/>
      </c>
      <c r="CH45" s="3">
        <f>IF(COUNTIFS(FR_FUEL,K45,FR_YEAR,AP45)&gt;0,1,0)</f>
        <v/>
      </c>
      <c r="CI45" s="3">
        <f>IF(COUNTIFS(FR_FUEL,K45,FR_YEAR,AP45-1)&gt;0,1,0)</f>
        <v/>
      </c>
      <c r="CJ45" s="4">
        <f>IF(N(AQ45)&gt;0,AP45*100+AQ45,IF(AND(CH45=1,CI45=1),(AP45-1)*100+1,AP45*100+1))</f>
        <v/>
      </c>
      <c r="CK45" s="3">
        <f>IF(OR(K45="hibrido",K45="glp",K45="gnc",K45="phev"),"ECO",IF(K45="electrico","CERO",IF(K45="gasolina",IF(CJ45&gt;=GAS_C_YM,"C",IF(CJ45&gt;=GAS_B_YM,"B","A")),IF(K45="diesel",IF(CJ45&gt;=DIE_C_YM,"C",IF(CJ45&gt;=DIE_B_YM,"B","A")),""))))</f>
        <v/>
      </c>
      <c r="CL45" s="2" t="inlineStr">
        <is>
          <t>C</t>
        </is>
      </c>
      <c r="CM45" s="4">
        <f>IF(AU45="sí","sí",IF(AS45="regla",IF(AND(N(AQ45)=0,CH45=1),"sí","no"),"no"))</f>
        <v/>
      </c>
      <c r="CN45" s="3">
        <f>IFERROR(VLOOKUP(F45,MOD_TBL,16,0),IFERROR(VLOOKUP(E45,OCU_TBL,2,0),NEUTRO))</f>
        <v/>
      </c>
      <c r="CO45" s="3">
        <f>SUMIFS(MOT_AJUSTE,MOT_MOTOR,G45,MOT_MARCA,E45,MOT_DESDE,"&lt;="&amp;M45,MOT_HASTA,"&gt;="&amp;M45)+SUMIFS(MOT_AJUSTE,MOT_MOTOR,G45,MOT_MARCA,"(todas)",MOT_DESDE,"&lt;="&amp;M45,MOT_HASTA,"&gt;="&amp;M45)+SUMIFS(MOT_AJUSTE,MOT_MOTOR,"(cualquiera)",MOT_MARCA,E45,MOT_DESDE,"&lt;="&amp;M45,MOT_HASTA,"&gt;="&amp;M45)</f>
        <v/>
      </c>
      <c r="CP45" s="3">
        <f>SUMIFS(COMB_AJUSTE,COMB_COMB,K45)</f>
        <v/>
      </c>
      <c r="CQ45" s="3">
        <f>COUNTIFS(MOT_MOTOR,G45,MOT_MARCA,E45,MOT_DESDE,"&lt;="&amp;M45,MOT_HASTA,"&gt;="&amp;M45)+COUNTIFS(MOT_MOTOR,G45,MOT_MARCA,"(todas)",MOT_DESDE,"&lt;="&amp;M45,MOT_HASTA,"&gt;="&amp;M45)+COUNTIFS(MOT_MOTOR,"(cualquiera)",MOT_MARCA,E45,MOT_DESDE,"&lt;="&amp;M45,MOT_HASTA,"&gt;="&amp;M45)</f>
        <v/>
      </c>
      <c r="CR45" s="3">
        <f>IF(AND(K45="diesel",CQ45=0),MIN(CN45,NEUTRO),CN45)</f>
        <v/>
      </c>
      <c r="CS45" s="3">
        <f>MAX(0,MIN(100,CR45+CO45+CP45-IF(AX45="sí",ROB_PEN,0)))</f>
        <v/>
      </c>
      <c r="CT45" s="3">
        <f>100-MAX(0,N45-KM_TOPE_DESDE)/1000*KM_TOPE_PTS</f>
        <v/>
      </c>
      <c r="CU45" s="3">
        <f>MAX(0,MIN(100,50+CG45*PRECIO_PEND,CT45))</f>
        <v/>
      </c>
      <c r="CV45" s="3">
        <f>MAX(0,100*(1-N45/KM_MAX))</f>
        <v/>
      </c>
      <c r="CW45" s="3">
        <f>IF(BX45&lt;KMA_SOSP,IF(AA45="sí",100,KMA_PEN),IF(BX45&lt;=KMA_IDEAL_MAX,100,MAX(0,100*(KMA_CERO-BX45)/(KMA_CERO-KMA_IDEAL_MAX))))</f>
        <v/>
      </c>
      <c r="CX45" s="3">
        <f>MAX(0,MIN(100,100*(M45-ANIO_MIN)/(ANIO_ACTUAL-ANIO_MIN)))</f>
        <v/>
      </c>
      <c r="CY45" s="3">
        <f>W_KMT*CV45+W_KMA*CW45+W_EDAD*CX45</f>
        <v/>
      </c>
      <c r="CZ45" s="4">
        <f>E45&amp;"|"&amp;G45</f>
        <v/>
      </c>
      <c r="DA45" s="3">
        <f>IFERROR(VLOOKUP(CZ45,DIST_TBL,2,0),"")</f>
        <v/>
      </c>
      <c r="DB45" s="3">
        <f>E_ITV*(V45="sí")+E_LIBRO*(W45="sí")+E_PROP*IF(Y45=1,1,IF(Y45=2,0.5,0))+E_CORREA*IF(OR(DA45="cadena",AND(X45="sí",BH45="sí")),1,IF(X45="sí",0.5,0))+E_FACT*(BI45="sí")</f>
        <v/>
      </c>
      <c r="DC45" s="3">
        <f>MAX(0,MIN(100,IFERROR(VLOOKUP(CL45,ETQ_TBL,2,0),0)-IF(CM45="sí",ETQ_PEN_DUD,IF(AS45="regla",ETQ_PEN_REGLA,0))))</f>
        <v/>
      </c>
      <c r="DD45" s="3">
        <f>IF(K45&lt;&gt;"gasolina","",IFERROR(VLOOKUP(F45,CONS_MOD_TBL,2,0),IFERROR(VLOOKUP(L45,CONS_SEG_TBL,2,0),"")))</f>
        <v/>
      </c>
      <c r="DE45" s="3">
        <f>IF(DD45="",NEUTRO,MAX(0,MIN(100,100*(CONS_REF_MAX-DD45)/(CONS_REF_MAX-CONS_REF_MIN))))</f>
        <v/>
      </c>
      <c r="DF45" s="3">
        <f>IFERROR(VLOOKUP(L45,SEGURO_TBL,3,0),"")</f>
        <v/>
      </c>
      <c r="DG45" s="3">
        <f>IF(DF45="",NEUTRO,MAX(0,MIN(100,100*(SEG_REF_MAX-DF45)/(SEG_REF_MAX-SEG_REF_MIN))))</f>
        <v/>
      </c>
      <c r="DH45" s="3">
        <f>IFERROR(VLOOKUP(E45,MANT_MARCA_TBL,2,0)+0,NEUTRO)</f>
        <v/>
      </c>
      <c r="DI45" s="3">
        <f>IF(DA45="",NEUTRO,IFERROR(VLOOKUP(DA45,DIST_PTS_TBL,2,0)+0,NEUTRO))</f>
        <v/>
      </c>
      <c r="DJ45" s="4">
        <f>(DH45+DI45)/2</f>
        <v/>
      </c>
      <c r="DK45" s="3">
        <f>W_CONS*DE45+W_SEG*DG45+W_MANT*DJ45</f>
        <v/>
      </c>
      <c r="DL45" s="3">
        <f>IF(N(AB45)&gt;0,AB45,IF(AND(R45="profesional",SG_LEGAL_ON=1),GAR_LEGAL,0))</f>
        <v/>
      </c>
      <c r="DM45" s="3">
        <f>MAX(0,MIN(100,SG_GAR*MIN(1,DL45/SG_GAR_FULL)+SG_AMPL*(AC45="sí")+SG_KMC*(AF45="sí")+SG_REV*(N(AE45)&gt;0)+SG_DEV*MIN(1,N(AG45)/SG_DEV_FULL)+SG_HIST*(W45="sí")-IF(AND(R45="particular",DL45=0),SG_PART_PEN,0)))</f>
        <v/>
      </c>
      <c r="DN45" s="3">
        <f>IF(BK45="",NEUTRO,MAX(0,MIN(100,BK45/5*100)))</f>
        <v/>
      </c>
      <c r="DO45" s="3">
        <f>IF(BL45="sí",100,IF(BL45="no",0,NEUTRO))</f>
        <v/>
      </c>
      <c r="DP45" s="3">
        <f>SV_W_NCAP*DN45+SV_W_ESP*DO45</f>
        <v/>
      </c>
      <c r="DQ45" s="3">
        <f>MAX(0,MIN(100,ATR_BASE+ATR_ACAB*(BD45&lt;&gt;"")+IF(BE45="16+",ATR_LL16,IF(BE45="sí",ATR_LL,0))+ATR_FAROS*(BF45="sí")+ATR_TINT*(BG45="sí")-ATR_CHAPA*(BE45="chapa")))</f>
        <v/>
      </c>
      <c r="DR45" s="3">
        <f>EST_W_MOD*(BB45-1)/4*100+EST_W_ATR*DQ45</f>
        <v/>
      </c>
      <c r="DS45" s="3">
        <f>IF(BA45="",NEUTRO,IFERROR(VLOOKUP(BA45,COLOR_TBL,2,0)+0,NEUTRO))</f>
        <v/>
      </c>
      <c r="DT45" s="3">
        <f>MAX(0,MIN(100,100*N(BM45)/RV_N_FULL))</f>
        <v/>
      </c>
      <c r="DU45" s="3">
        <f>IF(OR(BN45="",N(BO45)&lt;RV_DIAS_MIN),NEUTRO,MAX(0,MIN(100,100*(RV_DIAS_CERO-BN45)/(RV_DIAS_CERO-RV_DIAS_FULL))))</f>
        <v/>
      </c>
      <c r="DV45" s="3">
        <f>RV_W_LIQ*DT45+RV_W_DIAS*DU45+RV_W_ETQ*DC45</f>
        <v/>
      </c>
      <c r="DW45" s="3">
        <f>IFERROR(VLOOKUP(L45,CARR_PEN_TBL,2,0),0)</f>
        <v/>
      </c>
      <c r="DX45" s="3">
        <f>W_FIAB*CS45+W_PRECIO*CU45+W_KMEDAD*CY45+W_ESTADO*DB45+W_USO*DK45+W_SEGURIDAD*DM45+W_SEGVIAL*DP45+W_ESTETICA*DR45+W_COLOR*DS45+W_REVENTA*DV45-DW45-EG45</f>
        <v/>
      </c>
      <c r="DY45" s="4">
        <f>IF(N(I45)&gt;0,I45,IFERROR(ROUND(_xlfn.NUMBERVALUE(LEFT(G45,FIND(" ",G45&amp;" ")-1),".")*1000,0),99999))</f>
        <v/>
      </c>
      <c r="DZ45" s="3">
        <f>IF(R45="profesional",0,IF(O45&lt;CUOTA_VALOR_MAX,IF(BW45&gt;ITP_TRAMO_ALTO,SUMIFS(CF_CUOTA,CF_MAS,ITP_TRAMO_ALTO,CF_CCMIN,"&lt;="&amp;DY45,CF_CCMAX,"&gt;="&amp;DY45),IF(BW45&gt;ITP_TRAMO_BAJO,SUMIFS(CF_CUOTA,CF_MAS,ITP_TRAMO_BAJO,CF_CCMIN,"&lt;="&amp;DY45,CF_CCMAX,"&gt;="&amp;DY45),O45*ITP_TIPO)),O45*ITP_TIPO))</f>
        <v/>
      </c>
      <c r="EA45" s="4">
        <f>IF(R45="profesional",N(AK45),0)</f>
        <v/>
      </c>
      <c r="EB45" s="3">
        <f>IF(AND(R45="profesional",ISNUMBER(AK45),AL45="sí"),0,TASA_DGT)</f>
        <v/>
      </c>
      <c r="EC45" s="3">
        <f>INFORME_DGT</f>
        <v/>
      </c>
      <c r="ED45" s="4">
        <f>O45+EA45+DZ45+EB45+EC45</f>
        <v/>
      </c>
      <c r="EE45" s="4">
        <f>ED45+N(DF45)</f>
        <v/>
      </c>
      <c r="EF45" s="3">
        <f>MAX(0,ED45-TOTAL_MAX)</f>
        <v/>
      </c>
      <c r="EG45" s="3">
        <f>EF45/100*PEN_100</f>
        <v/>
      </c>
      <c r="EH45" s="3">
        <f>IF(R45="particular",ED45+IF(AND(DA45&lt;&gt;"cadena",X45&lt;&gt;"sí"),RES_CORREA,0)+IF(AND(BJ45&lt;&gt;"sí",BW45&gt;=RES_NEUM_EDAD),RES_NEUM,0),"")</f>
        <v/>
      </c>
      <c r="EI45" s="3">
        <f>IF(ED45&lt;=TOTAL_MAX,"sí",IF(ED45&lt;=TECHO,"negociar","no"))</f>
        <v/>
      </c>
      <c r="EJ45" s="4">
        <f>ROUND(DX45,9)</f>
        <v/>
      </c>
      <c r="EK45" s="4">
        <f>IF(EI45&lt;&gt;"no",SUMPRODUCT(($EI$2:$EI$209&lt;&gt;"no")*($EJ$2:$EJ$209&gt;EJ45))+SUMPRODUCT(($EI$2:EI45&lt;&gt;"no")*($EJ$2:EJ45=EJ45)),"")</f>
        <v/>
      </c>
    </row>
    <row r="46">
      <c r="A46" s="2" t="inlineStr">
        <is>
          <t>cochesnet:71687938</t>
        </is>
      </c>
      <c r="B46" s="2" t="inlineStr">
        <is>
          <t>cochesnet</t>
        </is>
      </c>
      <c r="C46" s="2" t="inlineStr">
        <is>
          <t>https://www.coches.net/kia-picanto-11-sohc-ex-5p-gasolina-2006-en-valencia-71687938-covo.aspx</t>
        </is>
      </c>
      <c r="D46" s="2" t="inlineStr">
        <is>
          <t>KIA Picanto 1.1 SOHC EX</t>
        </is>
      </c>
      <c r="E46" s="2" t="inlineStr">
        <is>
          <t>Kia</t>
        </is>
      </c>
      <c r="F46" s="2" t="inlineStr">
        <is>
          <t>Kia Picanto</t>
        </is>
      </c>
      <c r="G46" s="2" t="inlineStr">
        <is>
          <t>1.1</t>
        </is>
      </c>
      <c r="H46" s="2" t="inlineStr">
        <is>
          <t>1.1 SOHC EX</t>
        </is>
      </c>
      <c r="I46" s="2" t="n"/>
      <c r="J46" s="2" t="n"/>
      <c r="K46" s="2" t="inlineStr">
        <is>
          <t>gasolina</t>
        </is>
      </c>
      <c r="L46" s="2" t="inlineStr">
        <is>
          <t>utilitario</t>
        </is>
      </c>
      <c r="M46" s="2" t="n">
        <v>2006</v>
      </c>
      <c r="N46" s="2" t="n">
        <v>117000</v>
      </c>
      <c r="O46" s="2" t="n">
        <v>3400</v>
      </c>
      <c r="P46" s="2" t="inlineStr">
        <is>
          <t>manual</t>
        </is>
      </c>
      <c r="Q46" s="2" t="inlineStr">
        <is>
          <t>no</t>
        </is>
      </c>
      <c r="R46" s="2" t="inlineStr">
        <is>
          <t>profesional</t>
        </is>
      </c>
      <c r="S46" s="2" t="inlineStr">
        <is>
          <t>FERNANDO SEBASTIAN Valencia</t>
        </is>
      </c>
      <c r="T46" s="2" t="inlineStr">
        <is>
          <t>2026-10-06T17:47:32Z</t>
        </is>
      </c>
      <c r="U46" s="2" t="n">
        <v>17</v>
      </c>
      <c r="V46" s="2" t="n"/>
      <c r="W46" s="2" t="n"/>
      <c r="X46" s="2" t="n"/>
      <c r="Y46" s="2" t="n"/>
      <c r="Z46" s="2" t="inlineStr">
        <is>
          <t>sí</t>
        </is>
      </c>
      <c r="AA46" s="2" t="n"/>
      <c r="AB46" s="2" t="n">
        <v>12</v>
      </c>
      <c r="AC46" s="2" t="n"/>
      <c r="AD46" s="2" t="n"/>
      <c r="AE46" s="2" t="n"/>
      <c r="AF46" s="2" t="n"/>
      <c r="AG46" s="2" t="n"/>
      <c r="AH46" s="2" t="n">
        <v>3400</v>
      </c>
      <c r="AI46" s="2" t="n"/>
      <c r="AJ46" s="2" t="n"/>
      <c r="AK46" s="2" t="n"/>
      <c r="AL46" s="2" t="n"/>
      <c r="AM46" s="2" t="n">
        <v>0.1</v>
      </c>
      <c r="AN46" s="2" t="n"/>
      <c r="AO46" s="2" t="inlineStr">
        <is>
          <t>2006</t>
        </is>
      </c>
      <c r="AP46" s="2" t="n">
        <v>2006</v>
      </c>
      <c r="AQ46" s="2" t="n"/>
      <c r="AR46" s="2" t="inlineStr">
        <is>
          <t>C</t>
        </is>
      </c>
      <c r="AS46" s="2" t="inlineStr">
        <is>
          <t>anuncio</t>
        </is>
      </c>
      <c r="AT46" s="2" t="n"/>
      <c r="AU46" s="2" t="inlineStr">
        <is>
          <t>no</t>
        </is>
      </c>
      <c r="AV46" s="2" t="inlineStr">
        <is>
          <t>C</t>
        </is>
      </c>
      <c r="AW46" s="2" t="n"/>
      <c r="AX46" s="2" t="inlineStr">
        <is>
          <t>no</t>
        </is>
      </c>
      <c r="AY46" s="2" t="inlineStr">
        <is>
          <t>no</t>
        </is>
      </c>
      <c r="AZ46" s="2" t="inlineStr">
        <is>
          <t>COMMON.COLOR_RED</t>
        </is>
      </c>
      <c r="BA46" s="2" t="inlineStr">
        <is>
          <t>rojo</t>
        </is>
      </c>
      <c r="BB46" s="3" t="n">
        <v>2</v>
      </c>
      <c r="BC46" s="3" t="inlineStr">
        <is>
          <t>(por segmento)</t>
        </is>
      </c>
      <c r="BD46" s="2" t="n"/>
      <c r="BE46" s="2" t="n"/>
      <c r="BF46" s="2" t="n"/>
      <c r="BG46" s="2" t="n"/>
      <c r="BH46" s="2" t="n"/>
      <c r="BI46" s="2" t="n"/>
      <c r="BJ46" s="2" t="n"/>
      <c r="BK46" s="2" t="n">
        <v>3</v>
      </c>
      <c r="BL46" s="2" t="inlineStr">
        <is>
          <t>no</t>
        </is>
      </c>
      <c r="BM46" s="2" t="n">
        <v>130</v>
      </c>
      <c r="BN46" s="2" t="n"/>
      <c r="BO46" s="2" t="n">
        <v>0</v>
      </c>
      <c r="BP46" s="2" t="n">
        <v>2800</v>
      </c>
      <c r="BQ46" s="2" t="n">
        <v>7</v>
      </c>
      <c r="BR46" s="2" t="inlineStr">
        <is>
          <t>modelo+año</t>
        </is>
      </c>
      <c r="BS46" s="2" t="n"/>
      <c r="BT46" s="2" t="inlineStr">
        <is>
          <t>vendedor profesional: sin ITP (operación con IVA/REBU, confirmar en factura); gastos de gestión del vendedor no indicados: se suma la tasa DGT; preguntar el precio final</t>
        </is>
      </c>
      <c r="BU46" s="2" t="inlineStr">
        <is>
          <t>Kia Picanto excelente estado general Etiqueta ambiente verde C, ITV vigente, aire acondicionado, elevalunas en las 4 ventanas, retrovisores electrónico. Excelente estado general.</t>
        </is>
      </c>
      <c r="BV46" s="2" t="inlineStr">
        <is>
          <t>https://www.coches.net/kia-picanto-11-sohc-ex-5p-gasolina-2006-en-valencia-71687938-covo.aspx (window.__INITIAL_PROPS__.ad) /home/user/Alopecia/buscador-coches/raw/cochesnet/f992aa3ba941a317.json</t>
        </is>
      </c>
      <c r="BW46" s="3">
        <f>MAX(ANIO_ACTUAL-M46,0)</f>
        <v/>
      </c>
      <c r="BX46" s="4">
        <f>N46/MAX(BW46,0.5)</f>
        <v/>
      </c>
      <c r="BY46" s="4">
        <f>F46</f>
        <v/>
      </c>
      <c r="BZ46" s="3">
        <f>BY46&amp;"|"&amp;INT(M46/SEG_ANIO)*SEG_ANIO</f>
        <v/>
      </c>
      <c r="CA46" s="3">
        <f>BZ46&amp;"|"&amp;INT(N46/SEG_KM)*SEG_KM</f>
        <v/>
      </c>
      <c r="CB46" s="4">
        <f>COUNTIF($BY$2:$BY$209,BY46)</f>
        <v/>
      </c>
      <c r="CC46" s="4">
        <f>COUNTIF($BZ$2:$BZ$209,BZ46)</f>
        <v/>
      </c>
      <c r="CD46" s="4">
        <f>COUNTIF($CA$2:$CA$209,CA46)</f>
        <v/>
      </c>
      <c r="CE46" s="3">
        <f t="array" ref="CE46">IF(N(BQ46)&gt;=MIN_N,BP46,IF(CD46&gt;=MIN_N,MEDIAN(IF($CA$2:$CA$209=CA46,$O$2:$O$209)),IF(CC46&gt;=MIN_N,MEDIAN(IF($BZ$2:$BZ$209=BZ46,$O$2:$O$209)),MEDIAN(IF($BY$2:$BY$209=BY46,$O$2:$O$209)))))</f>
        <v/>
      </c>
      <c r="CF46" s="3">
        <f>IF(N(BQ46)&gt;=MIN_N,"mercado "&amp;BR46,IF(CD46&gt;=MIN_N,"modelo+año+km",IF(CC46&gt;=MIN_N,"modelo+año","modelo")))</f>
        <v/>
      </c>
      <c r="CG46" s="4">
        <f>(CE46-O46)/CE46</f>
        <v/>
      </c>
      <c r="CH46" s="3">
        <f>IF(COUNTIFS(FR_FUEL,K46,FR_YEAR,AP46)&gt;0,1,0)</f>
        <v/>
      </c>
      <c r="CI46" s="3">
        <f>IF(COUNTIFS(FR_FUEL,K46,FR_YEAR,AP46-1)&gt;0,1,0)</f>
        <v/>
      </c>
      <c r="CJ46" s="4">
        <f>IF(N(AQ46)&gt;0,AP46*100+AQ46,IF(AND(CH46=1,CI46=1),(AP46-1)*100+1,AP46*100+1))</f>
        <v/>
      </c>
      <c r="CK46" s="3">
        <f>IF(OR(K46="hibrido",K46="glp",K46="gnc",K46="phev"),"ECO",IF(K46="electrico","CERO",IF(K46="gasolina",IF(CJ46&gt;=GAS_C_YM,"C",IF(CJ46&gt;=GAS_B_YM,"B","A")),IF(K46="diesel",IF(CJ46&gt;=DIE_C_YM,"C",IF(CJ46&gt;=DIE_B_YM,"B","A")),""))))</f>
        <v/>
      </c>
      <c r="CL46" s="2" t="inlineStr">
        <is>
          <t>C</t>
        </is>
      </c>
      <c r="CM46" s="4">
        <f>IF(AU46="sí","sí",IF(AS46="regla",IF(AND(N(AQ46)=0,CH46=1),"sí","no"),"no"))</f>
        <v/>
      </c>
      <c r="CN46" s="3">
        <f>IFERROR(VLOOKUP(F46,MOD_TBL,16,0),IFERROR(VLOOKUP(E46,OCU_TBL,2,0),NEUTRO))</f>
        <v/>
      </c>
      <c r="CO46" s="3">
        <f>SUMIFS(MOT_AJUSTE,MOT_MOTOR,G46,MOT_MARCA,E46,MOT_DESDE,"&lt;="&amp;M46,MOT_HASTA,"&gt;="&amp;M46)+SUMIFS(MOT_AJUSTE,MOT_MOTOR,G46,MOT_MARCA,"(todas)",MOT_DESDE,"&lt;="&amp;M46,MOT_HASTA,"&gt;="&amp;M46)+SUMIFS(MOT_AJUSTE,MOT_MOTOR,"(cualquiera)",MOT_MARCA,E46,MOT_DESDE,"&lt;="&amp;M46,MOT_HASTA,"&gt;="&amp;M46)</f>
        <v/>
      </c>
      <c r="CP46" s="3">
        <f>SUMIFS(COMB_AJUSTE,COMB_COMB,K46)</f>
        <v/>
      </c>
      <c r="CQ46" s="3">
        <f>COUNTIFS(MOT_MOTOR,G46,MOT_MARCA,E46,MOT_DESDE,"&lt;="&amp;M46,MOT_HASTA,"&gt;="&amp;M46)+COUNTIFS(MOT_MOTOR,G46,MOT_MARCA,"(todas)",MOT_DESDE,"&lt;="&amp;M46,MOT_HASTA,"&gt;="&amp;M46)+COUNTIFS(MOT_MOTOR,"(cualquiera)",MOT_MARCA,E46,MOT_DESDE,"&lt;="&amp;M46,MOT_HASTA,"&gt;="&amp;M46)</f>
        <v/>
      </c>
      <c r="CR46" s="3">
        <f>IF(AND(K46="diesel",CQ46=0),MIN(CN46,NEUTRO),CN46)</f>
        <v/>
      </c>
      <c r="CS46" s="3">
        <f>MAX(0,MIN(100,CR46+CO46+CP46-IF(AX46="sí",ROB_PEN,0)))</f>
        <v/>
      </c>
      <c r="CT46" s="3">
        <f>100-MAX(0,N46-KM_TOPE_DESDE)/1000*KM_TOPE_PTS</f>
        <v/>
      </c>
      <c r="CU46" s="3">
        <f>MAX(0,MIN(100,50+CG46*PRECIO_PEND,CT46))</f>
        <v/>
      </c>
      <c r="CV46" s="3">
        <f>MAX(0,100*(1-N46/KM_MAX))</f>
        <v/>
      </c>
      <c r="CW46" s="3">
        <f>IF(BX46&lt;KMA_SOSP,IF(AA46="sí",100,KMA_PEN),IF(BX46&lt;=KMA_IDEAL_MAX,100,MAX(0,100*(KMA_CERO-BX46)/(KMA_CERO-KMA_IDEAL_MAX))))</f>
        <v/>
      </c>
      <c r="CX46" s="3">
        <f>MAX(0,MIN(100,100*(M46-ANIO_MIN)/(ANIO_ACTUAL-ANIO_MIN)))</f>
        <v/>
      </c>
      <c r="CY46" s="3">
        <f>W_KMT*CV46+W_KMA*CW46+W_EDAD*CX46</f>
        <v/>
      </c>
      <c r="CZ46" s="4">
        <f>E46&amp;"|"&amp;G46</f>
        <v/>
      </c>
      <c r="DA46" s="3">
        <f>IFERROR(VLOOKUP(CZ46,DIST_TBL,2,0),"")</f>
        <v/>
      </c>
      <c r="DB46" s="3">
        <f>E_ITV*(V46="sí")+E_LIBRO*(W46="sí")+E_PROP*IF(Y46=1,1,IF(Y46=2,0.5,0))+E_CORREA*IF(OR(DA46="cadena",AND(X46="sí",BH46="sí")),1,IF(X46="sí",0.5,0))+E_FACT*(BI46="sí")</f>
        <v/>
      </c>
      <c r="DC46" s="3">
        <f>MAX(0,MIN(100,IFERROR(VLOOKUP(CL46,ETQ_TBL,2,0),0)-IF(CM46="sí",ETQ_PEN_DUD,IF(AS46="regla",ETQ_PEN_REGLA,0))))</f>
        <v/>
      </c>
      <c r="DD46" s="3">
        <f>IF(K46&lt;&gt;"gasolina","",IFERROR(VLOOKUP(F46,CONS_MOD_TBL,2,0),IFERROR(VLOOKUP(L46,CONS_SEG_TBL,2,0),"")))</f>
        <v/>
      </c>
      <c r="DE46" s="3">
        <f>IF(DD46="",NEUTRO,MAX(0,MIN(100,100*(CONS_REF_MAX-DD46)/(CONS_REF_MAX-CONS_REF_MIN))))</f>
        <v/>
      </c>
      <c r="DF46" s="3">
        <f>IFERROR(VLOOKUP(L46,SEGURO_TBL,3,0),"")</f>
        <v/>
      </c>
      <c r="DG46" s="3">
        <f>IF(DF46="",NEUTRO,MAX(0,MIN(100,100*(SEG_REF_MAX-DF46)/(SEG_REF_MAX-SEG_REF_MIN))))</f>
        <v/>
      </c>
      <c r="DH46" s="3">
        <f>IFERROR(VLOOKUP(E46,MANT_MARCA_TBL,2,0)+0,NEUTRO)</f>
        <v/>
      </c>
      <c r="DI46" s="3">
        <f>IF(DA46="",NEUTRO,IFERROR(VLOOKUP(DA46,DIST_PTS_TBL,2,0)+0,NEUTRO))</f>
        <v/>
      </c>
      <c r="DJ46" s="4">
        <f>(DH46+DI46)/2</f>
        <v/>
      </c>
      <c r="DK46" s="3">
        <f>W_CONS*DE46+W_SEG*DG46+W_MANT*DJ46</f>
        <v/>
      </c>
      <c r="DL46" s="3">
        <f>IF(N(AB46)&gt;0,AB46,IF(AND(R46="profesional",SG_LEGAL_ON=1),GAR_LEGAL,0))</f>
        <v/>
      </c>
      <c r="DM46" s="3">
        <f>MAX(0,MIN(100,SG_GAR*MIN(1,DL46/SG_GAR_FULL)+SG_AMPL*(AC46="sí")+SG_KMC*(AF46="sí")+SG_REV*(N(AE46)&gt;0)+SG_DEV*MIN(1,N(AG46)/SG_DEV_FULL)+SG_HIST*(W46="sí")-IF(AND(R46="particular",DL46=0),SG_PART_PEN,0)))</f>
        <v/>
      </c>
      <c r="DN46" s="3">
        <f>IF(BK46="",NEUTRO,MAX(0,MIN(100,BK46/5*100)))</f>
        <v/>
      </c>
      <c r="DO46" s="3">
        <f>IF(BL46="sí",100,IF(BL46="no",0,NEUTRO))</f>
        <v/>
      </c>
      <c r="DP46" s="3">
        <f>SV_W_NCAP*DN46+SV_W_ESP*DO46</f>
        <v/>
      </c>
      <c r="DQ46" s="3">
        <f>MAX(0,MIN(100,ATR_BASE+ATR_ACAB*(BD46&lt;&gt;"")+IF(BE46="16+",ATR_LL16,IF(BE46="sí",ATR_LL,0))+ATR_FAROS*(BF46="sí")+ATR_TINT*(BG46="sí")-ATR_CHAPA*(BE46="chapa")))</f>
        <v/>
      </c>
      <c r="DR46" s="3">
        <f>EST_W_MOD*(BB46-1)/4*100+EST_W_ATR*DQ46</f>
        <v/>
      </c>
      <c r="DS46" s="3">
        <f>IF(BA46="",NEUTRO,IFERROR(VLOOKUP(BA46,COLOR_TBL,2,0)+0,NEUTRO))</f>
        <v/>
      </c>
      <c r="DT46" s="3">
        <f>MAX(0,MIN(100,100*N(BM46)/RV_N_FULL))</f>
        <v/>
      </c>
      <c r="DU46" s="3">
        <f>IF(OR(BN46="",N(BO46)&lt;RV_DIAS_MIN),NEUTRO,MAX(0,MIN(100,100*(RV_DIAS_CERO-BN46)/(RV_DIAS_CERO-RV_DIAS_FULL))))</f>
        <v/>
      </c>
      <c r="DV46" s="3">
        <f>RV_W_LIQ*DT46+RV_W_DIAS*DU46+RV_W_ETQ*DC46</f>
        <v/>
      </c>
      <c r="DW46" s="3">
        <f>IFERROR(VLOOKUP(L46,CARR_PEN_TBL,2,0),0)</f>
        <v/>
      </c>
      <c r="DX46" s="3">
        <f>W_FIAB*CS46+W_PRECIO*CU46+W_KMEDAD*CY46+W_ESTADO*DB46+W_USO*DK46+W_SEGURIDAD*DM46+W_SEGVIAL*DP46+W_ESTETICA*DR46+W_COLOR*DS46+W_REVENTA*DV46-DW46-EG46</f>
        <v/>
      </c>
      <c r="DY46" s="4">
        <f>IF(N(I46)&gt;0,I46,IFERROR(ROUND(_xlfn.NUMBERVALUE(LEFT(G46,FIND(" ",G46&amp;" ")-1),".")*1000,0),99999))</f>
        <v/>
      </c>
      <c r="DZ46" s="3">
        <f>IF(R46="profesional",0,IF(O46&lt;CUOTA_VALOR_MAX,IF(BW46&gt;ITP_TRAMO_ALTO,SUMIFS(CF_CUOTA,CF_MAS,ITP_TRAMO_ALTO,CF_CCMIN,"&lt;="&amp;DY46,CF_CCMAX,"&gt;="&amp;DY46),IF(BW46&gt;ITP_TRAMO_BAJO,SUMIFS(CF_CUOTA,CF_MAS,ITP_TRAMO_BAJO,CF_CCMIN,"&lt;="&amp;DY46,CF_CCMAX,"&gt;="&amp;DY46),O46*ITP_TIPO)),O46*ITP_TIPO))</f>
        <v/>
      </c>
      <c r="EA46" s="4">
        <f>IF(R46="profesional",N(AK46),0)</f>
        <v/>
      </c>
      <c r="EB46" s="3">
        <f>IF(AND(R46="profesional",ISNUMBER(AK46),AL46="sí"),0,TASA_DGT)</f>
        <v/>
      </c>
      <c r="EC46" s="3">
        <f>INFORME_DGT</f>
        <v/>
      </c>
      <c r="ED46" s="4">
        <f>O46+EA46+DZ46+EB46+EC46</f>
        <v/>
      </c>
      <c r="EE46" s="4">
        <f>ED46+N(DF46)</f>
        <v/>
      </c>
      <c r="EF46" s="3">
        <f>MAX(0,ED46-TOTAL_MAX)</f>
        <v/>
      </c>
      <c r="EG46" s="3">
        <f>EF46/100*PEN_100</f>
        <v/>
      </c>
      <c r="EH46" s="3">
        <f>IF(R46="particular",ED46+IF(AND(DA46&lt;&gt;"cadena",X46&lt;&gt;"sí"),RES_CORREA,0)+IF(AND(BJ46&lt;&gt;"sí",BW46&gt;=RES_NEUM_EDAD),RES_NEUM,0),"")</f>
        <v/>
      </c>
      <c r="EI46" s="3">
        <f>IF(ED46&lt;=TOTAL_MAX,"sí",IF(ED46&lt;=TECHO,"negociar","no"))</f>
        <v/>
      </c>
      <c r="EJ46" s="4">
        <f>ROUND(DX46,9)</f>
        <v/>
      </c>
      <c r="EK46" s="4">
        <f>IF(EI46&lt;&gt;"no",SUMPRODUCT(($EI$2:$EI$209&lt;&gt;"no")*($EJ$2:$EJ$209&gt;EJ46))+SUMPRODUCT(($EI$2:EI46&lt;&gt;"no")*($EJ$2:EJ46=EJ46)),"")</f>
        <v/>
      </c>
    </row>
    <row r="47">
      <c r="A47" s="2" t="inlineStr">
        <is>
          <t>cochesnet:71704887</t>
        </is>
      </c>
      <c r="B47" s="2" t="inlineStr">
        <is>
          <t>cochesnet</t>
        </is>
      </c>
      <c r="C47" s="2" t="inlineStr">
        <is>
          <t>https://www.coches.net/kia-ceed-16-crdi-115cv-emotion-5p-diesel-2009-en-valencia-71704887-covo.aspx</t>
        </is>
      </c>
      <c r="D47" s="2" t="inlineStr">
        <is>
          <t>KIA cee'd 1.6 CRDi Emotion</t>
        </is>
      </c>
      <c r="E47" s="2" t="inlineStr">
        <is>
          <t>Kia</t>
        </is>
      </c>
      <c r="F47" s="2" t="inlineStr">
        <is>
          <t>Kia Ceed</t>
        </is>
      </c>
      <c r="G47" s="2" t="inlineStr">
        <is>
          <t>1.6 CRDi</t>
        </is>
      </c>
      <c r="H47" s="2" t="inlineStr">
        <is>
          <t>1.6 CRDi 115cv Emotion</t>
        </is>
      </c>
      <c r="I47" s="2" t="n"/>
      <c r="J47" s="2" t="n">
        <v>115</v>
      </c>
      <c r="K47" s="2" t="inlineStr">
        <is>
          <t>diesel</t>
        </is>
      </c>
      <c r="L47" s="2" t="inlineStr">
        <is>
          <t>compacto</t>
        </is>
      </c>
      <c r="M47" s="2" t="n">
        <v>2008</v>
      </c>
      <c r="N47" s="2" t="n">
        <v>110000</v>
      </c>
      <c r="O47" s="2" t="n">
        <v>4990</v>
      </c>
      <c r="P47" s="2" t="inlineStr">
        <is>
          <t>manual</t>
        </is>
      </c>
      <c r="Q47" s="2" t="inlineStr">
        <is>
          <t>no</t>
        </is>
      </c>
      <c r="R47" s="2" t="inlineStr">
        <is>
          <t>profesional</t>
        </is>
      </c>
      <c r="S47" s="2" t="inlineStr">
        <is>
          <t>Autos Solea Alboraya</t>
        </is>
      </c>
      <c r="T47" s="2" t="inlineStr">
        <is>
          <t>2026-10-08T17:37:41Z</t>
        </is>
      </c>
      <c r="U47" s="2" t="n">
        <v>17</v>
      </c>
      <c r="V47" s="2" t="n"/>
      <c r="W47" s="2" t="n"/>
      <c r="X47" s="2" t="n"/>
      <c r="Y47" s="2" t="n"/>
      <c r="Z47" s="2" t="inlineStr">
        <is>
          <t>sí</t>
        </is>
      </c>
      <c r="AA47" s="2" t="n"/>
      <c r="AB47" s="2" t="n">
        <v>12</v>
      </c>
      <c r="AC47" s="2" t="n"/>
      <c r="AD47" s="2" t="n"/>
      <c r="AE47" s="2" t="n"/>
      <c r="AF47" s="2" t="n"/>
      <c r="AG47" s="2" t="n"/>
      <c r="AH47" s="2" t="n">
        <v>4990</v>
      </c>
      <c r="AI47" s="2" t="n">
        <v>4990</v>
      </c>
      <c r="AJ47" s="2" t="n"/>
      <c r="AK47" s="2" t="n"/>
      <c r="AL47" s="2" t="n"/>
      <c r="AM47" s="2" t="n">
        <v>4</v>
      </c>
      <c r="AN47" s="2" t="n"/>
      <c r="AO47" s="2" t="inlineStr">
        <is>
          <t>2008</t>
        </is>
      </c>
      <c r="AP47" s="2" t="n">
        <v>2008</v>
      </c>
      <c r="AQ47" s="2" t="n"/>
      <c r="AR47" s="2" t="inlineStr">
        <is>
          <t>B</t>
        </is>
      </c>
      <c r="AS47" s="2" t="inlineStr">
        <is>
          <t>anuncio</t>
        </is>
      </c>
      <c r="AT47" s="2" t="n">
        <v>2009</v>
      </c>
      <c r="AU47" s="2" t="inlineStr">
        <is>
          <t>no</t>
        </is>
      </c>
      <c r="AV47" s="2" t="inlineStr">
        <is>
          <t>B</t>
        </is>
      </c>
      <c r="AW47" s="2" t="n"/>
      <c r="AX47" s="2" t="inlineStr">
        <is>
          <t>no</t>
        </is>
      </c>
      <c r="AY47" s="2" t="inlineStr">
        <is>
          <t>no</t>
        </is>
      </c>
      <c r="AZ47" s="2" t="inlineStr">
        <is>
          <t>COMMON.COLOR_YELLOW</t>
        </is>
      </c>
      <c r="BA47" s="2" t="inlineStr">
        <is>
          <t>chillon</t>
        </is>
      </c>
      <c r="BB47" s="3" t="n">
        <v>3</v>
      </c>
      <c r="BC47" s="3" t="inlineStr">
        <is>
          <t>(por segmento)</t>
        </is>
      </c>
      <c r="BD47" s="2" t="n"/>
      <c r="BE47" s="2" t="n"/>
      <c r="BF47" s="2" t="n"/>
      <c r="BG47" s="2" t="n"/>
      <c r="BH47" s="2" t="n"/>
      <c r="BI47" s="2" t="n"/>
      <c r="BJ47" s="2" t="n"/>
      <c r="BK47" s="2" t="n"/>
      <c r="BL47" s="2" t="inlineStr">
        <is>
          <t>sí</t>
        </is>
      </c>
      <c r="BM47" s="2" t="n">
        <v>197</v>
      </c>
      <c r="BN47" s="2" t="n">
        <v>0.05126157402992249</v>
      </c>
      <c r="BO47" s="2" t="n">
        <v>1</v>
      </c>
      <c r="BP47" s="2" t="n"/>
      <c r="BQ47" s="2" t="n"/>
      <c r="BR47" s="2" t="n"/>
      <c r="BS47" s="2" t="n"/>
      <c r="BT47" s="2" t="inlineStr">
        <is>
          <t>año a confirmar: la URL/título dice 2009; por encima del presupuesto: negociar 54 € (coste 5054 €; -1.1 puntos); vendedor profesional: sin ITP (operación con IVA/REBU, confirmar en factura); gastos de gestión del vendedor no indicados: se suma la tasa DGT; preguntar el precio final; Euro NCAP de la generación PENDIENTE (seguridad neutra); diésel: motor sin fuente de fiabilidad (fiabilidad limitada a neutra); revisar: no menciona la ITV; mediana con solo 1 anuncio(s)</t>
        </is>
      </c>
      <c r="BU47" s="2" t="inlineStr">
        <is>
          <t>Kia Ceed Pro_Cee’d 1.6 CRDi Diésel – 2008 | 110.000 km | 3 puertas
Se vende Kia Ceed 1.6 CRDi diésel del año 2008, con únicamente 110.000 km y carrocería deportiva de 3 puertas.
Vehículo que destaca por su bajo kilometraje para su antigüedad, su diseño deportivo y su motor 1.6 CRDi diésel, conocido por ofrecer un buen equilibrio entre prestaciones, fiabilidad y consumo de combustible.
Una opción ideal para quien busca un coche económico, práctico y cómodo tanto para ciudad como para carretera.
* Motor 1.6 CRDi turbodiésel
* Año 2008
* Solo 110.000 km
* Carrocería deportiva de 3 puertas
* Cambio manual
* 5 plazas
* Bajo consumo de combustible
* Dirección asistida
* Aire acondicionado / climatizador según equipamiento
* Elevalunas eléctricos
* Cierre centralizado con mando
* Ordenador de a bordo
* Radio / sistema de sonido
* Volante regulable
* Retrovisores eléctricos según versión
* ABS
* Control de estabilidad según equipamiento
* Airbags frontales y laterales
* Anclajes ISOFIX
* Asientos traseros abatibles
* Buen espacio interior
* Maletero amplio para su segmento
Estado
Una unidad especialmente interesante por contar con tan solo 110.000 km, un kilometraje reducido para un vehículo del año 2008.
El Kia Ceed destaca por su comodidad, practicidad y economía de uso. Su carrocería de tres puertas le aporta una estética más deportiva sin renunciar a la funcionalidad de un compacto.
Una excelente oportunidad para adquirir un Kia Ceed 1.6 CRDi diésel con pocos kilómetros y</t>
        </is>
      </c>
      <c r="BV47" s="2" t="inlineStr">
        <is>
          <t>https://www.coches.net/kia-ceed-16-crdi-115cv-emotion-5p-diesel-2009-en-valencia-71704887-covo.aspx (window.__INITIAL_PROPS__.ad) /home/user/Alopecia/buscador-coches/raw/cochesnet/078396f3bbbe76a5.json</t>
        </is>
      </c>
      <c r="BW47" s="3">
        <f>MAX(ANIO_ACTUAL-M47,0)</f>
        <v/>
      </c>
      <c r="BX47" s="4">
        <f>N47/MAX(BW47,0.5)</f>
        <v/>
      </c>
      <c r="BY47" s="4">
        <f>F47</f>
        <v/>
      </c>
      <c r="BZ47" s="3">
        <f>BY47&amp;"|"&amp;INT(M47/SEG_ANIO)*SEG_ANIO</f>
        <v/>
      </c>
      <c r="CA47" s="3">
        <f>BZ47&amp;"|"&amp;INT(N47/SEG_KM)*SEG_KM</f>
        <v/>
      </c>
      <c r="CB47" s="4">
        <f>COUNTIF($BY$2:$BY$209,BY47)</f>
        <v/>
      </c>
      <c r="CC47" s="4">
        <f>COUNTIF($BZ$2:$BZ$209,BZ47)</f>
        <v/>
      </c>
      <c r="CD47" s="4">
        <f>COUNTIF($CA$2:$CA$209,CA47)</f>
        <v/>
      </c>
      <c r="CE47" s="3">
        <f t="array" ref="CE47">IF(N(BQ47)&gt;=MIN_N,BP47,IF(CD47&gt;=MIN_N,MEDIAN(IF($CA$2:$CA$209=CA47,$O$2:$O$209)),IF(CC47&gt;=MIN_N,MEDIAN(IF($BZ$2:$BZ$209=BZ47,$O$2:$O$209)),MEDIAN(IF($BY$2:$BY$209=BY47,$O$2:$O$209)))))</f>
        <v/>
      </c>
      <c r="CF47" s="3">
        <f>IF(N(BQ47)&gt;=MIN_N,"mercado "&amp;BR47,IF(CD47&gt;=MIN_N,"modelo+año+km",IF(CC47&gt;=MIN_N,"modelo+año","modelo")))</f>
        <v/>
      </c>
      <c r="CG47" s="4">
        <f>(CE47-O47)/CE47</f>
        <v/>
      </c>
      <c r="CH47" s="3">
        <f>IF(COUNTIFS(FR_FUEL,K47,FR_YEAR,AP47)&gt;0,1,0)</f>
        <v/>
      </c>
      <c r="CI47" s="3">
        <f>IF(COUNTIFS(FR_FUEL,K47,FR_YEAR,AP47-1)&gt;0,1,0)</f>
        <v/>
      </c>
      <c r="CJ47" s="4">
        <f>IF(N(AQ47)&gt;0,AP47*100+AQ47,IF(AND(CH47=1,CI47=1),(AP47-1)*100+1,AP47*100+1))</f>
        <v/>
      </c>
      <c r="CK47" s="3">
        <f>IF(OR(K47="hibrido",K47="glp",K47="gnc",K47="phev"),"ECO",IF(K47="electrico","CERO",IF(K47="gasolina",IF(CJ47&gt;=GAS_C_YM,"C",IF(CJ47&gt;=GAS_B_YM,"B","A")),IF(K47="diesel",IF(CJ47&gt;=DIE_C_YM,"C",IF(CJ47&gt;=DIE_B_YM,"B","A")),""))))</f>
        <v/>
      </c>
      <c r="CL47" s="2" t="inlineStr">
        <is>
          <t>B</t>
        </is>
      </c>
      <c r="CM47" s="4">
        <f>IF(AU47="sí","sí",IF(AS47="regla",IF(AND(N(AQ47)=0,CH47=1),"sí","no"),"no"))</f>
        <v/>
      </c>
      <c r="CN47" s="3">
        <f>IFERROR(VLOOKUP(F47,MOD_TBL,16,0),IFERROR(VLOOKUP(E47,OCU_TBL,2,0),NEUTRO))</f>
        <v/>
      </c>
      <c r="CO47" s="3">
        <f>SUMIFS(MOT_AJUSTE,MOT_MOTOR,G47,MOT_MARCA,E47,MOT_DESDE,"&lt;="&amp;M47,MOT_HASTA,"&gt;="&amp;M47)+SUMIFS(MOT_AJUSTE,MOT_MOTOR,G47,MOT_MARCA,"(todas)",MOT_DESDE,"&lt;="&amp;M47,MOT_HASTA,"&gt;="&amp;M47)+SUMIFS(MOT_AJUSTE,MOT_MOTOR,"(cualquiera)",MOT_MARCA,E47,MOT_DESDE,"&lt;="&amp;M47,MOT_HASTA,"&gt;="&amp;M47)</f>
        <v/>
      </c>
      <c r="CP47" s="3">
        <f>SUMIFS(COMB_AJUSTE,COMB_COMB,K47)</f>
        <v/>
      </c>
      <c r="CQ47" s="3">
        <f>COUNTIFS(MOT_MOTOR,G47,MOT_MARCA,E47,MOT_DESDE,"&lt;="&amp;M47,MOT_HASTA,"&gt;="&amp;M47)+COUNTIFS(MOT_MOTOR,G47,MOT_MARCA,"(todas)",MOT_DESDE,"&lt;="&amp;M47,MOT_HASTA,"&gt;="&amp;M47)+COUNTIFS(MOT_MOTOR,"(cualquiera)",MOT_MARCA,E47,MOT_DESDE,"&lt;="&amp;M47,MOT_HASTA,"&gt;="&amp;M47)</f>
        <v/>
      </c>
      <c r="CR47" s="3">
        <f>IF(AND(K47="diesel",CQ47=0),MIN(CN47,NEUTRO),CN47)</f>
        <v/>
      </c>
      <c r="CS47" s="3">
        <f>MAX(0,MIN(100,CR47+CO47+CP47-IF(AX47="sí",ROB_PEN,0)))</f>
        <v/>
      </c>
      <c r="CT47" s="3">
        <f>100-MAX(0,N47-KM_TOPE_DESDE)/1000*KM_TOPE_PTS</f>
        <v/>
      </c>
      <c r="CU47" s="3">
        <f>MAX(0,MIN(100,50+CG47*PRECIO_PEND,CT47))</f>
        <v/>
      </c>
      <c r="CV47" s="3">
        <f>MAX(0,100*(1-N47/KM_MAX))</f>
        <v/>
      </c>
      <c r="CW47" s="3">
        <f>IF(BX47&lt;KMA_SOSP,IF(AA47="sí",100,KMA_PEN),IF(BX47&lt;=KMA_IDEAL_MAX,100,MAX(0,100*(KMA_CERO-BX47)/(KMA_CERO-KMA_IDEAL_MAX))))</f>
        <v/>
      </c>
      <c r="CX47" s="3">
        <f>MAX(0,MIN(100,100*(M47-ANIO_MIN)/(ANIO_ACTUAL-ANIO_MIN)))</f>
        <v/>
      </c>
      <c r="CY47" s="3">
        <f>W_KMT*CV47+W_KMA*CW47+W_EDAD*CX47</f>
        <v/>
      </c>
      <c r="CZ47" s="4">
        <f>E47&amp;"|"&amp;G47</f>
        <v/>
      </c>
      <c r="DA47" s="3">
        <f>IFERROR(VLOOKUP(CZ47,DIST_TBL,2,0),"")</f>
        <v/>
      </c>
      <c r="DB47" s="3">
        <f>E_ITV*(V47="sí")+E_LIBRO*(W47="sí")+E_PROP*IF(Y47=1,1,IF(Y47=2,0.5,0))+E_CORREA*IF(OR(DA47="cadena",AND(X47="sí",BH47="sí")),1,IF(X47="sí",0.5,0))+E_FACT*(BI47="sí")</f>
        <v/>
      </c>
      <c r="DC47" s="3">
        <f>MAX(0,MIN(100,IFERROR(VLOOKUP(CL47,ETQ_TBL,2,0),0)-IF(CM47="sí",ETQ_PEN_DUD,IF(AS47="regla",ETQ_PEN_REGLA,0))))</f>
        <v/>
      </c>
      <c r="DD47" s="3">
        <f>IF(K47&lt;&gt;"gasolina","",IFERROR(VLOOKUP(F47,CONS_MOD_TBL,2,0),IFERROR(VLOOKUP(L47,CONS_SEG_TBL,2,0),"")))</f>
        <v/>
      </c>
      <c r="DE47" s="3">
        <f>IF(DD47="",NEUTRO,MAX(0,MIN(100,100*(CONS_REF_MAX-DD47)/(CONS_REF_MAX-CONS_REF_MIN))))</f>
        <v/>
      </c>
      <c r="DF47" s="3">
        <f>IFERROR(VLOOKUP(L47,SEGURO_TBL,3,0),"")</f>
        <v/>
      </c>
      <c r="DG47" s="3">
        <f>IF(DF47="",NEUTRO,MAX(0,MIN(100,100*(SEG_REF_MAX-DF47)/(SEG_REF_MAX-SEG_REF_MIN))))</f>
        <v/>
      </c>
      <c r="DH47" s="3">
        <f>IFERROR(VLOOKUP(E47,MANT_MARCA_TBL,2,0)+0,NEUTRO)</f>
        <v/>
      </c>
      <c r="DI47" s="3">
        <f>IF(DA47="",NEUTRO,IFERROR(VLOOKUP(DA47,DIST_PTS_TBL,2,0)+0,NEUTRO))</f>
        <v/>
      </c>
      <c r="DJ47" s="4">
        <f>(DH47+DI47)/2</f>
        <v/>
      </c>
      <c r="DK47" s="3">
        <f>W_CONS*DE47+W_SEG*DG47+W_MANT*DJ47</f>
        <v/>
      </c>
      <c r="DL47" s="3">
        <f>IF(N(AB47)&gt;0,AB47,IF(AND(R47="profesional",SG_LEGAL_ON=1),GAR_LEGAL,0))</f>
        <v/>
      </c>
      <c r="DM47" s="3">
        <f>MAX(0,MIN(100,SG_GAR*MIN(1,DL47/SG_GAR_FULL)+SG_AMPL*(AC47="sí")+SG_KMC*(AF47="sí")+SG_REV*(N(AE47)&gt;0)+SG_DEV*MIN(1,N(AG47)/SG_DEV_FULL)+SG_HIST*(W47="sí")-IF(AND(R47="particular",DL47=0),SG_PART_PEN,0)))</f>
        <v/>
      </c>
      <c r="DN47" s="3">
        <f>IF(BK47="",NEUTRO,MAX(0,MIN(100,BK47/5*100)))</f>
        <v/>
      </c>
      <c r="DO47" s="3">
        <f>IF(BL47="sí",100,IF(BL47="no",0,NEUTRO))</f>
        <v/>
      </c>
      <c r="DP47" s="3">
        <f>SV_W_NCAP*DN47+SV_W_ESP*DO47</f>
        <v/>
      </c>
      <c r="DQ47" s="3">
        <f>MAX(0,MIN(100,ATR_BASE+ATR_ACAB*(BD47&lt;&gt;"")+IF(BE47="16+",ATR_LL16,IF(BE47="sí",ATR_LL,0))+ATR_FAROS*(BF47="sí")+ATR_TINT*(BG47="sí")-ATR_CHAPA*(BE47="chapa")))</f>
        <v/>
      </c>
      <c r="DR47" s="3">
        <f>EST_W_MOD*(BB47-1)/4*100+EST_W_ATR*DQ47</f>
        <v/>
      </c>
      <c r="DS47" s="3">
        <f>IF(BA47="",NEUTRO,IFERROR(VLOOKUP(BA47,COLOR_TBL,2,0)+0,NEUTRO))</f>
        <v/>
      </c>
      <c r="DT47" s="3">
        <f>MAX(0,MIN(100,100*N(BM47)/RV_N_FULL))</f>
        <v/>
      </c>
      <c r="DU47" s="3">
        <f>IF(OR(BN47="",N(BO47)&lt;RV_DIAS_MIN),NEUTRO,MAX(0,MIN(100,100*(RV_DIAS_CERO-BN47)/(RV_DIAS_CERO-RV_DIAS_FULL))))</f>
        <v/>
      </c>
      <c r="DV47" s="3">
        <f>RV_W_LIQ*DT47+RV_W_DIAS*DU47+RV_W_ETQ*DC47</f>
        <v/>
      </c>
      <c r="DW47" s="3">
        <f>IFERROR(VLOOKUP(L47,CARR_PEN_TBL,2,0),0)</f>
        <v/>
      </c>
      <c r="DX47" s="3">
        <f>W_FIAB*CS47+W_PRECIO*CU47+W_KMEDAD*CY47+W_ESTADO*DB47+W_USO*DK47+W_SEGURIDAD*DM47+W_SEGVIAL*DP47+W_ESTETICA*DR47+W_COLOR*DS47+W_REVENTA*DV47-DW47-EG47</f>
        <v/>
      </c>
      <c r="DY47" s="4">
        <f>IF(N(I47)&gt;0,I47,IFERROR(ROUND(_xlfn.NUMBERVALUE(LEFT(G47,FIND(" ",G47&amp;" ")-1),".")*1000,0),99999))</f>
        <v/>
      </c>
      <c r="DZ47" s="3">
        <f>IF(R47="profesional",0,IF(O47&lt;CUOTA_VALOR_MAX,IF(BW47&gt;ITP_TRAMO_ALTO,SUMIFS(CF_CUOTA,CF_MAS,ITP_TRAMO_ALTO,CF_CCMIN,"&lt;="&amp;DY47,CF_CCMAX,"&gt;="&amp;DY47),IF(BW47&gt;ITP_TRAMO_BAJO,SUMIFS(CF_CUOTA,CF_MAS,ITP_TRAMO_BAJO,CF_CCMIN,"&lt;="&amp;DY47,CF_CCMAX,"&gt;="&amp;DY47),O47*ITP_TIPO)),O47*ITP_TIPO))</f>
        <v/>
      </c>
      <c r="EA47" s="4">
        <f>IF(R47="profesional",N(AK47),0)</f>
        <v/>
      </c>
      <c r="EB47" s="3">
        <f>IF(AND(R47="profesional",ISNUMBER(AK47),AL47="sí"),0,TASA_DGT)</f>
        <v/>
      </c>
      <c r="EC47" s="3">
        <f>INFORME_DGT</f>
        <v/>
      </c>
      <c r="ED47" s="4">
        <f>O47+EA47+DZ47+EB47+EC47</f>
        <v/>
      </c>
      <c r="EE47" s="4">
        <f>ED47+N(DF47)</f>
        <v/>
      </c>
      <c r="EF47" s="3">
        <f>MAX(0,ED47-TOTAL_MAX)</f>
        <v/>
      </c>
      <c r="EG47" s="3">
        <f>EF47/100*PEN_100</f>
        <v/>
      </c>
      <c r="EH47" s="3">
        <f>IF(R47="particular",ED47+IF(AND(DA47&lt;&gt;"cadena",X47&lt;&gt;"sí"),RES_CORREA,0)+IF(AND(BJ47&lt;&gt;"sí",BW47&gt;=RES_NEUM_EDAD),RES_NEUM,0),"")</f>
        <v/>
      </c>
      <c r="EI47" s="3">
        <f>IF(ED47&lt;=TOTAL_MAX,"sí",IF(ED47&lt;=TECHO,"negociar","no"))</f>
        <v/>
      </c>
      <c r="EJ47" s="4">
        <f>ROUND(DX47,9)</f>
        <v/>
      </c>
      <c r="EK47" s="4">
        <f>IF(EI47&lt;&gt;"no",SUMPRODUCT(($EI$2:$EI$209&lt;&gt;"no")*($EJ$2:$EJ$209&gt;EJ47))+SUMPRODUCT(($EI$2:EI47&lt;&gt;"no")*($EJ$2:EJ47=EJ47)),"")</f>
        <v/>
      </c>
    </row>
    <row r="48">
      <c r="A48" s="2" t="inlineStr">
        <is>
          <t>cochesnet:71648429</t>
        </is>
      </c>
      <c r="B48" s="2" t="inlineStr">
        <is>
          <t>cochesnet</t>
        </is>
      </c>
      <c r="C48" s="2" t="inlineStr">
        <is>
          <t>https://www.coches.net/skoda-citigo-10-mpi-60cv-ambition-3p-gasolina-2015-en-valencia-71648429-covo.aspx</t>
        </is>
      </c>
      <c r="D48" s="2" t="inlineStr">
        <is>
          <t>SKODA Citigo 1.0 MPI Ambition</t>
        </is>
      </c>
      <c r="E48" s="2" t="inlineStr">
        <is>
          <t>Skoda</t>
        </is>
      </c>
      <c r="F48" s="2" t="inlineStr">
        <is>
          <t>Skoda Citigo</t>
        </is>
      </c>
      <c r="G48" s="2" t="inlineStr">
        <is>
          <t>1.0 MPI</t>
        </is>
      </c>
      <c r="H48" s="2" t="inlineStr">
        <is>
          <t>1.0 MPI 60cv Ambition</t>
        </is>
      </c>
      <c r="I48" s="2" t="n"/>
      <c r="J48" s="2" t="n">
        <v>60</v>
      </c>
      <c r="K48" s="2" t="inlineStr">
        <is>
          <t>gasolina</t>
        </is>
      </c>
      <c r="L48" s="2" t="inlineStr">
        <is>
          <t>utilitario</t>
        </is>
      </c>
      <c r="M48" s="2" t="n">
        <v>2014</v>
      </c>
      <c r="N48" s="2" t="n">
        <v>169000</v>
      </c>
      <c r="O48" s="2" t="n">
        <v>4990</v>
      </c>
      <c r="P48" s="2" t="inlineStr">
        <is>
          <t>manual</t>
        </is>
      </c>
      <c r="Q48" s="2" t="inlineStr">
        <is>
          <t>no</t>
        </is>
      </c>
      <c r="R48" s="2" t="inlineStr">
        <is>
          <t>profesional</t>
        </is>
      </c>
      <c r="S48" s="2" t="inlineStr">
        <is>
          <t>APEX MOTOR GALLERY Bétera</t>
        </is>
      </c>
      <c r="T48" s="2" t="inlineStr">
        <is>
          <t>2026-10-01T16:02:53Z</t>
        </is>
      </c>
      <c r="U48" s="2" t="n">
        <v>6</v>
      </c>
      <c r="V48" s="2" t="n"/>
      <c r="W48" s="2" t="n"/>
      <c r="X48" s="2" t="n"/>
      <c r="Y48" s="2" t="n"/>
      <c r="Z48" s="2" t="inlineStr">
        <is>
          <t>sí</t>
        </is>
      </c>
      <c r="AA48" s="2" t="n"/>
      <c r="AB48" s="2" t="n">
        <v>12</v>
      </c>
      <c r="AC48" s="2" t="n"/>
      <c r="AD48" s="2" t="n"/>
      <c r="AE48" s="2" t="n"/>
      <c r="AF48" s="2" t="n"/>
      <c r="AG48" s="2" t="n"/>
      <c r="AH48" s="2" t="n">
        <v>4990</v>
      </c>
      <c r="AI48" s="2" t="n"/>
      <c r="AJ48" s="2" t="n"/>
      <c r="AK48" s="2" t="n"/>
      <c r="AL48" s="2" t="n"/>
      <c r="AM48" s="2" t="n">
        <v>14.1</v>
      </c>
      <c r="AN48" s="2" t="n"/>
      <c r="AO48" s="2" t="inlineStr">
        <is>
          <t>2014</t>
        </is>
      </c>
      <c r="AP48" s="2" t="n">
        <v>2014</v>
      </c>
      <c r="AQ48" s="2" t="n"/>
      <c r="AR48" s="2" t="inlineStr">
        <is>
          <t>C</t>
        </is>
      </c>
      <c r="AS48" s="2" t="inlineStr">
        <is>
          <t>anuncio</t>
        </is>
      </c>
      <c r="AT48" s="2" t="n">
        <v>2015</v>
      </c>
      <c r="AU48" s="2" t="inlineStr">
        <is>
          <t>no</t>
        </is>
      </c>
      <c r="AV48" s="2" t="inlineStr">
        <is>
          <t>C</t>
        </is>
      </c>
      <c r="AW48" s="2" t="n"/>
      <c r="AX48" s="2" t="inlineStr">
        <is>
          <t>no</t>
        </is>
      </c>
      <c r="AY48" s="2" t="inlineStr">
        <is>
          <t>no</t>
        </is>
      </c>
      <c r="AZ48" s="2" t="inlineStr">
        <is>
          <t>COMMON.COLOR_WHITE</t>
        </is>
      </c>
      <c r="BA48" s="2" t="inlineStr">
        <is>
          <t>blanco</t>
        </is>
      </c>
      <c r="BB48" s="3" t="n">
        <v>2</v>
      </c>
      <c r="BC48" s="3" t="inlineStr">
        <is>
          <t>(por segmento)</t>
        </is>
      </c>
      <c r="BD48" s="2" t="n"/>
      <c r="BE48" s="2" t="n"/>
      <c r="BF48" s="2" t="n"/>
      <c r="BG48" s="2" t="n"/>
      <c r="BH48" s="2" t="n"/>
      <c r="BI48" s="2" t="n"/>
      <c r="BJ48" s="2" t="n"/>
      <c r="BK48" s="2" t="n"/>
      <c r="BL48" s="2" t="n"/>
      <c r="BM48" s="2" t="n">
        <v>3</v>
      </c>
      <c r="BN48" s="2" t="n">
        <v>0.07434027781710029</v>
      </c>
      <c r="BO48" s="2" t="n">
        <v>1</v>
      </c>
      <c r="BP48" s="2" t="n"/>
      <c r="BQ48" s="2" t="n"/>
      <c r="BR48" s="2" t="n"/>
      <c r="BS48" s="2" t="n"/>
      <c r="BT48" s="2" t="inlineStr">
        <is>
          <t>año a confirmar: la URL/título dice 2015; por encima del presupuesto: negociar 54 € (coste 5054 €; -1.1 puntos); vendedor profesional: sin ITP (operación con IVA/REBU, confirmar en factura); gastos de gestión del vendedor no indicados: se suma la tasa DGT; preguntar el precio final; Euro NCAP de la generación PENDIENTE (seguridad neutra); revisar: no menciona la ITV; fiabilidad del modelo PENDIENTE de fuente (puntuación neutra); mediana con solo 1 anuncio(s)</t>
        </is>
      </c>
      <c r="BU48" s="2" t="inlineStr"/>
      <c r="BV48" s="2" t="inlineStr">
        <is>
          <t>https://www.coches.net/skoda-citigo-10-mpi-60cv-ambition-3p-gasolina-2015-en-valencia-71648429-covo.aspx (window.__INITIAL_PROPS__.ad) /home/user/Alopecia/buscador-coches/raw/cochesnet/9df83f74e56aa603.json</t>
        </is>
      </c>
      <c r="BW48" s="3">
        <f>MAX(ANIO_ACTUAL-M48,0)</f>
        <v/>
      </c>
      <c r="BX48" s="4">
        <f>N48/MAX(BW48,0.5)</f>
        <v/>
      </c>
      <c r="BY48" s="4">
        <f>F48</f>
        <v/>
      </c>
      <c r="BZ48" s="3">
        <f>BY48&amp;"|"&amp;INT(M48/SEG_ANIO)*SEG_ANIO</f>
        <v/>
      </c>
      <c r="CA48" s="3">
        <f>BZ48&amp;"|"&amp;INT(N48/SEG_KM)*SEG_KM</f>
        <v/>
      </c>
      <c r="CB48" s="4">
        <f>COUNTIF($BY$2:$BY$209,BY48)</f>
        <v/>
      </c>
      <c r="CC48" s="4">
        <f>COUNTIF($BZ$2:$BZ$209,BZ48)</f>
        <v/>
      </c>
      <c r="CD48" s="4">
        <f>COUNTIF($CA$2:$CA$209,CA48)</f>
        <v/>
      </c>
      <c r="CE48" s="3">
        <f t="array" ref="CE48">IF(N(BQ48)&gt;=MIN_N,BP48,IF(CD48&gt;=MIN_N,MEDIAN(IF($CA$2:$CA$209=CA48,$O$2:$O$209)),IF(CC48&gt;=MIN_N,MEDIAN(IF($BZ$2:$BZ$209=BZ48,$O$2:$O$209)),MEDIAN(IF($BY$2:$BY$209=BY48,$O$2:$O$209)))))</f>
        <v/>
      </c>
      <c r="CF48" s="3">
        <f>IF(N(BQ48)&gt;=MIN_N,"mercado "&amp;BR48,IF(CD48&gt;=MIN_N,"modelo+año+km",IF(CC48&gt;=MIN_N,"modelo+año","modelo")))</f>
        <v/>
      </c>
      <c r="CG48" s="4">
        <f>(CE48-O48)/CE48</f>
        <v/>
      </c>
      <c r="CH48" s="3">
        <f>IF(COUNTIFS(FR_FUEL,K48,FR_YEAR,AP48)&gt;0,1,0)</f>
        <v/>
      </c>
      <c r="CI48" s="3">
        <f>IF(COUNTIFS(FR_FUEL,K48,FR_YEAR,AP48-1)&gt;0,1,0)</f>
        <v/>
      </c>
      <c r="CJ48" s="4">
        <f>IF(N(AQ48)&gt;0,AP48*100+AQ48,IF(AND(CH48=1,CI48=1),(AP48-1)*100+1,AP48*100+1))</f>
        <v/>
      </c>
      <c r="CK48" s="3">
        <f>IF(OR(K48="hibrido",K48="glp",K48="gnc",K48="phev"),"ECO",IF(K48="electrico","CERO",IF(K48="gasolina",IF(CJ48&gt;=GAS_C_YM,"C",IF(CJ48&gt;=GAS_B_YM,"B","A")),IF(K48="diesel",IF(CJ48&gt;=DIE_C_YM,"C",IF(CJ48&gt;=DIE_B_YM,"B","A")),""))))</f>
        <v/>
      </c>
      <c r="CL48" s="2" t="inlineStr">
        <is>
          <t>C</t>
        </is>
      </c>
      <c r="CM48" s="4">
        <f>IF(AU48="sí","sí",IF(AS48="regla",IF(AND(N(AQ48)=0,CH48=1),"sí","no"),"no"))</f>
        <v/>
      </c>
      <c r="CN48" s="3">
        <f>IFERROR(VLOOKUP(F48,MOD_TBL,16,0),IFERROR(VLOOKUP(E48,OCU_TBL,2,0),NEUTRO))</f>
        <v/>
      </c>
      <c r="CO48" s="3">
        <f>SUMIFS(MOT_AJUSTE,MOT_MOTOR,G48,MOT_MARCA,E48,MOT_DESDE,"&lt;="&amp;M48,MOT_HASTA,"&gt;="&amp;M48)+SUMIFS(MOT_AJUSTE,MOT_MOTOR,G48,MOT_MARCA,"(todas)",MOT_DESDE,"&lt;="&amp;M48,MOT_HASTA,"&gt;="&amp;M48)+SUMIFS(MOT_AJUSTE,MOT_MOTOR,"(cualquiera)",MOT_MARCA,E48,MOT_DESDE,"&lt;="&amp;M48,MOT_HASTA,"&gt;="&amp;M48)</f>
        <v/>
      </c>
      <c r="CP48" s="3">
        <f>SUMIFS(COMB_AJUSTE,COMB_COMB,K48)</f>
        <v/>
      </c>
      <c r="CQ48" s="3">
        <f>COUNTIFS(MOT_MOTOR,G48,MOT_MARCA,E48,MOT_DESDE,"&lt;="&amp;M48,MOT_HASTA,"&gt;="&amp;M48)+COUNTIFS(MOT_MOTOR,G48,MOT_MARCA,"(todas)",MOT_DESDE,"&lt;="&amp;M48,MOT_HASTA,"&gt;="&amp;M48)+COUNTIFS(MOT_MOTOR,"(cualquiera)",MOT_MARCA,E48,MOT_DESDE,"&lt;="&amp;M48,MOT_HASTA,"&gt;="&amp;M48)</f>
        <v/>
      </c>
      <c r="CR48" s="3">
        <f>IF(AND(K48="diesel",CQ48=0),MIN(CN48,NEUTRO),CN48)</f>
        <v/>
      </c>
      <c r="CS48" s="3">
        <f>MAX(0,MIN(100,CR48+CO48+CP48-IF(AX48="sí",ROB_PEN,0)))</f>
        <v/>
      </c>
      <c r="CT48" s="3">
        <f>100-MAX(0,N48-KM_TOPE_DESDE)/1000*KM_TOPE_PTS</f>
        <v/>
      </c>
      <c r="CU48" s="3">
        <f>MAX(0,MIN(100,50+CG48*PRECIO_PEND,CT48))</f>
        <v/>
      </c>
      <c r="CV48" s="3">
        <f>MAX(0,100*(1-N48/KM_MAX))</f>
        <v/>
      </c>
      <c r="CW48" s="3">
        <f>IF(BX48&lt;KMA_SOSP,IF(AA48="sí",100,KMA_PEN),IF(BX48&lt;=KMA_IDEAL_MAX,100,MAX(0,100*(KMA_CERO-BX48)/(KMA_CERO-KMA_IDEAL_MAX))))</f>
        <v/>
      </c>
      <c r="CX48" s="3">
        <f>MAX(0,MIN(100,100*(M48-ANIO_MIN)/(ANIO_ACTUAL-ANIO_MIN)))</f>
        <v/>
      </c>
      <c r="CY48" s="3">
        <f>W_KMT*CV48+W_KMA*CW48+W_EDAD*CX48</f>
        <v/>
      </c>
      <c r="CZ48" s="4">
        <f>E48&amp;"|"&amp;G48</f>
        <v/>
      </c>
      <c r="DA48" s="3">
        <f>IFERROR(VLOOKUP(CZ48,DIST_TBL,2,0),"")</f>
        <v/>
      </c>
      <c r="DB48" s="3">
        <f>E_ITV*(V48="sí")+E_LIBRO*(W48="sí")+E_PROP*IF(Y48=1,1,IF(Y48=2,0.5,0))+E_CORREA*IF(OR(DA48="cadena",AND(X48="sí",BH48="sí")),1,IF(X48="sí",0.5,0))+E_FACT*(BI48="sí")</f>
        <v/>
      </c>
      <c r="DC48" s="3">
        <f>MAX(0,MIN(100,IFERROR(VLOOKUP(CL48,ETQ_TBL,2,0),0)-IF(CM48="sí",ETQ_PEN_DUD,IF(AS48="regla",ETQ_PEN_REGLA,0))))</f>
        <v/>
      </c>
      <c r="DD48" s="3">
        <f>IF(K48&lt;&gt;"gasolina","",IFERROR(VLOOKUP(F48,CONS_MOD_TBL,2,0),IFERROR(VLOOKUP(L48,CONS_SEG_TBL,2,0),"")))</f>
        <v/>
      </c>
      <c r="DE48" s="3">
        <f>IF(DD48="",NEUTRO,MAX(0,MIN(100,100*(CONS_REF_MAX-DD48)/(CONS_REF_MAX-CONS_REF_MIN))))</f>
        <v/>
      </c>
      <c r="DF48" s="3">
        <f>IFERROR(VLOOKUP(L48,SEGURO_TBL,3,0),"")</f>
        <v/>
      </c>
      <c r="DG48" s="3">
        <f>IF(DF48="",NEUTRO,MAX(0,MIN(100,100*(SEG_REF_MAX-DF48)/(SEG_REF_MAX-SEG_REF_MIN))))</f>
        <v/>
      </c>
      <c r="DH48" s="3">
        <f>IFERROR(VLOOKUP(E48,MANT_MARCA_TBL,2,0)+0,NEUTRO)</f>
        <v/>
      </c>
      <c r="DI48" s="3">
        <f>IF(DA48="",NEUTRO,IFERROR(VLOOKUP(DA48,DIST_PTS_TBL,2,0)+0,NEUTRO))</f>
        <v/>
      </c>
      <c r="DJ48" s="4">
        <f>(DH48+DI48)/2</f>
        <v/>
      </c>
      <c r="DK48" s="3">
        <f>W_CONS*DE48+W_SEG*DG48+W_MANT*DJ48</f>
        <v/>
      </c>
      <c r="DL48" s="3">
        <f>IF(N(AB48)&gt;0,AB48,IF(AND(R48="profesional",SG_LEGAL_ON=1),GAR_LEGAL,0))</f>
        <v/>
      </c>
      <c r="DM48" s="3">
        <f>MAX(0,MIN(100,SG_GAR*MIN(1,DL48/SG_GAR_FULL)+SG_AMPL*(AC48="sí")+SG_KMC*(AF48="sí")+SG_REV*(N(AE48)&gt;0)+SG_DEV*MIN(1,N(AG48)/SG_DEV_FULL)+SG_HIST*(W48="sí")-IF(AND(R48="particular",DL48=0),SG_PART_PEN,0)))</f>
        <v/>
      </c>
      <c r="DN48" s="3">
        <f>IF(BK48="",NEUTRO,MAX(0,MIN(100,BK48/5*100)))</f>
        <v/>
      </c>
      <c r="DO48" s="3">
        <f>IF(BL48="sí",100,IF(BL48="no",0,NEUTRO))</f>
        <v/>
      </c>
      <c r="DP48" s="3">
        <f>SV_W_NCAP*DN48+SV_W_ESP*DO48</f>
        <v/>
      </c>
      <c r="DQ48" s="3">
        <f>MAX(0,MIN(100,ATR_BASE+ATR_ACAB*(BD48&lt;&gt;"")+IF(BE48="16+",ATR_LL16,IF(BE48="sí",ATR_LL,0))+ATR_FAROS*(BF48="sí")+ATR_TINT*(BG48="sí")-ATR_CHAPA*(BE48="chapa")))</f>
        <v/>
      </c>
      <c r="DR48" s="3">
        <f>EST_W_MOD*(BB48-1)/4*100+EST_W_ATR*DQ48</f>
        <v/>
      </c>
      <c r="DS48" s="3">
        <f>IF(BA48="",NEUTRO,IFERROR(VLOOKUP(BA48,COLOR_TBL,2,0)+0,NEUTRO))</f>
        <v/>
      </c>
      <c r="DT48" s="3">
        <f>MAX(0,MIN(100,100*N(BM48)/RV_N_FULL))</f>
        <v/>
      </c>
      <c r="DU48" s="3">
        <f>IF(OR(BN48="",N(BO48)&lt;RV_DIAS_MIN),NEUTRO,MAX(0,MIN(100,100*(RV_DIAS_CERO-BN48)/(RV_DIAS_CERO-RV_DIAS_FULL))))</f>
        <v/>
      </c>
      <c r="DV48" s="3">
        <f>RV_W_LIQ*DT48+RV_W_DIAS*DU48+RV_W_ETQ*DC48</f>
        <v/>
      </c>
      <c r="DW48" s="3">
        <f>IFERROR(VLOOKUP(L48,CARR_PEN_TBL,2,0),0)</f>
        <v/>
      </c>
      <c r="DX48" s="3">
        <f>W_FIAB*CS48+W_PRECIO*CU48+W_KMEDAD*CY48+W_ESTADO*DB48+W_USO*DK48+W_SEGURIDAD*DM48+W_SEGVIAL*DP48+W_ESTETICA*DR48+W_COLOR*DS48+W_REVENTA*DV48-DW48-EG48</f>
        <v/>
      </c>
      <c r="DY48" s="4">
        <f>IF(N(I48)&gt;0,I48,IFERROR(ROUND(_xlfn.NUMBERVALUE(LEFT(G48,FIND(" ",G48&amp;" ")-1),".")*1000,0),99999))</f>
        <v/>
      </c>
      <c r="DZ48" s="3">
        <f>IF(R48="profesional",0,IF(O48&lt;CUOTA_VALOR_MAX,IF(BW48&gt;ITP_TRAMO_ALTO,SUMIFS(CF_CUOTA,CF_MAS,ITP_TRAMO_ALTO,CF_CCMIN,"&lt;="&amp;DY48,CF_CCMAX,"&gt;="&amp;DY48),IF(BW48&gt;ITP_TRAMO_BAJO,SUMIFS(CF_CUOTA,CF_MAS,ITP_TRAMO_BAJO,CF_CCMIN,"&lt;="&amp;DY48,CF_CCMAX,"&gt;="&amp;DY48),O48*ITP_TIPO)),O48*ITP_TIPO))</f>
        <v/>
      </c>
      <c r="EA48" s="4">
        <f>IF(R48="profesional",N(AK48),0)</f>
        <v/>
      </c>
      <c r="EB48" s="3">
        <f>IF(AND(R48="profesional",ISNUMBER(AK48),AL48="sí"),0,TASA_DGT)</f>
        <v/>
      </c>
      <c r="EC48" s="3">
        <f>INFORME_DGT</f>
        <v/>
      </c>
      <c r="ED48" s="4">
        <f>O48+EA48+DZ48+EB48+EC48</f>
        <v/>
      </c>
      <c r="EE48" s="4">
        <f>ED48+N(DF48)</f>
        <v/>
      </c>
      <c r="EF48" s="3">
        <f>MAX(0,ED48-TOTAL_MAX)</f>
        <v/>
      </c>
      <c r="EG48" s="3">
        <f>EF48/100*PEN_100</f>
        <v/>
      </c>
      <c r="EH48" s="3">
        <f>IF(R48="particular",ED48+IF(AND(DA48&lt;&gt;"cadena",X48&lt;&gt;"sí"),RES_CORREA,0)+IF(AND(BJ48&lt;&gt;"sí",BW48&gt;=RES_NEUM_EDAD),RES_NEUM,0),"")</f>
        <v/>
      </c>
      <c r="EI48" s="3">
        <f>IF(ED48&lt;=TOTAL_MAX,"sí",IF(ED48&lt;=TECHO,"negociar","no"))</f>
        <v/>
      </c>
      <c r="EJ48" s="4">
        <f>ROUND(DX48,9)</f>
        <v/>
      </c>
      <c r="EK48" s="4">
        <f>IF(EI48&lt;&gt;"no",SUMPRODUCT(($EI$2:$EI$209&lt;&gt;"no")*($EJ$2:$EJ$209&gt;EJ48))+SUMPRODUCT(($EI$2:EI48&lt;&gt;"no")*($EJ$2:EJ48=EJ48)),"")</f>
        <v/>
      </c>
    </row>
    <row r="49">
      <c r="A49" s="2" t="inlineStr">
        <is>
          <t>cochesnet:71619015</t>
        </is>
      </c>
      <c r="B49" s="2" t="inlineStr">
        <is>
          <t>cochesnet</t>
        </is>
      </c>
      <c r="C49" s="2" t="inlineStr">
        <is>
          <t>https://www.coches.net/skoda-fabia-sedan-14-tdi-80cv-comfort-4p-diesel-2006-en-valencia-71619015-covo.aspx</t>
        </is>
      </c>
      <c r="D49" s="2" t="inlineStr">
        <is>
          <t>SKODA Fabia Sedan 1.4 TDi Comfort</t>
        </is>
      </c>
      <c r="E49" s="2" t="inlineStr">
        <is>
          <t>Skoda</t>
        </is>
      </c>
      <c r="F49" s="2" t="inlineStr">
        <is>
          <t>Skoda Fabia</t>
        </is>
      </c>
      <c r="G49" s="2" t="inlineStr">
        <is>
          <t>1.4 TDI</t>
        </is>
      </c>
      <c r="H49" s="2" t="inlineStr">
        <is>
          <t>Sedan 1.4 TDi 80cv Comfort</t>
        </is>
      </c>
      <c r="I49" s="2" t="n"/>
      <c r="J49" s="2" t="n">
        <v>80</v>
      </c>
      <c r="K49" s="2" t="inlineStr">
        <is>
          <t>diesel</t>
        </is>
      </c>
      <c r="L49" s="2" t="inlineStr">
        <is>
          <t>berlina</t>
        </is>
      </c>
      <c r="M49" s="2" t="n">
        <v>2006</v>
      </c>
      <c r="N49" s="2" t="n">
        <v>131000</v>
      </c>
      <c r="O49" s="2" t="n">
        <v>3990</v>
      </c>
      <c r="P49" s="2" t="inlineStr">
        <is>
          <t>manual</t>
        </is>
      </c>
      <c r="Q49" s="2" t="inlineStr">
        <is>
          <t>no</t>
        </is>
      </c>
      <c r="R49" s="2" t="inlineStr">
        <is>
          <t>profesional</t>
        </is>
      </c>
      <c r="S49" s="2" t="inlineStr">
        <is>
          <t>Garageng Foios Foios</t>
        </is>
      </c>
      <c r="T49" s="2" t="inlineStr">
        <is>
          <t>2026-09-28T20:25:59Z</t>
        </is>
      </c>
      <c r="U49" s="2" t="n">
        <v>27</v>
      </c>
      <c r="V49" s="2" t="inlineStr">
        <is>
          <t>sí</t>
        </is>
      </c>
      <c r="W49" s="2" t="n"/>
      <c r="X49" s="2" t="n"/>
      <c r="Y49" s="2" t="n">
        <v>1</v>
      </c>
      <c r="Z49" s="2" t="inlineStr">
        <is>
          <t>no</t>
        </is>
      </c>
      <c r="AA49" s="2" t="n"/>
      <c r="AB49" s="2" t="n"/>
      <c r="AC49" s="2" t="n"/>
      <c r="AD49" s="2" t="n"/>
      <c r="AE49" s="2" t="n"/>
      <c r="AF49" s="2" t="n"/>
      <c r="AG49" s="2" t="n"/>
      <c r="AH49" s="2" t="n">
        <v>3990</v>
      </c>
      <c r="AI49" s="2" t="n"/>
      <c r="AJ49" s="2" t="n"/>
      <c r="AK49" s="2" t="n"/>
      <c r="AL49" s="2" t="n"/>
      <c r="AM49" s="2" t="n">
        <v>7.7</v>
      </c>
      <c r="AN49" s="2" t="n"/>
      <c r="AO49" s="2" t="inlineStr">
        <is>
          <t>2006</t>
        </is>
      </c>
      <c r="AP49" s="2" t="n">
        <v>2006</v>
      </c>
      <c r="AQ49" s="2" t="n"/>
      <c r="AR49" s="2" t="inlineStr">
        <is>
          <t>B</t>
        </is>
      </c>
      <c r="AS49" s="2" t="inlineStr">
        <is>
          <t>anuncio</t>
        </is>
      </c>
      <c r="AT49" s="2" t="n"/>
      <c r="AU49" s="2" t="inlineStr">
        <is>
          <t>no</t>
        </is>
      </c>
      <c r="AV49" s="2" t="inlineStr">
        <is>
          <t>B</t>
        </is>
      </c>
      <c r="AW49" s="2" t="n"/>
      <c r="AX49" s="2" t="inlineStr">
        <is>
          <t>no</t>
        </is>
      </c>
      <c r="AY49" s="2" t="inlineStr">
        <is>
          <t>no</t>
        </is>
      </c>
      <c r="AZ49" s="2" t="inlineStr">
        <is>
          <t>COMMON.COLOR_GRAY</t>
        </is>
      </c>
      <c r="BA49" s="2" t="inlineStr">
        <is>
          <t>gris_medio</t>
        </is>
      </c>
      <c r="BB49" s="3" t="n">
        <v>3</v>
      </c>
      <c r="BC49" s="3" t="inlineStr">
        <is>
          <t>(por segmento)</t>
        </is>
      </c>
      <c r="BD49" s="2" t="n"/>
      <c r="BE49" s="2" t="n"/>
      <c r="BF49" s="2" t="n"/>
      <c r="BG49" s="2" t="n"/>
      <c r="BH49" s="2" t="n"/>
      <c r="BI49" s="2" t="n"/>
      <c r="BJ49" s="2" t="n"/>
      <c r="BK49" s="2" t="n">
        <v>4</v>
      </c>
      <c r="BL49" s="2" t="n"/>
      <c r="BM49" s="2" t="n">
        <v>148</v>
      </c>
      <c r="BN49" s="2" t="n">
        <v>0.0437789352145046</v>
      </c>
      <c r="BO49" s="2" t="n">
        <v>2</v>
      </c>
      <c r="BP49" s="2" t="n">
        <v>3000</v>
      </c>
      <c r="BQ49" s="2" t="n">
        <v>5</v>
      </c>
      <c r="BR49" s="2" t="inlineStr">
        <is>
          <t>modelo+año</t>
        </is>
      </c>
      <c r="BS49" s="2" t="n"/>
      <c r="BT49" s="2" t="inlineStr">
        <is>
          <t>vendedor profesional: sin ITP (operación con IVA/REBU, confirmar en factura); gastos de gestión del vendedor no indicados: se suma la tasa DGT; preguntar el precio final; diésel: motor sin fuente de fiabilidad (fiabilidad limitada a neutra)</t>
        </is>
      </c>
      <c r="BU49" s="2" t="inlineStr">
        <is>
          <t>SKODA MODELO FABIA MOTOR  1.4 TDI CON 80CV  DE POTENCIA Y CONSUMO REDUCIDO.
VEHICULO NACIONAL PROCEDENTE DE UNICO PROPIETARIO CON KILOMETRAJE REAL Y CERTIFICADO.
DISPONE DE DISTINTIVO AMBIENTAL
SE ENTREGA CON MANTENIMIENTO RECIEN HECHO E ITV EN VIGOR 10/26.
CONSERVA LIBROS ORIGINALES.
DESTACADOS:
- CIERRE CENTRALIZADO CON MANDO Y DOS LLAVES
- CLIMATIZADOR A/C
- RADIO ORIGINAL
- ELEVALUNAS ELECTRICOS
- TAPICERIA DE TELA MIXTA MUY CONSERVADA
- POSA-VASOS 
- VEHICULO CON IVA/(REBU) INCLUIDO.
- ACEPTAMOS VEHÍCULOS COMO PARTE DE PAGO, TASACIÓN MÁXIMA Y PAGO INMEDIATO.
- ESTE ANUNCIO PUEDE CONTENER ALGÚN ERROR SE MUESTRA A TITULO INFORMATIVO Y NO CONTRACTUAL, PARA MAS INFORMACIÓN CONTACTE CON NOSOTROS.
- CARRER DE LA HORTA 14, FOIOS, POLIGONO INDUSTRIAL EL MOLI, CAMPA AMARILLA</t>
        </is>
      </c>
      <c r="BV49" s="2" t="inlineStr">
        <is>
          <t>https://www.coches.net/skoda-fabia-sedan-14-tdi-80cv-comfort-4p-diesel-2006-en-valencia-71619015-covo.aspx (window.__INITIAL_PROPS__.ad) /home/user/Alopecia/buscador-coches/raw/cochesnet/3d94a7fdd41195d7.json</t>
        </is>
      </c>
      <c r="BW49" s="3">
        <f>MAX(ANIO_ACTUAL-M49,0)</f>
        <v/>
      </c>
      <c r="BX49" s="4">
        <f>N49/MAX(BW49,0.5)</f>
        <v/>
      </c>
      <c r="BY49" s="4">
        <f>F49</f>
        <v/>
      </c>
      <c r="BZ49" s="3">
        <f>BY49&amp;"|"&amp;INT(M49/SEG_ANIO)*SEG_ANIO</f>
        <v/>
      </c>
      <c r="CA49" s="3">
        <f>BZ49&amp;"|"&amp;INT(N49/SEG_KM)*SEG_KM</f>
        <v/>
      </c>
      <c r="CB49" s="4">
        <f>COUNTIF($BY$2:$BY$209,BY49)</f>
        <v/>
      </c>
      <c r="CC49" s="4">
        <f>COUNTIF($BZ$2:$BZ$209,BZ49)</f>
        <v/>
      </c>
      <c r="CD49" s="4">
        <f>COUNTIF($CA$2:$CA$209,CA49)</f>
        <v/>
      </c>
      <c r="CE49" s="3">
        <f t="array" ref="CE49">IF(N(BQ49)&gt;=MIN_N,BP49,IF(CD49&gt;=MIN_N,MEDIAN(IF($CA$2:$CA$209=CA49,$O$2:$O$209)),IF(CC49&gt;=MIN_N,MEDIAN(IF($BZ$2:$BZ$209=BZ49,$O$2:$O$209)),MEDIAN(IF($BY$2:$BY$209=BY49,$O$2:$O$209)))))</f>
        <v/>
      </c>
      <c r="CF49" s="3">
        <f>IF(N(BQ49)&gt;=MIN_N,"mercado "&amp;BR49,IF(CD49&gt;=MIN_N,"modelo+año+km",IF(CC49&gt;=MIN_N,"modelo+año","modelo")))</f>
        <v/>
      </c>
      <c r="CG49" s="4">
        <f>(CE49-O49)/CE49</f>
        <v/>
      </c>
      <c r="CH49" s="3">
        <f>IF(COUNTIFS(FR_FUEL,K49,FR_YEAR,AP49)&gt;0,1,0)</f>
        <v/>
      </c>
      <c r="CI49" s="3">
        <f>IF(COUNTIFS(FR_FUEL,K49,FR_YEAR,AP49-1)&gt;0,1,0)</f>
        <v/>
      </c>
      <c r="CJ49" s="4">
        <f>IF(N(AQ49)&gt;0,AP49*100+AQ49,IF(AND(CH49=1,CI49=1),(AP49-1)*100+1,AP49*100+1))</f>
        <v/>
      </c>
      <c r="CK49" s="3">
        <f>IF(OR(K49="hibrido",K49="glp",K49="gnc",K49="phev"),"ECO",IF(K49="electrico","CERO",IF(K49="gasolina",IF(CJ49&gt;=GAS_C_YM,"C",IF(CJ49&gt;=GAS_B_YM,"B","A")),IF(K49="diesel",IF(CJ49&gt;=DIE_C_YM,"C",IF(CJ49&gt;=DIE_B_YM,"B","A")),""))))</f>
        <v/>
      </c>
      <c r="CL49" s="2" t="inlineStr">
        <is>
          <t>B</t>
        </is>
      </c>
      <c r="CM49" s="4">
        <f>IF(AU49="sí","sí",IF(AS49="regla",IF(AND(N(AQ49)=0,CH49=1),"sí","no"),"no"))</f>
        <v/>
      </c>
      <c r="CN49" s="3">
        <f>IFERROR(VLOOKUP(F49,MOD_TBL,16,0),IFERROR(VLOOKUP(E49,OCU_TBL,2,0),NEUTRO))</f>
        <v/>
      </c>
      <c r="CO49" s="3">
        <f>SUMIFS(MOT_AJUSTE,MOT_MOTOR,G49,MOT_MARCA,E49,MOT_DESDE,"&lt;="&amp;M49,MOT_HASTA,"&gt;="&amp;M49)+SUMIFS(MOT_AJUSTE,MOT_MOTOR,G49,MOT_MARCA,"(todas)",MOT_DESDE,"&lt;="&amp;M49,MOT_HASTA,"&gt;="&amp;M49)+SUMIFS(MOT_AJUSTE,MOT_MOTOR,"(cualquiera)",MOT_MARCA,E49,MOT_DESDE,"&lt;="&amp;M49,MOT_HASTA,"&gt;="&amp;M49)</f>
        <v/>
      </c>
      <c r="CP49" s="3">
        <f>SUMIFS(COMB_AJUSTE,COMB_COMB,K49)</f>
        <v/>
      </c>
      <c r="CQ49" s="3">
        <f>COUNTIFS(MOT_MOTOR,G49,MOT_MARCA,E49,MOT_DESDE,"&lt;="&amp;M49,MOT_HASTA,"&gt;="&amp;M49)+COUNTIFS(MOT_MOTOR,G49,MOT_MARCA,"(todas)",MOT_DESDE,"&lt;="&amp;M49,MOT_HASTA,"&gt;="&amp;M49)+COUNTIFS(MOT_MOTOR,"(cualquiera)",MOT_MARCA,E49,MOT_DESDE,"&lt;="&amp;M49,MOT_HASTA,"&gt;="&amp;M49)</f>
        <v/>
      </c>
      <c r="CR49" s="3">
        <f>IF(AND(K49="diesel",CQ49=0),MIN(CN49,NEUTRO),CN49)</f>
        <v/>
      </c>
      <c r="CS49" s="3">
        <f>MAX(0,MIN(100,CR49+CO49+CP49-IF(AX49="sí",ROB_PEN,0)))</f>
        <v/>
      </c>
      <c r="CT49" s="3">
        <f>100-MAX(0,N49-KM_TOPE_DESDE)/1000*KM_TOPE_PTS</f>
        <v/>
      </c>
      <c r="CU49" s="3">
        <f>MAX(0,MIN(100,50+CG49*PRECIO_PEND,CT49))</f>
        <v/>
      </c>
      <c r="CV49" s="3">
        <f>MAX(0,100*(1-N49/KM_MAX))</f>
        <v/>
      </c>
      <c r="CW49" s="3">
        <f>IF(BX49&lt;KMA_SOSP,IF(AA49="sí",100,KMA_PEN),IF(BX49&lt;=KMA_IDEAL_MAX,100,MAX(0,100*(KMA_CERO-BX49)/(KMA_CERO-KMA_IDEAL_MAX))))</f>
        <v/>
      </c>
      <c r="CX49" s="3">
        <f>MAX(0,MIN(100,100*(M49-ANIO_MIN)/(ANIO_ACTUAL-ANIO_MIN)))</f>
        <v/>
      </c>
      <c r="CY49" s="3">
        <f>W_KMT*CV49+W_KMA*CW49+W_EDAD*CX49</f>
        <v/>
      </c>
      <c r="CZ49" s="4">
        <f>E49&amp;"|"&amp;G49</f>
        <v/>
      </c>
      <c r="DA49" s="3">
        <f>IFERROR(VLOOKUP(CZ49,DIST_TBL,2,0),"")</f>
        <v/>
      </c>
      <c r="DB49" s="3">
        <f>E_ITV*(V49="sí")+E_LIBRO*(W49="sí")+E_PROP*IF(Y49=1,1,IF(Y49=2,0.5,0))+E_CORREA*IF(OR(DA49="cadena",AND(X49="sí",BH49="sí")),1,IF(X49="sí",0.5,0))+E_FACT*(BI49="sí")</f>
        <v/>
      </c>
      <c r="DC49" s="3">
        <f>MAX(0,MIN(100,IFERROR(VLOOKUP(CL49,ETQ_TBL,2,0),0)-IF(CM49="sí",ETQ_PEN_DUD,IF(AS49="regla",ETQ_PEN_REGLA,0))))</f>
        <v/>
      </c>
      <c r="DD49" s="3">
        <f>IF(K49&lt;&gt;"gasolina","",IFERROR(VLOOKUP(F49,CONS_MOD_TBL,2,0),IFERROR(VLOOKUP(L49,CONS_SEG_TBL,2,0),"")))</f>
        <v/>
      </c>
      <c r="DE49" s="3">
        <f>IF(DD49="",NEUTRO,MAX(0,MIN(100,100*(CONS_REF_MAX-DD49)/(CONS_REF_MAX-CONS_REF_MIN))))</f>
        <v/>
      </c>
      <c r="DF49" s="3">
        <f>IFERROR(VLOOKUP(L49,SEGURO_TBL,3,0),"")</f>
        <v/>
      </c>
      <c r="DG49" s="3">
        <f>IF(DF49="",NEUTRO,MAX(0,MIN(100,100*(SEG_REF_MAX-DF49)/(SEG_REF_MAX-SEG_REF_MIN))))</f>
        <v/>
      </c>
      <c r="DH49" s="3">
        <f>IFERROR(VLOOKUP(E49,MANT_MARCA_TBL,2,0)+0,NEUTRO)</f>
        <v/>
      </c>
      <c r="DI49" s="3">
        <f>IF(DA49="",NEUTRO,IFERROR(VLOOKUP(DA49,DIST_PTS_TBL,2,0)+0,NEUTRO))</f>
        <v/>
      </c>
      <c r="DJ49" s="4">
        <f>(DH49+DI49)/2</f>
        <v/>
      </c>
      <c r="DK49" s="3">
        <f>W_CONS*DE49+W_SEG*DG49+W_MANT*DJ49</f>
        <v/>
      </c>
      <c r="DL49" s="3">
        <f>IF(N(AB49)&gt;0,AB49,IF(AND(R49="profesional",SG_LEGAL_ON=1),GAR_LEGAL,0))</f>
        <v/>
      </c>
      <c r="DM49" s="3">
        <f>MAX(0,MIN(100,SG_GAR*MIN(1,DL49/SG_GAR_FULL)+SG_AMPL*(AC49="sí")+SG_KMC*(AF49="sí")+SG_REV*(N(AE49)&gt;0)+SG_DEV*MIN(1,N(AG49)/SG_DEV_FULL)+SG_HIST*(W49="sí")-IF(AND(R49="particular",DL49=0),SG_PART_PEN,0)))</f>
        <v/>
      </c>
      <c r="DN49" s="3">
        <f>IF(BK49="",NEUTRO,MAX(0,MIN(100,BK49/5*100)))</f>
        <v/>
      </c>
      <c r="DO49" s="3">
        <f>IF(BL49="sí",100,IF(BL49="no",0,NEUTRO))</f>
        <v/>
      </c>
      <c r="DP49" s="3">
        <f>SV_W_NCAP*DN49+SV_W_ESP*DO49</f>
        <v/>
      </c>
      <c r="DQ49" s="3">
        <f>MAX(0,MIN(100,ATR_BASE+ATR_ACAB*(BD49&lt;&gt;"")+IF(BE49="16+",ATR_LL16,IF(BE49="sí",ATR_LL,0))+ATR_FAROS*(BF49="sí")+ATR_TINT*(BG49="sí")-ATR_CHAPA*(BE49="chapa")))</f>
        <v/>
      </c>
      <c r="DR49" s="3">
        <f>EST_W_MOD*(BB49-1)/4*100+EST_W_ATR*DQ49</f>
        <v/>
      </c>
      <c r="DS49" s="3">
        <f>IF(BA49="",NEUTRO,IFERROR(VLOOKUP(BA49,COLOR_TBL,2,0)+0,NEUTRO))</f>
        <v/>
      </c>
      <c r="DT49" s="3">
        <f>MAX(0,MIN(100,100*N(BM49)/RV_N_FULL))</f>
        <v/>
      </c>
      <c r="DU49" s="3">
        <f>IF(OR(BN49="",N(BO49)&lt;RV_DIAS_MIN),NEUTRO,MAX(0,MIN(100,100*(RV_DIAS_CERO-BN49)/(RV_DIAS_CERO-RV_DIAS_FULL))))</f>
        <v/>
      </c>
      <c r="DV49" s="3">
        <f>RV_W_LIQ*DT49+RV_W_DIAS*DU49+RV_W_ETQ*DC49</f>
        <v/>
      </c>
      <c r="DW49" s="3">
        <f>IFERROR(VLOOKUP(L49,CARR_PEN_TBL,2,0),0)</f>
        <v/>
      </c>
      <c r="DX49" s="3">
        <f>W_FIAB*CS49+W_PRECIO*CU49+W_KMEDAD*CY49+W_ESTADO*DB49+W_USO*DK49+W_SEGURIDAD*DM49+W_SEGVIAL*DP49+W_ESTETICA*DR49+W_COLOR*DS49+W_REVENTA*DV49-DW49-EG49</f>
        <v/>
      </c>
      <c r="DY49" s="4">
        <f>IF(N(I49)&gt;0,I49,IFERROR(ROUND(_xlfn.NUMBERVALUE(LEFT(G49,FIND(" ",G49&amp;" ")-1),".")*1000,0),99999))</f>
        <v/>
      </c>
      <c r="DZ49" s="3">
        <f>IF(R49="profesional",0,IF(O49&lt;CUOTA_VALOR_MAX,IF(BW49&gt;ITP_TRAMO_ALTO,SUMIFS(CF_CUOTA,CF_MAS,ITP_TRAMO_ALTO,CF_CCMIN,"&lt;="&amp;DY49,CF_CCMAX,"&gt;="&amp;DY49),IF(BW49&gt;ITP_TRAMO_BAJO,SUMIFS(CF_CUOTA,CF_MAS,ITP_TRAMO_BAJO,CF_CCMIN,"&lt;="&amp;DY49,CF_CCMAX,"&gt;="&amp;DY49),O49*ITP_TIPO)),O49*ITP_TIPO))</f>
        <v/>
      </c>
      <c r="EA49" s="4">
        <f>IF(R49="profesional",N(AK49),0)</f>
        <v/>
      </c>
      <c r="EB49" s="3">
        <f>IF(AND(R49="profesional",ISNUMBER(AK49),AL49="sí"),0,TASA_DGT)</f>
        <v/>
      </c>
      <c r="EC49" s="3">
        <f>INFORME_DGT</f>
        <v/>
      </c>
      <c r="ED49" s="4">
        <f>O49+EA49+DZ49+EB49+EC49</f>
        <v/>
      </c>
      <c r="EE49" s="4">
        <f>ED49+N(DF49)</f>
        <v/>
      </c>
      <c r="EF49" s="3">
        <f>MAX(0,ED49-TOTAL_MAX)</f>
        <v/>
      </c>
      <c r="EG49" s="3">
        <f>EF49/100*PEN_100</f>
        <v/>
      </c>
      <c r="EH49" s="3">
        <f>IF(R49="particular",ED49+IF(AND(DA49&lt;&gt;"cadena",X49&lt;&gt;"sí"),RES_CORREA,0)+IF(AND(BJ49&lt;&gt;"sí",BW49&gt;=RES_NEUM_EDAD),RES_NEUM,0),"")</f>
        <v/>
      </c>
      <c r="EI49" s="3">
        <f>IF(ED49&lt;=TOTAL_MAX,"sí",IF(ED49&lt;=TECHO,"negociar","no"))</f>
        <v/>
      </c>
      <c r="EJ49" s="4">
        <f>ROUND(DX49,9)</f>
        <v/>
      </c>
      <c r="EK49" s="4">
        <f>IF(EI49&lt;&gt;"no",SUMPRODUCT(($EI$2:$EI$209&lt;&gt;"no")*($EJ$2:$EJ$209&gt;EJ49))+SUMPRODUCT(($EI$2:EI49&lt;&gt;"no")*($EJ$2:EJ49=EJ49)),"")</f>
        <v/>
      </c>
    </row>
    <row r="50">
      <c r="A50" s="2" t="inlineStr">
        <is>
          <t>cochesnet:71867781</t>
        </is>
      </c>
      <c r="B50" s="2" t="inlineStr">
        <is>
          <t>cochesnet</t>
        </is>
      </c>
      <c r="C50" s="2" t="inlineStr">
        <is>
          <t>https://www.coches.net/seat-ibiza-19-tdi-100cv-sport-5p-diesel-2008-en-valencia-71867781-covo.aspx</t>
        </is>
      </c>
      <c r="D50" s="2" t="inlineStr">
        <is>
          <t>SEAT Ibiza 1.9 TDI Sport</t>
        </is>
      </c>
      <c r="E50" s="2" t="inlineStr">
        <is>
          <t>Seat</t>
        </is>
      </c>
      <c r="F50" s="2" t="inlineStr">
        <is>
          <t>Seat Ibiza</t>
        </is>
      </c>
      <c r="G50" s="2" t="inlineStr">
        <is>
          <t>1.9 TDI</t>
        </is>
      </c>
      <c r="H50" s="2" t="inlineStr">
        <is>
          <t>1.9 TDI 100cv Sport</t>
        </is>
      </c>
      <c r="I50" s="2" t="n"/>
      <c r="J50" s="2" t="n">
        <v>100</v>
      </c>
      <c r="K50" s="2" t="inlineStr">
        <is>
          <t>diesel</t>
        </is>
      </c>
      <c r="L50" s="2" t="inlineStr">
        <is>
          <t>utilitario</t>
        </is>
      </c>
      <c r="M50" s="2" t="n">
        <v>2007</v>
      </c>
      <c r="N50" s="2" t="n">
        <v>117000</v>
      </c>
      <c r="O50" s="2" t="n">
        <v>4990</v>
      </c>
      <c r="P50" s="2" t="inlineStr">
        <is>
          <t>manual</t>
        </is>
      </c>
      <c r="Q50" s="2" t="inlineStr">
        <is>
          <t>no</t>
        </is>
      </c>
      <c r="R50" s="2" t="inlineStr">
        <is>
          <t>profesional</t>
        </is>
      </c>
      <c r="S50" s="2" t="inlineStr">
        <is>
          <t>MSG Car 4 Valencia</t>
        </is>
      </c>
      <c r="T50" s="2" t="inlineStr">
        <is>
          <t>2026-10-30T09:30:55Z</t>
        </is>
      </c>
      <c r="U50" s="2" t="n">
        <v>13</v>
      </c>
      <c r="V50" s="2" t="n"/>
      <c r="W50" s="2" t="n"/>
      <c r="X50" s="2" t="n"/>
      <c r="Y50" s="2" t="n"/>
      <c r="Z50" s="2" t="inlineStr">
        <is>
          <t>sí</t>
        </is>
      </c>
      <c r="AA50" s="2" t="inlineStr">
        <is>
          <t>sí</t>
        </is>
      </c>
      <c r="AB50" s="2" t="n">
        <v>12</v>
      </c>
      <c r="AC50" s="2" t="n"/>
      <c r="AD50" s="2" t="n"/>
      <c r="AE50" s="2" t="n"/>
      <c r="AF50" s="2" t="inlineStr">
        <is>
          <t>sí</t>
        </is>
      </c>
      <c r="AG50" s="2" t="n"/>
      <c r="AH50" s="2" t="n">
        <v>4990</v>
      </c>
      <c r="AI50" s="2" t="n"/>
      <c r="AJ50" s="2" t="n"/>
      <c r="AK50" s="2" t="n"/>
      <c r="AL50" s="2" t="n"/>
      <c r="AM50" s="2" t="n">
        <v>0.1</v>
      </c>
      <c r="AN50" s="2" t="n"/>
      <c r="AO50" s="2" t="inlineStr">
        <is>
          <t>2007</t>
        </is>
      </c>
      <c r="AP50" s="2" t="n">
        <v>2007</v>
      </c>
      <c r="AQ50" s="2" t="n"/>
      <c r="AR50" s="2" t="inlineStr">
        <is>
          <t>B</t>
        </is>
      </c>
      <c r="AS50" s="2" t="inlineStr">
        <is>
          <t>anuncio</t>
        </is>
      </c>
      <c r="AT50" s="2" t="n">
        <v>2008</v>
      </c>
      <c r="AU50" s="2" t="inlineStr">
        <is>
          <t>no</t>
        </is>
      </c>
      <c r="AV50" s="2" t="inlineStr">
        <is>
          <t>B</t>
        </is>
      </c>
      <c r="AW50" s="2" t="n"/>
      <c r="AX50" s="2" t="inlineStr">
        <is>
          <t>no</t>
        </is>
      </c>
      <c r="AY50" s="2" t="inlineStr">
        <is>
          <t>no</t>
        </is>
      </c>
      <c r="AZ50" s="2" t="inlineStr">
        <is>
          <t>COMMON.COLOR_GREEN</t>
        </is>
      </c>
      <c r="BA50" s="2" t="inlineStr">
        <is>
          <t>verde</t>
        </is>
      </c>
      <c r="BB50" s="3" t="n">
        <v>2</v>
      </c>
      <c r="BC50" s="3" t="inlineStr">
        <is>
          <t>(por segmento)</t>
        </is>
      </c>
      <c r="BD50" s="2" t="inlineStr">
        <is>
          <t>sport</t>
        </is>
      </c>
      <c r="BE50" s="2" t="n"/>
      <c r="BF50" s="2" t="n"/>
      <c r="BG50" s="2" t="n"/>
      <c r="BH50" s="2" t="n"/>
      <c r="BI50" s="2" t="n"/>
      <c r="BJ50" s="2" t="n"/>
      <c r="BK50" s="2" t="n">
        <v>4</v>
      </c>
      <c r="BL50" s="2" t="inlineStr">
        <is>
          <t>no</t>
        </is>
      </c>
      <c r="BM50" s="2" t="n">
        <v>385</v>
      </c>
      <c r="BN50" s="2" t="n">
        <v>0.07434027781710029</v>
      </c>
      <c r="BO50" s="2" t="n">
        <v>10</v>
      </c>
      <c r="BP50" s="2" t="n">
        <v>4745</v>
      </c>
      <c r="BQ50" s="2" t="n">
        <v>4</v>
      </c>
      <c r="BR50" s="2" t="inlineStr">
        <is>
          <t>modelo+año+km</t>
        </is>
      </c>
      <c r="BS50" s="2" t="n"/>
      <c r="BT50" s="2" t="inlineStr">
        <is>
          <t>año a confirmar: la URL/título dice 2008; por encima del presupuesto: negociar 54 € (coste 5054 €; -1.1 puntos); vendedor profesional: sin ITP (operación con IVA/REBU, confirmar en factura); gastos de gestión del vendedor no indicados: se suma la tasa DGT; preguntar el precio final; diésel: motor sin fuente de fiabilidad (fiabilidad limitada a neutra); revisar: no menciona la ITV</t>
        </is>
      </c>
      <c r="BU50" s="2" t="inlineStr">
        <is>
          <t>-Nacional-Kilometraje certificado-Etiqueta medioambiental B-Recién revisado-
Extras: climatizador, cierre centralizado...
- Se acepta su vehículo como parte de pago.
- Posibilidad de envío a domicilio dentro de la península.
- Aceptamos prueba mecánica.
*Exposición en Segorbe (CS), en la avda. Mediterráneo, 138*Opción de ver el vehículo en Valencia capital*Consulte disponibilidad antes de visitarnos*
Horario de atención telefónica: Lunes a viernes de 10:00h a 14:00h - 16:00h a 19:00h.</t>
        </is>
      </c>
      <c r="BV50" s="2" t="inlineStr">
        <is>
          <t>https://www.coches.net/seat-ibiza-19-tdi-100cv-sport-5p-diesel-2008-en-valencia-71867781-covo.aspx (window.__INITIAL_PROPS__.ad) /home/user/Alopecia/buscador-coches/raw/cochesnet/04fc7723d9dff820.json</t>
        </is>
      </c>
      <c r="BW50" s="3">
        <f>MAX(ANIO_ACTUAL-M50,0)</f>
        <v/>
      </c>
      <c r="BX50" s="4">
        <f>N50/MAX(BW50,0.5)</f>
        <v/>
      </c>
      <c r="BY50" s="4">
        <f>F50</f>
        <v/>
      </c>
      <c r="BZ50" s="3">
        <f>BY50&amp;"|"&amp;INT(M50/SEG_ANIO)*SEG_ANIO</f>
        <v/>
      </c>
      <c r="CA50" s="3">
        <f>BZ50&amp;"|"&amp;INT(N50/SEG_KM)*SEG_KM</f>
        <v/>
      </c>
      <c r="CB50" s="4">
        <f>COUNTIF($BY$2:$BY$209,BY50)</f>
        <v/>
      </c>
      <c r="CC50" s="4">
        <f>COUNTIF($BZ$2:$BZ$209,BZ50)</f>
        <v/>
      </c>
      <c r="CD50" s="4">
        <f>COUNTIF($CA$2:$CA$209,CA50)</f>
        <v/>
      </c>
      <c r="CE50" s="3">
        <f t="array" ref="CE50">IF(N(BQ50)&gt;=MIN_N,BP50,IF(CD50&gt;=MIN_N,MEDIAN(IF($CA$2:$CA$209=CA50,$O$2:$O$209)),IF(CC50&gt;=MIN_N,MEDIAN(IF($BZ$2:$BZ$209=BZ50,$O$2:$O$209)),MEDIAN(IF($BY$2:$BY$209=BY50,$O$2:$O$209)))))</f>
        <v/>
      </c>
      <c r="CF50" s="3">
        <f>IF(N(BQ50)&gt;=MIN_N,"mercado "&amp;BR50,IF(CD50&gt;=MIN_N,"modelo+año+km",IF(CC50&gt;=MIN_N,"modelo+año","modelo")))</f>
        <v/>
      </c>
      <c r="CG50" s="4">
        <f>(CE50-O50)/CE50</f>
        <v/>
      </c>
      <c r="CH50" s="3">
        <f>IF(COUNTIFS(FR_FUEL,K50,FR_YEAR,AP50)&gt;0,1,0)</f>
        <v/>
      </c>
      <c r="CI50" s="3">
        <f>IF(COUNTIFS(FR_FUEL,K50,FR_YEAR,AP50-1)&gt;0,1,0)</f>
        <v/>
      </c>
      <c r="CJ50" s="4">
        <f>IF(N(AQ50)&gt;0,AP50*100+AQ50,IF(AND(CH50=1,CI50=1),(AP50-1)*100+1,AP50*100+1))</f>
        <v/>
      </c>
      <c r="CK50" s="3">
        <f>IF(OR(K50="hibrido",K50="glp",K50="gnc",K50="phev"),"ECO",IF(K50="electrico","CERO",IF(K50="gasolina",IF(CJ50&gt;=GAS_C_YM,"C",IF(CJ50&gt;=GAS_B_YM,"B","A")),IF(K50="diesel",IF(CJ50&gt;=DIE_C_YM,"C",IF(CJ50&gt;=DIE_B_YM,"B","A")),""))))</f>
        <v/>
      </c>
      <c r="CL50" s="2" t="inlineStr">
        <is>
          <t>B</t>
        </is>
      </c>
      <c r="CM50" s="4">
        <f>IF(AU50="sí","sí",IF(AS50="regla",IF(AND(N(AQ50)=0,CH50=1),"sí","no"),"no"))</f>
        <v/>
      </c>
      <c r="CN50" s="3">
        <f>IFERROR(VLOOKUP(F50,MOD_TBL,16,0),IFERROR(VLOOKUP(E50,OCU_TBL,2,0),NEUTRO))</f>
        <v/>
      </c>
      <c r="CO50" s="3">
        <f>SUMIFS(MOT_AJUSTE,MOT_MOTOR,G50,MOT_MARCA,E50,MOT_DESDE,"&lt;="&amp;M50,MOT_HASTA,"&gt;="&amp;M50)+SUMIFS(MOT_AJUSTE,MOT_MOTOR,G50,MOT_MARCA,"(todas)",MOT_DESDE,"&lt;="&amp;M50,MOT_HASTA,"&gt;="&amp;M50)+SUMIFS(MOT_AJUSTE,MOT_MOTOR,"(cualquiera)",MOT_MARCA,E50,MOT_DESDE,"&lt;="&amp;M50,MOT_HASTA,"&gt;="&amp;M50)</f>
        <v/>
      </c>
      <c r="CP50" s="3">
        <f>SUMIFS(COMB_AJUSTE,COMB_COMB,K50)</f>
        <v/>
      </c>
      <c r="CQ50" s="3">
        <f>COUNTIFS(MOT_MOTOR,G50,MOT_MARCA,E50,MOT_DESDE,"&lt;="&amp;M50,MOT_HASTA,"&gt;="&amp;M50)+COUNTIFS(MOT_MOTOR,G50,MOT_MARCA,"(todas)",MOT_DESDE,"&lt;="&amp;M50,MOT_HASTA,"&gt;="&amp;M50)+COUNTIFS(MOT_MOTOR,"(cualquiera)",MOT_MARCA,E50,MOT_DESDE,"&lt;="&amp;M50,MOT_HASTA,"&gt;="&amp;M50)</f>
        <v/>
      </c>
      <c r="CR50" s="3">
        <f>IF(AND(K50="diesel",CQ50=0),MIN(CN50,NEUTRO),CN50)</f>
        <v/>
      </c>
      <c r="CS50" s="3">
        <f>MAX(0,MIN(100,CR50+CO50+CP50-IF(AX50="sí",ROB_PEN,0)))</f>
        <v/>
      </c>
      <c r="CT50" s="3">
        <f>100-MAX(0,N50-KM_TOPE_DESDE)/1000*KM_TOPE_PTS</f>
        <v/>
      </c>
      <c r="CU50" s="3">
        <f>MAX(0,MIN(100,50+CG50*PRECIO_PEND,CT50))</f>
        <v/>
      </c>
      <c r="CV50" s="3">
        <f>MAX(0,100*(1-N50/KM_MAX))</f>
        <v/>
      </c>
      <c r="CW50" s="3">
        <f>IF(BX50&lt;KMA_SOSP,IF(AA50="sí",100,KMA_PEN),IF(BX50&lt;=KMA_IDEAL_MAX,100,MAX(0,100*(KMA_CERO-BX50)/(KMA_CERO-KMA_IDEAL_MAX))))</f>
        <v/>
      </c>
      <c r="CX50" s="3">
        <f>MAX(0,MIN(100,100*(M50-ANIO_MIN)/(ANIO_ACTUAL-ANIO_MIN)))</f>
        <v/>
      </c>
      <c r="CY50" s="3">
        <f>W_KMT*CV50+W_KMA*CW50+W_EDAD*CX50</f>
        <v/>
      </c>
      <c r="CZ50" s="4">
        <f>E50&amp;"|"&amp;G50</f>
        <v/>
      </c>
      <c r="DA50" s="3">
        <f>IFERROR(VLOOKUP(CZ50,DIST_TBL,2,0),"")</f>
        <v/>
      </c>
      <c r="DB50" s="3">
        <f>E_ITV*(V50="sí")+E_LIBRO*(W50="sí")+E_PROP*IF(Y50=1,1,IF(Y50=2,0.5,0))+E_CORREA*IF(OR(DA50="cadena",AND(X50="sí",BH50="sí")),1,IF(X50="sí",0.5,0))+E_FACT*(BI50="sí")</f>
        <v/>
      </c>
      <c r="DC50" s="3">
        <f>MAX(0,MIN(100,IFERROR(VLOOKUP(CL50,ETQ_TBL,2,0),0)-IF(CM50="sí",ETQ_PEN_DUD,IF(AS50="regla",ETQ_PEN_REGLA,0))))</f>
        <v/>
      </c>
      <c r="DD50" s="3">
        <f>IF(K50&lt;&gt;"gasolina","",IFERROR(VLOOKUP(F50,CONS_MOD_TBL,2,0),IFERROR(VLOOKUP(L50,CONS_SEG_TBL,2,0),"")))</f>
        <v/>
      </c>
      <c r="DE50" s="3">
        <f>IF(DD50="",NEUTRO,MAX(0,MIN(100,100*(CONS_REF_MAX-DD50)/(CONS_REF_MAX-CONS_REF_MIN))))</f>
        <v/>
      </c>
      <c r="DF50" s="3">
        <f>IFERROR(VLOOKUP(L50,SEGURO_TBL,3,0),"")</f>
        <v/>
      </c>
      <c r="DG50" s="3">
        <f>IF(DF50="",NEUTRO,MAX(0,MIN(100,100*(SEG_REF_MAX-DF50)/(SEG_REF_MAX-SEG_REF_MIN))))</f>
        <v/>
      </c>
      <c r="DH50" s="3">
        <f>IFERROR(VLOOKUP(E50,MANT_MARCA_TBL,2,0)+0,NEUTRO)</f>
        <v/>
      </c>
      <c r="DI50" s="3">
        <f>IF(DA50="",NEUTRO,IFERROR(VLOOKUP(DA50,DIST_PTS_TBL,2,0)+0,NEUTRO))</f>
        <v/>
      </c>
      <c r="DJ50" s="4">
        <f>(DH50+DI50)/2</f>
        <v/>
      </c>
      <c r="DK50" s="3">
        <f>W_CONS*DE50+W_SEG*DG50+W_MANT*DJ50</f>
        <v/>
      </c>
      <c r="DL50" s="3">
        <f>IF(N(AB50)&gt;0,AB50,IF(AND(R50="profesional",SG_LEGAL_ON=1),GAR_LEGAL,0))</f>
        <v/>
      </c>
      <c r="DM50" s="3">
        <f>MAX(0,MIN(100,SG_GAR*MIN(1,DL50/SG_GAR_FULL)+SG_AMPL*(AC50="sí")+SG_KMC*(AF50="sí")+SG_REV*(N(AE50)&gt;0)+SG_DEV*MIN(1,N(AG50)/SG_DEV_FULL)+SG_HIST*(W50="sí")-IF(AND(R50="particular",DL50=0),SG_PART_PEN,0)))</f>
        <v/>
      </c>
      <c r="DN50" s="3">
        <f>IF(BK50="",NEUTRO,MAX(0,MIN(100,BK50/5*100)))</f>
        <v/>
      </c>
      <c r="DO50" s="3">
        <f>IF(BL50="sí",100,IF(BL50="no",0,NEUTRO))</f>
        <v/>
      </c>
      <c r="DP50" s="3">
        <f>SV_W_NCAP*DN50+SV_W_ESP*DO50</f>
        <v/>
      </c>
      <c r="DQ50" s="3">
        <f>MAX(0,MIN(100,ATR_BASE+ATR_ACAB*(BD50&lt;&gt;"")+IF(BE50="16+",ATR_LL16,IF(BE50="sí",ATR_LL,0))+ATR_FAROS*(BF50="sí")+ATR_TINT*(BG50="sí")-ATR_CHAPA*(BE50="chapa")))</f>
        <v/>
      </c>
      <c r="DR50" s="3">
        <f>EST_W_MOD*(BB50-1)/4*100+EST_W_ATR*DQ50</f>
        <v/>
      </c>
      <c r="DS50" s="3">
        <f>IF(BA50="",NEUTRO,IFERROR(VLOOKUP(BA50,COLOR_TBL,2,0)+0,NEUTRO))</f>
        <v/>
      </c>
      <c r="DT50" s="3">
        <f>MAX(0,MIN(100,100*N(BM50)/RV_N_FULL))</f>
        <v/>
      </c>
      <c r="DU50" s="3">
        <f>IF(OR(BN50="",N(BO50)&lt;RV_DIAS_MIN),NEUTRO,MAX(0,MIN(100,100*(RV_DIAS_CERO-BN50)/(RV_DIAS_CERO-RV_DIAS_FULL))))</f>
        <v/>
      </c>
      <c r="DV50" s="3">
        <f>RV_W_LIQ*DT50+RV_W_DIAS*DU50+RV_W_ETQ*DC50</f>
        <v/>
      </c>
      <c r="DW50" s="3">
        <f>IFERROR(VLOOKUP(L50,CARR_PEN_TBL,2,0),0)</f>
        <v/>
      </c>
      <c r="DX50" s="3">
        <f>W_FIAB*CS50+W_PRECIO*CU50+W_KMEDAD*CY50+W_ESTADO*DB50+W_USO*DK50+W_SEGURIDAD*DM50+W_SEGVIAL*DP50+W_ESTETICA*DR50+W_COLOR*DS50+W_REVENTA*DV50-DW50-EG50</f>
        <v/>
      </c>
      <c r="DY50" s="4">
        <f>IF(N(I50)&gt;0,I50,IFERROR(ROUND(_xlfn.NUMBERVALUE(LEFT(G50,FIND(" ",G50&amp;" ")-1),".")*1000,0),99999))</f>
        <v/>
      </c>
      <c r="DZ50" s="3">
        <f>IF(R50="profesional",0,IF(O50&lt;CUOTA_VALOR_MAX,IF(BW50&gt;ITP_TRAMO_ALTO,SUMIFS(CF_CUOTA,CF_MAS,ITP_TRAMO_ALTO,CF_CCMIN,"&lt;="&amp;DY50,CF_CCMAX,"&gt;="&amp;DY50),IF(BW50&gt;ITP_TRAMO_BAJO,SUMIFS(CF_CUOTA,CF_MAS,ITP_TRAMO_BAJO,CF_CCMIN,"&lt;="&amp;DY50,CF_CCMAX,"&gt;="&amp;DY50),O50*ITP_TIPO)),O50*ITP_TIPO))</f>
        <v/>
      </c>
      <c r="EA50" s="4">
        <f>IF(R50="profesional",N(AK50),0)</f>
        <v/>
      </c>
      <c r="EB50" s="3">
        <f>IF(AND(R50="profesional",ISNUMBER(AK50),AL50="sí"),0,TASA_DGT)</f>
        <v/>
      </c>
      <c r="EC50" s="3">
        <f>INFORME_DGT</f>
        <v/>
      </c>
      <c r="ED50" s="4">
        <f>O50+EA50+DZ50+EB50+EC50</f>
        <v/>
      </c>
      <c r="EE50" s="4">
        <f>ED50+N(DF50)</f>
        <v/>
      </c>
      <c r="EF50" s="3">
        <f>MAX(0,ED50-TOTAL_MAX)</f>
        <v/>
      </c>
      <c r="EG50" s="3">
        <f>EF50/100*PEN_100</f>
        <v/>
      </c>
      <c r="EH50" s="3">
        <f>IF(R50="particular",ED50+IF(AND(DA50&lt;&gt;"cadena",X50&lt;&gt;"sí"),RES_CORREA,0)+IF(AND(BJ50&lt;&gt;"sí",BW50&gt;=RES_NEUM_EDAD),RES_NEUM,0),"")</f>
        <v/>
      </c>
      <c r="EI50" s="3">
        <f>IF(ED50&lt;=TOTAL_MAX,"sí",IF(ED50&lt;=TECHO,"negociar","no"))</f>
        <v/>
      </c>
      <c r="EJ50" s="4">
        <f>ROUND(DX50,9)</f>
        <v/>
      </c>
      <c r="EK50" s="4">
        <f>IF(EI50&lt;&gt;"no",SUMPRODUCT(($EI$2:$EI$209&lt;&gt;"no")*($EJ$2:$EJ$209&gt;EJ50))+SUMPRODUCT(($EI$2:EI50&lt;&gt;"no")*($EJ$2:EJ50=EJ50)),"")</f>
        <v/>
      </c>
    </row>
    <row r="51">
      <c r="A51" s="2" t="inlineStr">
        <is>
          <t>cochesnet:71806576</t>
        </is>
      </c>
      <c r="B51" s="2" t="inlineStr">
        <is>
          <t>cochesnet</t>
        </is>
      </c>
      <c r="C51" s="2" t="inlineStr">
        <is>
          <t>https://www.coches.net/opel-corsa-enjoy-12-5p-gasolina-2008-en-valencia-71806576-covo.aspx</t>
        </is>
      </c>
      <c r="D51" s="2" t="inlineStr">
        <is>
          <t>OPEL Corsa Enjoy 1.2</t>
        </is>
      </c>
      <c r="E51" s="2" t="inlineStr">
        <is>
          <t>Opel</t>
        </is>
      </c>
      <c r="F51" s="2" t="inlineStr">
        <is>
          <t>Opel Corsa</t>
        </is>
      </c>
      <c r="G51" s="2" t="inlineStr">
        <is>
          <t>1.2</t>
        </is>
      </c>
      <c r="H51" s="2" t="inlineStr">
        <is>
          <t>Enjoy 1.2</t>
        </is>
      </c>
      <c r="I51" s="2" t="n"/>
      <c r="J51" s="2" t="n"/>
      <c r="K51" s="2" t="inlineStr">
        <is>
          <t>gasolina</t>
        </is>
      </c>
      <c r="L51" s="2" t="inlineStr">
        <is>
          <t>utilitario</t>
        </is>
      </c>
      <c r="M51" s="2" t="n">
        <v>2008</v>
      </c>
      <c r="N51" s="2" t="n">
        <v>93267</v>
      </c>
      <c r="O51" s="2" t="n">
        <v>4990</v>
      </c>
      <c r="P51" s="2" t="inlineStr">
        <is>
          <t>manual</t>
        </is>
      </c>
      <c r="Q51" s="2" t="inlineStr">
        <is>
          <t>no</t>
        </is>
      </c>
      <c r="R51" s="2" t="inlineStr">
        <is>
          <t>profesional</t>
        </is>
      </c>
      <c r="S51" s="2" t="inlineStr">
        <is>
          <t>Alzira</t>
        </is>
      </c>
      <c r="T51" s="2" t="inlineStr">
        <is>
          <t>2026-10-22T10:45:15Z</t>
        </is>
      </c>
      <c r="U51" s="2" t="n">
        <v>18</v>
      </c>
      <c r="V51" s="2" t="n"/>
      <c r="W51" s="2" t="n"/>
      <c r="X51" s="2" t="n"/>
      <c r="Y51" s="2" t="n"/>
      <c r="Z51" s="2" t="inlineStr">
        <is>
          <t>no</t>
        </is>
      </c>
      <c r="AA51" s="2" t="n"/>
      <c r="AB51" s="2" t="n"/>
      <c r="AC51" s="2" t="n"/>
      <c r="AD51" s="2" t="n"/>
      <c r="AE51" s="2" t="n"/>
      <c r="AF51" s="2" t="n"/>
      <c r="AG51" s="2" t="n"/>
      <c r="AH51" s="2" t="n">
        <v>4990</v>
      </c>
      <c r="AI51" s="2" t="n"/>
      <c r="AJ51" s="2" t="n"/>
      <c r="AK51" s="2" t="n"/>
      <c r="AL51" s="2" t="n"/>
      <c r="AM51" s="2" t="n">
        <v>35.7</v>
      </c>
      <c r="AN51" s="2" t="n"/>
      <c r="AO51" s="2" t="inlineStr">
        <is>
          <t>2008</t>
        </is>
      </c>
      <c r="AP51" s="2" t="n">
        <v>2008</v>
      </c>
      <c r="AQ51" s="2" t="n"/>
      <c r="AR51" s="2" t="inlineStr">
        <is>
          <t>C</t>
        </is>
      </c>
      <c r="AS51" s="2" t="inlineStr">
        <is>
          <t>anuncio</t>
        </is>
      </c>
      <c r="AT51" s="2" t="n"/>
      <c r="AU51" s="2" t="inlineStr">
        <is>
          <t>no</t>
        </is>
      </c>
      <c r="AV51" s="2" t="inlineStr">
        <is>
          <t>C</t>
        </is>
      </c>
      <c r="AW51" s="2" t="n"/>
      <c r="AX51" s="2" t="inlineStr">
        <is>
          <t>no</t>
        </is>
      </c>
      <c r="AY51" s="2" t="inlineStr">
        <is>
          <t>no</t>
        </is>
      </c>
      <c r="AZ51" s="2" t="inlineStr">
        <is>
          <t>COMMON.COLOR_BLUE</t>
        </is>
      </c>
      <c r="BA51" s="2" t="inlineStr">
        <is>
          <t>azul</t>
        </is>
      </c>
      <c r="BB51" s="3" t="n">
        <v>2</v>
      </c>
      <c r="BC51" s="3" t="inlineStr">
        <is>
          <t>(por segmento)</t>
        </is>
      </c>
      <c r="BD51" s="2" t="n"/>
      <c r="BE51" s="2" t="n"/>
      <c r="BF51" s="2" t="n"/>
      <c r="BG51" s="2" t="n"/>
      <c r="BH51" s="2" t="n"/>
      <c r="BI51" s="2" t="n"/>
      <c r="BJ51" s="2" t="n"/>
      <c r="BK51" s="2" t="n">
        <v>5</v>
      </c>
      <c r="BL51" s="2" t="n"/>
      <c r="BM51" s="2" t="n">
        <v>456</v>
      </c>
      <c r="BN51" s="2" t="n">
        <v>0.05126157402992249</v>
      </c>
      <c r="BO51" s="2" t="n">
        <v>11</v>
      </c>
      <c r="BP51" s="2" t="n">
        <v>5845</v>
      </c>
      <c r="BQ51" s="2" t="n">
        <v>4</v>
      </c>
      <c r="BR51" s="2" t="inlineStr">
        <is>
          <t>modelo+año+km</t>
        </is>
      </c>
      <c r="BS51" s="2" t="n"/>
      <c r="BT51" s="2" t="inlineStr">
        <is>
          <t>por encima del presupuesto: negociar 54 € (coste 5054 €; -1.1 puntos); vendedor profesional: sin ITP (operación con IVA/REBU, confirmar en factura); gastos de gestión del vendedor no indicados: se suma la tasa DGT; preguntar el precio final; revisar: no menciona la ITV</t>
        </is>
      </c>
      <c r="BU51" s="2" t="inlineStr">
        <is>
          <t>Con garantía y cambio de nombre 5.500
Lo clave en 5 datos
Motor: 1.2 Gasolina (Fiable, suave y de mantenimiento muy económico)
Año: 2008
Kilómetros: 93.267 km (Certificados, kilometraje muy bajo para su año)
Acabado: Enjoy
Etiqueta DGT: C (Verde)
¿Por qué destaca esta unidad?
Poco rodaje: Menos de 95.000 km acumulados, lo que garantiza un estado mecánico con mucha vida útil por delante.
Mecánica sencilla y duradera: Motor de gasolina atmosférico de baja complejidad, ideal para evitar averías costosas.
Agilidad en ciudad: Tamaño compacto, fácil de aparcar y respuesta ágil en el tráfico urbano.
Acabado Enjoy: Incluye aire acondicionado, elevalunas eléctricos, dirección asistida con modo de maniobra y mandos en el volante.
¿Buscas un coche práctico, duradero y económico de mantener? Contáctanos ahora para consultar opciones de financiación a tu medida o agendar una prueba de conducción sin compromiso.</t>
        </is>
      </c>
      <c r="BV51" s="2" t="inlineStr">
        <is>
          <t>https://www.coches.net/opel-corsa-enjoy-12-5p-gasolina-2008-en-valencia-71806576-covo.aspx (window.__INITIAL_PROPS__.ad) /home/user/Alopecia/buscador-coches/raw/cochesnet/06d5c7ae03c437e7.json</t>
        </is>
      </c>
      <c r="BW51" s="3">
        <f>MAX(ANIO_ACTUAL-M51,0)</f>
        <v/>
      </c>
      <c r="BX51" s="4">
        <f>N51/MAX(BW51,0.5)</f>
        <v/>
      </c>
      <c r="BY51" s="4">
        <f>F51</f>
        <v/>
      </c>
      <c r="BZ51" s="3">
        <f>BY51&amp;"|"&amp;INT(M51/SEG_ANIO)*SEG_ANIO</f>
        <v/>
      </c>
      <c r="CA51" s="3">
        <f>BZ51&amp;"|"&amp;INT(N51/SEG_KM)*SEG_KM</f>
        <v/>
      </c>
      <c r="CB51" s="4">
        <f>COUNTIF($BY$2:$BY$209,BY51)</f>
        <v/>
      </c>
      <c r="CC51" s="4">
        <f>COUNTIF($BZ$2:$BZ$209,BZ51)</f>
        <v/>
      </c>
      <c r="CD51" s="4">
        <f>COUNTIF($CA$2:$CA$209,CA51)</f>
        <v/>
      </c>
      <c r="CE51" s="3">
        <f t="array" ref="CE51">IF(N(BQ51)&gt;=MIN_N,BP51,IF(CD51&gt;=MIN_N,MEDIAN(IF($CA$2:$CA$209=CA51,$O$2:$O$209)),IF(CC51&gt;=MIN_N,MEDIAN(IF($BZ$2:$BZ$209=BZ51,$O$2:$O$209)),MEDIAN(IF($BY$2:$BY$209=BY51,$O$2:$O$209)))))</f>
        <v/>
      </c>
      <c r="CF51" s="3">
        <f>IF(N(BQ51)&gt;=MIN_N,"mercado "&amp;BR51,IF(CD51&gt;=MIN_N,"modelo+año+km",IF(CC51&gt;=MIN_N,"modelo+año","modelo")))</f>
        <v/>
      </c>
      <c r="CG51" s="4">
        <f>(CE51-O51)/CE51</f>
        <v/>
      </c>
      <c r="CH51" s="3">
        <f>IF(COUNTIFS(FR_FUEL,K51,FR_YEAR,AP51)&gt;0,1,0)</f>
        <v/>
      </c>
      <c r="CI51" s="3">
        <f>IF(COUNTIFS(FR_FUEL,K51,FR_YEAR,AP51-1)&gt;0,1,0)</f>
        <v/>
      </c>
      <c r="CJ51" s="4">
        <f>IF(N(AQ51)&gt;0,AP51*100+AQ51,IF(AND(CH51=1,CI51=1),(AP51-1)*100+1,AP51*100+1))</f>
        <v/>
      </c>
      <c r="CK51" s="3">
        <f>IF(OR(K51="hibrido",K51="glp",K51="gnc",K51="phev"),"ECO",IF(K51="electrico","CERO",IF(K51="gasolina",IF(CJ51&gt;=GAS_C_YM,"C",IF(CJ51&gt;=GAS_B_YM,"B","A")),IF(K51="diesel",IF(CJ51&gt;=DIE_C_YM,"C",IF(CJ51&gt;=DIE_B_YM,"B","A")),""))))</f>
        <v/>
      </c>
      <c r="CL51" s="2" t="inlineStr">
        <is>
          <t>C</t>
        </is>
      </c>
      <c r="CM51" s="4">
        <f>IF(AU51="sí","sí",IF(AS51="regla",IF(AND(N(AQ51)=0,CH51=1),"sí","no"),"no"))</f>
        <v/>
      </c>
      <c r="CN51" s="3">
        <f>IFERROR(VLOOKUP(F51,MOD_TBL,16,0),IFERROR(VLOOKUP(E51,OCU_TBL,2,0),NEUTRO))</f>
        <v/>
      </c>
      <c r="CO51" s="3">
        <f>SUMIFS(MOT_AJUSTE,MOT_MOTOR,G51,MOT_MARCA,E51,MOT_DESDE,"&lt;="&amp;M51,MOT_HASTA,"&gt;="&amp;M51)+SUMIFS(MOT_AJUSTE,MOT_MOTOR,G51,MOT_MARCA,"(todas)",MOT_DESDE,"&lt;="&amp;M51,MOT_HASTA,"&gt;="&amp;M51)+SUMIFS(MOT_AJUSTE,MOT_MOTOR,"(cualquiera)",MOT_MARCA,E51,MOT_DESDE,"&lt;="&amp;M51,MOT_HASTA,"&gt;="&amp;M51)</f>
        <v/>
      </c>
      <c r="CP51" s="3">
        <f>SUMIFS(COMB_AJUSTE,COMB_COMB,K51)</f>
        <v/>
      </c>
      <c r="CQ51" s="3">
        <f>COUNTIFS(MOT_MOTOR,G51,MOT_MARCA,E51,MOT_DESDE,"&lt;="&amp;M51,MOT_HASTA,"&gt;="&amp;M51)+COUNTIFS(MOT_MOTOR,G51,MOT_MARCA,"(todas)",MOT_DESDE,"&lt;="&amp;M51,MOT_HASTA,"&gt;="&amp;M51)+COUNTIFS(MOT_MOTOR,"(cualquiera)",MOT_MARCA,E51,MOT_DESDE,"&lt;="&amp;M51,MOT_HASTA,"&gt;="&amp;M51)</f>
        <v/>
      </c>
      <c r="CR51" s="3">
        <f>IF(AND(K51="diesel",CQ51=0),MIN(CN51,NEUTRO),CN51)</f>
        <v/>
      </c>
      <c r="CS51" s="3">
        <f>MAX(0,MIN(100,CR51+CO51+CP51-IF(AX51="sí",ROB_PEN,0)))</f>
        <v/>
      </c>
      <c r="CT51" s="3">
        <f>100-MAX(0,N51-KM_TOPE_DESDE)/1000*KM_TOPE_PTS</f>
        <v/>
      </c>
      <c r="CU51" s="3">
        <f>MAX(0,MIN(100,50+CG51*PRECIO_PEND,CT51))</f>
        <v/>
      </c>
      <c r="CV51" s="3">
        <f>MAX(0,100*(1-N51/KM_MAX))</f>
        <v/>
      </c>
      <c r="CW51" s="3">
        <f>IF(BX51&lt;KMA_SOSP,IF(AA51="sí",100,KMA_PEN),IF(BX51&lt;=KMA_IDEAL_MAX,100,MAX(0,100*(KMA_CERO-BX51)/(KMA_CERO-KMA_IDEAL_MAX))))</f>
        <v/>
      </c>
      <c r="CX51" s="3">
        <f>MAX(0,MIN(100,100*(M51-ANIO_MIN)/(ANIO_ACTUAL-ANIO_MIN)))</f>
        <v/>
      </c>
      <c r="CY51" s="3">
        <f>W_KMT*CV51+W_KMA*CW51+W_EDAD*CX51</f>
        <v/>
      </c>
      <c r="CZ51" s="4">
        <f>E51&amp;"|"&amp;G51</f>
        <v/>
      </c>
      <c r="DA51" s="3">
        <f>IFERROR(VLOOKUP(CZ51,DIST_TBL,2,0),"")</f>
        <v/>
      </c>
      <c r="DB51" s="3">
        <f>E_ITV*(V51="sí")+E_LIBRO*(W51="sí")+E_PROP*IF(Y51=1,1,IF(Y51=2,0.5,0))+E_CORREA*IF(OR(DA51="cadena",AND(X51="sí",BH51="sí")),1,IF(X51="sí",0.5,0))+E_FACT*(BI51="sí")</f>
        <v/>
      </c>
      <c r="DC51" s="3">
        <f>MAX(0,MIN(100,IFERROR(VLOOKUP(CL51,ETQ_TBL,2,0),0)-IF(CM51="sí",ETQ_PEN_DUD,IF(AS51="regla",ETQ_PEN_REGLA,0))))</f>
        <v/>
      </c>
      <c r="DD51" s="3">
        <f>IF(K51&lt;&gt;"gasolina","",IFERROR(VLOOKUP(F51,CONS_MOD_TBL,2,0),IFERROR(VLOOKUP(L51,CONS_SEG_TBL,2,0),"")))</f>
        <v/>
      </c>
      <c r="DE51" s="3">
        <f>IF(DD51="",NEUTRO,MAX(0,MIN(100,100*(CONS_REF_MAX-DD51)/(CONS_REF_MAX-CONS_REF_MIN))))</f>
        <v/>
      </c>
      <c r="DF51" s="3">
        <f>IFERROR(VLOOKUP(L51,SEGURO_TBL,3,0),"")</f>
        <v/>
      </c>
      <c r="DG51" s="3">
        <f>IF(DF51="",NEUTRO,MAX(0,MIN(100,100*(SEG_REF_MAX-DF51)/(SEG_REF_MAX-SEG_REF_MIN))))</f>
        <v/>
      </c>
      <c r="DH51" s="3">
        <f>IFERROR(VLOOKUP(E51,MANT_MARCA_TBL,2,0)+0,NEUTRO)</f>
        <v/>
      </c>
      <c r="DI51" s="3">
        <f>IF(DA51="",NEUTRO,IFERROR(VLOOKUP(DA51,DIST_PTS_TBL,2,0)+0,NEUTRO))</f>
        <v/>
      </c>
      <c r="DJ51" s="4">
        <f>(DH51+DI51)/2</f>
        <v/>
      </c>
      <c r="DK51" s="3">
        <f>W_CONS*DE51+W_SEG*DG51+W_MANT*DJ51</f>
        <v/>
      </c>
      <c r="DL51" s="3">
        <f>IF(N(AB51)&gt;0,AB51,IF(AND(R51="profesional",SG_LEGAL_ON=1),GAR_LEGAL,0))</f>
        <v/>
      </c>
      <c r="DM51" s="3">
        <f>MAX(0,MIN(100,SG_GAR*MIN(1,DL51/SG_GAR_FULL)+SG_AMPL*(AC51="sí")+SG_KMC*(AF51="sí")+SG_REV*(N(AE51)&gt;0)+SG_DEV*MIN(1,N(AG51)/SG_DEV_FULL)+SG_HIST*(W51="sí")-IF(AND(R51="particular",DL51=0),SG_PART_PEN,0)))</f>
        <v/>
      </c>
      <c r="DN51" s="3">
        <f>IF(BK51="",NEUTRO,MAX(0,MIN(100,BK51/5*100)))</f>
        <v/>
      </c>
      <c r="DO51" s="3">
        <f>IF(BL51="sí",100,IF(BL51="no",0,NEUTRO))</f>
        <v/>
      </c>
      <c r="DP51" s="3">
        <f>SV_W_NCAP*DN51+SV_W_ESP*DO51</f>
        <v/>
      </c>
      <c r="DQ51" s="3">
        <f>MAX(0,MIN(100,ATR_BASE+ATR_ACAB*(BD51&lt;&gt;"")+IF(BE51="16+",ATR_LL16,IF(BE51="sí",ATR_LL,0))+ATR_FAROS*(BF51="sí")+ATR_TINT*(BG51="sí")-ATR_CHAPA*(BE51="chapa")))</f>
        <v/>
      </c>
      <c r="DR51" s="3">
        <f>EST_W_MOD*(BB51-1)/4*100+EST_W_ATR*DQ51</f>
        <v/>
      </c>
      <c r="DS51" s="3">
        <f>IF(BA51="",NEUTRO,IFERROR(VLOOKUP(BA51,COLOR_TBL,2,0)+0,NEUTRO))</f>
        <v/>
      </c>
      <c r="DT51" s="3">
        <f>MAX(0,MIN(100,100*N(BM51)/RV_N_FULL))</f>
        <v/>
      </c>
      <c r="DU51" s="3">
        <f>IF(OR(BN51="",N(BO51)&lt;RV_DIAS_MIN),NEUTRO,MAX(0,MIN(100,100*(RV_DIAS_CERO-BN51)/(RV_DIAS_CERO-RV_DIAS_FULL))))</f>
        <v/>
      </c>
      <c r="DV51" s="3">
        <f>RV_W_LIQ*DT51+RV_W_DIAS*DU51+RV_W_ETQ*DC51</f>
        <v/>
      </c>
      <c r="DW51" s="3">
        <f>IFERROR(VLOOKUP(L51,CARR_PEN_TBL,2,0),0)</f>
        <v/>
      </c>
      <c r="DX51" s="3">
        <f>W_FIAB*CS51+W_PRECIO*CU51+W_KMEDAD*CY51+W_ESTADO*DB51+W_USO*DK51+W_SEGURIDAD*DM51+W_SEGVIAL*DP51+W_ESTETICA*DR51+W_COLOR*DS51+W_REVENTA*DV51-DW51-EG51</f>
        <v/>
      </c>
      <c r="DY51" s="4">
        <f>IF(N(I51)&gt;0,I51,IFERROR(ROUND(_xlfn.NUMBERVALUE(LEFT(G51,FIND(" ",G51&amp;" ")-1),".")*1000,0),99999))</f>
        <v/>
      </c>
      <c r="DZ51" s="3">
        <f>IF(R51="profesional",0,IF(O51&lt;CUOTA_VALOR_MAX,IF(BW51&gt;ITP_TRAMO_ALTO,SUMIFS(CF_CUOTA,CF_MAS,ITP_TRAMO_ALTO,CF_CCMIN,"&lt;="&amp;DY51,CF_CCMAX,"&gt;="&amp;DY51),IF(BW51&gt;ITP_TRAMO_BAJO,SUMIFS(CF_CUOTA,CF_MAS,ITP_TRAMO_BAJO,CF_CCMIN,"&lt;="&amp;DY51,CF_CCMAX,"&gt;="&amp;DY51),O51*ITP_TIPO)),O51*ITP_TIPO))</f>
        <v/>
      </c>
      <c r="EA51" s="4">
        <f>IF(R51="profesional",N(AK51),0)</f>
        <v/>
      </c>
      <c r="EB51" s="3">
        <f>IF(AND(R51="profesional",ISNUMBER(AK51),AL51="sí"),0,TASA_DGT)</f>
        <v/>
      </c>
      <c r="EC51" s="3">
        <f>INFORME_DGT</f>
        <v/>
      </c>
      <c r="ED51" s="4">
        <f>O51+EA51+DZ51+EB51+EC51</f>
        <v/>
      </c>
      <c r="EE51" s="4">
        <f>ED51+N(DF51)</f>
        <v/>
      </c>
      <c r="EF51" s="3">
        <f>MAX(0,ED51-TOTAL_MAX)</f>
        <v/>
      </c>
      <c r="EG51" s="3">
        <f>EF51/100*PEN_100</f>
        <v/>
      </c>
      <c r="EH51" s="3">
        <f>IF(R51="particular",ED51+IF(AND(DA51&lt;&gt;"cadena",X51&lt;&gt;"sí"),RES_CORREA,0)+IF(AND(BJ51&lt;&gt;"sí",BW51&gt;=RES_NEUM_EDAD),RES_NEUM,0),"")</f>
        <v/>
      </c>
      <c r="EI51" s="3">
        <f>IF(ED51&lt;=TOTAL_MAX,"sí",IF(ED51&lt;=TECHO,"negociar","no"))</f>
        <v/>
      </c>
      <c r="EJ51" s="4">
        <f>ROUND(DX51,9)</f>
        <v/>
      </c>
      <c r="EK51" s="4">
        <f>IF(EI51&lt;&gt;"no",SUMPRODUCT(($EI$2:$EI$209&lt;&gt;"no")*($EJ$2:$EJ$209&gt;EJ51))+SUMPRODUCT(($EI$2:EI51&lt;&gt;"no")*($EJ$2:EJ51=EJ51)),"")</f>
        <v/>
      </c>
    </row>
    <row r="52">
      <c r="A52" s="2" t="inlineStr">
        <is>
          <t>cochesnet:71248981</t>
        </is>
      </c>
      <c r="B52" s="2" t="inlineStr">
        <is>
          <t>cochesnet</t>
        </is>
      </c>
      <c r="C52" s="2" t="inlineStr">
        <is>
          <t>https://www.coches.net/opel-corsa-13-cdti-color-edition-3p-diesel-2012-en-valencia-71248981-covo.aspx</t>
        </is>
      </c>
      <c r="D52" s="2" t="inlineStr">
        <is>
          <t>OPEL Corsa 1.3 CDTi Color Edition</t>
        </is>
      </c>
      <c r="E52" s="2" t="inlineStr">
        <is>
          <t>Opel</t>
        </is>
      </c>
      <c r="F52" s="2" t="inlineStr">
        <is>
          <t>Opel Corsa</t>
        </is>
      </c>
      <c r="G52" s="2" t="inlineStr">
        <is>
          <t>1.3 CDTi</t>
        </is>
      </c>
      <c r="H52" s="2" t="inlineStr">
        <is>
          <t>1.3 CDTi Color Edition</t>
        </is>
      </c>
      <c r="I52" s="2" t="n"/>
      <c r="J52" s="2" t="n"/>
      <c r="K52" s="2" t="inlineStr">
        <is>
          <t>diesel</t>
        </is>
      </c>
      <c r="L52" s="2" t="inlineStr">
        <is>
          <t>utilitario</t>
        </is>
      </c>
      <c r="M52" s="2" t="n">
        <v>2012</v>
      </c>
      <c r="N52" s="2" t="n">
        <v>120000</v>
      </c>
      <c r="O52" s="2" t="n">
        <v>4999</v>
      </c>
      <c r="P52" s="2" t="inlineStr">
        <is>
          <t>manual</t>
        </is>
      </c>
      <c r="Q52" s="2" t="inlineStr">
        <is>
          <t>no</t>
        </is>
      </c>
      <c r="R52" s="2" t="inlineStr">
        <is>
          <t>profesional</t>
        </is>
      </c>
      <c r="S52" s="2" t="inlineStr">
        <is>
          <t>Cars Premium Albal Albal</t>
        </is>
      </c>
      <c r="T52" s="2" t="inlineStr">
        <is>
          <t>2026-08-07T11:56:55Z</t>
        </is>
      </c>
      <c r="U52" s="2" t="n">
        <v>14</v>
      </c>
      <c r="V52" s="2" t="n"/>
      <c r="W52" s="2" t="n"/>
      <c r="X52" s="2" t="n"/>
      <c r="Y52" s="2" t="n"/>
      <c r="Z52" s="2" t="inlineStr">
        <is>
          <t>sí</t>
        </is>
      </c>
      <c r="AA52" s="2" t="n"/>
      <c r="AB52" s="2" t="n">
        <v>12</v>
      </c>
      <c r="AC52" s="2" t="n"/>
      <c r="AD52" s="2" t="n"/>
      <c r="AE52" s="2" t="n"/>
      <c r="AF52" s="2" t="n"/>
      <c r="AG52" s="2" t="n"/>
      <c r="AH52" s="2" t="n">
        <v>4999</v>
      </c>
      <c r="AI52" s="2" t="n">
        <v>4999</v>
      </c>
      <c r="AJ52" s="2" t="n"/>
      <c r="AK52" s="2" t="n"/>
      <c r="AL52" s="2" t="n"/>
      <c r="AM52" s="2" t="n">
        <v>8.699999999999999</v>
      </c>
      <c r="AN52" s="2" t="n"/>
      <c r="AO52" s="2" t="inlineStr">
        <is>
          <t>2012</t>
        </is>
      </c>
      <c r="AP52" s="2" t="n">
        <v>2012</v>
      </c>
      <c r="AQ52" s="2" t="n"/>
      <c r="AR52" s="2" t="inlineStr">
        <is>
          <t>B</t>
        </is>
      </c>
      <c r="AS52" s="2" t="inlineStr">
        <is>
          <t>anuncio</t>
        </is>
      </c>
      <c r="AT52" s="2" t="n"/>
      <c r="AU52" s="2" t="inlineStr">
        <is>
          <t>no</t>
        </is>
      </c>
      <c r="AV52" s="2" t="inlineStr">
        <is>
          <t>B</t>
        </is>
      </c>
      <c r="AW52" s="2" t="n"/>
      <c r="AX52" s="2" t="inlineStr">
        <is>
          <t>no</t>
        </is>
      </c>
      <c r="AY52" s="2" t="inlineStr">
        <is>
          <t>no</t>
        </is>
      </c>
      <c r="AZ52" s="2" t="inlineStr">
        <is>
          <t>COMMON.COLOR_RED</t>
        </is>
      </c>
      <c r="BA52" s="2" t="inlineStr">
        <is>
          <t>rojo</t>
        </is>
      </c>
      <c r="BB52" s="3" t="n">
        <v>2</v>
      </c>
      <c r="BC52" s="3" t="inlineStr">
        <is>
          <t>(por segmento)</t>
        </is>
      </c>
      <c r="BD52" s="2" t="n"/>
      <c r="BE52" s="2" t="inlineStr">
        <is>
          <t>sí</t>
        </is>
      </c>
      <c r="BF52" s="2" t="n"/>
      <c r="BG52" s="2" t="n"/>
      <c r="BH52" s="2" t="n"/>
      <c r="BI52" s="2" t="n"/>
      <c r="BJ52" s="2" t="n"/>
      <c r="BK52" s="2" t="n">
        <v>5</v>
      </c>
      <c r="BL52" s="2" t="n"/>
      <c r="BM52" s="2" t="n">
        <v>456</v>
      </c>
      <c r="BN52" s="2" t="n">
        <v>0.05126157402992249</v>
      </c>
      <c r="BO52" s="2" t="n">
        <v>11</v>
      </c>
      <c r="BP52" s="2" t="n">
        <v>4625</v>
      </c>
      <c r="BQ52" s="2" t="n">
        <v>8</v>
      </c>
      <c r="BR52" s="2" t="inlineStr">
        <is>
          <t>modelo+año+km</t>
        </is>
      </c>
      <c r="BS52" s="2" t="n"/>
      <c r="BT52" s="2" t="inlineStr">
        <is>
          <t>por encima del presupuesto: negociar 63 € (coste 5063 €; -1.3 puntos); vendedor profesional: sin ITP (operación con IVA/REBU, confirmar en factura); gastos de gestión del vendedor no indicados: se suma la tasa DGT; preguntar el precio final; diésel: motor sin fuente de fiabilidad (fiabilidad limitada a neutra)</t>
        </is>
      </c>
      <c r="BU52" s="2" t="inlineStr">
        <is>
          <t>MARCA: Opel
MODELO: Corsa ( version muy equipada)
AÑO: 2012
KM: 120.000
MOTOR: 1.3Cdti 95cv ( motor a cadena )
ETIQUETA MEDIOAMBIENTAL: Tipo B
ITV: Se entregaria recien pasada
GARANTIA: 12 meses
TIPS: Vehiculo deportivo con unas medidas muy practicas tanto para circular como para aparcar con todo el equipamiento necesario.
EQUIPAMIENTO: Llanta aleacion negra, volante multi-funcion, 6 velocidades, Rcd con bluetooth, Navegador, retrovisotes electricos negro, ordenador a bordo, cierre centralizado con llave, elevalunas electricas, etc etc…
DIRECCION: Av padre Carlos Ferris 87, Albal, Valencia
Para mas info contacten</t>
        </is>
      </c>
      <c r="BV52" s="2" t="inlineStr">
        <is>
          <t>https://www.coches.net/opel-corsa-13-cdti-color-edition-3p-diesel-2012-en-valencia-71248981-covo.aspx (window.__INITIAL_PROPS__.ad) /home/user/Alopecia/buscador-coches/raw/cochesnet/bb9e43134c341f33.json</t>
        </is>
      </c>
      <c r="BW52" s="3">
        <f>MAX(ANIO_ACTUAL-M52,0)</f>
        <v/>
      </c>
      <c r="BX52" s="4">
        <f>N52/MAX(BW52,0.5)</f>
        <v/>
      </c>
      <c r="BY52" s="4">
        <f>F52</f>
        <v/>
      </c>
      <c r="BZ52" s="3">
        <f>BY52&amp;"|"&amp;INT(M52/SEG_ANIO)*SEG_ANIO</f>
        <v/>
      </c>
      <c r="CA52" s="3">
        <f>BZ52&amp;"|"&amp;INT(N52/SEG_KM)*SEG_KM</f>
        <v/>
      </c>
      <c r="CB52" s="4">
        <f>COUNTIF($BY$2:$BY$209,BY52)</f>
        <v/>
      </c>
      <c r="CC52" s="4">
        <f>COUNTIF($BZ$2:$BZ$209,BZ52)</f>
        <v/>
      </c>
      <c r="CD52" s="4">
        <f>COUNTIF($CA$2:$CA$209,CA52)</f>
        <v/>
      </c>
      <c r="CE52" s="3">
        <f t="array" ref="CE52">IF(N(BQ52)&gt;=MIN_N,BP52,IF(CD52&gt;=MIN_N,MEDIAN(IF($CA$2:$CA$209=CA52,$O$2:$O$209)),IF(CC52&gt;=MIN_N,MEDIAN(IF($BZ$2:$BZ$209=BZ52,$O$2:$O$209)),MEDIAN(IF($BY$2:$BY$209=BY52,$O$2:$O$209)))))</f>
        <v/>
      </c>
      <c r="CF52" s="3">
        <f>IF(N(BQ52)&gt;=MIN_N,"mercado "&amp;BR52,IF(CD52&gt;=MIN_N,"modelo+año+km",IF(CC52&gt;=MIN_N,"modelo+año","modelo")))</f>
        <v/>
      </c>
      <c r="CG52" s="4">
        <f>(CE52-O52)/CE52</f>
        <v/>
      </c>
      <c r="CH52" s="3">
        <f>IF(COUNTIFS(FR_FUEL,K52,FR_YEAR,AP52)&gt;0,1,0)</f>
        <v/>
      </c>
      <c r="CI52" s="3">
        <f>IF(COUNTIFS(FR_FUEL,K52,FR_YEAR,AP52-1)&gt;0,1,0)</f>
        <v/>
      </c>
      <c r="CJ52" s="4">
        <f>IF(N(AQ52)&gt;0,AP52*100+AQ52,IF(AND(CH52=1,CI52=1),(AP52-1)*100+1,AP52*100+1))</f>
        <v/>
      </c>
      <c r="CK52" s="3">
        <f>IF(OR(K52="hibrido",K52="glp",K52="gnc",K52="phev"),"ECO",IF(K52="electrico","CERO",IF(K52="gasolina",IF(CJ52&gt;=GAS_C_YM,"C",IF(CJ52&gt;=GAS_B_YM,"B","A")),IF(K52="diesel",IF(CJ52&gt;=DIE_C_YM,"C",IF(CJ52&gt;=DIE_B_YM,"B","A")),""))))</f>
        <v/>
      </c>
      <c r="CL52" s="2" t="inlineStr">
        <is>
          <t>B</t>
        </is>
      </c>
      <c r="CM52" s="4">
        <f>IF(AU52="sí","sí",IF(AS52="regla",IF(AND(N(AQ52)=0,CH52=1),"sí","no"),"no"))</f>
        <v/>
      </c>
      <c r="CN52" s="3">
        <f>IFERROR(VLOOKUP(F52,MOD_TBL,16,0),IFERROR(VLOOKUP(E52,OCU_TBL,2,0),NEUTRO))</f>
        <v/>
      </c>
      <c r="CO52" s="3">
        <f>SUMIFS(MOT_AJUSTE,MOT_MOTOR,G52,MOT_MARCA,E52,MOT_DESDE,"&lt;="&amp;M52,MOT_HASTA,"&gt;="&amp;M52)+SUMIFS(MOT_AJUSTE,MOT_MOTOR,G52,MOT_MARCA,"(todas)",MOT_DESDE,"&lt;="&amp;M52,MOT_HASTA,"&gt;="&amp;M52)+SUMIFS(MOT_AJUSTE,MOT_MOTOR,"(cualquiera)",MOT_MARCA,E52,MOT_DESDE,"&lt;="&amp;M52,MOT_HASTA,"&gt;="&amp;M52)</f>
        <v/>
      </c>
      <c r="CP52" s="3">
        <f>SUMIFS(COMB_AJUSTE,COMB_COMB,K52)</f>
        <v/>
      </c>
      <c r="CQ52" s="3">
        <f>COUNTIFS(MOT_MOTOR,G52,MOT_MARCA,E52,MOT_DESDE,"&lt;="&amp;M52,MOT_HASTA,"&gt;="&amp;M52)+COUNTIFS(MOT_MOTOR,G52,MOT_MARCA,"(todas)",MOT_DESDE,"&lt;="&amp;M52,MOT_HASTA,"&gt;="&amp;M52)+COUNTIFS(MOT_MOTOR,"(cualquiera)",MOT_MARCA,E52,MOT_DESDE,"&lt;="&amp;M52,MOT_HASTA,"&gt;="&amp;M52)</f>
        <v/>
      </c>
      <c r="CR52" s="3">
        <f>IF(AND(K52="diesel",CQ52=0),MIN(CN52,NEUTRO),CN52)</f>
        <v/>
      </c>
      <c r="CS52" s="3">
        <f>MAX(0,MIN(100,CR52+CO52+CP52-IF(AX52="sí",ROB_PEN,0)))</f>
        <v/>
      </c>
      <c r="CT52" s="3">
        <f>100-MAX(0,N52-KM_TOPE_DESDE)/1000*KM_TOPE_PTS</f>
        <v/>
      </c>
      <c r="CU52" s="3">
        <f>MAX(0,MIN(100,50+CG52*PRECIO_PEND,CT52))</f>
        <v/>
      </c>
      <c r="CV52" s="3">
        <f>MAX(0,100*(1-N52/KM_MAX))</f>
        <v/>
      </c>
      <c r="CW52" s="3">
        <f>IF(BX52&lt;KMA_SOSP,IF(AA52="sí",100,KMA_PEN),IF(BX52&lt;=KMA_IDEAL_MAX,100,MAX(0,100*(KMA_CERO-BX52)/(KMA_CERO-KMA_IDEAL_MAX))))</f>
        <v/>
      </c>
      <c r="CX52" s="3">
        <f>MAX(0,MIN(100,100*(M52-ANIO_MIN)/(ANIO_ACTUAL-ANIO_MIN)))</f>
        <v/>
      </c>
      <c r="CY52" s="3">
        <f>W_KMT*CV52+W_KMA*CW52+W_EDAD*CX52</f>
        <v/>
      </c>
      <c r="CZ52" s="4">
        <f>E52&amp;"|"&amp;G52</f>
        <v/>
      </c>
      <c r="DA52" s="3">
        <f>IFERROR(VLOOKUP(CZ52,DIST_TBL,2,0),"")</f>
        <v/>
      </c>
      <c r="DB52" s="3">
        <f>E_ITV*(V52="sí")+E_LIBRO*(W52="sí")+E_PROP*IF(Y52=1,1,IF(Y52=2,0.5,0))+E_CORREA*IF(OR(DA52="cadena",AND(X52="sí",BH52="sí")),1,IF(X52="sí",0.5,0))+E_FACT*(BI52="sí")</f>
        <v/>
      </c>
      <c r="DC52" s="3">
        <f>MAX(0,MIN(100,IFERROR(VLOOKUP(CL52,ETQ_TBL,2,0),0)-IF(CM52="sí",ETQ_PEN_DUD,IF(AS52="regla",ETQ_PEN_REGLA,0))))</f>
        <v/>
      </c>
      <c r="DD52" s="3">
        <f>IF(K52&lt;&gt;"gasolina","",IFERROR(VLOOKUP(F52,CONS_MOD_TBL,2,0),IFERROR(VLOOKUP(L52,CONS_SEG_TBL,2,0),"")))</f>
        <v/>
      </c>
      <c r="DE52" s="3">
        <f>IF(DD52="",NEUTRO,MAX(0,MIN(100,100*(CONS_REF_MAX-DD52)/(CONS_REF_MAX-CONS_REF_MIN))))</f>
        <v/>
      </c>
      <c r="DF52" s="3">
        <f>IFERROR(VLOOKUP(L52,SEGURO_TBL,3,0),"")</f>
        <v/>
      </c>
      <c r="DG52" s="3">
        <f>IF(DF52="",NEUTRO,MAX(0,MIN(100,100*(SEG_REF_MAX-DF52)/(SEG_REF_MAX-SEG_REF_MIN))))</f>
        <v/>
      </c>
      <c r="DH52" s="3">
        <f>IFERROR(VLOOKUP(E52,MANT_MARCA_TBL,2,0)+0,NEUTRO)</f>
        <v/>
      </c>
      <c r="DI52" s="3">
        <f>IF(DA52="",NEUTRO,IFERROR(VLOOKUP(DA52,DIST_PTS_TBL,2,0)+0,NEUTRO))</f>
        <v/>
      </c>
      <c r="DJ52" s="4">
        <f>(DH52+DI52)/2</f>
        <v/>
      </c>
      <c r="DK52" s="3">
        <f>W_CONS*DE52+W_SEG*DG52+W_MANT*DJ52</f>
        <v/>
      </c>
      <c r="DL52" s="3">
        <f>IF(N(AB52)&gt;0,AB52,IF(AND(R52="profesional",SG_LEGAL_ON=1),GAR_LEGAL,0))</f>
        <v/>
      </c>
      <c r="DM52" s="3">
        <f>MAX(0,MIN(100,SG_GAR*MIN(1,DL52/SG_GAR_FULL)+SG_AMPL*(AC52="sí")+SG_KMC*(AF52="sí")+SG_REV*(N(AE52)&gt;0)+SG_DEV*MIN(1,N(AG52)/SG_DEV_FULL)+SG_HIST*(W52="sí")-IF(AND(R52="particular",DL52=0),SG_PART_PEN,0)))</f>
        <v/>
      </c>
      <c r="DN52" s="3">
        <f>IF(BK52="",NEUTRO,MAX(0,MIN(100,BK52/5*100)))</f>
        <v/>
      </c>
      <c r="DO52" s="3">
        <f>IF(BL52="sí",100,IF(BL52="no",0,NEUTRO))</f>
        <v/>
      </c>
      <c r="DP52" s="3">
        <f>SV_W_NCAP*DN52+SV_W_ESP*DO52</f>
        <v/>
      </c>
      <c r="DQ52" s="3">
        <f>MAX(0,MIN(100,ATR_BASE+ATR_ACAB*(BD52&lt;&gt;"")+IF(BE52="16+",ATR_LL16,IF(BE52="sí",ATR_LL,0))+ATR_FAROS*(BF52="sí")+ATR_TINT*(BG52="sí")-ATR_CHAPA*(BE52="chapa")))</f>
        <v/>
      </c>
      <c r="DR52" s="3">
        <f>EST_W_MOD*(BB52-1)/4*100+EST_W_ATR*DQ52</f>
        <v/>
      </c>
      <c r="DS52" s="3">
        <f>IF(BA52="",NEUTRO,IFERROR(VLOOKUP(BA52,COLOR_TBL,2,0)+0,NEUTRO))</f>
        <v/>
      </c>
      <c r="DT52" s="3">
        <f>MAX(0,MIN(100,100*N(BM52)/RV_N_FULL))</f>
        <v/>
      </c>
      <c r="DU52" s="3">
        <f>IF(OR(BN52="",N(BO52)&lt;RV_DIAS_MIN),NEUTRO,MAX(0,MIN(100,100*(RV_DIAS_CERO-BN52)/(RV_DIAS_CERO-RV_DIAS_FULL))))</f>
        <v/>
      </c>
      <c r="DV52" s="3">
        <f>RV_W_LIQ*DT52+RV_W_DIAS*DU52+RV_W_ETQ*DC52</f>
        <v/>
      </c>
      <c r="DW52" s="3">
        <f>IFERROR(VLOOKUP(L52,CARR_PEN_TBL,2,0),0)</f>
        <v/>
      </c>
      <c r="DX52" s="3">
        <f>W_FIAB*CS52+W_PRECIO*CU52+W_KMEDAD*CY52+W_ESTADO*DB52+W_USO*DK52+W_SEGURIDAD*DM52+W_SEGVIAL*DP52+W_ESTETICA*DR52+W_COLOR*DS52+W_REVENTA*DV52-DW52-EG52</f>
        <v/>
      </c>
      <c r="DY52" s="4">
        <f>IF(N(I52)&gt;0,I52,IFERROR(ROUND(_xlfn.NUMBERVALUE(LEFT(G52,FIND(" ",G52&amp;" ")-1),".")*1000,0),99999))</f>
        <v/>
      </c>
      <c r="DZ52" s="3">
        <f>IF(R52="profesional",0,IF(O52&lt;CUOTA_VALOR_MAX,IF(BW52&gt;ITP_TRAMO_ALTO,SUMIFS(CF_CUOTA,CF_MAS,ITP_TRAMO_ALTO,CF_CCMIN,"&lt;="&amp;DY52,CF_CCMAX,"&gt;="&amp;DY52),IF(BW52&gt;ITP_TRAMO_BAJO,SUMIFS(CF_CUOTA,CF_MAS,ITP_TRAMO_BAJO,CF_CCMIN,"&lt;="&amp;DY52,CF_CCMAX,"&gt;="&amp;DY52),O52*ITP_TIPO)),O52*ITP_TIPO))</f>
        <v/>
      </c>
      <c r="EA52" s="4">
        <f>IF(R52="profesional",N(AK52),0)</f>
        <v/>
      </c>
      <c r="EB52" s="3">
        <f>IF(AND(R52="profesional",ISNUMBER(AK52),AL52="sí"),0,TASA_DGT)</f>
        <v/>
      </c>
      <c r="EC52" s="3">
        <f>INFORME_DGT</f>
        <v/>
      </c>
      <c r="ED52" s="4">
        <f>O52+EA52+DZ52+EB52+EC52</f>
        <v/>
      </c>
      <c r="EE52" s="4">
        <f>ED52+N(DF52)</f>
        <v/>
      </c>
      <c r="EF52" s="3">
        <f>MAX(0,ED52-TOTAL_MAX)</f>
        <v/>
      </c>
      <c r="EG52" s="3">
        <f>EF52/100*PEN_100</f>
        <v/>
      </c>
      <c r="EH52" s="3">
        <f>IF(R52="particular",ED52+IF(AND(DA52&lt;&gt;"cadena",X52&lt;&gt;"sí"),RES_CORREA,0)+IF(AND(BJ52&lt;&gt;"sí",BW52&gt;=RES_NEUM_EDAD),RES_NEUM,0),"")</f>
        <v/>
      </c>
      <c r="EI52" s="3">
        <f>IF(ED52&lt;=TOTAL_MAX,"sí",IF(ED52&lt;=TECHO,"negociar","no"))</f>
        <v/>
      </c>
      <c r="EJ52" s="4">
        <f>ROUND(DX52,9)</f>
        <v/>
      </c>
      <c r="EK52" s="4">
        <f>IF(EI52&lt;&gt;"no",SUMPRODUCT(($EI$2:$EI$209&lt;&gt;"no")*($EJ$2:$EJ$209&gt;EJ52))+SUMPRODUCT(($EI$2:EI52&lt;&gt;"no")*($EJ$2:EJ52=EJ52)),"")</f>
        <v/>
      </c>
    </row>
    <row r="53">
      <c r="A53" s="2" t="inlineStr">
        <is>
          <t>wallapop:1286345810</t>
        </is>
      </c>
      <c r="B53" s="2" t="inlineStr">
        <is>
          <t>wallapop</t>
        </is>
      </c>
      <c r="C53" s="2" t="inlineStr">
        <is>
          <t>https://es.wallapop.com/item/kia-picanto-1-1-active-48-kw-65-cv-1286345810</t>
        </is>
      </c>
      <c r="D53" s="2" t="inlineStr">
        <is>
          <t>Kia Picanto 1.1 Active 48 kW (65 CV)</t>
        </is>
      </c>
      <c r="E53" s="2" t="inlineStr">
        <is>
          <t>Kia</t>
        </is>
      </c>
      <c r="F53" s="2" t="inlineStr">
        <is>
          <t>Kia Picanto</t>
        </is>
      </c>
      <c r="G53" s="2" t="inlineStr">
        <is>
          <t>1.1</t>
        </is>
      </c>
      <c r="H53" s="2" t="inlineStr">
        <is>
          <t>1.1 Active 48 kW (65 CV)</t>
        </is>
      </c>
      <c r="I53" s="2" t="n"/>
      <c r="J53" s="2" t="n">
        <v>65</v>
      </c>
      <c r="K53" s="2" t="inlineStr">
        <is>
          <t>gasolina</t>
        </is>
      </c>
      <c r="L53" s="2" t="inlineStr">
        <is>
          <t>utilitario</t>
        </is>
      </c>
      <c r="M53" s="2" t="n">
        <v>2008</v>
      </c>
      <c r="N53" s="2" t="n">
        <v>61608</v>
      </c>
      <c r="O53" s="2" t="n">
        <v>5190</v>
      </c>
      <c r="P53" s="2" t="inlineStr">
        <is>
          <t>manual</t>
        </is>
      </c>
      <c r="Q53" s="2" t="inlineStr">
        <is>
          <t>no</t>
        </is>
      </c>
      <c r="R53" s="2" t="inlineStr">
        <is>
          <t>profesional</t>
        </is>
      </c>
      <c r="S53" s="2" t="inlineStr">
        <is>
          <t>Paterna (46980)</t>
        </is>
      </c>
      <c r="T53" s="2" t="inlineStr">
        <is>
          <t>2026-10-26T15:14:44</t>
        </is>
      </c>
      <c r="U53" s="2" t="n">
        <v>11</v>
      </c>
      <c r="V53" s="2" t="n"/>
      <c r="W53" s="2" t="inlineStr">
        <is>
          <t>sí</t>
        </is>
      </c>
      <c r="X53" s="2" t="n"/>
      <c r="Y53" s="2" t="n"/>
      <c r="Z53" s="2" t="inlineStr">
        <is>
          <t>sí</t>
        </is>
      </c>
      <c r="AA53" s="2" t="n"/>
      <c r="AB53" s="2" t="n"/>
      <c r="AC53" s="2" t="n"/>
      <c r="AD53" s="2" t="n"/>
      <c r="AE53" s="2" t="n"/>
      <c r="AF53" s="2" t="inlineStr">
        <is>
          <t>sí</t>
        </is>
      </c>
      <c r="AG53" s="2" t="n"/>
      <c r="AH53" s="2" t="n"/>
      <c r="AI53" s="2" t="n"/>
      <c r="AJ53" s="2" t="n"/>
      <c r="AK53" s="2" t="n"/>
      <c r="AL53" s="2" t="n"/>
      <c r="AM53" s="2" t="n">
        <v>6.4</v>
      </c>
      <c r="AN53" s="2" t="inlineStr">
        <is>
          <t>1000KMS</t>
        </is>
      </c>
      <c r="AO53" s="2" t="inlineStr">
        <is>
          <t>2008</t>
        </is>
      </c>
      <c r="AP53" s="2" t="n">
        <v>2008</v>
      </c>
      <c r="AQ53" s="2" t="n"/>
      <c r="AR53" s="2" t="inlineStr">
        <is>
          <t>B</t>
        </is>
      </c>
      <c r="AS53" s="2" t="inlineStr">
        <is>
          <t>DGT</t>
        </is>
      </c>
      <c r="AT53" s="2" t="n"/>
      <c r="AU53" s="2" t="inlineStr">
        <is>
          <t>no</t>
        </is>
      </c>
      <c r="AV53" s="2" t="inlineStr">
        <is>
          <t>B</t>
        </is>
      </c>
      <c r="AW53" s="2" t="n"/>
      <c r="AX53" s="2" t="inlineStr">
        <is>
          <t>no</t>
        </is>
      </c>
      <c r="AY53" s="2" t="inlineStr">
        <is>
          <t>no</t>
        </is>
      </c>
      <c r="AZ53" s="2" t="n"/>
      <c r="BA53" s="2" t="n"/>
      <c r="BB53" s="3" t="n">
        <v>2</v>
      </c>
      <c r="BC53" s="3" t="inlineStr">
        <is>
          <t>(por segmento)</t>
        </is>
      </c>
      <c r="BD53" s="2" t="n"/>
      <c r="BE53" s="2" t="n"/>
      <c r="BF53" s="2" t="n"/>
      <c r="BG53" s="2" t="n"/>
      <c r="BH53" s="2" t="n"/>
      <c r="BI53" s="2" t="n"/>
      <c r="BJ53" s="2" t="n"/>
      <c r="BK53" s="2" t="n">
        <v>3</v>
      </c>
      <c r="BL53" s="2" t="inlineStr">
        <is>
          <t>no</t>
        </is>
      </c>
      <c r="BM53" s="2" t="n">
        <v>130</v>
      </c>
      <c r="BN53" s="2" t="n"/>
      <c r="BO53" s="2" t="n">
        <v>0</v>
      </c>
      <c r="BP53" s="2" t="n">
        <v>2590</v>
      </c>
      <c r="BQ53" s="2" t="n">
        <v>4</v>
      </c>
      <c r="BR53" s="2" t="inlineStr">
        <is>
          <t>modelo+año</t>
        </is>
      </c>
      <c r="BS53" s="2" t="n"/>
      <c r="BT53" s="2" t="inlineStr">
        <is>
          <t>por encima del presupuesto: negociar 254 € (coste 5254 €; -5.1 puntos); vendedor profesional: sin ITP (operación con IVA/REBU, confirmar en factura); gastos de gestión del vendedor no indicados: se suma la tasa DGT; preguntar el precio final; revisar: no menciona la ITV</t>
        </is>
      </c>
      <c r="BU53" s="2" t="inlineStr">
        <is>
          <t>Ref.174158524
¡VILLA TAMBIÉN FICHA POR OCASIONPLUS!
VEN A GANAR. ¡VEN A OCASIONPLUS!
OCASIONPLUS - 20.000 COCHES  - 120 CENTROS
OCASIONPLUS Nº1 CALIDAD - PRECIO
Elige el coche que te guste y te lo llevamos a tu ciudad sólo con reservarlo
15 DÍAS / 1000 KMS DE PRUEBA
Hasta 700€ de descuento en este coche
ADEMÁS, HACEMOS LAS MEJORES FINANCIACIONES DEL MERCADO, PREGÚNTANOS!!
            Equipamiento destacado: Aire Acondicionado.
                - Coche Nacional, Historial Mantenimiento.
                - Garantía total 1 año, con cobertura nacional, ampliable a 24 meses.
                - Certificado de Kilómetros y ausencia de golpes estructurales.
            - Sobrevaloramos tu coche en operaciones de cambio. Tásalo ahora en ocasionplus.com
            - Entregamos cualquier coche en cualquier centro
            - Abierto Domingo y Festivos.</t>
        </is>
      </c>
      <c r="BV53" s="2" t="inlineStr">
        <is>
          <t>https://es.wallapop.com/item/kia-picanto-1-1-active-48-kw-65-cv-1286345810 (__NEXT_DATA__ item) /home/user/Alopecia/buscador-coches/raw/wallapop/7fffdc11438be09e.json</t>
        </is>
      </c>
      <c r="BW53" s="3">
        <f>MAX(ANIO_ACTUAL-M53,0)</f>
        <v/>
      </c>
      <c r="BX53" s="4">
        <f>N53/MAX(BW53,0.5)</f>
        <v/>
      </c>
      <c r="BY53" s="4">
        <f>F53</f>
        <v/>
      </c>
      <c r="BZ53" s="3">
        <f>BY53&amp;"|"&amp;INT(M53/SEG_ANIO)*SEG_ANIO</f>
        <v/>
      </c>
      <c r="CA53" s="3">
        <f>BZ53&amp;"|"&amp;INT(N53/SEG_KM)*SEG_KM</f>
        <v/>
      </c>
      <c r="CB53" s="4">
        <f>COUNTIF($BY$2:$BY$209,BY53)</f>
        <v/>
      </c>
      <c r="CC53" s="4">
        <f>COUNTIF($BZ$2:$BZ$209,BZ53)</f>
        <v/>
      </c>
      <c r="CD53" s="4">
        <f>COUNTIF($CA$2:$CA$209,CA53)</f>
        <v/>
      </c>
      <c r="CE53" s="3">
        <f t="array" ref="CE53">IF(N(BQ53)&gt;=MIN_N,BP53,IF(CD53&gt;=MIN_N,MEDIAN(IF($CA$2:$CA$209=CA53,$O$2:$O$209)),IF(CC53&gt;=MIN_N,MEDIAN(IF($BZ$2:$BZ$209=BZ53,$O$2:$O$209)),MEDIAN(IF($BY$2:$BY$209=BY53,$O$2:$O$209)))))</f>
        <v/>
      </c>
      <c r="CF53" s="3">
        <f>IF(N(BQ53)&gt;=MIN_N,"mercado "&amp;BR53,IF(CD53&gt;=MIN_N,"modelo+año+km",IF(CC53&gt;=MIN_N,"modelo+año","modelo")))</f>
        <v/>
      </c>
      <c r="CG53" s="4">
        <f>(CE53-O53)/CE53</f>
        <v/>
      </c>
      <c r="CH53" s="3">
        <f>IF(COUNTIFS(FR_FUEL,K53,FR_YEAR,AP53)&gt;0,1,0)</f>
        <v/>
      </c>
      <c r="CI53" s="3">
        <f>IF(COUNTIFS(FR_FUEL,K53,FR_YEAR,AP53-1)&gt;0,1,0)</f>
        <v/>
      </c>
      <c r="CJ53" s="4">
        <f>IF(N(AQ53)&gt;0,AP53*100+AQ53,IF(AND(CH53=1,CI53=1),(AP53-1)*100+1,AP53*100+1))</f>
        <v/>
      </c>
      <c r="CK53" s="3">
        <f>IF(OR(K53="hibrido",K53="glp",K53="gnc",K53="phev"),"ECO",IF(K53="electrico","CERO",IF(K53="gasolina",IF(CJ53&gt;=GAS_C_YM,"C",IF(CJ53&gt;=GAS_B_YM,"B","A")),IF(K53="diesel",IF(CJ53&gt;=DIE_C_YM,"C",IF(CJ53&gt;=DIE_B_YM,"B","A")),""))))</f>
        <v/>
      </c>
      <c r="CL53" s="2" t="inlineStr">
        <is>
          <t>B</t>
        </is>
      </c>
      <c r="CM53" s="4">
        <f>IF(AU53="sí","sí",IF(AS53="regla",IF(AND(N(AQ53)=0,CH53=1),"sí","no"),"no"))</f>
        <v/>
      </c>
      <c r="CN53" s="3">
        <f>IFERROR(VLOOKUP(F53,MOD_TBL,16,0),IFERROR(VLOOKUP(E53,OCU_TBL,2,0),NEUTRO))</f>
        <v/>
      </c>
      <c r="CO53" s="3">
        <f>SUMIFS(MOT_AJUSTE,MOT_MOTOR,G53,MOT_MARCA,E53,MOT_DESDE,"&lt;="&amp;M53,MOT_HASTA,"&gt;="&amp;M53)+SUMIFS(MOT_AJUSTE,MOT_MOTOR,G53,MOT_MARCA,"(todas)",MOT_DESDE,"&lt;="&amp;M53,MOT_HASTA,"&gt;="&amp;M53)+SUMIFS(MOT_AJUSTE,MOT_MOTOR,"(cualquiera)",MOT_MARCA,E53,MOT_DESDE,"&lt;="&amp;M53,MOT_HASTA,"&gt;="&amp;M53)</f>
        <v/>
      </c>
      <c r="CP53" s="3">
        <f>SUMIFS(COMB_AJUSTE,COMB_COMB,K53)</f>
        <v/>
      </c>
      <c r="CQ53" s="3">
        <f>COUNTIFS(MOT_MOTOR,G53,MOT_MARCA,E53,MOT_DESDE,"&lt;="&amp;M53,MOT_HASTA,"&gt;="&amp;M53)+COUNTIFS(MOT_MOTOR,G53,MOT_MARCA,"(todas)",MOT_DESDE,"&lt;="&amp;M53,MOT_HASTA,"&gt;="&amp;M53)+COUNTIFS(MOT_MOTOR,"(cualquiera)",MOT_MARCA,E53,MOT_DESDE,"&lt;="&amp;M53,MOT_HASTA,"&gt;="&amp;M53)</f>
        <v/>
      </c>
      <c r="CR53" s="3">
        <f>IF(AND(K53="diesel",CQ53=0),MIN(CN53,NEUTRO),CN53)</f>
        <v/>
      </c>
      <c r="CS53" s="3">
        <f>MAX(0,MIN(100,CR53+CO53+CP53-IF(AX53="sí",ROB_PEN,0)))</f>
        <v/>
      </c>
      <c r="CT53" s="3">
        <f>100-MAX(0,N53-KM_TOPE_DESDE)/1000*KM_TOPE_PTS</f>
        <v/>
      </c>
      <c r="CU53" s="3">
        <f>MAX(0,MIN(100,50+CG53*PRECIO_PEND,CT53))</f>
        <v/>
      </c>
      <c r="CV53" s="3">
        <f>MAX(0,100*(1-N53/KM_MAX))</f>
        <v/>
      </c>
      <c r="CW53" s="3">
        <f>IF(BX53&lt;KMA_SOSP,IF(AA53="sí",100,KMA_PEN),IF(BX53&lt;=KMA_IDEAL_MAX,100,MAX(0,100*(KMA_CERO-BX53)/(KMA_CERO-KMA_IDEAL_MAX))))</f>
        <v/>
      </c>
      <c r="CX53" s="3">
        <f>MAX(0,MIN(100,100*(M53-ANIO_MIN)/(ANIO_ACTUAL-ANIO_MIN)))</f>
        <v/>
      </c>
      <c r="CY53" s="3">
        <f>W_KMT*CV53+W_KMA*CW53+W_EDAD*CX53</f>
        <v/>
      </c>
      <c r="CZ53" s="4">
        <f>E53&amp;"|"&amp;G53</f>
        <v/>
      </c>
      <c r="DA53" s="3">
        <f>IFERROR(VLOOKUP(CZ53,DIST_TBL,2,0),"")</f>
        <v/>
      </c>
      <c r="DB53" s="3">
        <f>E_ITV*(V53="sí")+E_LIBRO*(W53="sí")+E_PROP*IF(Y53=1,1,IF(Y53=2,0.5,0))+E_CORREA*IF(OR(DA53="cadena",AND(X53="sí",BH53="sí")),1,IF(X53="sí",0.5,0))+E_FACT*(BI53="sí")</f>
        <v/>
      </c>
      <c r="DC53" s="3">
        <f>MAX(0,MIN(100,IFERROR(VLOOKUP(CL53,ETQ_TBL,2,0),0)-IF(CM53="sí",ETQ_PEN_DUD,IF(AS53="regla",ETQ_PEN_REGLA,0))))</f>
        <v/>
      </c>
      <c r="DD53" s="3">
        <f>IF(K53&lt;&gt;"gasolina","",IFERROR(VLOOKUP(F53,CONS_MOD_TBL,2,0),IFERROR(VLOOKUP(L53,CONS_SEG_TBL,2,0),"")))</f>
        <v/>
      </c>
      <c r="DE53" s="3">
        <f>IF(DD53="",NEUTRO,MAX(0,MIN(100,100*(CONS_REF_MAX-DD53)/(CONS_REF_MAX-CONS_REF_MIN))))</f>
        <v/>
      </c>
      <c r="DF53" s="3">
        <f>IFERROR(VLOOKUP(L53,SEGURO_TBL,3,0),"")</f>
        <v/>
      </c>
      <c r="DG53" s="3">
        <f>IF(DF53="",NEUTRO,MAX(0,MIN(100,100*(SEG_REF_MAX-DF53)/(SEG_REF_MAX-SEG_REF_MIN))))</f>
        <v/>
      </c>
      <c r="DH53" s="3">
        <f>IFERROR(VLOOKUP(E53,MANT_MARCA_TBL,2,0)+0,NEUTRO)</f>
        <v/>
      </c>
      <c r="DI53" s="3">
        <f>IF(DA53="",NEUTRO,IFERROR(VLOOKUP(DA53,DIST_PTS_TBL,2,0)+0,NEUTRO))</f>
        <v/>
      </c>
      <c r="DJ53" s="4">
        <f>(DH53+DI53)/2</f>
        <v/>
      </c>
      <c r="DK53" s="3">
        <f>W_CONS*DE53+W_SEG*DG53+W_MANT*DJ53</f>
        <v/>
      </c>
      <c r="DL53" s="3">
        <f>IF(N(AB53)&gt;0,AB53,IF(AND(R53="profesional",SG_LEGAL_ON=1),GAR_LEGAL,0))</f>
        <v/>
      </c>
      <c r="DM53" s="3">
        <f>MAX(0,MIN(100,SG_GAR*MIN(1,DL53/SG_GAR_FULL)+SG_AMPL*(AC53="sí")+SG_KMC*(AF53="sí")+SG_REV*(N(AE53)&gt;0)+SG_DEV*MIN(1,N(AG53)/SG_DEV_FULL)+SG_HIST*(W53="sí")-IF(AND(R53="particular",DL53=0),SG_PART_PEN,0)))</f>
        <v/>
      </c>
      <c r="DN53" s="3">
        <f>IF(BK53="",NEUTRO,MAX(0,MIN(100,BK53/5*100)))</f>
        <v/>
      </c>
      <c r="DO53" s="3">
        <f>IF(BL53="sí",100,IF(BL53="no",0,NEUTRO))</f>
        <v/>
      </c>
      <c r="DP53" s="3">
        <f>SV_W_NCAP*DN53+SV_W_ESP*DO53</f>
        <v/>
      </c>
      <c r="DQ53" s="3">
        <f>MAX(0,MIN(100,ATR_BASE+ATR_ACAB*(BD53&lt;&gt;"")+IF(BE53="16+",ATR_LL16,IF(BE53="sí",ATR_LL,0))+ATR_FAROS*(BF53="sí")+ATR_TINT*(BG53="sí")-ATR_CHAPA*(BE53="chapa")))</f>
        <v/>
      </c>
      <c r="DR53" s="3">
        <f>EST_W_MOD*(BB53-1)/4*100+EST_W_ATR*DQ53</f>
        <v/>
      </c>
      <c r="DS53" s="3">
        <f>IF(BA53="",NEUTRO,IFERROR(VLOOKUP(BA53,COLOR_TBL,2,0)+0,NEUTRO))</f>
        <v/>
      </c>
      <c r="DT53" s="3">
        <f>MAX(0,MIN(100,100*N(BM53)/RV_N_FULL))</f>
        <v/>
      </c>
      <c r="DU53" s="3">
        <f>IF(OR(BN53="",N(BO53)&lt;RV_DIAS_MIN),NEUTRO,MAX(0,MIN(100,100*(RV_DIAS_CERO-BN53)/(RV_DIAS_CERO-RV_DIAS_FULL))))</f>
        <v/>
      </c>
      <c r="DV53" s="3">
        <f>RV_W_LIQ*DT53+RV_W_DIAS*DU53+RV_W_ETQ*DC53</f>
        <v/>
      </c>
      <c r="DW53" s="3">
        <f>IFERROR(VLOOKUP(L53,CARR_PEN_TBL,2,0),0)</f>
        <v/>
      </c>
      <c r="DX53" s="3">
        <f>W_FIAB*CS53+W_PRECIO*CU53+W_KMEDAD*CY53+W_ESTADO*DB53+W_USO*DK53+W_SEGURIDAD*DM53+W_SEGVIAL*DP53+W_ESTETICA*DR53+W_COLOR*DS53+W_REVENTA*DV53-DW53-EG53</f>
        <v/>
      </c>
      <c r="DY53" s="4">
        <f>IF(N(I53)&gt;0,I53,IFERROR(ROUND(_xlfn.NUMBERVALUE(LEFT(G53,FIND(" ",G53&amp;" ")-1),".")*1000,0),99999))</f>
        <v/>
      </c>
      <c r="DZ53" s="3">
        <f>IF(R53="profesional",0,IF(O53&lt;CUOTA_VALOR_MAX,IF(BW53&gt;ITP_TRAMO_ALTO,SUMIFS(CF_CUOTA,CF_MAS,ITP_TRAMO_ALTO,CF_CCMIN,"&lt;="&amp;DY53,CF_CCMAX,"&gt;="&amp;DY53),IF(BW53&gt;ITP_TRAMO_BAJO,SUMIFS(CF_CUOTA,CF_MAS,ITP_TRAMO_BAJO,CF_CCMIN,"&lt;="&amp;DY53,CF_CCMAX,"&gt;="&amp;DY53),O53*ITP_TIPO)),O53*ITP_TIPO))</f>
        <v/>
      </c>
      <c r="EA53" s="4">
        <f>IF(R53="profesional",N(AK53),0)</f>
        <v/>
      </c>
      <c r="EB53" s="3">
        <f>IF(AND(R53="profesional",ISNUMBER(AK53),AL53="sí"),0,TASA_DGT)</f>
        <v/>
      </c>
      <c r="EC53" s="3">
        <f>INFORME_DGT</f>
        <v/>
      </c>
      <c r="ED53" s="4">
        <f>O53+EA53+DZ53+EB53+EC53</f>
        <v/>
      </c>
      <c r="EE53" s="4">
        <f>ED53+N(DF53)</f>
        <v/>
      </c>
      <c r="EF53" s="3">
        <f>MAX(0,ED53-TOTAL_MAX)</f>
        <v/>
      </c>
      <c r="EG53" s="3">
        <f>EF53/100*PEN_100</f>
        <v/>
      </c>
      <c r="EH53" s="3">
        <f>IF(R53="particular",ED53+IF(AND(DA53&lt;&gt;"cadena",X53&lt;&gt;"sí"),RES_CORREA,0)+IF(AND(BJ53&lt;&gt;"sí",BW53&gt;=RES_NEUM_EDAD),RES_NEUM,0),"")</f>
        <v/>
      </c>
      <c r="EI53" s="3">
        <f>IF(ED53&lt;=TOTAL_MAX,"sí",IF(ED53&lt;=TECHO,"negociar","no"))</f>
        <v/>
      </c>
      <c r="EJ53" s="4">
        <f>ROUND(DX53,9)</f>
        <v/>
      </c>
      <c r="EK53" s="4">
        <f>IF(EI53&lt;&gt;"no",SUMPRODUCT(($EI$2:$EI$209&lt;&gt;"no")*($EJ$2:$EJ$209&gt;EJ53))+SUMPRODUCT(($EI$2:EI53&lt;&gt;"no")*($EJ$2:EJ53=EJ53)),"")</f>
        <v/>
      </c>
    </row>
    <row r="54">
      <c r="A54" s="2" t="inlineStr">
        <is>
          <t>wallapop:1273247713</t>
        </is>
      </c>
      <c r="B54" s="2" t="inlineStr">
        <is>
          <t>wallapop</t>
        </is>
      </c>
      <c r="C54" s="2" t="inlineStr">
        <is>
          <t>https://es.wallapop.com/item/seat-ibiza-1-4-16v-reference-55-kw-75-cv-1273247713</t>
        </is>
      </c>
      <c r="D54" s="2" t="inlineStr">
        <is>
          <t>SEAT Ibiza 1.4 16v Reference 55 kW (75 CV)</t>
        </is>
      </c>
      <c r="E54" s="2" t="inlineStr">
        <is>
          <t>Seat</t>
        </is>
      </c>
      <c r="F54" s="2" t="inlineStr">
        <is>
          <t>Seat Ibiza</t>
        </is>
      </c>
      <c r="G54" s="2" t="inlineStr">
        <is>
          <t>1.4</t>
        </is>
      </c>
      <c r="H54" s="2" t="inlineStr">
        <is>
          <t>1.4 16v Reference 55 kW (75 CV)</t>
        </is>
      </c>
      <c r="I54" s="2" t="n"/>
      <c r="J54" s="2" t="n">
        <v>75</v>
      </c>
      <c r="K54" s="2" t="inlineStr">
        <is>
          <t>gasolina</t>
        </is>
      </c>
      <c r="L54" s="2" t="inlineStr">
        <is>
          <t>utilitario</t>
        </is>
      </c>
      <c r="M54" s="2" t="n">
        <v>2006</v>
      </c>
      <c r="N54" s="2" t="n">
        <v>170628</v>
      </c>
      <c r="O54" s="2" t="n">
        <v>4000</v>
      </c>
      <c r="P54" s="2" t="inlineStr">
        <is>
          <t>manual</t>
        </is>
      </c>
      <c r="Q54" s="2" t="inlineStr">
        <is>
          <t>no</t>
        </is>
      </c>
      <c r="R54" s="2" t="inlineStr">
        <is>
          <t>profesional</t>
        </is>
      </c>
      <c r="S54" s="2" t="inlineStr">
        <is>
          <t>Sagunt/Sagunto (46500)</t>
        </is>
      </c>
      <c r="T54" s="2" t="inlineStr">
        <is>
          <t>2026-10-26T23:06:22</t>
        </is>
      </c>
      <c r="U54" s="2" t="n">
        <v>11</v>
      </c>
      <c r="V54" s="2" t="n"/>
      <c r="W54" s="2" t="n"/>
      <c r="X54" s="2" t="n"/>
      <c r="Y54" s="2" t="n"/>
      <c r="Z54" s="2" t="inlineStr">
        <is>
          <t>sí</t>
        </is>
      </c>
      <c r="AA54" s="2" t="n"/>
      <c r="AB54" s="2" t="n"/>
      <c r="AC54" s="2" t="n"/>
      <c r="AD54" s="2" t="n"/>
      <c r="AE54" s="2" t="n"/>
      <c r="AF54" s="2" t="n"/>
      <c r="AG54" s="2" t="n"/>
      <c r="AH54" s="2" t="n"/>
      <c r="AI54" s="2" t="n"/>
      <c r="AJ54" s="2" t="n"/>
      <c r="AK54" s="2" t="n"/>
      <c r="AL54" s="2" t="n"/>
      <c r="AM54" s="2" t="n">
        <v>24.8</v>
      </c>
      <c r="AN54" s="2" t="inlineStr">
        <is>
          <t>1000KMS</t>
        </is>
      </c>
      <c r="AO54" s="2" t="inlineStr">
        <is>
          <t>2006</t>
        </is>
      </c>
      <c r="AP54" s="2" t="n">
        <v>2006</v>
      </c>
      <c r="AQ54" s="2" t="n"/>
      <c r="AR54" s="2" t="inlineStr">
        <is>
          <t>B</t>
        </is>
      </c>
      <c r="AS54" s="2" t="inlineStr">
        <is>
          <t>DGT</t>
        </is>
      </c>
      <c r="AT54" s="2" t="n"/>
      <c r="AU54" s="2" t="inlineStr">
        <is>
          <t>no</t>
        </is>
      </c>
      <c r="AV54" s="2" t="inlineStr">
        <is>
          <t>B</t>
        </is>
      </c>
      <c r="AW54" s="2" t="n"/>
      <c r="AX54" s="2" t="inlineStr">
        <is>
          <t>no</t>
        </is>
      </c>
      <c r="AY54" s="2" t="inlineStr">
        <is>
          <t>no</t>
        </is>
      </c>
      <c r="AZ54" s="2" t="n"/>
      <c r="BA54" s="2" t="n"/>
      <c r="BB54" s="3" t="n">
        <v>2</v>
      </c>
      <c r="BC54" s="3" t="inlineStr">
        <is>
          <t>(por segmento)</t>
        </is>
      </c>
      <c r="BD54" s="2" t="n"/>
      <c r="BE54" s="2" t="inlineStr">
        <is>
          <t>sí</t>
        </is>
      </c>
      <c r="BF54" s="2" t="n"/>
      <c r="BG54" s="2" t="n"/>
      <c r="BH54" s="2" t="n"/>
      <c r="BI54" s="2" t="n"/>
      <c r="BJ54" s="2" t="n"/>
      <c r="BK54" s="2" t="n">
        <v>4</v>
      </c>
      <c r="BL54" s="2" t="inlineStr">
        <is>
          <t>no</t>
        </is>
      </c>
      <c r="BM54" s="2" t="n">
        <v>385</v>
      </c>
      <c r="BN54" s="2" t="n">
        <v>0.07434027781710029</v>
      </c>
      <c r="BO54" s="2" t="n">
        <v>10</v>
      </c>
      <c r="BP54" s="2" t="n">
        <v>3750</v>
      </c>
      <c r="BQ54" s="2" t="n">
        <v>8</v>
      </c>
      <c r="BR54" s="2" t="inlineStr">
        <is>
          <t>modelo+año+km</t>
        </is>
      </c>
      <c r="BS54" s="2" t="n"/>
      <c r="BT54" s="2" t="inlineStr">
        <is>
          <t>vendedor profesional: sin ITP (operación con IVA/REBU, confirmar en factura); gastos de gestión del vendedor no indicados: se suma la tasa DGT; preguntar el precio final; revisar: no menciona la ITV</t>
        </is>
      </c>
      <c r="BU54" s="2" t="inlineStr">
        <is>
          <t>Ref.103030467
¡VILLA TAMBIÉN FICHA POR OCASIONPLUS!
VEN A GANAR. ¡VEN A OCASIONPLUS!
OCASIONPLUS - 20.000 COCHES  - 120 CENTROS
OCASIONPLUS Nº1 CALIDAD - PRECIO
Elige el coche que te guste y te lo llevamos a tu ciudad sólo con reservarlo
15 DÍAS / 1000 KMS DE PRUEBA
ADEMÁS, HACEMOS LAS MEJORES FINANCIACIONES DEL MERCADO, PREGÚNTANOS!!
            Equipamiento destacado: Volante multifunción, Aire Acondicionado (Climatizador), Isofix, Llantas de aleación (15").
                - Coche Nacional.
                COCHE SIN GARANTÍA, Vehículo sin Garantía para uso Profesional o Empresarial (Realizando Actividades Económicas Comerciales, Transportistas, Fontaneros, Albañiles, etc).
            - Sobrevaloramos tu coche en operaciones de cambio. Tásalo ahora en ocasionplus.com
            - Entregamos cualquier coche en cualquier centro
            - Abierto Domingo y Festivos.</t>
        </is>
      </c>
      <c r="BV54" s="2" t="inlineStr">
        <is>
          <t>https://es.wallapop.com/item/seat-ibiza-1-4-16v-reference-55-kw-75-cv-1273247713 (__NEXT_DATA__ item) /home/user/Alopecia/buscador-coches/raw/wallapop/e97a63d6f6a6b9c6.json</t>
        </is>
      </c>
      <c r="BW54" s="3">
        <f>MAX(ANIO_ACTUAL-M54,0)</f>
        <v/>
      </c>
      <c r="BX54" s="4">
        <f>N54/MAX(BW54,0.5)</f>
        <v/>
      </c>
      <c r="BY54" s="4">
        <f>F54</f>
        <v/>
      </c>
      <c r="BZ54" s="3">
        <f>BY54&amp;"|"&amp;INT(M54/SEG_ANIO)*SEG_ANIO</f>
        <v/>
      </c>
      <c r="CA54" s="3">
        <f>BZ54&amp;"|"&amp;INT(N54/SEG_KM)*SEG_KM</f>
        <v/>
      </c>
      <c r="CB54" s="4">
        <f>COUNTIF($BY$2:$BY$209,BY54)</f>
        <v/>
      </c>
      <c r="CC54" s="4">
        <f>COUNTIF($BZ$2:$BZ$209,BZ54)</f>
        <v/>
      </c>
      <c r="CD54" s="4">
        <f>COUNTIF($CA$2:$CA$209,CA54)</f>
        <v/>
      </c>
      <c r="CE54" s="3">
        <f t="array" ref="CE54">IF(N(BQ54)&gt;=MIN_N,BP54,IF(CD54&gt;=MIN_N,MEDIAN(IF($CA$2:$CA$209=CA54,$O$2:$O$209)),IF(CC54&gt;=MIN_N,MEDIAN(IF($BZ$2:$BZ$209=BZ54,$O$2:$O$209)),MEDIAN(IF($BY$2:$BY$209=BY54,$O$2:$O$209)))))</f>
        <v/>
      </c>
      <c r="CF54" s="3">
        <f>IF(N(BQ54)&gt;=MIN_N,"mercado "&amp;BR54,IF(CD54&gt;=MIN_N,"modelo+año+km",IF(CC54&gt;=MIN_N,"modelo+año","modelo")))</f>
        <v/>
      </c>
      <c r="CG54" s="4">
        <f>(CE54-O54)/CE54</f>
        <v/>
      </c>
      <c r="CH54" s="3">
        <f>IF(COUNTIFS(FR_FUEL,K54,FR_YEAR,AP54)&gt;0,1,0)</f>
        <v/>
      </c>
      <c r="CI54" s="3">
        <f>IF(COUNTIFS(FR_FUEL,K54,FR_YEAR,AP54-1)&gt;0,1,0)</f>
        <v/>
      </c>
      <c r="CJ54" s="4">
        <f>IF(N(AQ54)&gt;0,AP54*100+AQ54,IF(AND(CH54=1,CI54=1),(AP54-1)*100+1,AP54*100+1))</f>
        <v/>
      </c>
      <c r="CK54" s="3">
        <f>IF(OR(K54="hibrido",K54="glp",K54="gnc",K54="phev"),"ECO",IF(K54="electrico","CERO",IF(K54="gasolina",IF(CJ54&gt;=GAS_C_YM,"C",IF(CJ54&gt;=GAS_B_YM,"B","A")),IF(K54="diesel",IF(CJ54&gt;=DIE_C_YM,"C",IF(CJ54&gt;=DIE_B_YM,"B","A")),""))))</f>
        <v/>
      </c>
      <c r="CL54" s="2" t="inlineStr">
        <is>
          <t>B</t>
        </is>
      </c>
      <c r="CM54" s="4">
        <f>IF(AU54="sí","sí",IF(AS54="regla",IF(AND(N(AQ54)=0,CH54=1),"sí","no"),"no"))</f>
        <v/>
      </c>
      <c r="CN54" s="3">
        <f>IFERROR(VLOOKUP(F54,MOD_TBL,16,0),IFERROR(VLOOKUP(E54,OCU_TBL,2,0),NEUTRO))</f>
        <v/>
      </c>
      <c r="CO54" s="3">
        <f>SUMIFS(MOT_AJUSTE,MOT_MOTOR,G54,MOT_MARCA,E54,MOT_DESDE,"&lt;="&amp;M54,MOT_HASTA,"&gt;="&amp;M54)+SUMIFS(MOT_AJUSTE,MOT_MOTOR,G54,MOT_MARCA,"(todas)",MOT_DESDE,"&lt;="&amp;M54,MOT_HASTA,"&gt;="&amp;M54)+SUMIFS(MOT_AJUSTE,MOT_MOTOR,"(cualquiera)",MOT_MARCA,E54,MOT_DESDE,"&lt;="&amp;M54,MOT_HASTA,"&gt;="&amp;M54)</f>
        <v/>
      </c>
      <c r="CP54" s="3">
        <f>SUMIFS(COMB_AJUSTE,COMB_COMB,K54)</f>
        <v/>
      </c>
      <c r="CQ54" s="3">
        <f>COUNTIFS(MOT_MOTOR,G54,MOT_MARCA,E54,MOT_DESDE,"&lt;="&amp;M54,MOT_HASTA,"&gt;="&amp;M54)+COUNTIFS(MOT_MOTOR,G54,MOT_MARCA,"(todas)",MOT_DESDE,"&lt;="&amp;M54,MOT_HASTA,"&gt;="&amp;M54)+COUNTIFS(MOT_MOTOR,"(cualquiera)",MOT_MARCA,E54,MOT_DESDE,"&lt;="&amp;M54,MOT_HASTA,"&gt;="&amp;M54)</f>
        <v/>
      </c>
      <c r="CR54" s="3">
        <f>IF(AND(K54="diesel",CQ54=0),MIN(CN54,NEUTRO),CN54)</f>
        <v/>
      </c>
      <c r="CS54" s="3">
        <f>MAX(0,MIN(100,CR54+CO54+CP54-IF(AX54="sí",ROB_PEN,0)))</f>
        <v/>
      </c>
      <c r="CT54" s="3">
        <f>100-MAX(0,N54-KM_TOPE_DESDE)/1000*KM_TOPE_PTS</f>
        <v/>
      </c>
      <c r="CU54" s="3">
        <f>MAX(0,MIN(100,50+CG54*PRECIO_PEND,CT54))</f>
        <v/>
      </c>
      <c r="CV54" s="3">
        <f>MAX(0,100*(1-N54/KM_MAX))</f>
        <v/>
      </c>
      <c r="CW54" s="3">
        <f>IF(BX54&lt;KMA_SOSP,IF(AA54="sí",100,KMA_PEN),IF(BX54&lt;=KMA_IDEAL_MAX,100,MAX(0,100*(KMA_CERO-BX54)/(KMA_CERO-KMA_IDEAL_MAX))))</f>
        <v/>
      </c>
      <c r="CX54" s="3">
        <f>MAX(0,MIN(100,100*(M54-ANIO_MIN)/(ANIO_ACTUAL-ANIO_MIN)))</f>
        <v/>
      </c>
      <c r="CY54" s="3">
        <f>W_KMT*CV54+W_KMA*CW54+W_EDAD*CX54</f>
        <v/>
      </c>
      <c r="CZ54" s="4">
        <f>E54&amp;"|"&amp;G54</f>
        <v/>
      </c>
      <c r="DA54" s="3">
        <f>IFERROR(VLOOKUP(CZ54,DIST_TBL,2,0),"")</f>
        <v/>
      </c>
      <c r="DB54" s="3">
        <f>E_ITV*(V54="sí")+E_LIBRO*(W54="sí")+E_PROP*IF(Y54=1,1,IF(Y54=2,0.5,0))+E_CORREA*IF(OR(DA54="cadena",AND(X54="sí",BH54="sí")),1,IF(X54="sí",0.5,0))+E_FACT*(BI54="sí")</f>
        <v/>
      </c>
      <c r="DC54" s="3">
        <f>MAX(0,MIN(100,IFERROR(VLOOKUP(CL54,ETQ_TBL,2,0),0)-IF(CM54="sí",ETQ_PEN_DUD,IF(AS54="regla",ETQ_PEN_REGLA,0))))</f>
        <v/>
      </c>
      <c r="DD54" s="3">
        <f>IF(K54&lt;&gt;"gasolina","",IFERROR(VLOOKUP(F54,CONS_MOD_TBL,2,0),IFERROR(VLOOKUP(L54,CONS_SEG_TBL,2,0),"")))</f>
        <v/>
      </c>
      <c r="DE54" s="3">
        <f>IF(DD54="",NEUTRO,MAX(0,MIN(100,100*(CONS_REF_MAX-DD54)/(CONS_REF_MAX-CONS_REF_MIN))))</f>
        <v/>
      </c>
      <c r="DF54" s="3">
        <f>IFERROR(VLOOKUP(L54,SEGURO_TBL,3,0),"")</f>
        <v/>
      </c>
      <c r="DG54" s="3">
        <f>IF(DF54="",NEUTRO,MAX(0,MIN(100,100*(SEG_REF_MAX-DF54)/(SEG_REF_MAX-SEG_REF_MIN))))</f>
        <v/>
      </c>
      <c r="DH54" s="3">
        <f>IFERROR(VLOOKUP(E54,MANT_MARCA_TBL,2,0)+0,NEUTRO)</f>
        <v/>
      </c>
      <c r="DI54" s="3">
        <f>IF(DA54="",NEUTRO,IFERROR(VLOOKUP(DA54,DIST_PTS_TBL,2,0)+0,NEUTRO))</f>
        <v/>
      </c>
      <c r="DJ54" s="4">
        <f>(DH54+DI54)/2</f>
        <v/>
      </c>
      <c r="DK54" s="3">
        <f>W_CONS*DE54+W_SEG*DG54+W_MANT*DJ54</f>
        <v/>
      </c>
      <c r="DL54" s="3">
        <f>IF(N(AB54)&gt;0,AB54,IF(AND(R54="profesional",SG_LEGAL_ON=1),GAR_LEGAL,0))</f>
        <v/>
      </c>
      <c r="DM54" s="3">
        <f>MAX(0,MIN(100,SG_GAR*MIN(1,DL54/SG_GAR_FULL)+SG_AMPL*(AC54="sí")+SG_KMC*(AF54="sí")+SG_REV*(N(AE54)&gt;0)+SG_DEV*MIN(1,N(AG54)/SG_DEV_FULL)+SG_HIST*(W54="sí")-IF(AND(R54="particular",DL54=0),SG_PART_PEN,0)))</f>
        <v/>
      </c>
      <c r="DN54" s="3">
        <f>IF(BK54="",NEUTRO,MAX(0,MIN(100,BK54/5*100)))</f>
        <v/>
      </c>
      <c r="DO54" s="3">
        <f>IF(BL54="sí",100,IF(BL54="no",0,NEUTRO))</f>
        <v/>
      </c>
      <c r="DP54" s="3">
        <f>SV_W_NCAP*DN54+SV_W_ESP*DO54</f>
        <v/>
      </c>
      <c r="DQ54" s="3">
        <f>MAX(0,MIN(100,ATR_BASE+ATR_ACAB*(BD54&lt;&gt;"")+IF(BE54="16+",ATR_LL16,IF(BE54="sí",ATR_LL,0))+ATR_FAROS*(BF54="sí")+ATR_TINT*(BG54="sí")-ATR_CHAPA*(BE54="chapa")))</f>
        <v/>
      </c>
      <c r="DR54" s="3">
        <f>EST_W_MOD*(BB54-1)/4*100+EST_W_ATR*DQ54</f>
        <v/>
      </c>
      <c r="DS54" s="3">
        <f>IF(BA54="",NEUTRO,IFERROR(VLOOKUP(BA54,COLOR_TBL,2,0)+0,NEUTRO))</f>
        <v/>
      </c>
      <c r="DT54" s="3">
        <f>MAX(0,MIN(100,100*N(BM54)/RV_N_FULL))</f>
        <v/>
      </c>
      <c r="DU54" s="3">
        <f>IF(OR(BN54="",N(BO54)&lt;RV_DIAS_MIN),NEUTRO,MAX(0,MIN(100,100*(RV_DIAS_CERO-BN54)/(RV_DIAS_CERO-RV_DIAS_FULL))))</f>
        <v/>
      </c>
      <c r="DV54" s="3">
        <f>RV_W_LIQ*DT54+RV_W_DIAS*DU54+RV_W_ETQ*DC54</f>
        <v/>
      </c>
      <c r="DW54" s="3">
        <f>IFERROR(VLOOKUP(L54,CARR_PEN_TBL,2,0),0)</f>
        <v/>
      </c>
      <c r="DX54" s="3">
        <f>W_FIAB*CS54+W_PRECIO*CU54+W_KMEDAD*CY54+W_ESTADO*DB54+W_USO*DK54+W_SEGURIDAD*DM54+W_SEGVIAL*DP54+W_ESTETICA*DR54+W_COLOR*DS54+W_REVENTA*DV54-DW54-EG54</f>
        <v/>
      </c>
      <c r="DY54" s="4">
        <f>IF(N(I54)&gt;0,I54,IFERROR(ROUND(_xlfn.NUMBERVALUE(LEFT(G54,FIND(" ",G54&amp;" ")-1),".")*1000,0),99999))</f>
        <v/>
      </c>
      <c r="DZ54" s="3">
        <f>IF(R54="profesional",0,IF(O54&lt;CUOTA_VALOR_MAX,IF(BW54&gt;ITP_TRAMO_ALTO,SUMIFS(CF_CUOTA,CF_MAS,ITP_TRAMO_ALTO,CF_CCMIN,"&lt;="&amp;DY54,CF_CCMAX,"&gt;="&amp;DY54),IF(BW54&gt;ITP_TRAMO_BAJO,SUMIFS(CF_CUOTA,CF_MAS,ITP_TRAMO_BAJO,CF_CCMIN,"&lt;="&amp;DY54,CF_CCMAX,"&gt;="&amp;DY54),O54*ITP_TIPO)),O54*ITP_TIPO))</f>
        <v/>
      </c>
      <c r="EA54" s="4">
        <f>IF(R54="profesional",N(AK54),0)</f>
        <v/>
      </c>
      <c r="EB54" s="3">
        <f>IF(AND(R54="profesional",ISNUMBER(AK54),AL54="sí"),0,TASA_DGT)</f>
        <v/>
      </c>
      <c r="EC54" s="3">
        <f>INFORME_DGT</f>
        <v/>
      </c>
      <c r="ED54" s="4">
        <f>O54+EA54+DZ54+EB54+EC54</f>
        <v/>
      </c>
      <c r="EE54" s="4">
        <f>ED54+N(DF54)</f>
        <v/>
      </c>
      <c r="EF54" s="3">
        <f>MAX(0,ED54-TOTAL_MAX)</f>
        <v/>
      </c>
      <c r="EG54" s="3">
        <f>EF54/100*PEN_100</f>
        <v/>
      </c>
      <c r="EH54" s="3">
        <f>IF(R54="particular",ED54+IF(AND(DA54&lt;&gt;"cadena",X54&lt;&gt;"sí"),RES_CORREA,0)+IF(AND(BJ54&lt;&gt;"sí",BW54&gt;=RES_NEUM_EDAD),RES_NEUM,0),"")</f>
        <v/>
      </c>
      <c r="EI54" s="3">
        <f>IF(ED54&lt;=TOTAL_MAX,"sí",IF(ED54&lt;=TECHO,"negociar","no"))</f>
        <v/>
      </c>
      <c r="EJ54" s="4">
        <f>ROUND(DX54,9)</f>
        <v/>
      </c>
      <c r="EK54" s="4">
        <f>IF(EI54&lt;&gt;"no",SUMPRODUCT(($EI$2:$EI$209&lt;&gt;"no")*($EJ$2:$EJ$209&gt;EJ54))+SUMPRODUCT(($EI$2:EI54&lt;&gt;"no")*($EJ$2:EJ54=EJ54)),"")</f>
        <v/>
      </c>
    </row>
    <row r="55">
      <c r="A55" s="2" t="inlineStr">
        <is>
          <t>wallapop:1315758352</t>
        </is>
      </c>
      <c r="B55" s="2" t="inlineStr">
        <is>
          <t>wallapop</t>
        </is>
      </c>
      <c r="C55" s="2" t="inlineStr">
        <is>
          <t>https://es.wallapop.com/item/volkswagen-polo-2008-1315758352</t>
        </is>
      </c>
      <c r="D55" s="2" t="inlineStr">
        <is>
          <t>Volkswagen Polo 2008</t>
        </is>
      </c>
      <c r="E55" s="2" t="inlineStr">
        <is>
          <t>Volkswagen</t>
        </is>
      </c>
      <c r="F55" s="2" t="inlineStr">
        <is>
          <t>Volkswagen Polo</t>
        </is>
      </c>
      <c r="G55" s="2" t="inlineStr">
        <is>
          <t>1.2</t>
        </is>
      </c>
      <c r="H55" s="2" t="inlineStr">
        <is>
          <t>1.2 70 Edition 5p</t>
        </is>
      </c>
      <c r="I55" s="2" t="n"/>
      <c r="J55" s="2" t="n">
        <v>70</v>
      </c>
      <c r="K55" s="2" t="inlineStr">
        <is>
          <t>gasolina</t>
        </is>
      </c>
      <c r="L55" s="2" t="inlineStr">
        <is>
          <t>utilitario</t>
        </is>
      </c>
      <c r="M55" s="2" t="n">
        <v>2008</v>
      </c>
      <c r="N55" s="2" t="n">
        <v>134000</v>
      </c>
      <c r="O55" s="2" t="n">
        <v>4990</v>
      </c>
      <c r="P55" s="2" t="inlineStr">
        <is>
          <t>manual</t>
        </is>
      </c>
      <c r="Q55" s="2" t="inlineStr">
        <is>
          <t>no</t>
        </is>
      </c>
      <c r="R55" s="2" t="inlineStr">
        <is>
          <t>profesional</t>
        </is>
      </c>
      <c r="S55" s="2" t="inlineStr">
        <is>
          <t>Valencia (46009)</t>
        </is>
      </c>
      <c r="T55" s="2" t="inlineStr">
        <is>
          <t>2026-10-30T21:16:38</t>
        </is>
      </c>
      <c r="U55" s="2" t="n">
        <v>11</v>
      </c>
      <c r="V55" s="2" t="inlineStr">
        <is>
          <t>sí</t>
        </is>
      </c>
      <c r="W55" s="2" t="n"/>
      <c r="X55" s="2" t="n"/>
      <c r="Y55" s="2" t="n"/>
      <c r="Z55" s="2" t="inlineStr">
        <is>
          <t>sí</t>
        </is>
      </c>
      <c r="AA55" s="2" t="n"/>
      <c r="AB55" s="2" t="n">
        <v>12</v>
      </c>
      <c r="AC55" s="2" t="n"/>
      <c r="AD55" s="2" t="n"/>
      <c r="AE55" s="2" t="n"/>
      <c r="AF55" s="2" t="n"/>
      <c r="AG55" s="2" t="n"/>
      <c r="AH55" s="2" t="n"/>
      <c r="AI55" s="2" t="n"/>
      <c r="AJ55" s="2" t="n"/>
      <c r="AK55" s="2" t="n"/>
      <c r="AL55" s="2" t="n"/>
      <c r="AM55" s="2" t="n">
        <v>3.3</v>
      </c>
      <c r="AN55" s="2" t="n"/>
      <c r="AO55" s="2" t="inlineStr">
        <is>
          <t>2008</t>
        </is>
      </c>
      <c r="AP55" s="2" t="n">
        <v>2008</v>
      </c>
      <c r="AQ55" s="2" t="n"/>
      <c r="AR55" s="2" t="n"/>
      <c r="AS55" s="2" t="inlineStr">
        <is>
          <t>regla</t>
        </is>
      </c>
      <c r="AT55" s="2" t="n"/>
      <c r="AU55" s="2" t="inlineStr">
        <is>
          <t>no</t>
        </is>
      </c>
      <c r="AV55" s="2" t="inlineStr">
        <is>
          <t>C</t>
        </is>
      </c>
      <c r="AW55" s="2" t="n"/>
      <c r="AX55" s="2" t="inlineStr">
        <is>
          <t>no</t>
        </is>
      </c>
      <c r="AY55" s="2" t="inlineStr">
        <is>
          <t>no</t>
        </is>
      </c>
      <c r="AZ55" s="2" t="n"/>
      <c r="BA55" s="2" t="n"/>
      <c r="BB55" s="3" t="n">
        <v>2</v>
      </c>
      <c r="BC55" s="3" t="inlineStr">
        <is>
          <t>(por segmento)</t>
        </is>
      </c>
      <c r="BD55" s="2" t="n"/>
      <c r="BE55" s="2" t="n"/>
      <c r="BF55" s="2" t="n"/>
      <c r="BG55" s="2" t="n"/>
      <c r="BH55" s="2" t="n"/>
      <c r="BI55" s="2" t="n"/>
      <c r="BJ55" s="2" t="n"/>
      <c r="BK55" s="2" t="n">
        <v>4</v>
      </c>
      <c r="BL55" s="2" t="n"/>
      <c r="BM55" s="2" t="n">
        <v>321</v>
      </c>
      <c r="BN55" s="2" t="n">
        <v>0.05126157402992249</v>
      </c>
      <c r="BO55" s="2" t="n">
        <v>3</v>
      </c>
      <c r="BP55" s="2" t="n">
        <v>4990</v>
      </c>
      <c r="BQ55" s="2" t="n">
        <v>7</v>
      </c>
      <c r="BR55" s="2" t="inlineStr">
        <is>
          <t>modelo+año+km</t>
        </is>
      </c>
      <c r="BS55" s="2" t="n"/>
      <c r="BT55" s="2" t="inlineStr">
        <is>
          <t>por encima del presupuesto: negociar 54 € (coste 5054 €; -1.1 puntos); vendedor profesional: sin ITP (operación con IVA/REBU, confirmar en factura); gastos de gestión del vendedor no indicados: se suma la tasa DGT; preguntar el precio final; etiqueta C deducida por fecha (sin matrícula ni dato del anuncio)</t>
        </is>
      </c>
      <c r="BU55" s="2" t="inlineStr">
        <is>
          <t>VOLKSWAGEN POLO 1.2i GASOLINA · 2008 · 134.000 KM
Un urbano práctico, económico y versátil, ideal para moverse por la ciudad y para el día a día. Este Volkswagen Polo destaca por su motor gasolina 1.2i, su tamaño compacto y su facilidad de conducción y aparcamiento.
🛠️ Estado y mantenimiento:
▫️ Vehículo nacional.
▫️ 134.000 km.
▫️ Se entrega con la ITV en vigor.
▫️ Revisión recién realizada antes de la entrega.
🚗 Equipamiento destacado:
▫️ Confort y conducción: Dirección asistida Servotronic, aire acondicionado y manejo cómodo y sencillo.
▫️ Tecnología y multimedia: Ordenador de a bordo y equipo de música MP3.
▫️ Comodidad y funcionalidad: Elevalunas eléctricos y retrovisores eléctricos.
▫️ Seguridad y familia: Anclajes ISOFIX para sillas infantiles.
✅ Ventajas exclusivas Lunusa Cars
▫️ Financiación de hasta el 100% con tu nómina.
▫️ Garantía de 1 año en motor incluida.
▫️ Compra 100% online, fácil y segura.
▫️ Envíos y entrega a domicilio en toda España.
💬 ¿Hablamos? Te enviamos más vídeos o la información que necesites para decidirte.
📍 LUNUSA CARS | VALENCIA
Expertos en vehículos de ocasión.</t>
        </is>
      </c>
      <c r="BV55" s="2" t="inlineStr">
        <is>
          <t>https://es.wallapop.com/item/volkswagen-polo-2008-1315758352 (__NEXT_DATA__ item) /home/user/Alopecia/buscador-coches/raw/wallapop/9b32a52dfb61a8b0.json</t>
        </is>
      </c>
      <c r="BW55" s="3">
        <f>MAX(ANIO_ACTUAL-M55,0)</f>
        <v/>
      </c>
      <c r="BX55" s="4">
        <f>N55/MAX(BW55,0.5)</f>
        <v/>
      </c>
      <c r="BY55" s="4">
        <f>F55</f>
        <v/>
      </c>
      <c r="BZ55" s="3">
        <f>BY55&amp;"|"&amp;INT(M55/SEG_ANIO)*SEG_ANIO</f>
        <v/>
      </c>
      <c r="CA55" s="3">
        <f>BZ55&amp;"|"&amp;INT(N55/SEG_KM)*SEG_KM</f>
        <v/>
      </c>
      <c r="CB55" s="4">
        <f>COUNTIF($BY$2:$BY$209,BY55)</f>
        <v/>
      </c>
      <c r="CC55" s="4">
        <f>COUNTIF($BZ$2:$BZ$209,BZ55)</f>
        <v/>
      </c>
      <c r="CD55" s="4">
        <f>COUNTIF($CA$2:$CA$209,CA55)</f>
        <v/>
      </c>
      <c r="CE55" s="3">
        <f t="array" ref="CE55">IF(N(BQ55)&gt;=MIN_N,BP55,IF(CD55&gt;=MIN_N,MEDIAN(IF($CA$2:$CA$209=CA55,$O$2:$O$209)),IF(CC55&gt;=MIN_N,MEDIAN(IF($BZ$2:$BZ$209=BZ55,$O$2:$O$209)),MEDIAN(IF($BY$2:$BY$209=BY55,$O$2:$O$209)))))</f>
        <v/>
      </c>
      <c r="CF55" s="3">
        <f>IF(N(BQ55)&gt;=MIN_N,"mercado "&amp;BR55,IF(CD55&gt;=MIN_N,"modelo+año+km",IF(CC55&gt;=MIN_N,"modelo+año","modelo")))</f>
        <v/>
      </c>
      <c r="CG55" s="4">
        <f>(CE55-O55)/CE55</f>
        <v/>
      </c>
      <c r="CH55" s="3">
        <f>IF(COUNTIFS(FR_FUEL,K55,FR_YEAR,AP55)&gt;0,1,0)</f>
        <v/>
      </c>
      <c r="CI55" s="3">
        <f>IF(COUNTIFS(FR_FUEL,K55,FR_YEAR,AP55-1)&gt;0,1,0)</f>
        <v/>
      </c>
      <c r="CJ55" s="4">
        <f>IF(N(AQ55)&gt;0,AP55*100+AQ55,IF(AND(CH55=1,CI55=1),(AP55-1)*100+1,AP55*100+1))</f>
        <v/>
      </c>
      <c r="CK55" s="3">
        <f>IF(OR(K55="hibrido",K55="glp",K55="gnc",K55="phev"),"ECO",IF(K55="electrico","CERO",IF(K55="gasolina",IF(CJ55&gt;=GAS_C_YM,"C",IF(CJ55&gt;=GAS_B_YM,"B","A")),IF(K55="diesel",IF(CJ55&gt;=DIE_C_YM,"C",IF(CJ55&gt;=DIE_B_YM,"B","A")),""))))</f>
        <v/>
      </c>
      <c r="CL55" s="4">
        <f>CK55</f>
        <v/>
      </c>
      <c r="CM55" s="4">
        <f>IF(AU55="sí","sí",IF(AS55="regla",IF(AND(N(AQ55)=0,CH55=1),"sí","no"),"no"))</f>
        <v/>
      </c>
      <c r="CN55" s="3">
        <f>IFERROR(VLOOKUP(F55,MOD_TBL,16,0),IFERROR(VLOOKUP(E55,OCU_TBL,2,0),NEUTRO))</f>
        <v/>
      </c>
      <c r="CO55" s="3">
        <f>SUMIFS(MOT_AJUSTE,MOT_MOTOR,G55,MOT_MARCA,E55,MOT_DESDE,"&lt;="&amp;M55,MOT_HASTA,"&gt;="&amp;M55)+SUMIFS(MOT_AJUSTE,MOT_MOTOR,G55,MOT_MARCA,"(todas)",MOT_DESDE,"&lt;="&amp;M55,MOT_HASTA,"&gt;="&amp;M55)+SUMIFS(MOT_AJUSTE,MOT_MOTOR,"(cualquiera)",MOT_MARCA,E55,MOT_DESDE,"&lt;="&amp;M55,MOT_HASTA,"&gt;="&amp;M55)</f>
        <v/>
      </c>
      <c r="CP55" s="3">
        <f>SUMIFS(COMB_AJUSTE,COMB_COMB,K55)</f>
        <v/>
      </c>
      <c r="CQ55" s="3">
        <f>COUNTIFS(MOT_MOTOR,G55,MOT_MARCA,E55,MOT_DESDE,"&lt;="&amp;M55,MOT_HASTA,"&gt;="&amp;M55)+COUNTIFS(MOT_MOTOR,G55,MOT_MARCA,"(todas)",MOT_DESDE,"&lt;="&amp;M55,MOT_HASTA,"&gt;="&amp;M55)+COUNTIFS(MOT_MOTOR,"(cualquiera)",MOT_MARCA,E55,MOT_DESDE,"&lt;="&amp;M55,MOT_HASTA,"&gt;="&amp;M55)</f>
        <v/>
      </c>
      <c r="CR55" s="3">
        <f>IF(AND(K55="diesel",CQ55=0),MIN(CN55,NEUTRO),CN55)</f>
        <v/>
      </c>
      <c r="CS55" s="3">
        <f>MAX(0,MIN(100,CR55+CO55+CP55-IF(AX55="sí",ROB_PEN,0)))</f>
        <v/>
      </c>
      <c r="CT55" s="3">
        <f>100-MAX(0,N55-KM_TOPE_DESDE)/1000*KM_TOPE_PTS</f>
        <v/>
      </c>
      <c r="CU55" s="3">
        <f>MAX(0,MIN(100,50+CG55*PRECIO_PEND,CT55))</f>
        <v/>
      </c>
      <c r="CV55" s="3">
        <f>MAX(0,100*(1-N55/KM_MAX))</f>
        <v/>
      </c>
      <c r="CW55" s="3">
        <f>IF(BX55&lt;KMA_SOSP,IF(AA55="sí",100,KMA_PEN),IF(BX55&lt;=KMA_IDEAL_MAX,100,MAX(0,100*(KMA_CERO-BX55)/(KMA_CERO-KMA_IDEAL_MAX))))</f>
        <v/>
      </c>
      <c r="CX55" s="3">
        <f>MAX(0,MIN(100,100*(M55-ANIO_MIN)/(ANIO_ACTUAL-ANIO_MIN)))</f>
        <v/>
      </c>
      <c r="CY55" s="3">
        <f>W_KMT*CV55+W_KMA*CW55+W_EDAD*CX55</f>
        <v/>
      </c>
      <c r="CZ55" s="4">
        <f>E55&amp;"|"&amp;G55</f>
        <v/>
      </c>
      <c r="DA55" s="3">
        <f>IFERROR(VLOOKUP(CZ55,DIST_TBL,2,0),"")</f>
        <v/>
      </c>
      <c r="DB55" s="3">
        <f>E_ITV*(V55="sí")+E_LIBRO*(W55="sí")+E_PROP*IF(Y55=1,1,IF(Y55=2,0.5,0))+E_CORREA*IF(OR(DA55="cadena",AND(X55="sí",BH55="sí")),1,IF(X55="sí",0.5,0))+E_FACT*(BI55="sí")</f>
        <v/>
      </c>
      <c r="DC55" s="3">
        <f>MAX(0,MIN(100,IFERROR(VLOOKUP(CL55,ETQ_TBL,2,0),0)-IF(CM55="sí",ETQ_PEN_DUD,IF(AS55="regla",ETQ_PEN_REGLA,0))))</f>
        <v/>
      </c>
      <c r="DD55" s="3">
        <f>IF(K55&lt;&gt;"gasolina","",IFERROR(VLOOKUP(F55,CONS_MOD_TBL,2,0),IFERROR(VLOOKUP(L55,CONS_SEG_TBL,2,0),"")))</f>
        <v/>
      </c>
      <c r="DE55" s="3">
        <f>IF(DD55="",NEUTRO,MAX(0,MIN(100,100*(CONS_REF_MAX-DD55)/(CONS_REF_MAX-CONS_REF_MIN))))</f>
        <v/>
      </c>
      <c r="DF55" s="3">
        <f>IFERROR(VLOOKUP(L55,SEGURO_TBL,3,0),"")</f>
        <v/>
      </c>
      <c r="DG55" s="3">
        <f>IF(DF55="",NEUTRO,MAX(0,MIN(100,100*(SEG_REF_MAX-DF55)/(SEG_REF_MAX-SEG_REF_MIN))))</f>
        <v/>
      </c>
      <c r="DH55" s="3">
        <f>IFERROR(VLOOKUP(E55,MANT_MARCA_TBL,2,0)+0,NEUTRO)</f>
        <v/>
      </c>
      <c r="DI55" s="3">
        <f>IF(DA55="",NEUTRO,IFERROR(VLOOKUP(DA55,DIST_PTS_TBL,2,0)+0,NEUTRO))</f>
        <v/>
      </c>
      <c r="DJ55" s="4">
        <f>(DH55+DI55)/2</f>
        <v/>
      </c>
      <c r="DK55" s="3">
        <f>W_CONS*DE55+W_SEG*DG55+W_MANT*DJ55</f>
        <v/>
      </c>
      <c r="DL55" s="3">
        <f>IF(N(AB55)&gt;0,AB55,IF(AND(R55="profesional",SG_LEGAL_ON=1),GAR_LEGAL,0))</f>
        <v/>
      </c>
      <c r="DM55" s="3">
        <f>MAX(0,MIN(100,SG_GAR*MIN(1,DL55/SG_GAR_FULL)+SG_AMPL*(AC55="sí")+SG_KMC*(AF55="sí")+SG_REV*(N(AE55)&gt;0)+SG_DEV*MIN(1,N(AG55)/SG_DEV_FULL)+SG_HIST*(W55="sí")-IF(AND(R55="particular",DL55=0),SG_PART_PEN,0)))</f>
        <v/>
      </c>
      <c r="DN55" s="3">
        <f>IF(BK55="",NEUTRO,MAX(0,MIN(100,BK55/5*100)))</f>
        <v/>
      </c>
      <c r="DO55" s="3">
        <f>IF(BL55="sí",100,IF(BL55="no",0,NEUTRO))</f>
        <v/>
      </c>
      <c r="DP55" s="3">
        <f>SV_W_NCAP*DN55+SV_W_ESP*DO55</f>
        <v/>
      </c>
      <c r="DQ55" s="3">
        <f>MAX(0,MIN(100,ATR_BASE+ATR_ACAB*(BD55&lt;&gt;"")+IF(BE55="16+",ATR_LL16,IF(BE55="sí",ATR_LL,0))+ATR_FAROS*(BF55="sí")+ATR_TINT*(BG55="sí")-ATR_CHAPA*(BE55="chapa")))</f>
        <v/>
      </c>
      <c r="DR55" s="3">
        <f>EST_W_MOD*(BB55-1)/4*100+EST_W_ATR*DQ55</f>
        <v/>
      </c>
      <c r="DS55" s="3">
        <f>IF(BA55="",NEUTRO,IFERROR(VLOOKUP(BA55,COLOR_TBL,2,0)+0,NEUTRO))</f>
        <v/>
      </c>
      <c r="DT55" s="3">
        <f>MAX(0,MIN(100,100*N(BM55)/RV_N_FULL))</f>
        <v/>
      </c>
      <c r="DU55" s="3">
        <f>IF(OR(BN55="",N(BO55)&lt;RV_DIAS_MIN),NEUTRO,MAX(0,MIN(100,100*(RV_DIAS_CERO-BN55)/(RV_DIAS_CERO-RV_DIAS_FULL))))</f>
        <v/>
      </c>
      <c r="DV55" s="3">
        <f>RV_W_LIQ*DT55+RV_W_DIAS*DU55+RV_W_ETQ*DC55</f>
        <v/>
      </c>
      <c r="DW55" s="3">
        <f>IFERROR(VLOOKUP(L55,CARR_PEN_TBL,2,0),0)</f>
        <v/>
      </c>
      <c r="DX55" s="3">
        <f>W_FIAB*CS55+W_PRECIO*CU55+W_KMEDAD*CY55+W_ESTADO*DB55+W_USO*DK55+W_SEGURIDAD*DM55+W_SEGVIAL*DP55+W_ESTETICA*DR55+W_COLOR*DS55+W_REVENTA*DV55-DW55-EG55</f>
        <v/>
      </c>
      <c r="DY55" s="4">
        <f>IF(N(I55)&gt;0,I55,IFERROR(ROUND(_xlfn.NUMBERVALUE(LEFT(G55,FIND(" ",G55&amp;" ")-1),".")*1000,0),99999))</f>
        <v/>
      </c>
      <c r="DZ55" s="3">
        <f>IF(R55="profesional",0,IF(O55&lt;CUOTA_VALOR_MAX,IF(BW55&gt;ITP_TRAMO_ALTO,SUMIFS(CF_CUOTA,CF_MAS,ITP_TRAMO_ALTO,CF_CCMIN,"&lt;="&amp;DY55,CF_CCMAX,"&gt;="&amp;DY55),IF(BW55&gt;ITP_TRAMO_BAJO,SUMIFS(CF_CUOTA,CF_MAS,ITP_TRAMO_BAJO,CF_CCMIN,"&lt;="&amp;DY55,CF_CCMAX,"&gt;="&amp;DY55),O55*ITP_TIPO)),O55*ITP_TIPO))</f>
        <v/>
      </c>
      <c r="EA55" s="4">
        <f>IF(R55="profesional",N(AK55),0)</f>
        <v/>
      </c>
      <c r="EB55" s="3">
        <f>IF(AND(R55="profesional",ISNUMBER(AK55),AL55="sí"),0,TASA_DGT)</f>
        <v/>
      </c>
      <c r="EC55" s="3">
        <f>INFORME_DGT</f>
        <v/>
      </c>
      <c r="ED55" s="4">
        <f>O55+EA55+DZ55+EB55+EC55</f>
        <v/>
      </c>
      <c r="EE55" s="4">
        <f>ED55+N(DF55)</f>
        <v/>
      </c>
      <c r="EF55" s="3">
        <f>MAX(0,ED55-TOTAL_MAX)</f>
        <v/>
      </c>
      <c r="EG55" s="3">
        <f>EF55/100*PEN_100</f>
        <v/>
      </c>
      <c r="EH55" s="3">
        <f>IF(R55="particular",ED55+IF(AND(DA55&lt;&gt;"cadena",X55&lt;&gt;"sí"),RES_CORREA,0)+IF(AND(BJ55&lt;&gt;"sí",BW55&gt;=RES_NEUM_EDAD),RES_NEUM,0),"")</f>
        <v/>
      </c>
      <c r="EI55" s="3">
        <f>IF(ED55&lt;=TOTAL_MAX,"sí",IF(ED55&lt;=TECHO,"negociar","no"))</f>
        <v/>
      </c>
      <c r="EJ55" s="4">
        <f>ROUND(DX55,9)</f>
        <v/>
      </c>
      <c r="EK55" s="4">
        <f>IF(EI55&lt;&gt;"no",SUMPRODUCT(($EI$2:$EI$209&lt;&gt;"no")*($EJ$2:$EJ$209&gt;EJ55))+SUMPRODUCT(($EI$2:EI55&lt;&gt;"no")*($EJ$2:EJ55=EJ55)),"")</f>
        <v/>
      </c>
    </row>
    <row r="56">
      <c r="A56" s="2" t="inlineStr">
        <is>
          <t>wallapop:1313126578</t>
        </is>
      </c>
      <c r="B56" s="2" t="inlineStr">
        <is>
          <t>wallapop</t>
        </is>
      </c>
      <c r="C56" s="2" t="inlineStr">
        <is>
          <t>https://es.wallapop.com/item/opel-corsa-2007-1313126578</t>
        </is>
      </c>
      <c r="D56" s="2" t="inlineStr">
        <is>
          <t>Opel Corsa 2007</t>
        </is>
      </c>
      <c r="E56" s="2" t="inlineStr">
        <is>
          <t>Opel</t>
        </is>
      </c>
      <c r="F56" s="2" t="inlineStr">
        <is>
          <t>Opel Corsa</t>
        </is>
      </c>
      <c r="G56" s="2" t="inlineStr">
        <is>
          <t>1.2</t>
        </is>
      </c>
      <c r="H56" s="2" t="inlineStr">
        <is>
          <t>1.2 16v 80 Enjoy 3p</t>
        </is>
      </c>
      <c r="I56" s="2" t="n"/>
      <c r="J56" s="2" t="n">
        <v>80</v>
      </c>
      <c r="K56" s="2" t="inlineStr">
        <is>
          <t>gasolina</t>
        </is>
      </c>
      <c r="L56" s="2" t="inlineStr">
        <is>
          <t>utilitario</t>
        </is>
      </c>
      <c r="M56" s="2" t="n">
        <v>2007</v>
      </c>
      <c r="N56" s="2" t="n">
        <v>206000</v>
      </c>
      <c r="O56" s="2" t="n">
        <v>2999</v>
      </c>
      <c r="P56" s="2" t="inlineStr">
        <is>
          <t>manual</t>
        </is>
      </c>
      <c r="Q56" s="2" t="inlineStr">
        <is>
          <t>no</t>
        </is>
      </c>
      <c r="R56" s="2" t="inlineStr">
        <is>
          <t>profesional</t>
        </is>
      </c>
      <c r="S56" s="2" t="inlineStr">
        <is>
          <t>Torrent (46900)</t>
        </is>
      </c>
      <c r="T56" s="2" t="inlineStr">
        <is>
          <t>2026-10-19T16:22:01</t>
        </is>
      </c>
      <c r="U56" s="2" t="n">
        <v>10</v>
      </c>
      <c r="V56" s="2" t="n"/>
      <c r="W56" s="2" t="n"/>
      <c r="X56" s="2" t="n"/>
      <c r="Y56" s="2" t="n"/>
      <c r="Z56" s="2" t="n"/>
      <c r="AA56" s="2" t="n"/>
      <c r="AB56" s="2" t="n"/>
      <c r="AC56" s="2" t="n"/>
      <c r="AD56" s="2" t="n"/>
      <c r="AE56" s="2" t="n"/>
      <c r="AF56" s="2" t="n"/>
      <c r="AG56" s="2" t="n"/>
      <c r="AH56" s="2" t="n"/>
      <c r="AI56" s="2" t="n"/>
      <c r="AJ56" s="2" t="n"/>
      <c r="AK56" s="2" t="n"/>
      <c r="AL56" s="2" t="n"/>
      <c r="AM56" s="2" t="n">
        <v>9.300000000000001</v>
      </c>
      <c r="AN56" s="2" t="n"/>
      <c r="AO56" s="2" t="inlineStr">
        <is>
          <t>2007</t>
        </is>
      </c>
      <c r="AP56" s="2" t="n">
        <v>2007</v>
      </c>
      <c r="AQ56" s="2" t="n"/>
      <c r="AR56" s="2" t="n"/>
      <c r="AS56" s="2" t="inlineStr">
        <is>
          <t>regla</t>
        </is>
      </c>
      <c r="AT56" s="2" t="n"/>
      <c r="AU56" s="2" t="inlineStr">
        <is>
          <t>no</t>
        </is>
      </c>
      <c r="AV56" s="2" t="inlineStr">
        <is>
          <t>C</t>
        </is>
      </c>
      <c r="AW56" s="2" t="n"/>
      <c r="AX56" s="2" t="inlineStr">
        <is>
          <t>no</t>
        </is>
      </c>
      <c r="AY56" s="2" t="inlineStr">
        <is>
          <t>no</t>
        </is>
      </c>
      <c r="AZ56" s="2" t="n"/>
      <c r="BA56" s="2" t="n"/>
      <c r="BB56" s="3" t="n">
        <v>2</v>
      </c>
      <c r="BC56" s="3" t="inlineStr">
        <is>
          <t>(por segmento)</t>
        </is>
      </c>
      <c r="BD56" s="2" t="n"/>
      <c r="BE56" s="2" t="n"/>
      <c r="BF56" s="2" t="n"/>
      <c r="BG56" s="2" t="n"/>
      <c r="BH56" s="2" t="n"/>
      <c r="BI56" s="2" t="n"/>
      <c r="BJ56" s="2" t="n"/>
      <c r="BK56" s="2" t="n">
        <v>5</v>
      </c>
      <c r="BL56" s="2" t="n"/>
      <c r="BM56" s="2" t="n">
        <v>456</v>
      </c>
      <c r="BN56" s="2" t="n">
        <v>0.05126157402992249</v>
      </c>
      <c r="BO56" s="2" t="n">
        <v>11</v>
      </c>
      <c r="BP56" s="2" t="n">
        <v>2990</v>
      </c>
      <c r="BQ56" s="2" t="n">
        <v>11</v>
      </c>
      <c r="BR56" s="2" t="inlineStr">
        <is>
          <t>modelo+año+km</t>
        </is>
      </c>
      <c r="BS56" s="2" t="n"/>
      <c r="BT56" s="2" t="inlineStr">
        <is>
          <t>vendedor profesional: sin ITP (operación con IVA/REBU, confirmar en factura); gastos de gestión del vendedor no indicados: se suma la tasa DGT; preguntar el precio final; etiqueta C deducida por fecha (sin matrícula ni dato del anuncio); revisar: no menciona la ITV</t>
        </is>
      </c>
      <c r="BU56" s="2" t="inlineStr">
        <is>
          <t>SE VENDE 
CON 1AÑO DE GARANTÍA
CON POSIBILIDAD DE TRANSPORTAR A CUALQUIER PUNTO
SE ENTREGA CON SUS MANTENIMIENTO ECHOS 
EXTRAS 
CLIMA 
LLANTAS 
DIRECCIÓN ASISTIDA 
CIERRE CENTRALIZADO 
RETROVISORES ELÉCTRICOS 
ORDENADOR A BORDO 
AIBAG
SISTEMA DE 
VOLANTE MULTIFUNCION 
ANCLAJES ISOFIX 
ECT,,</t>
        </is>
      </c>
      <c r="BV56" s="2" t="inlineStr">
        <is>
          <t>https://es.wallapop.com/item/opel-corsa-2007-1313126578 (__NEXT_DATA__ item) /home/user/Alopecia/buscador-coches/raw/wallapop/7eb6bb43f79a4095.json</t>
        </is>
      </c>
      <c r="BW56" s="3">
        <f>MAX(ANIO_ACTUAL-M56,0)</f>
        <v/>
      </c>
      <c r="BX56" s="4">
        <f>N56/MAX(BW56,0.5)</f>
        <v/>
      </c>
      <c r="BY56" s="4">
        <f>F56</f>
        <v/>
      </c>
      <c r="BZ56" s="3">
        <f>BY56&amp;"|"&amp;INT(M56/SEG_ANIO)*SEG_ANIO</f>
        <v/>
      </c>
      <c r="CA56" s="3">
        <f>BZ56&amp;"|"&amp;INT(N56/SEG_KM)*SEG_KM</f>
        <v/>
      </c>
      <c r="CB56" s="4">
        <f>COUNTIF($BY$2:$BY$209,BY56)</f>
        <v/>
      </c>
      <c r="CC56" s="4">
        <f>COUNTIF($BZ$2:$BZ$209,BZ56)</f>
        <v/>
      </c>
      <c r="CD56" s="4">
        <f>COUNTIF($CA$2:$CA$209,CA56)</f>
        <v/>
      </c>
      <c r="CE56" s="3">
        <f t="array" ref="CE56">IF(N(BQ56)&gt;=MIN_N,BP56,IF(CD56&gt;=MIN_N,MEDIAN(IF($CA$2:$CA$209=CA56,$O$2:$O$209)),IF(CC56&gt;=MIN_N,MEDIAN(IF($BZ$2:$BZ$209=BZ56,$O$2:$O$209)),MEDIAN(IF($BY$2:$BY$209=BY56,$O$2:$O$209)))))</f>
        <v/>
      </c>
      <c r="CF56" s="3">
        <f>IF(N(BQ56)&gt;=MIN_N,"mercado "&amp;BR56,IF(CD56&gt;=MIN_N,"modelo+año+km",IF(CC56&gt;=MIN_N,"modelo+año","modelo")))</f>
        <v/>
      </c>
      <c r="CG56" s="4">
        <f>(CE56-O56)/CE56</f>
        <v/>
      </c>
      <c r="CH56" s="3">
        <f>IF(COUNTIFS(FR_FUEL,K56,FR_YEAR,AP56)&gt;0,1,0)</f>
        <v/>
      </c>
      <c r="CI56" s="3">
        <f>IF(COUNTIFS(FR_FUEL,K56,FR_YEAR,AP56-1)&gt;0,1,0)</f>
        <v/>
      </c>
      <c r="CJ56" s="4">
        <f>IF(N(AQ56)&gt;0,AP56*100+AQ56,IF(AND(CH56=1,CI56=1),(AP56-1)*100+1,AP56*100+1))</f>
        <v/>
      </c>
      <c r="CK56" s="3">
        <f>IF(OR(K56="hibrido",K56="glp",K56="gnc",K56="phev"),"ECO",IF(K56="electrico","CERO",IF(K56="gasolina",IF(CJ56&gt;=GAS_C_YM,"C",IF(CJ56&gt;=GAS_B_YM,"B","A")),IF(K56="diesel",IF(CJ56&gt;=DIE_C_YM,"C",IF(CJ56&gt;=DIE_B_YM,"B","A")),""))))</f>
        <v/>
      </c>
      <c r="CL56" s="4">
        <f>CK56</f>
        <v/>
      </c>
      <c r="CM56" s="4">
        <f>IF(AU56="sí","sí",IF(AS56="regla",IF(AND(N(AQ56)=0,CH56=1),"sí","no"),"no"))</f>
        <v/>
      </c>
      <c r="CN56" s="3">
        <f>IFERROR(VLOOKUP(F56,MOD_TBL,16,0),IFERROR(VLOOKUP(E56,OCU_TBL,2,0),NEUTRO))</f>
        <v/>
      </c>
      <c r="CO56" s="3">
        <f>SUMIFS(MOT_AJUSTE,MOT_MOTOR,G56,MOT_MARCA,E56,MOT_DESDE,"&lt;="&amp;M56,MOT_HASTA,"&gt;="&amp;M56)+SUMIFS(MOT_AJUSTE,MOT_MOTOR,G56,MOT_MARCA,"(todas)",MOT_DESDE,"&lt;="&amp;M56,MOT_HASTA,"&gt;="&amp;M56)+SUMIFS(MOT_AJUSTE,MOT_MOTOR,"(cualquiera)",MOT_MARCA,E56,MOT_DESDE,"&lt;="&amp;M56,MOT_HASTA,"&gt;="&amp;M56)</f>
        <v/>
      </c>
      <c r="CP56" s="3">
        <f>SUMIFS(COMB_AJUSTE,COMB_COMB,K56)</f>
        <v/>
      </c>
      <c r="CQ56" s="3">
        <f>COUNTIFS(MOT_MOTOR,G56,MOT_MARCA,E56,MOT_DESDE,"&lt;="&amp;M56,MOT_HASTA,"&gt;="&amp;M56)+COUNTIFS(MOT_MOTOR,G56,MOT_MARCA,"(todas)",MOT_DESDE,"&lt;="&amp;M56,MOT_HASTA,"&gt;="&amp;M56)+COUNTIFS(MOT_MOTOR,"(cualquiera)",MOT_MARCA,E56,MOT_DESDE,"&lt;="&amp;M56,MOT_HASTA,"&gt;="&amp;M56)</f>
        <v/>
      </c>
      <c r="CR56" s="3">
        <f>IF(AND(K56="diesel",CQ56=0),MIN(CN56,NEUTRO),CN56)</f>
        <v/>
      </c>
      <c r="CS56" s="3">
        <f>MAX(0,MIN(100,CR56+CO56+CP56-IF(AX56="sí",ROB_PEN,0)))</f>
        <v/>
      </c>
      <c r="CT56" s="3">
        <f>100-MAX(0,N56-KM_TOPE_DESDE)/1000*KM_TOPE_PTS</f>
        <v/>
      </c>
      <c r="CU56" s="3">
        <f>MAX(0,MIN(100,50+CG56*PRECIO_PEND,CT56))</f>
        <v/>
      </c>
      <c r="CV56" s="3">
        <f>MAX(0,100*(1-N56/KM_MAX))</f>
        <v/>
      </c>
      <c r="CW56" s="3">
        <f>IF(BX56&lt;KMA_SOSP,IF(AA56="sí",100,KMA_PEN),IF(BX56&lt;=KMA_IDEAL_MAX,100,MAX(0,100*(KMA_CERO-BX56)/(KMA_CERO-KMA_IDEAL_MAX))))</f>
        <v/>
      </c>
      <c r="CX56" s="3">
        <f>MAX(0,MIN(100,100*(M56-ANIO_MIN)/(ANIO_ACTUAL-ANIO_MIN)))</f>
        <v/>
      </c>
      <c r="CY56" s="3">
        <f>W_KMT*CV56+W_KMA*CW56+W_EDAD*CX56</f>
        <v/>
      </c>
      <c r="CZ56" s="4">
        <f>E56&amp;"|"&amp;G56</f>
        <v/>
      </c>
      <c r="DA56" s="3">
        <f>IFERROR(VLOOKUP(CZ56,DIST_TBL,2,0),"")</f>
        <v/>
      </c>
      <c r="DB56" s="3">
        <f>E_ITV*(V56="sí")+E_LIBRO*(W56="sí")+E_PROP*IF(Y56=1,1,IF(Y56=2,0.5,0))+E_CORREA*IF(OR(DA56="cadena",AND(X56="sí",BH56="sí")),1,IF(X56="sí",0.5,0))+E_FACT*(BI56="sí")</f>
        <v/>
      </c>
      <c r="DC56" s="3">
        <f>MAX(0,MIN(100,IFERROR(VLOOKUP(CL56,ETQ_TBL,2,0),0)-IF(CM56="sí",ETQ_PEN_DUD,IF(AS56="regla",ETQ_PEN_REGLA,0))))</f>
        <v/>
      </c>
      <c r="DD56" s="3">
        <f>IF(K56&lt;&gt;"gasolina","",IFERROR(VLOOKUP(F56,CONS_MOD_TBL,2,0),IFERROR(VLOOKUP(L56,CONS_SEG_TBL,2,0),"")))</f>
        <v/>
      </c>
      <c r="DE56" s="3">
        <f>IF(DD56="",NEUTRO,MAX(0,MIN(100,100*(CONS_REF_MAX-DD56)/(CONS_REF_MAX-CONS_REF_MIN))))</f>
        <v/>
      </c>
      <c r="DF56" s="3">
        <f>IFERROR(VLOOKUP(L56,SEGURO_TBL,3,0),"")</f>
        <v/>
      </c>
      <c r="DG56" s="3">
        <f>IF(DF56="",NEUTRO,MAX(0,MIN(100,100*(SEG_REF_MAX-DF56)/(SEG_REF_MAX-SEG_REF_MIN))))</f>
        <v/>
      </c>
      <c r="DH56" s="3">
        <f>IFERROR(VLOOKUP(E56,MANT_MARCA_TBL,2,0)+0,NEUTRO)</f>
        <v/>
      </c>
      <c r="DI56" s="3">
        <f>IF(DA56="",NEUTRO,IFERROR(VLOOKUP(DA56,DIST_PTS_TBL,2,0)+0,NEUTRO))</f>
        <v/>
      </c>
      <c r="DJ56" s="4">
        <f>(DH56+DI56)/2</f>
        <v/>
      </c>
      <c r="DK56" s="3">
        <f>W_CONS*DE56+W_SEG*DG56+W_MANT*DJ56</f>
        <v/>
      </c>
      <c r="DL56" s="3">
        <f>IF(N(AB56)&gt;0,AB56,IF(AND(R56="profesional",SG_LEGAL_ON=1),GAR_LEGAL,0))</f>
        <v/>
      </c>
      <c r="DM56" s="3">
        <f>MAX(0,MIN(100,SG_GAR*MIN(1,DL56/SG_GAR_FULL)+SG_AMPL*(AC56="sí")+SG_KMC*(AF56="sí")+SG_REV*(N(AE56)&gt;0)+SG_DEV*MIN(1,N(AG56)/SG_DEV_FULL)+SG_HIST*(W56="sí")-IF(AND(R56="particular",DL56=0),SG_PART_PEN,0)))</f>
        <v/>
      </c>
      <c r="DN56" s="3">
        <f>IF(BK56="",NEUTRO,MAX(0,MIN(100,BK56/5*100)))</f>
        <v/>
      </c>
      <c r="DO56" s="3">
        <f>IF(BL56="sí",100,IF(BL56="no",0,NEUTRO))</f>
        <v/>
      </c>
      <c r="DP56" s="3">
        <f>SV_W_NCAP*DN56+SV_W_ESP*DO56</f>
        <v/>
      </c>
      <c r="DQ56" s="3">
        <f>MAX(0,MIN(100,ATR_BASE+ATR_ACAB*(BD56&lt;&gt;"")+IF(BE56="16+",ATR_LL16,IF(BE56="sí",ATR_LL,0))+ATR_FAROS*(BF56="sí")+ATR_TINT*(BG56="sí")-ATR_CHAPA*(BE56="chapa")))</f>
        <v/>
      </c>
      <c r="DR56" s="3">
        <f>EST_W_MOD*(BB56-1)/4*100+EST_W_ATR*DQ56</f>
        <v/>
      </c>
      <c r="DS56" s="3">
        <f>IF(BA56="",NEUTRO,IFERROR(VLOOKUP(BA56,COLOR_TBL,2,0)+0,NEUTRO))</f>
        <v/>
      </c>
      <c r="DT56" s="3">
        <f>MAX(0,MIN(100,100*N(BM56)/RV_N_FULL))</f>
        <v/>
      </c>
      <c r="DU56" s="3">
        <f>IF(OR(BN56="",N(BO56)&lt;RV_DIAS_MIN),NEUTRO,MAX(0,MIN(100,100*(RV_DIAS_CERO-BN56)/(RV_DIAS_CERO-RV_DIAS_FULL))))</f>
        <v/>
      </c>
      <c r="DV56" s="3">
        <f>RV_W_LIQ*DT56+RV_W_DIAS*DU56+RV_W_ETQ*DC56</f>
        <v/>
      </c>
      <c r="DW56" s="3">
        <f>IFERROR(VLOOKUP(L56,CARR_PEN_TBL,2,0),0)</f>
        <v/>
      </c>
      <c r="DX56" s="3">
        <f>W_FIAB*CS56+W_PRECIO*CU56+W_KMEDAD*CY56+W_ESTADO*DB56+W_USO*DK56+W_SEGURIDAD*DM56+W_SEGVIAL*DP56+W_ESTETICA*DR56+W_COLOR*DS56+W_REVENTA*DV56-DW56-EG56</f>
        <v/>
      </c>
      <c r="DY56" s="4">
        <f>IF(N(I56)&gt;0,I56,IFERROR(ROUND(_xlfn.NUMBERVALUE(LEFT(G56,FIND(" ",G56&amp;" ")-1),".")*1000,0),99999))</f>
        <v/>
      </c>
      <c r="DZ56" s="3">
        <f>IF(R56="profesional",0,IF(O56&lt;CUOTA_VALOR_MAX,IF(BW56&gt;ITP_TRAMO_ALTO,SUMIFS(CF_CUOTA,CF_MAS,ITP_TRAMO_ALTO,CF_CCMIN,"&lt;="&amp;DY56,CF_CCMAX,"&gt;="&amp;DY56),IF(BW56&gt;ITP_TRAMO_BAJO,SUMIFS(CF_CUOTA,CF_MAS,ITP_TRAMO_BAJO,CF_CCMIN,"&lt;="&amp;DY56,CF_CCMAX,"&gt;="&amp;DY56),O56*ITP_TIPO)),O56*ITP_TIPO))</f>
        <v/>
      </c>
      <c r="EA56" s="4">
        <f>IF(R56="profesional",N(AK56),0)</f>
        <v/>
      </c>
      <c r="EB56" s="3">
        <f>IF(AND(R56="profesional",ISNUMBER(AK56),AL56="sí"),0,TASA_DGT)</f>
        <v/>
      </c>
      <c r="EC56" s="3">
        <f>INFORME_DGT</f>
        <v/>
      </c>
      <c r="ED56" s="4">
        <f>O56+EA56+DZ56+EB56+EC56</f>
        <v/>
      </c>
      <c r="EE56" s="4">
        <f>ED56+N(DF56)</f>
        <v/>
      </c>
      <c r="EF56" s="3">
        <f>MAX(0,ED56-TOTAL_MAX)</f>
        <v/>
      </c>
      <c r="EG56" s="3">
        <f>EF56/100*PEN_100</f>
        <v/>
      </c>
      <c r="EH56" s="3">
        <f>IF(R56="particular",ED56+IF(AND(DA56&lt;&gt;"cadena",X56&lt;&gt;"sí"),RES_CORREA,0)+IF(AND(BJ56&lt;&gt;"sí",BW56&gt;=RES_NEUM_EDAD),RES_NEUM,0),"")</f>
        <v/>
      </c>
      <c r="EI56" s="3">
        <f>IF(ED56&lt;=TOTAL_MAX,"sí",IF(ED56&lt;=TECHO,"negociar","no"))</f>
        <v/>
      </c>
      <c r="EJ56" s="4">
        <f>ROUND(DX56,9)</f>
        <v/>
      </c>
      <c r="EK56" s="4">
        <f>IF(EI56&lt;&gt;"no",SUMPRODUCT(($EI$2:$EI$209&lt;&gt;"no")*($EJ$2:$EJ$209&gt;EJ56))+SUMPRODUCT(($EI$2:EI56&lt;&gt;"no")*($EJ$2:EJ56=EJ56)),"")</f>
        <v/>
      </c>
    </row>
    <row r="57">
      <c r="A57" s="2" t="inlineStr">
        <is>
          <t>wallapop:1316246339</t>
        </is>
      </c>
      <c r="B57" s="2" t="inlineStr">
        <is>
          <t>wallapop</t>
        </is>
      </c>
      <c r="C57" s="2" t="inlineStr">
        <is>
          <t>https://es.wallapop.com/item/opel-corsa-1-2-111-years-63-kw-85-cv-1316246339</t>
        </is>
      </c>
      <c r="D57" s="2" t="inlineStr">
        <is>
          <t>Opel Corsa 1.2 111 Years 63 kW (85 CV)</t>
        </is>
      </c>
      <c r="E57" s="2" t="inlineStr">
        <is>
          <t>Opel</t>
        </is>
      </c>
      <c r="F57" s="2" t="inlineStr">
        <is>
          <t>Opel Corsa</t>
        </is>
      </c>
      <c r="G57" s="2" t="inlineStr">
        <is>
          <t>1.2</t>
        </is>
      </c>
      <c r="H57" s="2" t="inlineStr">
        <is>
          <t>1.2 111 Years 63 kW (85 CV)</t>
        </is>
      </c>
      <c r="I57" s="2" t="n"/>
      <c r="J57" s="2" t="n">
        <v>85</v>
      </c>
      <c r="K57" s="2" t="inlineStr">
        <is>
          <t>gasolina</t>
        </is>
      </c>
      <c r="L57" s="2" t="inlineStr">
        <is>
          <t>utilitario</t>
        </is>
      </c>
      <c r="M57" s="2" t="n">
        <v>2011</v>
      </c>
      <c r="N57" s="2" t="n">
        <v>142307</v>
      </c>
      <c r="O57" s="2" t="n">
        <v>4750</v>
      </c>
      <c r="P57" s="2" t="inlineStr">
        <is>
          <t>manual</t>
        </is>
      </c>
      <c r="Q57" s="2" t="inlineStr">
        <is>
          <t>no</t>
        </is>
      </c>
      <c r="R57" s="2" t="inlineStr">
        <is>
          <t>profesional</t>
        </is>
      </c>
      <c r="S57" s="2" t="inlineStr">
        <is>
          <t>Paterna (46980)</t>
        </is>
      </c>
      <c r="T57" s="2" t="inlineStr">
        <is>
          <t>2026-10-26T19:54:36</t>
        </is>
      </c>
      <c r="U57" s="2" t="n">
        <v>11</v>
      </c>
      <c r="V57" s="2" t="n"/>
      <c r="W57" s="2" t="inlineStr">
        <is>
          <t>sí</t>
        </is>
      </c>
      <c r="X57" s="2" t="n"/>
      <c r="Y57" s="2" t="n"/>
      <c r="Z57" s="2" t="inlineStr">
        <is>
          <t>sí</t>
        </is>
      </c>
      <c r="AA57" s="2" t="n"/>
      <c r="AB57" s="2" t="n"/>
      <c r="AC57" s="2" t="n"/>
      <c r="AD57" s="2" t="n"/>
      <c r="AE57" s="2" t="n"/>
      <c r="AF57" s="2" t="inlineStr">
        <is>
          <t>sí</t>
        </is>
      </c>
      <c r="AG57" s="2" t="n"/>
      <c r="AH57" s="2" t="n"/>
      <c r="AI57" s="2" t="n"/>
      <c r="AJ57" s="2" t="n"/>
      <c r="AK57" s="2" t="n"/>
      <c r="AL57" s="2" t="n"/>
      <c r="AM57" s="2" t="n">
        <v>6.4</v>
      </c>
      <c r="AN57" s="2" t="inlineStr">
        <is>
          <t>1000KMS</t>
        </is>
      </c>
      <c r="AO57" s="2" t="inlineStr">
        <is>
          <t>2011</t>
        </is>
      </c>
      <c r="AP57" s="2" t="n">
        <v>2011</v>
      </c>
      <c r="AQ57" s="2" t="n"/>
      <c r="AR57" s="2" t="inlineStr">
        <is>
          <t>B</t>
        </is>
      </c>
      <c r="AS57" s="2" t="inlineStr">
        <is>
          <t>DGT</t>
        </is>
      </c>
      <c r="AT57" s="2" t="n"/>
      <c r="AU57" s="2" t="inlineStr">
        <is>
          <t>no</t>
        </is>
      </c>
      <c r="AV57" s="2" t="inlineStr">
        <is>
          <t>B</t>
        </is>
      </c>
      <c r="AW57" s="2" t="n"/>
      <c r="AX57" s="2" t="inlineStr">
        <is>
          <t>no</t>
        </is>
      </c>
      <c r="AY57" s="2" t="inlineStr">
        <is>
          <t>no</t>
        </is>
      </c>
      <c r="AZ57" s="2" t="n"/>
      <c r="BA57" s="2" t="n"/>
      <c r="BB57" s="3" t="n">
        <v>2</v>
      </c>
      <c r="BC57" s="3" t="inlineStr">
        <is>
          <t>(por segmento)</t>
        </is>
      </c>
      <c r="BD57" s="2" t="n"/>
      <c r="BE57" s="2" t="inlineStr">
        <is>
          <t>16+</t>
        </is>
      </c>
      <c r="BF57" s="2" t="n"/>
      <c r="BG57" s="2" t="n"/>
      <c r="BH57" s="2" t="n"/>
      <c r="BI57" s="2" t="n"/>
      <c r="BJ57" s="2" t="n"/>
      <c r="BK57" s="2" t="n">
        <v>5</v>
      </c>
      <c r="BL57" s="2" t="n"/>
      <c r="BM57" s="2" t="n">
        <v>456</v>
      </c>
      <c r="BN57" s="2" t="n">
        <v>0.05126157402992249</v>
      </c>
      <c r="BO57" s="2" t="n">
        <v>11</v>
      </c>
      <c r="BP57" s="2" t="n">
        <v>4625</v>
      </c>
      <c r="BQ57" s="2" t="n">
        <v>8</v>
      </c>
      <c r="BR57" s="2" t="inlineStr">
        <is>
          <t>modelo+año+km</t>
        </is>
      </c>
      <c r="BS57" s="2" t="n"/>
      <c r="BT57" s="2" t="inlineStr">
        <is>
          <t>vendedor profesional: sin ITP (operación con IVA/REBU, confirmar en factura); gastos de gestión del vendedor no indicados: se suma la tasa DGT; preguntar el precio final; revisar: no menciona la ITV</t>
        </is>
      </c>
      <c r="BU57" s="2" t="inlineStr">
        <is>
          <t>Ref.126319718
¡VILLA TAMBIÉN FICHA POR OCASIONPLUS!
VEN A GANAR. ¡VEN A OCASIONPLUS!
OCASIONPLUS - 20.000 COCHES  - 120 CENTROS
OCASIONPLUS Nº1 CALIDAD - PRECIO
Elige el coche que te guste y te lo llevamos a tu ciudad sólo con reservarlo
15 DÍAS / 1000 KMS DE PRUEBA
ADEMÁS, HACEMOS LAS MEJORES FINANCIACIONES DEL MERCADO, PREGÚNTANOS!!
            Equipamiento destacado: Encendido automático de faros, Control de velocidad, Volante multifunción, Aire Acondicionado, Isofix, Llantas de aleación (16").
                - Coche Nacional, Historial Mantenimiento.
                - Garantía total 1 año, con cobertura nacional, ampliable a 24 meses.
                - Certificado de Kilómetros y ausencia de golpes estructurales.
            - Sobrevaloramos tu coche en operaciones de cambio. Tásalo ahora en ocasionplus.com
            - Entregamos cualquier coche en cualquier centro
            - Abierto Domingo y Festivos.</t>
        </is>
      </c>
      <c r="BV57" s="2" t="inlineStr">
        <is>
          <t>https://es.wallapop.com/item/opel-corsa-1-2-111-years-63-kw-85-cv-1316246339 (__NEXT_DATA__ item) /home/user/Alopecia/buscador-coches/raw/wallapop/7bf69f17a3c2bded.json</t>
        </is>
      </c>
      <c r="BW57" s="3">
        <f>MAX(ANIO_ACTUAL-M57,0)</f>
        <v/>
      </c>
      <c r="BX57" s="4">
        <f>N57/MAX(BW57,0.5)</f>
        <v/>
      </c>
      <c r="BY57" s="4">
        <f>F57</f>
        <v/>
      </c>
      <c r="BZ57" s="3">
        <f>BY57&amp;"|"&amp;INT(M57/SEG_ANIO)*SEG_ANIO</f>
        <v/>
      </c>
      <c r="CA57" s="3">
        <f>BZ57&amp;"|"&amp;INT(N57/SEG_KM)*SEG_KM</f>
        <v/>
      </c>
      <c r="CB57" s="4">
        <f>COUNTIF($BY$2:$BY$209,BY57)</f>
        <v/>
      </c>
      <c r="CC57" s="4">
        <f>COUNTIF($BZ$2:$BZ$209,BZ57)</f>
        <v/>
      </c>
      <c r="CD57" s="4">
        <f>COUNTIF($CA$2:$CA$209,CA57)</f>
        <v/>
      </c>
      <c r="CE57" s="3">
        <f t="array" ref="CE57">IF(N(BQ57)&gt;=MIN_N,BP57,IF(CD57&gt;=MIN_N,MEDIAN(IF($CA$2:$CA$209=CA57,$O$2:$O$209)),IF(CC57&gt;=MIN_N,MEDIAN(IF($BZ$2:$BZ$209=BZ57,$O$2:$O$209)),MEDIAN(IF($BY$2:$BY$209=BY57,$O$2:$O$209)))))</f>
        <v/>
      </c>
      <c r="CF57" s="3">
        <f>IF(N(BQ57)&gt;=MIN_N,"mercado "&amp;BR57,IF(CD57&gt;=MIN_N,"modelo+año+km",IF(CC57&gt;=MIN_N,"modelo+año","modelo")))</f>
        <v/>
      </c>
      <c r="CG57" s="4">
        <f>(CE57-O57)/CE57</f>
        <v/>
      </c>
      <c r="CH57" s="3">
        <f>IF(COUNTIFS(FR_FUEL,K57,FR_YEAR,AP57)&gt;0,1,0)</f>
        <v/>
      </c>
      <c r="CI57" s="3">
        <f>IF(COUNTIFS(FR_FUEL,K57,FR_YEAR,AP57-1)&gt;0,1,0)</f>
        <v/>
      </c>
      <c r="CJ57" s="4">
        <f>IF(N(AQ57)&gt;0,AP57*100+AQ57,IF(AND(CH57=1,CI57=1),(AP57-1)*100+1,AP57*100+1))</f>
        <v/>
      </c>
      <c r="CK57" s="3">
        <f>IF(OR(K57="hibrido",K57="glp",K57="gnc",K57="phev"),"ECO",IF(K57="electrico","CERO",IF(K57="gasolina",IF(CJ57&gt;=GAS_C_YM,"C",IF(CJ57&gt;=GAS_B_YM,"B","A")),IF(K57="diesel",IF(CJ57&gt;=DIE_C_YM,"C",IF(CJ57&gt;=DIE_B_YM,"B","A")),""))))</f>
        <v/>
      </c>
      <c r="CL57" s="2" t="inlineStr">
        <is>
          <t>B</t>
        </is>
      </c>
      <c r="CM57" s="4">
        <f>IF(AU57="sí","sí",IF(AS57="regla",IF(AND(N(AQ57)=0,CH57=1),"sí","no"),"no"))</f>
        <v/>
      </c>
      <c r="CN57" s="3">
        <f>IFERROR(VLOOKUP(F57,MOD_TBL,16,0),IFERROR(VLOOKUP(E57,OCU_TBL,2,0),NEUTRO))</f>
        <v/>
      </c>
      <c r="CO57" s="3">
        <f>SUMIFS(MOT_AJUSTE,MOT_MOTOR,G57,MOT_MARCA,E57,MOT_DESDE,"&lt;="&amp;M57,MOT_HASTA,"&gt;="&amp;M57)+SUMIFS(MOT_AJUSTE,MOT_MOTOR,G57,MOT_MARCA,"(todas)",MOT_DESDE,"&lt;="&amp;M57,MOT_HASTA,"&gt;="&amp;M57)+SUMIFS(MOT_AJUSTE,MOT_MOTOR,"(cualquiera)",MOT_MARCA,E57,MOT_DESDE,"&lt;="&amp;M57,MOT_HASTA,"&gt;="&amp;M57)</f>
        <v/>
      </c>
      <c r="CP57" s="3">
        <f>SUMIFS(COMB_AJUSTE,COMB_COMB,K57)</f>
        <v/>
      </c>
      <c r="CQ57" s="3">
        <f>COUNTIFS(MOT_MOTOR,G57,MOT_MARCA,E57,MOT_DESDE,"&lt;="&amp;M57,MOT_HASTA,"&gt;="&amp;M57)+COUNTIFS(MOT_MOTOR,G57,MOT_MARCA,"(todas)",MOT_DESDE,"&lt;="&amp;M57,MOT_HASTA,"&gt;="&amp;M57)+COUNTIFS(MOT_MOTOR,"(cualquiera)",MOT_MARCA,E57,MOT_DESDE,"&lt;="&amp;M57,MOT_HASTA,"&gt;="&amp;M57)</f>
        <v/>
      </c>
      <c r="CR57" s="3">
        <f>IF(AND(K57="diesel",CQ57=0),MIN(CN57,NEUTRO),CN57)</f>
        <v/>
      </c>
      <c r="CS57" s="3">
        <f>MAX(0,MIN(100,CR57+CO57+CP57-IF(AX57="sí",ROB_PEN,0)))</f>
        <v/>
      </c>
      <c r="CT57" s="3">
        <f>100-MAX(0,N57-KM_TOPE_DESDE)/1000*KM_TOPE_PTS</f>
        <v/>
      </c>
      <c r="CU57" s="3">
        <f>MAX(0,MIN(100,50+CG57*PRECIO_PEND,CT57))</f>
        <v/>
      </c>
      <c r="CV57" s="3">
        <f>MAX(0,100*(1-N57/KM_MAX))</f>
        <v/>
      </c>
      <c r="CW57" s="3">
        <f>IF(BX57&lt;KMA_SOSP,IF(AA57="sí",100,KMA_PEN),IF(BX57&lt;=KMA_IDEAL_MAX,100,MAX(0,100*(KMA_CERO-BX57)/(KMA_CERO-KMA_IDEAL_MAX))))</f>
        <v/>
      </c>
      <c r="CX57" s="3">
        <f>MAX(0,MIN(100,100*(M57-ANIO_MIN)/(ANIO_ACTUAL-ANIO_MIN)))</f>
        <v/>
      </c>
      <c r="CY57" s="3">
        <f>W_KMT*CV57+W_KMA*CW57+W_EDAD*CX57</f>
        <v/>
      </c>
      <c r="CZ57" s="4">
        <f>E57&amp;"|"&amp;G57</f>
        <v/>
      </c>
      <c r="DA57" s="3">
        <f>IFERROR(VLOOKUP(CZ57,DIST_TBL,2,0),"")</f>
        <v/>
      </c>
      <c r="DB57" s="3">
        <f>E_ITV*(V57="sí")+E_LIBRO*(W57="sí")+E_PROP*IF(Y57=1,1,IF(Y57=2,0.5,0))+E_CORREA*IF(OR(DA57="cadena",AND(X57="sí",BH57="sí")),1,IF(X57="sí",0.5,0))+E_FACT*(BI57="sí")</f>
        <v/>
      </c>
      <c r="DC57" s="3">
        <f>MAX(0,MIN(100,IFERROR(VLOOKUP(CL57,ETQ_TBL,2,0),0)-IF(CM57="sí",ETQ_PEN_DUD,IF(AS57="regla",ETQ_PEN_REGLA,0))))</f>
        <v/>
      </c>
      <c r="DD57" s="3">
        <f>IF(K57&lt;&gt;"gasolina","",IFERROR(VLOOKUP(F57,CONS_MOD_TBL,2,0),IFERROR(VLOOKUP(L57,CONS_SEG_TBL,2,0),"")))</f>
        <v/>
      </c>
      <c r="DE57" s="3">
        <f>IF(DD57="",NEUTRO,MAX(0,MIN(100,100*(CONS_REF_MAX-DD57)/(CONS_REF_MAX-CONS_REF_MIN))))</f>
        <v/>
      </c>
      <c r="DF57" s="3">
        <f>IFERROR(VLOOKUP(L57,SEGURO_TBL,3,0),"")</f>
        <v/>
      </c>
      <c r="DG57" s="3">
        <f>IF(DF57="",NEUTRO,MAX(0,MIN(100,100*(SEG_REF_MAX-DF57)/(SEG_REF_MAX-SEG_REF_MIN))))</f>
        <v/>
      </c>
      <c r="DH57" s="3">
        <f>IFERROR(VLOOKUP(E57,MANT_MARCA_TBL,2,0)+0,NEUTRO)</f>
        <v/>
      </c>
      <c r="DI57" s="3">
        <f>IF(DA57="",NEUTRO,IFERROR(VLOOKUP(DA57,DIST_PTS_TBL,2,0)+0,NEUTRO))</f>
        <v/>
      </c>
      <c r="DJ57" s="4">
        <f>(DH57+DI57)/2</f>
        <v/>
      </c>
      <c r="DK57" s="3">
        <f>W_CONS*DE57+W_SEG*DG57+W_MANT*DJ57</f>
        <v/>
      </c>
      <c r="DL57" s="3">
        <f>IF(N(AB57)&gt;0,AB57,IF(AND(R57="profesional",SG_LEGAL_ON=1),GAR_LEGAL,0))</f>
        <v/>
      </c>
      <c r="DM57" s="3">
        <f>MAX(0,MIN(100,SG_GAR*MIN(1,DL57/SG_GAR_FULL)+SG_AMPL*(AC57="sí")+SG_KMC*(AF57="sí")+SG_REV*(N(AE57)&gt;0)+SG_DEV*MIN(1,N(AG57)/SG_DEV_FULL)+SG_HIST*(W57="sí")-IF(AND(R57="particular",DL57=0),SG_PART_PEN,0)))</f>
        <v/>
      </c>
      <c r="DN57" s="3">
        <f>IF(BK57="",NEUTRO,MAX(0,MIN(100,BK57/5*100)))</f>
        <v/>
      </c>
      <c r="DO57" s="3">
        <f>IF(BL57="sí",100,IF(BL57="no",0,NEUTRO))</f>
        <v/>
      </c>
      <c r="DP57" s="3">
        <f>SV_W_NCAP*DN57+SV_W_ESP*DO57</f>
        <v/>
      </c>
      <c r="DQ57" s="3">
        <f>MAX(0,MIN(100,ATR_BASE+ATR_ACAB*(BD57&lt;&gt;"")+IF(BE57="16+",ATR_LL16,IF(BE57="sí",ATR_LL,0))+ATR_FAROS*(BF57="sí")+ATR_TINT*(BG57="sí")-ATR_CHAPA*(BE57="chapa")))</f>
        <v/>
      </c>
      <c r="DR57" s="3">
        <f>EST_W_MOD*(BB57-1)/4*100+EST_W_ATR*DQ57</f>
        <v/>
      </c>
      <c r="DS57" s="3">
        <f>IF(BA57="",NEUTRO,IFERROR(VLOOKUP(BA57,COLOR_TBL,2,0)+0,NEUTRO))</f>
        <v/>
      </c>
      <c r="DT57" s="3">
        <f>MAX(0,MIN(100,100*N(BM57)/RV_N_FULL))</f>
        <v/>
      </c>
      <c r="DU57" s="3">
        <f>IF(OR(BN57="",N(BO57)&lt;RV_DIAS_MIN),NEUTRO,MAX(0,MIN(100,100*(RV_DIAS_CERO-BN57)/(RV_DIAS_CERO-RV_DIAS_FULL))))</f>
        <v/>
      </c>
      <c r="DV57" s="3">
        <f>RV_W_LIQ*DT57+RV_W_DIAS*DU57+RV_W_ETQ*DC57</f>
        <v/>
      </c>
      <c r="DW57" s="3">
        <f>IFERROR(VLOOKUP(L57,CARR_PEN_TBL,2,0),0)</f>
        <v/>
      </c>
      <c r="DX57" s="3">
        <f>W_FIAB*CS57+W_PRECIO*CU57+W_KMEDAD*CY57+W_ESTADO*DB57+W_USO*DK57+W_SEGURIDAD*DM57+W_SEGVIAL*DP57+W_ESTETICA*DR57+W_COLOR*DS57+W_REVENTA*DV57-DW57-EG57</f>
        <v/>
      </c>
      <c r="DY57" s="4">
        <f>IF(N(I57)&gt;0,I57,IFERROR(ROUND(_xlfn.NUMBERVALUE(LEFT(G57,FIND(" ",G57&amp;" ")-1),".")*1000,0),99999))</f>
        <v/>
      </c>
      <c r="DZ57" s="3">
        <f>IF(R57="profesional",0,IF(O57&lt;CUOTA_VALOR_MAX,IF(BW57&gt;ITP_TRAMO_ALTO,SUMIFS(CF_CUOTA,CF_MAS,ITP_TRAMO_ALTO,CF_CCMIN,"&lt;="&amp;DY57,CF_CCMAX,"&gt;="&amp;DY57),IF(BW57&gt;ITP_TRAMO_BAJO,SUMIFS(CF_CUOTA,CF_MAS,ITP_TRAMO_BAJO,CF_CCMIN,"&lt;="&amp;DY57,CF_CCMAX,"&gt;="&amp;DY57),O57*ITP_TIPO)),O57*ITP_TIPO))</f>
        <v/>
      </c>
      <c r="EA57" s="4">
        <f>IF(R57="profesional",N(AK57),0)</f>
        <v/>
      </c>
      <c r="EB57" s="3">
        <f>IF(AND(R57="profesional",ISNUMBER(AK57),AL57="sí"),0,TASA_DGT)</f>
        <v/>
      </c>
      <c r="EC57" s="3">
        <f>INFORME_DGT</f>
        <v/>
      </c>
      <c r="ED57" s="4">
        <f>O57+EA57+DZ57+EB57+EC57</f>
        <v/>
      </c>
      <c r="EE57" s="4">
        <f>ED57+N(DF57)</f>
        <v/>
      </c>
      <c r="EF57" s="3">
        <f>MAX(0,ED57-TOTAL_MAX)</f>
        <v/>
      </c>
      <c r="EG57" s="3">
        <f>EF57/100*PEN_100</f>
        <v/>
      </c>
      <c r="EH57" s="3">
        <f>IF(R57="particular",ED57+IF(AND(DA57&lt;&gt;"cadena",X57&lt;&gt;"sí"),RES_CORREA,0)+IF(AND(BJ57&lt;&gt;"sí",BW57&gt;=RES_NEUM_EDAD),RES_NEUM,0),"")</f>
        <v/>
      </c>
      <c r="EI57" s="3">
        <f>IF(ED57&lt;=TOTAL_MAX,"sí",IF(ED57&lt;=TECHO,"negociar","no"))</f>
        <v/>
      </c>
      <c r="EJ57" s="4">
        <f>ROUND(DX57,9)</f>
        <v/>
      </c>
      <c r="EK57" s="4">
        <f>IF(EI57&lt;&gt;"no",SUMPRODUCT(($EI$2:$EI$209&lt;&gt;"no")*($EJ$2:$EJ$209&gt;EJ57))+SUMPRODUCT(($EI$2:EI57&lt;&gt;"no")*($EJ$2:EJ57=EJ57)),"")</f>
        <v/>
      </c>
    </row>
    <row r="58">
      <c r="A58" s="2" t="inlineStr">
        <is>
          <t>wallapop:1302134212</t>
        </is>
      </c>
      <c r="B58" s="2" t="inlineStr">
        <is>
          <t>wallapop</t>
        </is>
      </c>
      <c r="C58" s="2" t="inlineStr">
        <is>
          <t>https://es.wallapop.com/item/opel-astra-1-7-cdti-enjoy-74-kw-100-cv-1302134212</t>
        </is>
      </c>
      <c r="D58" s="2" t="inlineStr">
        <is>
          <t>Opel Astra 1.7 CDTI Enjoy 74 kW (100 CV)</t>
        </is>
      </c>
      <c r="E58" s="2" t="inlineStr">
        <is>
          <t>Opel</t>
        </is>
      </c>
      <c r="F58" s="2" t="inlineStr">
        <is>
          <t>Opel Astra</t>
        </is>
      </c>
      <c r="G58" s="2" t="inlineStr">
        <is>
          <t>1.7 CDTi</t>
        </is>
      </c>
      <c r="H58" s="2" t="inlineStr">
        <is>
          <t>1.7 CDTI Enjoy 74 kW (100 CV)</t>
        </is>
      </c>
      <c r="I58" s="2" t="n"/>
      <c r="J58" s="2" t="n">
        <v>100</v>
      </c>
      <c r="K58" s="2" t="inlineStr">
        <is>
          <t>diesel</t>
        </is>
      </c>
      <c r="L58" s="2" t="inlineStr">
        <is>
          <t>compacto</t>
        </is>
      </c>
      <c r="M58" s="2" t="n">
        <v>2007</v>
      </c>
      <c r="N58" s="2" t="n">
        <v>111852</v>
      </c>
      <c r="O58" s="2" t="n">
        <v>5200</v>
      </c>
      <c r="P58" s="2" t="inlineStr">
        <is>
          <t>manual</t>
        </is>
      </c>
      <c r="Q58" s="2" t="inlineStr">
        <is>
          <t>no</t>
        </is>
      </c>
      <c r="R58" s="2" t="inlineStr">
        <is>
          <t>profesional</t>
        </is>
      </c>
      <c r="S58" s="2" t="inlineStr">
        <is>
          <t>Paterna (46980)</t>
        </is>
      </c>
      <c r="T58" s="2" t="inlineStr">
        <is>
          <t>2026-10-26T14:08:26</t>
        </is>
      </c>
      <c r="U58" s="2" t="n">
        <v>11</v>
      </c>
      <c r="V58" s="2" t="n"/>
      <c r="W58" s="2" t="inlineStr">
        <is>
          <t>sí</t>
        </is>
      </c>
      <c r="X58" s="2" t="n"/>
      <c r="Y58" s="2" t="n">
        <v>1</v>
      </c>
      <c r="Z58" s="2" t="inlineStr">
        <is>
          <t>sí</t>
        </is>
      </c>
      <c r="AA58" s="2" t="n"/>
      <c r="AB58" s="2" t="n"/>
      <c r="AC58" s="2" t="n"/>
      <c r="AD58" s="2" t="n"/>
      <c r="AE58" s="2" t="n"/>
      <c r="AF58" s="2" t="inlineStr">
        <is>
          <t>sí</t>
        </is>
      </c>
      <c r="AG58" s="2" t="n"/>
      <c r="AH58" s="2" t="n"/>
      <c r="AI58" s="2" t="n"/>
      <c r="AJ58" s="2" t="n"/>
      <c r="AK58" s="2" t="n"/>
      <c r="AL58" s="2" t="n"/>
      <c r="AM58" s="2" t="n">
        <v>6.4</v>
      </c>
      <c r="AN58" s="2" t="inlineStr">
        <is>
          <t>1000KMS</t>
        </is>
      </c>
      <c r="AO58" s="2" t="inlineStr">
        <is>
          <t>2007</t>
        </is>
      </c>
      <c r="AP58" s="2" t="n">
        <v>2007</v>
      </c>
      <c r="AQ58" s="2" t="n"/>
      <c r="AR58" s="2" t="inlineStr">
        <is>
          <t>B</t>
        </is>
      </c>
      <c r="AS58" s="2" t="inlineStr">
        <is>
          <t>DGT</t>
        </is>
      </c>
      <c r="AT58" s="2" t="n"/>
      <c r="AU58" s="2" t="inlineStr">
        <is>
          <t>no</t>
        </is>
      </c>
      <c r="AV58" s="2" t="inlineStr">
        <is>
          <t>B</t>
        </is>
      </c>
      <c r="AW58" s="2" t="n"/>
      <c r="AX58" s="2" t="inlineStr">
        <is>
          <t>no</t>
        </is>
      </c>
      <c r="AY58" s="2" t="inlineStr">
        <is>
          <t>no</t>
        </is>
      </c>
      <c r="AZ58" s="2" t="n"/>
      <c r="BA58" s="2" t="n"/>
      <c r="BB58" s="3" t="n">
        <v>3</v>
      </c>
      <c r="BC58" s="3" t="inlineStr">
        <is>
          <t>(por segmento)</t>
        </is>
      </c>
      <c r="BD58" s="2" t="n"/>
      <c r="BE58" s="2" t="inlineStr">
        <is>
          <t>16+</t>
        </is>
      </c>
      <c r="BF58" s="2" t="n"/>
      <c r="BG58" s="2" t="n"/>
      <c r="BH58" s="2" t="n"/>
      <c r="BI58" s="2" t="n"/>
      <c r="BJ58" s="2" t="n"/>
      <c r="BK58" s="2" t="n">
        <v>5</v>
      </c>
      <c r="BL58" s="2" t="n"/>
      <c r="BM58" s="2" t="n">
        <v>402</v>
      </c>
      <c r="BN58" s="2" t="n">
        <v>0.06280092592351139</v>
      </c>
      <c r="BO58" s="2" t="n">
        <v>4</v>
      </c>
      <c r="BP58" s="2" t="n">
        <v>4445</v>
      </c>
      <c r="BQ58" s="2" t="n">
        <v>10</v>
      </c>
      <c r="BR58" s="2" t="inlineStr">
        <is>
          <t>modelo+año+km</t>
        </is>
      </c>
      <c r="BS58" s="2" t="inlineStr">
        <is>
          <t>wallapop:1302137427 (https://es.wallapop.com/item/opel-astra-1-7-cdti-enjoy-74-kw-100-cv-1302137427)</t>
        </is>
      </c>
      <c r="BT58" s="2" t="inlineStr">
        <is>
          <t>por encima del presupuesto: negociar 264 € (coste 5264 €; -5.3 puntos); vendedor profesional: sin ITP (operación con IVA/REBU, confirmar en factura); gastos de gestión del vendedor no indicados: se suma la tasa DGT; preguntar el precio final; diésel: motor sin fuente de fiabilidad (fiabilidad limitada a neutra); revisar: no menciona la ITV</t>
        </is>
      </c>
      <c r="BU58" s="2" t="inlineStr">
        <is>
          <t>Ref.180623812
¡VILLA TAMBIÉN FICHA POR OCASIONPLUS!
VEN A GANAR. ¡VEN A OCASIONPLUS!
OCASIONPLUS - 20.000 COCHES  - 120 CENTROS
OCASIONPLUS Nº1 CALIDAD - PRECIO
Elige el coche que te guste y te lo llevamos a tu ciudad sólo con reservarlo
15 DÍAS / 1000 KMS DE PRUEBA
ADEMÁS, HACEMOS LAS MEJORES FINANCIACIONES DEL MERCADO, PREGÚNTANOS!!
            Equipamiento destacado: Control de velocidad, Volante multifunción, Aire Acondicionado, Isofix, Llantas de aleación (16").
                - Coche Nacional, Historial Mantenimiento, Único propietario.
                - Garantía total 1 año, con cobertura nacional, ampliable a 24 meses.
                - Certificado de Kilómetros y ausencia de golpes estructurales.
            - Sobrevaloramos tu coche en operaciones de cambio. Tásalo ahora en ocasionplus.com
            - Entregamos cualquier coche en cualquier centro
            - Abierto Domingo y Festivos.</t>
        </is>
      </c>
      <c r="BV58" s="2" t="inlineStr">
        <is>
          <t>https://es.wallapop.com/item/opel-astra-1-7-cdti-enjoy-74-kw-100-cv-1302134212 (__NEXT_DATA__ item) /home/user/Alopecia/buscador-coches/raw/wallapop/76ab7fe3853ffe54.json</t>
        </is>
      </c>
      <c r="BW58" s="3">
        <f>MAX(ANIO_ACTUAL-M58,0)</f>
        <v/>
      </c>
      <c r="BX58" s="4">
        <f>N58/MAX(BW58,0.5)</f>
        <v/>
      </c>
      <c r="BY58" s="4">
        <f>F58</f>
        <v/>
      </c>
      <c r="BZ58" s="3">
        <f>BY58&amp;"|"&amp;INT(M58/SEG_ANIO)*SEG_ANIO</f>
        <v/>
      </c>
      <c r="CA58" s="3">
        <f>BZ58&amp;"|"&amp;INT(N58/SEG_KM)*SEG_KM</f>
        <v/>
      </c>
      <c r="CB58" s="4">
        <f>COUNTIF($BY$2:$BY$209,BY58)</f>
        <v/>
      </c>
      <c r="CC58" s="4">
        <f>COUNTIF($BZ$2:$BZ$209,BZ58)</f>
        <v/>
      </c>
      <c r="CD58" s="4">
        <f>COUNTIF($CA$2:$CA$209,CA58)</f>
        <v/>
      </c>
      <c r="CE58" s="3">
        <f t="array" ref="CE58">IF(N(BQ58)&gt;=MIN_N,BP58,IF(CD58&gt;=MIN_N,MEDIAN(IF($CA$2:$CA$209=CA58,$O$2:$O$209)),IF(CC58&gt;=MIN_N,MEDIAN(IF($BZ$2:$BZ$209=BZ58,$O$2:$O$209)),MEDIAN(IF($BY$2:$BY$209=BY58,$O$2:$O$209)))))</f>
        <v/>
      </c>
      <c r="CF58" s="3">
        <f>IF(N(BQ58)&gt;=MIN_N,"mercado "&amp;BR58,IF(CD58&gt;=MIN_N,"modelo+año+km",IF(CC58&gt;=MIN_N,"modelo+año","modelo")))</f>
        <v/>
      </c>
      <c r="CG58" s="4">
        <f>(CE58-O58)/CE58</f>
        <v/>
      </c>
      <c r="CH58" s="3">
        <f>IF(COUNTIFS(FR_FUEL,K58,FR_YEAR,AP58)&gt;0,1,0)</f>
        <v/>
      </c>
      <c r="CI58" s="3">
        <f>IF(COUNTIFS(FR_FUEL,K58,FR_YEAR,AP58-1)&gt;0,1,0)</f>
        <v/>
      </c>
      <c r="CJ58" s="4">
        <f>IF(N(AQ58)&gt;0,AP58*100+AQ58,IF(AND(CH58=1,CI58=1),(AP58-1)*100+1,AP58*100+1))</f>
        <v/>
      </c>
      <c r="CK58" s="3">
        <f>IF(OR(K58="hibrido",K58="glp",K58="gnc",K58="phev"),"ECO",IF(K58="electrico","CERO",IF(K58="gasolina",IF(CJ58&gt;=GAS_C_YM,"C",IF(CJ58&gt;=GAS_B_YM,"B","A")),IF(K58="diesel",IF(CJ58&gt;=DIE_C_YM,"C",IF(CJ58&gt;=DIE_B_YM,"B","A")),""))))</f>
        <v/>
      </c>
      <c r="CL58" s="2" t="inlineStr">
        <is>
          <t>B</t>
        </is>
      </c>
      <c r="CM58" s="4">
        <f>IF(AU58="sí","sí",IF(AS58="regla",IF(AND(N(AQ58)=0,CH58=1),"sí","no"),"no"))</f>
        <v/>
      </c>
      <c r="CN58" s="3">
        <f>IFERROR(VLOOKUP(F58,MOD_TBL,16,0),IFERROR(VLOOKUP(E58,OCU_TBL,2,0),NEUTRO))</f>
        <v/>
      </c>
      <c r="CO58" s="3">
        <f>SUMIFS(MOT_AJUSTE,MOT_MOTOR,G58,MOT_MARCA,E58,MOT_DESDE,"&lt;="&amp;M58,MOT_HASTA,"&gt;="&amp;M58)+SUMIFS(MOT_AJUSTE,MOT_MOTOR,G58,MOT_MARCA,"(todas)",MOT_DESDE,"&lt;="&amp;M58,MOT_HASTA,"&gt;="&amp;M58)+SUMIFS(MOT_AJUSTE,MOT_MOTOR,"(cualquiera)",MOT_MARCA,E58,MOT_DESDE,"&lt;="&amp;M58,MOT_HASTA,"&gt;="&amp;M58)</f>
        <v/>
      </c>
      <c r="CP58" s="3">
        <f>SUMIFS(COMB_AJUSTE,COMB_COMB,K58)</f>
        <v/>
      </c>
      <c r="CQ58" s="3">
        <f>COUNTIFS(MOT_MOTOR,G58,MOT_MARCA,E58,MOT_DESDE,"&lt;="&amp;M58,MOT_HASTA,"&gt;="&amp;M58)+COUNTIFS(MOT_MOTOR,G58,MOT_MARCA,"(todas)",MOT_DESDE,"&lt;="&amp;M58,MOT_HASTA,"&gt;="&amp;M58)+COUNTIFS(MOT_MOTOR,"(cualquiera)",MOT_MARCA,E58,MOT_DESDE,"&lt;="&amp;M58,MOT_HASTA,"&gt;="&amp;M58)</f>
        <v/>
      </c>
      <c r="CR58" s="3">
        <f>IF(AND(K58="diesel",CQ58=0),MIN(CN58,NEUTRO),CN58)</f>
        <v/>
      </c>
      <c r="CS58" s="3">
        <f>MAX(0,MIN(100,CR58+CO58+CP58-IF(AX58="sí",ROB_PEN,0)))</f>
        <v/>
      </c>
      <c r="CT58" s="3">
        <f>100-MAX(0,N58-KM_TOPE_DESDE)/1000*KM_TOPE_PTS</f>
        <v/>
      </c>
      <c r="CU58" s="3">
        <f>MAX(0,MIN(100,50+CG58*PRECIO_PEND,CT58))</f>
        <v/>
      </c>
      <c r="CV58" s="3">
        <f>MAX(0,100*(1-N58/KM_MAX))</f>
        <v/>
      </c>
      <c r="CW58" s="3">
        <f>IF(BX58&lt;KMA_SOSP,IF(AA58="sí",100,KMA_PEN),IF(BX58&lt;=KMA_IDEAL_MAX,100,MAX(0,100*(KMA_CERO-BX58)/(KMA_CERO-KMA_IDEAL_MAX))))</f>
        <v/>
      </c>
      <c r="CX58" s="3">
        <f>MAX(0,MIN(100,100*(M58-ANIO_MIN)/(ANIO_ACTUAL-ANIO_MIN)))</f>
        <v/>
      </c>
      <c r="CY58" s="3">
        <f>W_KMT*CV58+W_KMA*CW58+W_EDAD*CX58</f>
        <v/>
      </c>
      <c r="CZ58" s="4">
        <f>E58&amp;"|"&amp;G58</f>
        <v/>
      </c>
      <c r="DA58" s="3">
        <f>IFERROR(VLOOKUP(CZ58,DIST_TBL,2,0),"")</f>
        <v/>
      </c>
      <c r="DB58" s="3">
        <f>E_ITV*(V58="sí")+E_LIBRO*(W58="sí")+E_PROP*IF(Y58=1,1,IF(Y58=2,0.5,0))+E_CORREA*IF(OR(DA58="cadena",AND(X58="sí",BH58="sí")),1,IF(X58="sí",0.5,0))+E_FACT*(BI58="sí")</f>
        <v/>
      </c>
      <c r="DC58" s="3">
        <f>MAX(0,MIN(100,IFERROR(VLOOKUP(CL58,ETQ_TBL,2,0),0)-IF(CM58="sí",ETQ_PEN_DUD,IF(AS58="regla",ETQ_PEN_REGLA,0))))</f>
        <v/>
      </c>
      <c r="DD58" s="3">
        <f>IF(K58&lt;&gt;"gasolina","",IFERROR(VLOOKUP(F58,CONS_MOD_TBL,2,0),IFERROR(VLOOKUP(L58,CONS_SEG_TBL,2,0),"")))</f>
        <v/>
      </c>
      <c r="DE58" s="3">
        <f>IF(DD58="",NEUTRO,MAX(0,MIN(100,100*(CONS_REF_MAX-DD58)/(CONS_REF_MAX-CONS_REF_MIN))))</f>
        <v/>
      </c>
      <c r="DF58" s="3">
        <f>IFERROR(VLOOKUP(L58,SEGURO_TBL,3,0),"")</f>
        <v/>
      </c>
      <c r="DG58" s="3">
        <f>IF(DF58="",NEUTRO,MAX(0,MIN(100,100*(SEG_REF_MAX-DF58)/(SEG_REF_MAX-SEG_REF_MIN))))</f>
        <v/>
      </c>
      <c r="DH58" s="3">
        <f>IFERROR(VLOOKUP(E58,MANT_MARCA_TBL,2,0)+0,NEUTRO)</f>
        <v/>
      </c>
      <c r="DI58" s="3">
        <f>IF(DA58="",NEUTRO,IFERROR(VLOOKUP(DA58,DIST_PTS_TBL,2,0)+0,NEUTRO))</f>
        <v/>
      </c>
      <c r="DJ58" s="4">
        <f>(DH58+DI58)/2</f>
        <v/>
      </c>
      <c r="DK58" s="3">
        <f>W_CONS*DE58+W_SEG*DG58+W_MANT*DJ58</f>
        <v/>
      </c>
      <c r="DL58" s="3">
        <f>IF(N(AB58)&gt;0,AB58,IF(AND(R58="profesional",SG_LEGAL_ON=1),GAR_LEGAL,0))</f>
        <v/>
      </c>
      <c r="DM58" s="3">
        <f>MAX(0,MIN(100,SG_GAR*MIN(1,DL58/SG_GAR_FULL)+SG_AMPL*(AC58="sí")+SG_KMC*(AF58="sí")+SG_REV*(N(AE58)&gt;0)+SG_DEV*MIN(1,N(AG58)/SG_DEV_FULL)+SG_HIST*(W58="sí")-IF(AND(R58="particular",DL58=0),SG_PART_PEN,0)))</f>
        <v/>
      </c>
      <c r="DN58" s="3">
        <f>IF(BK58="",NEUTRO,MAX(0,MIN(100,BK58/5*100)))</f>
        <v/>
      </c>
      <c r="DO58" s="3">
        <f>IF(BL58="sí",100,IF(BL58="no",0,NEUTRO))</f>
        <v/>
      </c>
      <c r="DP58" s="3">
        <f>SV_W_NCAP*DN58+SV_W_ESP*DO58</f>
        <v/>
      </c>
      <c r="DQ58" s="3">
        <f>MAX(0,MIN(100,ATR_BASE+ATR_ACAB*(BD58&lt;&gt;"")+IF(BE58="16+",ATR_LL16,IF(BE58="sí",ATR_LL,0))+ATR_FAROS*(BF58="sí")+ATR_TINT*(BG58="sí")-ATR_CHAPA*(BE58="chapa")))</f>
        <v/>
      </c>
      <c r="DR58" s="3">
        <f>EST_W_MOD*(BB58-1)/4*100+EST_W_ATR*DQ58</f>
        <v/>
      </c>
      <c r="DS58" s="3">
        <f>IF(BA58="",NEUTRO,IFERROR(VLOOKUP(BA58,COLOR_TBL,2,0)+0,NEUTRO))</f>
        <v/>
      </c>
      <c r="DT58" s="3">
        <f>MAX(0,MIN(100,100*N(BM58)/RV_N_FULL))</f>
        <v/>
      </c>
      <c r="DU58" s="3">
        <f>IF(OR(BN58="",N(BO58)&lt;RV_DIAS_MIN),NEUTRO,MAX(0,MIN(100,100*(RV_DIAS_CERO-BN58)/(RV_DIAS_CERO-RV_DIAS_FULL))))</f>
        <v/>
      </c>
      <c r="DV58" s="3">
        <f>RV_W_LIQ*DT58+RV_W_DIAS*DU58+RV_W_ETQ*DC58</f>
        <v/>
      </c>
      <c r="DW58" s="3">
        <f>IFERROR(VLOOKUP(L58,CARR_PEN_TBL,2,0),0)</f>
        <v/>
      </c>
      <c r="DX58" s="3">
        <f>W_FIAB*CS58+W_PRECIO*CU58+W_KMEDAD*CY58+W_ESTADO*DB58+W_USO*DK58+W_SEGURIDAD*DM58+W_SEGVIAL*DP58+W_ESTETICA*DR58+W_COLOR*DS58+W_REVENTA*DV58-DW58-EG58</f>
        <v/>
      </c>
      <c r="DY58" s="4">
        <f>IF(N(I58)&gt;0,I58,IFERROR(ROUND(_xlfn.NUMBERVALUE(LEFT(G58,FIND(" ",G58&amp;" ")-1),".")*1000,0),99999))</f>
        <v/>
      </c>
      <c r="DZ58" s="3">
        <f>IF(R58="profesional",0,IF(O58&lt;CUOTA_VALOR_MAX,IF(BW58&gt;ITP_TRAMO_ALTO,SUMIFS(CF_CUOTA,CF_MAS,ITP_TRAMO_ALTO,CF_CCMIN,"&lt;="&amp;DY58,CF_CCMAX,"&gt;="&amp;DY58),IF(BW58&gt;ITP_TRAMO_BAJO,SUMIFS(CF_CUOTA,CF_MAS,ITP_TRAMO_BAJO,CF_CCMIN,"&lt;="&amp;DY58,CF_CCMAX,"&gt;="&amp;DY58),O58*ITP_TIPO)),O58*ITP_TIPO))</f>
        <v/>
      </c>
      <c r="EA58" s="4">
        <f>IF(R58="profesional",N(AK58),0)</f>
        <v/>
      </c>
      <c r="EB58" s="3">
        <f>IF(AND(R58="profesional",ISNUMBER(AK58),AL58="sí"),0,TASA_DGT)</f>
        <v/>
      </c>
      <c r="EC58" s="3">
        <f>INFORME_DGT</f>
        <v/>
      </c>
      <c r="ED58" s="4">
        <f>O58+EA58+DZ58+EB58+EC58</f>
        <v/>
      </c>
      <c r="EE58" s="4">
        <f>ED58+N(DF58)</f>
        <v/>
      </c>
      <c r="EF58" s="3">
        <f>MAX(0,ED58-TOTAL_MAX)</f>
        <v/>
      </c>
      <c r="EG58" s="3">
        <f>EF58/100*PEN_100</f>
        <v/>
      </c>
      <c r="EH58" s="3">
        <f>IF(R58="particular",ED58+IF(AND(DA58&lt;&gt;"cadena",X58&lt;&gt;"sí"),RES_CORREA,0)+IF(AND(BJ58&lt;&gt;"sí",BW58&gt;=RES_NEUM_EDAD),RES_NEUM,0),"")</f>
        <v/>
      </c>
      <c r="EI58" s="3">
        <f>IF(ED58&lt;=TOTAL_MAX,"sí",IF(ED58&lt;=TECHO,"negociar","no"))</f>
        <v/>
      </c>
      <c r="EJ58" s="4">
        <f>ROUND(DX58,9)</f>
        <v/>
      </c>
      <c r="EK58" s="4">
        <f>IF(EI58&lt;&gt;"no",SUMPRODUCT(($EI$2:$EI$209&lt;&gt;"no")*($EJ$2:$EJ$209&gt;EJ58))+SUMPRODUCT(($EI$2:EI58&lt;&gt;"no")*($EJ$2:EJ58=EJ58)),"")</f>
        <v/>
      </c>
    </row>
    <row r="59">
      <c r="A59" s="2" t="inlineStr">
        <is>
          <t>wallapop:1317875143</t>
        </is>
      </c>
      <c r="B59" s="2" t="inlineStr">
        <is>
          <t>wallapop</t>
        </is>
      </c>
      <c r="C59" s="2" t="inlineStr">
        <is>
          <t>https://es.wallapop.com/item/opel-astra-1-7-cdti-edition-81-kw-110-cv-1317875143</t>
        </is>
      </c>
      <c r="D59" s="2" t="inlineStr">
        <is>
          <t>Opel Astra 1.7 CDTI Edition 81 kW (110 CV)</t>
        </is>
      </c>
      <c r="E59" s="2" t="inlineStr">
        <is>
          <t>Opel</t>
        </is>
      </c>
      <c r="F59" s="2" t="inlineStr">
        <is>
          <t>Opel Astra</t>
        </is>
      </c>
      <c r="G59" s="2" t="inlineStr">
        <is>
          <t>1.7 CDTi</t>
        </is>
      </c>
      <c r="H59" s="2" t="inlineStr">
        <is>
          <t>1.7 CDTI Edition 81 kW (110 CV)</t>
        </is>
      </c>
      <c r="I59" s="2" t="n"/>
      <c r="J59" s="2" t="n">
        <v>110</v>
      </c>
      <c r="K59" s="2" t="inlineStr">
        <is>
          <t>diesel</t>
        </is>
      </c>
      <c r="L59" s="2" t="inlineStr">
        <is>
          <t>compacto</t>
        </is>
      </c>
      <c r="M59" s="2" t="n">
        <v>2009</v>
      </c>
      <c r="N59" s="2" t="n">
        <v>174458</v>
      </c>
      <c r="O59" s="2" t="n">
        <v>4480</v>
      </c>
      <c r="P59" s="2" t="inlineStr">
        <is>
          <t>manual</t>
        </is>
      </c>
      <c r="Q59" s="2" t="inlineStr">
        <is>
          <t>no</t>
        </is>
      </c>
      <c r="R59" s="2" t="inlineStr">
        <is>
          <t>profesional</t>
        </is>
      </c>
      <c r="S59" s="2" t="inlineStr">
        <is>
          <t>Gandía (46700)</t>
        </is>
      </c>
      <c r="T59" s="2" t="inlineStr">
        <is>
          <t>2026-10-29T15:53:52</t>
        </is>
      </c>
      <c r="U59" s="2" t="n">
        <v>11</v>
      </c>
      <c r="V59" s="2" t="n"/>
      <c r="W59" s="2" t="inlineStr">
        <is>
          <t>sí</t>
        </is>
      </c>
      <c r="X59" s="2" t="n"/>
      <c r="Y59" s="2" t="n">
        <v>1</v>
      </c>
      <c r="Z59" s="2" t="inlineStr">
        <is>
          <t>sí</t>
        </is>
      </c>
      <c r="AA59" s="2" t="n"/>
      <c r="AB59" s="2" t="n"/>
      <c r="AC59" s="2" t="n"/>
      <c r="AD59" s="2" t="n"/>
      <c r="AE59" s="2" t="n"/>
      <c r="AF59" s="2" t="inlineStr">
        <is>
          <t>sí</t>
        </is>
      </c>
      <c r="AG59" s="2" t="n"/>
      <c r="AH59" s="2" t="n"/>
      <c r="AI59" s="2" t="n"/>
      <c r="AJ59" s="2" t="n"/>
      <c r="AK59" s="2" t="n"/>
      <c r="AL59" s="2" t="n"/>
      <c r="AM59" s="2" t="n">
        <v>60.1</v>
      </c>
      <c r="AN59" s="2" t="inlineStr">
        <is>
          <t>1000KMS</t>
        </is>
      </c>
      <c r="AO59" s="2" t="inlineStr">
        <is>
          <t>2009</t>
        </is>
      </c>
      <c r="AP59" s="2" t="n">
        <v>2009</v>
      </c>
      <c r="AQ59" s="2" t="n"/>
      <c r="AR59" s="2" t="inlineStr">
        <is>
          <t>B</t>
        </is>
      </c>
      <c r="AS59" s="2" t="inlineStr">
        <is>
          <t>DGT</t>
        </is>
      </c>
      <c r="AT59" s="2" t="n"/>
      <c r="AU59" s="2" t="inlineStr">
        <is>
          <t>no</t>
        </is>
      </c>
      <c r="AV59" s="2" t="inlineStr">
        <is>
          <t>B</t>
        </is>
      </c>
      <c r="AW59" s="2" t="n"/>
      <c r="AX59" s="2" t="inlineStr">
        <is>
          <t>no</t>
        </is>
      </c>
      <c r="AY59" s="2" t="inlineStr">
        <is>
          <t>no</t>
        </is>
      </c>
      <c r="AZ59" s="2" t="n"/>
      <c r="BA59" s="2" t="n"/>
      <c r="BB59" s="3" t="n">
        <v>3</v>
      </c>
      <c r="BC59" s="3" t="inlineStr">
        <is>
          <t>(por segmento)</t>
        </is>
      </c>
      <c r="BD59" s="2" t="n"/>
      <c r="BE59" s="2" t="inlineStr">
        <is>
          <t>16+</t>
        </is>
      </c>
      <c r="BF59" s="2" t="n"/>
      <c r="BG59" s="2" t="n"/>
      <c r="BH59" s="2" t="n"/>
      <c r="BI59" s="2" t="n"/>
      <c r="BJ59" s="2" t="n"/>
      <c r="BK59" s="2" t="n">
        <v>5</v>
      </c>
      <c r="BL59" s="2" t="n"/>
      <c r="BM59" s="2" t="n">
        <v>402</v>
      </c>
      <c r="BN59" s="2" t="n">
        <v>0.06280092592351139</v>
      </c>
      <c r="BO59" s="2" t="n">
        <v>4</v>
      </c>
      <c r="BP59" s="2" t="n">
        <v>4300</v>
      </c>
      <c r="BQ59" s="2" t="n">
        <v>18</v>
      </c>
      <c r="BR59" s="2" t="inlineStr">
        <is>
          <t>modelo+año+km</t>
        </is>
      </c>
      <c r="BS59" s="2" t="n"/>
      <c r="BT59" s="2" t="inlineStr">
        <is>
          <t>vendedor profesional: sin ITP (operación con IVA/REBU, confirmar en factura); gastos de gestión del vendedor no indicados: se suma la tasa DGT; preguntar el precio final; diésel: motor sin fuente de fiabilidad (fiabilidad limitada a neutra); revisar: no menciona la ITV</t>
        </is>
      </c>
      <c r="BU59" s="2" t="inlineStr">
        <is>
          <t>Ref.208355546
¡VILLA TAMBIÉN FICHA POR OCASIONPLUS!
VEN A GANAR. ¡VEN A OCASIONPLUS!
OCASIONPLUS - 20.000 COCHES  - 120 CENTROS
OCASIONPLUS Nº1 CALIDAD - PRECIO
Elige el coche que te guste y te lo llevamos a tu ciudad sólo con reservarlo
15 DÍAS / 1000 KMS DE PRUEBA
ADEMÁS, HACEMOS LAS MEJORES FINANCIACIONES DEL MERCADO, PREGÚNTANOS!!
            Equipamiento destacado: Tapicería cuero-tela, Control de velocidad, Volante multifunción, Aire Acondicionado (Climatizador), Isofix, Llantas de aleación (16").
                - Coche Nacional, Historial Mantenimiento, Único propietario.
                - Garantía total 1 año, con cobertura nacional, ampliable a 24 meses.
                - Certificado de Kilómetros y ausencia de golpes estructurales.
            - Sobrevaloramos tu coche en operaciones de cambio. Tásalo ahora en ocasionplus.com
            - Entregamos cualquier coche en cualquier centro
            - Abierto Domingo y Festivos.</t>
        </is>
      </c>
      <c r="BV59" s="2" t="inlineStr">
        <is>
          <t>https://es.wallapop.com/item/opel-astra-1-7-cdti-edition-81-kw-110-cv-1317875143 (__NEXT_DATA__ item) /home/user/Alopecia/buscador-coches/raw/wallapop/3561a523c45f0cee.json</t>
        </is>
      </c>
      <c r="BW59" s="3">
        <f>MAX(ANIO_ACTUAL-M59,0)</f>
        <v/>
      </c>
      <c r="BX59" s="4">
        <f>N59/MAX(BW59,0.5)</f>
        <v/>
      </c>
      <c r="BY59" s="4">
        <f>F59</f>
        <v/>
      </c>
      <c r="BZ59" s="3">
        <f>BY59&amp;"|"&amp;INT(M59/SEG_ANIO)*SEG_ANIO</f>
        <v/>
      </c>
      <c r="CA59" s="3">
        <f>BZ59&amp;"|"&amp;INT(N59/SEG_KM)*SEG_KM</f>
        <v/>
      </c>
      <c r="CB59" s="4">
        <f>COUNTIF($BY$2:$BY$209,BY59)</f>
        <v/>
      </c>
      <c r="CC59" s="4">
        <f>COUNTIF($BZ$2:$BZ$209,BZ59)</f>
        <v/>
      </c>
      <c r="CD59" s="4">
        <f>COUNTIF($CA$2:$CA$209,CA59)</f>
        <v/>
      </c>
      <c r="CE59" s="3">
        <f t="array" ref="CE59">IF(N(BQ59)&gt;=MIN_N,BP59,IF(CD59&gt;=MIN_N,MEDIAN(IF($CA$2:$CA$209=CA59,$O$2:$O$209)),IF(CC59&gt;=MIN_N,MEDIAN(IF($BZ$2:$BZ$209=BZ59,$O$2:$O$209)),MEDIAN(IF($BY$2:$BY$209=BY59,$O$2:$O$209)))))</f>
        <v/>
      </c>
      <c r="CF59" s="3">
        <f>IF(N(BQ59)&gt;=MIN_N,"mercado "&amp;BR59,IF(CD59&gt;=MIN_N,"modelo+año+km",IF(CC59&gt;=MIN_N,"modelo+año","modelo")))</f>
        <v/>
      </c>
      <c r="CG59" s="4">
        <f>(CE59-O59)/CE59</f>
        <v/>
      </c>
      <c r="CH59" s="3">
        <f>IF(COUNTIFS(FR_FUEL,K59,FR_YEAR,AP59)&gt;0,1,0)</f>
        <v/>
      </c>
      <c r="CI59" s="3">
        <f>IF(COUNTIFS(FR_FUEL,K59,FR_YEAR,AP59-1)&gt;0,1,0)</f>
        <v/>
      </c>
      <c r="CJ59" s="4">
        <f>IF(N(AQ59)&gt;0,AP59*100+AQ59,IF(AND(CH59=1,CI59=1),(AP59-1)*100+1,AP59*100+1))</f>
        <v/>
      </c>
      <c r="CK59" s="3">
        <f>IF(OR(K59="hibrido",K59="glp",K59="gnc",K59="phev"),"ECO",IF(K59="electrico","CERO",IF(K59="gasolina",IF(CJ59&gt;=GAS_C_YM,"C",IF(CJ59&gt;=GAS_B_YM,"B","A")),IF(K59="diesel",IF(CJ59&gt;=DIE_C_YM,"C",IF(CJ59&gt;=DIE_B_YM,"B","A")),""))))</f>
        <v/>
      </c>
      <c r="CL59" s="2" t="inlineStr">
        <is>
          <t>B</t>
        </is>
      </c>
      <c r="CM59" s="4">
        <f>IF(AU59="sí","sí",IF(AS59="regla",IF(AND(N(AQ59)=0,CH59=1),"sí","no"),"no"))</f>
        <v/>
      </c>
      <c r="CN59" s="3">
        <f>IFERROR(VLOOKUP(F59,MOD_TBL,16,0),IFERROR(VLOOKUP(E59,OCU_TBL,2,0),NEUTRO))</f>
        <v/>
      </c>
      <c r="CO59" s="3">
        <f>SUMIFS(MOT_AJUSTE,MOT_MOTOR,G59,MOT_MARCA,E59,MOT_DESDE,"&lt;="&amp;M59,MOT_HASTA,"&gt;="&amp;M59)+SUMIFS(MOT_AJUSTE,MOT_MOTOR,G59,MOT_MARCA,"(todas)",MOT_DESDE,"&lt;="&amp;M59,MOT_HASTA,"&gt;="&amp;M59)+SUMIFS(MOT_AJUSTE,MOT_MOTOR,"(cualquiera)",MOT_MARCA,E59,MOT_DESDE,"&lt;="&amp;M59,MOT_HASTA,"&gt;="&amp;M59)</f>
        <v/>
      </c>
      <c r="CP59" s="3">
        <f>SUMIFS(COMB_AJUSTE,COMB_COMB,K59)</f>
        <v/>
      </c>
      <c r="CQ59" s="3">
        <f>COUNTIFS(MOT_MOTOR,G59,MOT_MARCA,E59,MOT_DESDE,"&lt;="&amp;M59,MOT_HASTA,"&gt;="&amp;M59)+COUNTIFS(MOT_MOTOR,G59,MOT_MARCA,"(todas)",MOT_DESDE,"&lt;="&amp;M59,MOT_HASTA,"&gt;="&amp;M59)+COUNTIFS(MOT_MOTOR,"(cualquiera)",MOT_MARCA,E59,MOT_DESDE,"&lt;="&amp;M59,MOT_HASTA,"&gt;="&amp;M59)</f>
        <v/>
      </c>
      <c r="CR59" s="3">
        <f>IF(AND(K59="diesel",CQ59=0),MIN(CN59,NEUTRO),CN59)</f>
        <v/>
      </c>
      <c r="CS59" s="3">
        <f>MAX(0,MIN(100,CR59+CO59+CP59-IF(AX59="sí",ROB_PEN,0)))</f>
        <v/>
      </c>
      <c r="CT59" s="3">
        <f>100-MAX(0,N59-KM_TOPE_DESDE)/1000*KM_TOPE_PTS</f>
        <v/>
      </c>
      <c r="CU59" s="3">
        <f>MAX(0,MIN(100,50+CG59*PRECIO_PEND,CT59))</f>
        <v/>
      </c>
      <c r="CV59" s="3">
        <f>MAX(0,100*(1-N59/KM_MAX))</f>
        <v/>
      </c>
      <c r="CW59" s="3">
        <f>IF(BX59&lt;KMA_SOSP,IF(AA59="sí",100,KMA_PEN),IF(BX59&lt;=KMA_IDEAL_MAX,100,MAX(0,100*(KMA_CERO-BX59)/(KMA_CERO-KMA_IDEAL_MAX))))</f>
        <v/>
      </c>
      <c r="CX59" s="3">
        <f>MAX(0,MIN(100,100*(M59-ANIO_MIN)/(ANIO_ACTUAL-ANIO_MIN)))</f>
        <v/>
      </c>
      <c r="CY59" s="3">
        <f>W_KMT*CV59+W_KMA*CW59+W_EDAD*CX59</f>
        <v/>
      </c>
      <c r="CZ59" s="4">
        <f>E59&amp;"|"&amp;G59</f>
        <v/>
      </c>
      <c r="DA59" s="3">
        <f>IFERROR(VLOOKUP(CZ59,DIST_TBL,2,0),"")</f>
        <v/>
      </c>
      <c r="DB59" s="3">
        <f>E_ITV*(V59="sí")+E_LIBRO*(W59="sí")+E_PROP*IF(Y59=1,1,IF(Y59=2,0.5,0))+E_CORREA*IF(OR(DA59="cadena",AND(X59="sí",BH59="sí")),1,IF(X59="sí",0.5,0))+E_FACT*(BI59="sí")</f>
        <v/>
      </c>
      <c r="DC59" s="3">
        <f>MAX(0,MIN(100,IFERROR(VLOOKUP(CL59,ETQ_TBL,2,0),0)-IF(CM59="sí",ETQ_PEN_DUD,IF(AS59="regla",ETQ_PEN_REGLA,0))))</f>
        <v/>
      </c>
      <c r="DD59" s="3">
        <f>IF(K59&lt;&gt;"gasolina","",IFERROR(VLOOKUP(F59,CONS_MOD_TBL,2,0),IFERROR(VLOOKUP(L59,CONS_SEG_TBL,2,0),"")))</f>
        <v/>
      </c>
      <c r="DE59" s="3">
        <f>IF(DD59="",NEUTRO,MAX(0,MIN(100,100*(CONS_REF_MAX-DD59)/(CONS_REF_MAX-CONS_REF_MIN))))</f>
        <v/>
      </c>
      <c r="DF59" s="3">
        <f>IFERROR(VLOOKUP(L59,SEGURO_TBL,3,0),"")</f>
        <v/>
      </c>
      <c r="DG59" s="3">
        <f>IF(DF59="",NEUTRO,MAX(0,MIN(100,100*(SEG_REF_MAX-DF59)/(SEG_REF_MAX-SEG_REF_MIN))))</f>
        <v/>
      </c>
      <c r="DH59" s="3">
        <f>IFERROR(VLOOKUP(E59,MANT_MARCA_TBL,2,0)+0,NEUTRO)</f>
        <v/>
      </c>
      <c r="DI59" s="3">
        <f>IF(DA59="",NEUTRO,IFERROR(VLOOKUP(DA59,DIST_PTS_TBL,2,0)+0,NEUTRO))</f>
        <v/>
      </c>
      <c r="DJ59" s="4">
        <f>(DH59+DI59)/2</f>
        <v/>
      </c>
      <c r="DK59" s="3">
        <f>W_CONS*DE59+W_SEG*DG59+W_MANT*DJ59</f>
        <v/>
      </c>
      <c r="DL59" s="3">
        <f>IF(N(AB59)&gt;0,AB59,IF(AND(R59="profesional",SG_LEGAL_ON=1),GAR_LEGAL,0))</f>
        <v/>
      </c>
      <c r="DM59" s="3">
        <f>MAX(0,MIN(100,SG_GAR*MIN(1,DL59/SG_GAR_FULL)+SG_AMPL*(AC59="sí")+SG_KMC*(AF59="sí")+SG_REV*(N(AE59)&gt;0)+SG_DEV*MIN(1,N(AG59)/SG_DEV_FULL)+SG_HIST*(W59="sí")-IF(AND(R59="particular",DL59=0),SG_PART_PEN,0)))</f>
        <v/>
      </c>
      <c r="DN59" s="3">
        <f>IF(BK59="",NEUTRO,MAX(0,MIN(100,BK59/5*100)))</f>
        <v/>
      </c>
      <c r="DO59" s="3">
        <f>IF(BL59="sí",100,IF(BL59="no",0,NEUTRO))</f>
        <v/>
      </c>
      <c r="DP59" s="3">
        <f>SV_W_NCAP*DN59+SV_W_ESP*DO59</f>
        <v/>
      </c>
      <c r="DQ59" s="3">
        <f>MAX(0,MIN(100,ATR_BASE+ATR_ACAB*(BD59&lt;&gt;"")+IF(BE59="16+",ATR_LL16,IF(BE59="sí",ATR_LL,0))+ATR_FAROS*(BF59="sí")+ATR_TINT*(BG59="sí")-ATR_CHAPA*(BE59="chapa")))</f>
        <v/>
      </c>
      <c r="DR59" s="3">
        <f>EST_W_MOD*(BB59-1)/4*100+EST_W_ATR*DQ59</f>
        <v/>
      </c>
      <c r="DS59" s="3">
        <f>IF(BA59="",NEUTRO,IFERROR(VLOOKUP(BA59,COLOR_TBL,2,0)+0,NEUTRO))</f>
        <v/>
      </c>
      <c r="DT59" s="3">
        <f>MAX(0,MIN(100,100*N(BM59)/RV_N_FULL))</f>
        <v/>
      </c>
      <c r="DU59" s="3">
        <f>IF(OR(BN59="",N(BO59)&lt;RV_DIAS_MIN),NEUTRO,MAX(0,MIN(100,100*(RV_DIAS_CERO-BN59)/(RV_DIAS_CERO-RV_DIAS_FULL))))</f>
        <v/>
      </c>
      <c r="DV59" s="3">
        <f>RV_W_LIQ*DT59+RV_W_DIAS*DU59+RV_W_ETQ*DC59</f>
        <v/>
      </c>
      <c r="DW59" s="3">
        <f>IFERROR(VLOOKUP(L59,CARR_PEN_TBL,2,0),0)</f>
        <v/>
      </c>
      <c r="DX59" s="3">
        <f>W_FIAB*CS59+W_PRECIO*CU59+W_KMEDAD*CY59+W_ESTADO*DB59+W_USO*DK59+W_SEGURIDAD*DM59+W_SEGVIAL*DP59+W_ESTETICA*DR59+W_COLOR*DS59+W_REVENTA*DV59-DW59-EG59</f>
        <v/>
      </c>
      <c r="DY59" s="4">
        <f>IF(N(I59)&gt;0,I59,IFERROR(ROUND(_xlfn.NUMBERVALUE(LEFT(G59,FIND(" ",G59&amp;" ")-1),".")*1000,0),99999))</f>
        <v/>
      </c>
      <c r="DZ59" s="3">
        <f>IF(R59="profesional",0,IF(O59&lt;CUOTA_VALOR_MAX,IF(BW59&gt;ITP_TRAMO_ALTO,SUMIFS(CF_CUOTA,CF_MAS,ITP_TRAMO_ALTO,CF_CCMIN,"&lt;="&amp;DY59,CF_CCMAX,"&gt;="&amp;DY59),IF(BW59&gt;ITP_TRAMO_BAJO,SUMIFS(CF_CUOTA,CF_MAS,ITP_TRAMO_BAJO,CF_CCMIN,"&lt;="&amp;DY59,CF_CCMAX,"&gt;="&amp;DY59),O59*ITP_TIPO)),O59*ITP_TIPO))</f>
        <v/>
      </c>
      <c r="EA59" s="4">
        <f>IF(R59="profesional",N(AK59),0)</f>
        <v/>
      </c>
      <c r="EB59" s="3">
        <f>IF(AND(R59="profesional",ISNUMBER(AK59),AL59="sí"),0,TASA_DGT)</f>
        <v/>
      </c>
      <c r="EC59" s="3">
        <f>INFORME_DGT</f>
        <v/>
      </c>
      <c r="ED59" s="4">
        <f>O59+EA59+DZ59+EB59+EC59</f>
        <v/>
      </c>
      <c r="EE59" s="4">
        <f>ED59+N(DF59)</f>
        <v/>
      </c>
      <c r="EF59" s="3">
        <f>MAX(0,ED59-TOTAL_MAX)</f>
        <v/>
      </c>
      <c r="EG59" s="3">
        <f>EF59/100*PEN_100</f>
        <v/>
      </c>
      <c r="EH59" s="3">
        <f>IF(R59="particular",ED59+IF(AND(DA59&lt;&gt;"cadena",X59&lt;&gt;"sí"),RES_CORREA,0)+IF(AND(BJ59&lt;&gt;"sí",BW59&gt;=RES_NEUM_EDAD),RES_NEUM,0),"")</f>
        <v/>
      </c>
      <c r="EI59" s="3">
        <f>IF(ED59&lt;=TOTAL_MAX,"sí",IF(ED59&lt;=TECHO,"negociar","no"))</f>
        <v/>
      </c>
      <c r="EJ59" s="4">
        <f>ROUND(DX59,9)</f>
        <v/>
      </c>
      <c r="EK59" s="4">
        <f>IF(EI59&lt;&gt;"no",SUMPRODUCT(($EI$2:$EI$209&lt;&gt;"no")*($EJ$2:$EJ$209&gt;EJ59))+SUMPRODUCT(($EI$2:EI59&lt;&gt;"no")*($EJ$2:EJ59=EJ59)),"")</f>
        <v/>
      </c>
    </row>
    <row r="60">
      <c r="A60" s="2" t="inlineStr">
        <is>
          <t>autoscout24:5bfc2106-d9ab-4c5d-84d4-6b212cf78574</t>
        </is>
      </c>
      <c r="B60" s="2" t="inlineStr">
        <is>
          <t>autoscout24</t>
        </is>
      </c>
      <c r="C60" s="2" t="inlineStr">
        <is>
          <t>https://www.autoscout24.es/anuncios/renault-clio-1-6-exception2-aut-gasolina-gris-cat_ma60mo1961-5bfc2106-d9ab-4c5d-84d4-6b212cf78574</t>
        </is>
      </c>
      <c r="D60" s="2" t="inlineStr">
        <is>
          <t>Renault Clio 1.6 Exception2 Aut.</t>
        </is>
      </c>
      <c r="E60" s="2" t="inlineStr">
        <is>
          <t>Renault</t>
        </is>
      </c>
      <c r="F60" s="2" t="inlineStr">
        <is>
          <t>Renault Clio</t>
        </is>
      </c>
      <c r="G60" s="2" t="inlineStr">
        <is>
          <t>1.6</t>
        </is>
      </c>
      <c r="H60" s="2" t="inlineStr">
        <is>
          <t>1.6 Exception2 Aut. 1.6</t>
        </is>
      </c>
      <c r="I60" s="2" t="n">
        <v>1598</v>
      </c>
      <c r="J60" s="2" t="n">
        <v>111</v>
      </c>
      <c r="K60" s="2" t="inlineStr">
        <is>
          <t>gasolina</t>
        </is>
      </c>
      <c r="L60" s="2" t="inlineStr">
        <is>
          <t>utilitario</t>
        </is>
      </c>
      <c r="M60" s="2" t="n">
        <v>2008</v>
      </c>
      <c r="N60" s="2" t="n">
        <v>131878</v>
      </c>
      <c r="O60" s="2" t="n">
        <v>4200</v>
      </c>
      <c r="P60" s="2" t="inlineStr">
        <is>
          <t>automatico</t>
        </is>
      </c>
      <c r="Q60" s="2" t="inlineStr">
        <is>
          <t>sí</t>
        </is>
      </c>
      <c r="R60" s="2" t="inlineStr">
        <is>
          <t>profesional</t>
        </is>
      </c>
      <c r="S60" s="2" t="inlineStr">
        <is>
          <t>OCASIONPLUS CASTELLÓN - VILLAREAL — ALMASSORA (12550)</t>
        </is>
      </c>
      <c r="T60" s="2" t="n"/>
      <c r="U60" s="2" t="n">
        <v>10</v>
      </c>
      <c r="V60" s="2" t="n"/>
      <c r="W60" s="2" t="n"/>
      <c r="X60" s="2" t="n"/>
      <c r="Y60" s="2" t="n"/>
      <c r="Z60" s="2" t="inlineStr">
        <is>
          <t>sí</t>
        </is>
      </c>
      <c r="AA60" s="2" t="n"/>
      <c r="AB60" s="2" t="n">
        <v>12</v>
      </c>
      <c r="AC60" s="2" t="n"/>
      <c r="AD60" s="2" t="n"/>
      <c r="AE60" s="2" t="n"/>
      <c r="AF60" s="2" t="inlineStr">
        <is>
          <t>sí</t>
        </is>
      </c>
      <c r="AG60" s="2" t="n"/>
      <c r="AH60" s="2" t="n">
        <v>4200</v>
      </c>
      <c r="AI60" s="2" t="n"/>
      <c r="AJ60" s="2" t="n"/>
      <c r="AK60" s="2" t="n"/>
      <c r="AL60" s="2" t="n"/>
      <c r="AM60" s="2" t="n">
        <v>60.5</v>
      </c>
      <c r="AN60" s="2" t="inlineStr">
        <is>
          <t>1000KMS</t>
        </is>
      </c>
      <c r="AO60" s="2" t="inlineStr">
        <is>
          <t>2008-11</t>
        </is>
      </c>
      <c r="AP60" s="2" t="n">
        <v>2008</v>
      </c>
      <c r="AQ60" s="2" t="n">
        <v>11</v>
      </c>
      <c r="AR60" s="2" t="inlineStr">
        <is>
          <t>B</t>
        </is>
      </c>
      <c r="AS60" s="2" t="inlineStr">
        <is>
          <t>DGT</t>
        </is>
      </c>
      <c r="AT60" s="2" t="n"/>
      <c r="AU60" s="2" t="inlineStr">
        <is>
          <t>no</t>
        </is>
      </c>
      <c r="AV60" s="2" t="inlineStr">
        <is>
          <t>B</t>
        </is>
      </c>
      <c r="AW60" s="2" t="n"/>
      <c r="AX60" s="2" t="inlineStr">
        <is>
          <t>no</t>
        </is>
      </c>
      <c r="AY60" s="2" t="inlineStr">
        <is>
          <t>no</t>
        </is>
      </c>
      <c r="AZ60" s="2" t="inlineStr">
        <is>
          <t>Gris</t>
        </is>
      </c>
      <c r="BA60" s="2" t="inlineStr">
        <is>
          <t>gris_medio</t>
        </is>
      </c>
      <c r="BB60" s="3" t="n">
        <v>2</v>
      </c>
      <c r="BC60" s="3" t="inlineStr">
        <is>
          <t>(por segmento)</t>
        </is>
      </c>
      <c r="BD60" s="2" t="n"/>
      <c r="BE60" s="2" t="inlineStr">
        <is>
          <t>16+</t>
        </is>
      </c>
      <c r="BF60" s="2" t="n"/>
      <c r="BG60" s="2" t="n"/>
      <c r="BH60" s="2" t="n"/>
      <c r="BI60" s="2" t="n"/>
      <c r="BJ60" s="2" t="n"/>
      <c r="BK60" s="2" t="n">
        <v>5</v>
      </c>
      <c r="BL60" s="2" t="n"/>
      <c r="BM60" s="2" t="n">
        <v>332</v>
      </c>
      <c r="BN60" s="2" t="n">
        <v>0.05126157402992249</v>
      </c>
      <c r="BO60" s="2" t="n">
        <v>9</v>
      </c>
      <c r="BP60" s="2" t="n">
        <v>3800</v>
      </c>
      <c r="BQ60" s="2" t="n">
        <v>9</v>
      </c>
      <c r="BR60" s="2" t="inlineStr">
        <is>
          <t>modelo+año+km</t>
        </is>
      </c>
      <c r="BS60" s="2" t="inlineStr">
        <is>
          <t>wallapop:1314881088 (https://es.wallapop.com/item/renault-clio-1-6-16v-exception2-auto-82-kw-110-cv-1314881088); wallapop:1314880814 (https://es.wallapop.com/item/renault-clio-1-6-16v-exception2-auto-82-kw-110-cv-1314880814); wallapop:1319148606 (https://es.wallapop.com/item/renault-clio-1-6-16v-exception2-auto-82-kw-110-cv-1319148606)</t>
        </is>
      </c>
      <c r="BT60" s="2" t="inlineStr">
        <is>
          <t>vendedor profesional: sin ITP (operación con IVA/REBU, confirmar en factura); gastos de gestión del vendedor no indicados: se suma la tasa DGT; preguntar el precio final; revisar: no menciona la ITV</t>
        </is>
      </c>
      <c r="BU60" s="2" t="inlineStr">
        <is>
          <t>&lt;strong&gt;Precio al contado: 4200 euros&lt;/strong&gt; &lt;br /&gt;&lt;br /&gt;&lt;strong&gt;Condiciones de la financiación&lt;/strong&gt; &lt;br /&gt;&lt;br /&gt;Consultar condiciones de financiación en este anuncio o contactando con el anunciante &lt;br /&gt;&lt;br /&gt;¡VILLA TAMBIÉN FICHA POR OCASIONPLUS!&lt;br /&gt;VEN A GANAR. ¡VEN A OCASIONPLUS!&lt;br /&gt;&lt;br /&gt;OCASIONPLUS - 20.000 COCHES  - 120 CENTROS&lt;br /&gt;OCASIONPLUS Nº1 CALIDAD - PRECIO&lt;br /&gt;&lt;br /&gt;Elige el coche que te guste y te lo llevamos a tu ciudad sólo con reservarlo&lt;br /&gt;15 DÍAS / 1000 KMS DE PRUEBA&lt;br /&gt;&lt;br /&gt;ADEMÁS, HACEMOS LAS MEJORES FINANCIACIONES DEL MERCADO, PREGÚNTANOS!!&lt;br /&gt;&lt;br /&gt;            Equipamiento destacado: Ayuda aparcamiento, Control de velocidad, Limitador de velocidad, Aire Acondicionado (Climatizador), Arranque por botón, Isofix, Llantas de aleación (16&amp;quot;).&lt;br /&gt;&lt;br /&gt;                - Coche Nacional.&lt;br /&gt;                - Garantía total 1 año, con cobertura nacional, ampliable a 24 meses.&lt;br /&gt;                - Certificado de Kilómetros y ausencia de golpes estructurales.&lt;br /&gt;            - Sobrevaloramos tu coche en operaciones de cambio. Tásalo ahora en ocasionplus.com&lt;br /&gt;            - Entregamos cualquier coche en cualquier centro&lt;br /&gt;            - Abierto Domingo y Festivos.&lt;br /&gt; &lt;strong&gt;Extras&lt;/strong&gt; &lt;br /&gt; &lt;strong&gt;Equipamiento destacado seleccionado por el usuario&lt;/strong&gt; &lt;br /&gt; &lt;br /&gt;- Ayuda aparcamiento&lt;br /&gt;-  Control de velocidad&lt;br /&gt;-  Limitador de velocidad&lt;br /&gt;-  Aire Acondicionado&lt;br /&gt;-  Climatizador&lt;br /&gt;-  Arranque por b</t>
        </is>
      </c>
      <c r="BV60" s="2" t="inlineStr">
        <is>
          <t>https://www.autoscout24.es/anuncios/renault-clio-1-6-exception2-aut-gasolina-gris-cat_ma60mo1961-5bfc2106-d9ab-4c5d-84d4-6b212cf78574 (__NEXT_DATA__ listingDetails) /home/user/Alopecia/buscador-coches/raw/autoscout24/957a5d56a52f9275.json</t>
        </is>
      </c>
      <c r="BW60" s="3">
        <f>MAX(ANIO_ACTUAL-M60,0)</f>
        <v/>
      </c>
      <c r="BX60" s="4">
        <f>N60/MAX(BW60,0.5)</f>
        <v/>
      </c>
      <c r="BY60" s="4">
        <f>F60</f>
        <v/>
      </c>
      <c r="BZ60" s="3">
        <f>BY60&amp;"|"&amp;INT(M60/SEG_ANIO)*SEG_ANIO</f>
        <v/>
      </c>
      <c r="CA60" s="3">
        <f>BZ60&amp;"|"&amp;INT(N60/SEG_KM)*SEG_KM</f>
        <v/>
      </c>
      <c r="CB60" s="4">
        <f>COUNTIF($BY$2:$BY$209,BY60)</f>
        <v/>
      </c>
      <c r="CC60" s="4">
        <f>COUNTIF($BZ$2:$BZ$209,BZ60)</f>
        <v/>
      </c>
      <c r="CD60" s="4">
        <f>COUNTIF($CA$2:$CA$209,CA60)</f>
        <v/>
      </c>
      <c r="CE60" s="3">
        <f t="array" ref="CE60">IF(N(BQ60)&gt;=MIN_N,BP60,IF(CD60&gt;=MIN_N,MEDIAN(IF($CA$2:$CA$209=CA60,$O$2:$O$209)),IF(CC60&gt;=MIN_N,MEDIAN(IF($BZ$2:$BZ$209=BZ60,$O$2:$O$209)),MEDIAN(IF($BY$2:$BY$209=BY60,$O$2:$O$209)))))</f>
        <v/>
      </c>
      <c r="CF60" s="3">
        <f>IF(N(BQ60)&gt;=MIN_N,"mercado "&amp;BR60,IF(CD60&gt;=MIN_N,"modelo+año+km",IF(CC60&gt;=MIN_N,"modelo+año","modelo")))</f>
        <v/>
      </c>
      <c r="CG60" s="4">
        <f>(CE60-O60)/CE60</f>
        <v/>
      </c>
      <c r="CH60" s="3">
        <f>IF(COUNTIFS(FR_FUEL,K60,FR_YEAR,AP60)&gt;0,1,0)</f>
        <v/>
      </c>
      <c r="CI60" s="3">
        <f>IF(COUNTIFS(FR_FUEL,K60,FR_YEAR,AP60-1)&gt;0,1,0)</f>
        <v/>
      </c>
      <c r="CJ60" s="4">
        <f>IF(N(AQ60)&gt;0,AP60*100+AQ60,IF(AND(CH60=1,CI60=1),(AP60-1)*100+1,AP60*100+1))</f>
        <v/>
      </c>
      <c r="CK60" s="3">
        <f>IF(OR(K60="hibrido",K60="glp",K60="gnc",K60="phev"),"ECO",IF(K60="electrico","CERO",IF(K60="gasolina",IF(CJ60&gt;=GAS_C_YM,"C",IF(CJ60&gt;=GAS_B_YM,"B","A")),IF(K60="diesel",IF(CJ60&gt;=DIE_C_YM,"C",IF(CJ60&gt;=DIE_B_YM,"B","A")),""))))</f>
        <v/>
      </c>
      <c r="CL60" s="2" t="inlineStr">
        <is>
          <t>B</t>
        </is>
      </c>
      <c r="CM60" s="4">
        <f>IF(AU60="sí","sí",IF(AS60="regla",IF(AND(N(AQ60)=0,CH60=1),"sí","no"),"no"))</f>
        <v/>
      </c>
      <c r="CN60" s="3">
        <f>IFERROR(VLOOKUP(F60,MOD_TBL,16,0),IFERROR(VLOOKUP(E60,OCU_TBL,2,0),NEUTRO))</f>
        <v/>
      </c>
      <c r="CO60" s="3">
        <f>SUMIFS(MOT_AJUSTE,MOT_MOTOR,G60,MOT_MARCA,E60,MOT_DESDE,"&lt;="&amp;M60,MOT_HASTA,"&gt;="&amp;M60)+SUMIFS(MOT_AJUSTE,MOT_MOTOR,G60,MOT_MARCA,"(todas)",MOT_DESDE,"&lt;="&amp;M60,MOT_HASTA,"&gt;="&amp;M60)+SUMIFS(MOT_AJUSTE,MOT_MOTOR,"(cualquiera)",MOT_MARCA,E60,MOT_DESDE,"&lt;="&amp;M60,MOT_HASTA,"&gt;="&amp;M60)</f>
        <v/>
      </c>
      <c r="CP60" s="3">
        <f>SUMIFS(COMB_AJUSTE,COMB_COMB,K60)</f>
        <v/>
      </c>
      <c r="CQ60" s="3">
        <f>COUNTIFS(MOT_MOTOR,G60,MOT_MARCA,E60,MOT_DESDE,"&lt;="&amp;M60,MOT_HASTA,"&gt;="&amp;M60)+COUNTIFS(MOT_MOTOR,G60,MOT_MARCA,"(todas)",MOT_DESDE,"&lt;="&amp;M60,MOT_HASTA,"&gt;="&amp;M60)+COUNTIFS(MOT_MOTOR,"(cualquiera)",MOT_MARCA,E60,MOT_DESDE,"&lt;="&amp;M60,MOT_HASTA,"&gt;="&amp;M60)</f>
        <v/>
      </c>
      <c r="CR60" s="3">
        <f>IF(AND(K60="diesel",CQ60=0),MIN(CN60,NEUTRO),CN60)</f>
        <v/>
      </c>
      <c r="CS60" s="3">
        <f>MAX(0,MIN(100,CR60+CO60+CP60-IF(AX60="sí",ROB_PEN,0)))</f>
        <v/>
      </c>
      <c r="CT60" s="3">
        <f>100-MAX(0,N60-KM_TOPE_DESDE)/1000*KM_TOPE_PTS</f>
        <v/>
      </c>
      <c r="CU60" s="3">
        <f>MAX(0,MIN(100,50+CG60*PRECIO_PEND,CT60))</f>
        <v/>
      </c>
      <c r="CV60" s="3">
        <f>MAX(0,100*(1-N60/KM_MAX))</f>
        <v/>
      </c>
      <c r="CW60" s="3">
        <f>IF(BX60&lt;KMA_SOSP,IF(AA60="sí",100,KMA_PEN),IF(BX60&lt;=KMA_IDEAL_MAX,100,MAX(0,100*(KMA_CERO-BX60)/(KMA_CERO-KMA_IDEAL_MAX))))</f>
        <v/>
      </c>
      <c r="CX60" s="3">
        <f>MAX(0,MIN(100,100*(M60-ANIO_MIN)/(ANIO_ACTUAL-ANIO_MIN)))</f>
        <v/>
      </c>
      <c r="CY60" s="3">
        <f>W_KMT*CV60+W_KMA*CW60+W_EDAD*CX60</f>
        <v/>
      </c>
      <c r="CZ60" s="4">
        <f>E60&amp;"|"&amp;G60</f>
        <v/>
      </c>
      <c r="DA60" s="3">
        <f>IFERROR(VLOOKUP(CZ60,DIST_TBL,2,0),"")</f>
        <v/>
      </c>
      <c r="DB60" s="3">
        <f>E_ITV*(V60="sí")+E_LIBRO*(W60="sí")+E_PROP*IF(Y60=1,1,IF(Y60=2,0.5,0))+E_CORREA*IF(OR(DA60="cadena",AND(X60="sí",BH60="sí")),1,IF(X60="sí",0.5,0))+E_FACT*(BI60="sí")</f>
        <v/>
      </c>
      <c r="DC60" s="3">
        <f>MAX(0,MIN(100,IFERROR(VLOOKUP(CL60,ETQ_TBL,2,0),0)-IF(CM60="sí",ETQ_PEN_DUD,IF(AS60="regla",ETQ_PEN_REGLA,0))))</f>
        <v/>
      </c>
      <c r="DD60" s="3">
        <f>IF(K60&lt;&gt;"gasolina","",IFERROR(VLOOKUP(F60,CONS_MOD_TBL,2,0),IFERROR(VLOOKUP(L60,CONS_SEG_TBL,2,0),"")))</f>
        <v/>
      </c>
      <c r="DE60" s="3">
        <f>IF(DD60="",NEUTRO,MAX(0,MIN(100,100*(CONS_REF_MAX-DD60)/(CONS_REF_MAX-CONS_REF_MIN))))</f>
        <v/>
      </c>
      <c r="DF60" s="3">
        <f>IFERROR(VLOOKUP(L60,SEGURO_TBL,3,0),"")</f>
        <v/>
      </c>
      <c r="DG60" s="3">
        <f>IF(DF60="",NEUTRO,MAX(0,MIN(100,100*(SEG_REF_MAX-DF60)/(SEG_REF_MAX-SEG_REF_MIN))))</f>
        <v/>
      </c>
      <c r="DH60" s="3">
        <f>IFERROR(VLOOKUP(E60,MANT_MARCA_TBL,2,0)+0,NEUTRO)</f>
        <v/>
      </c>
      <c r="DI60" s="3">
        <f>IF(DA60="",NEUTRO,IFERROR(VLOOKUP(DA60,DIST_PTS_TBL,2,0)+0,NEUTRO))</f>
        <v/>
      </c>
      <c r="DJ60" s="4">
        <f>(DH60+DI60)/2</f>
        <v/>
      </c>
      <c r="DK60" s="3">
        <f>W_CONS*DE60+W_SEG*DG60+W_MANT*DJ60</f>
        <v/>
      </c>
      <c r="DL60" s="3">
        <f>IF(N(AB60)&gt;0,AB60,IF(AND(R60="profesional",SG_LEGAL_ON=1),GAR_LEGAL,0))</f>
        <v/>
      </c>
      <c r="DM60" s="3">
        <f>MAX(0,MIN(100,SG_GAR*MIN(1,DL60/SG_GAR_FULL)+SG_AMPL*(AC60="sí")+SG_KMC*(AF60="sí")+SG_REV*(N(AE60)&gt;0)+SG_DEV*MIN(1,N(AG60)/SG_DEV_FULL)+SG_HIST*(W60="sí")-IF(AND(R60="particular",DL60=0),SG_PART_PEN,0)))</f>
        <v/>
      </c>
      <c r="DN60" s="3">
        <f>IF(BK60="",NEUTRO,MAX(0,MIN(100,BK60/5*100)))</f>
        <v/>
      </c>
      <c r="DO60" s="3">
        <f>IF(BL60="sí",100,IF(BL60="no",0,NEUTRO))</f>
        <v/>
      </c>
      <c r="DP60" s="3">
        <f>SV_W_NCAP*DN60+SV_W_ESP*DO60</f>
        <v/>
      </c>
      <c r="DQ60" s="3">
        <f>MAX(0,MIN(100,ATR_BASE+ATR_ACAB*(BD60&lt;&gt;"")+IF(BE60="16+",ATR_LL16,IF(BE60="sí",ATR_LL,0))+ATR_FAROS*(BF60="sí")+ATR_TINT*(BG60="sí")-ATR_CHAPA*(BE60="chapa")))</f>
        <v/>
      </c>
      <c r="DR60" s="3">
        <f>EST_W_MOD*(BB60-1)/4*100+EST_W_ATR*DQ60</f>
        <v/>
      </c>
      <c r="DS60" s="3">
        <f>IF(BA60="",NEUTRO,IFERROR(VLOOKUP(BA60,COLOR_TBL,2,0)+0,NEUTRO))</f>
        <v/>
      </c>
      <c r="DT60" s="3">
        <f>MAX(0,MIN(100,100*N(BM60)/RV_N_FULL))</f>
        <v/>
      </c>
      <c r="DU60" s="3">
        <f>IF(OR(BN60="",N(BO60)&lt;RV_DIAS_MIN),NEUTRO,MAX(0,MIN(100,100*(RV_DIAS_CERO-BN60)/(RV_DIAS_CERO-RV_DIAS_FULL))))</f>
        <v/>
      </c>
      <c r="DV60" s="3">
        <f>RV_W_LIQ*DT60+RV_W_DIAS*DU60+RV_W_ETQ*DC60</f>
        <v/>
      </c>
      <c r="DW60" s="3">
        <f>IFERROR(VLOOKUP(L60,CARR_PEN_TBL,2,0),0)</f>
        <v/>
      </c>
      <c r="DX60" s="3">
        <f>W_FIAB*CS60+W_PRECIO*CU60+W_KMEDAD*CY60+W_ESTADO*DB60+W_USO*DK60+W_SEGURIDAD*DM60+W_SEGVIAL*DP60+W_ESTETICA*DR60+W_COLOR*DS60+W_REVENTA*DV60-DW60-EG60</f>
        <v/>
      </c>
      <c r="DY60" s="4">
        <f>IF(N(I60)&gt;0,I60,IFERROR(ROUND(_xlfn.NUMBERVALUE(LEFT(G60,FIND(" ",G60&amp;" ")-1),".")*1000,0),99999))</f>
        <v/>
      </c>
      <c r="DZ60" s="3">
        <f>IF(R60="profesional",0,IF(O60&lt;CUOTA_VALOR_MAX,IF(BW60&gt;ITP_TRAMO_ALTO,SUMIFS(CF_CUOTA,CF_MAS,ITP_TRAMO_ALTO,CF_CCMIN,"&lt;="&amp;DY60,CF_CCMAX,"&gt;="&amp;DY60),IF(BW60&gt;ITP_TRAMO_BAJO,SUMIFS(CF_CUOTA,CF_MAS,ITP_TRAMO_BAJO,CF_CCMIN,"&lt;="&amp;DY60,CF_CCMAX,"&gt;="&amp;DY60),O60*ITP_TIPO)),O60*ITP_TIPO))</f>
        <v/>
      </c>
      <c r="EA60" s="4">
        <f>IF(R60="profesional",N(AK60),0)</f>
        <v/>
      </c>
      <c r="EB60" s="3">
        <f>IF(AND(R60="profesional",ISNUMBER(AK60),AL60="sí"),0,TASA_DGT)</f>
        <v/>
      </c>
      <c r="EC60" s="3">
        <f>INFORME_DGT</f>
        <v/>
      </c>
      <c r="ED60" s="4">
        <f>O60+EA60+DZ60+EB60+EC60</f>
        <v/>
      </c>
      <c r="EE60" s="4">
        <f>ED60+N(DF60)</f>
        <v/>
      </c>
      <c r="EF60" s="3">
        <f>MAX(0,ED60-TOTAL_MAX)</f>
        <v/>
      </c>
      <c r="EG60" s="3">
        <f>EF60/100*PEN_100</f>
        <v/>
      </c>
      <c r="EH60" s="3">
        <f>IF(R60="particular",ED60+IF(AND(DA60&lt;&gt;"cadena",X60&lt;&gt;"sí"),RES_CORREA,0)+IF(AND(BJ60&lt;&gt;"sí",BW60&gt;=RES_NEUM_EDAD),RES_NEUM,0),"")</f>
        <v/>
      </c>
      <c r="EI60" s="3">
        <f>IF(ED60&lt;=TOTAL_MAX,"sí",IF(ED60&lt;=TECHO,"negociar","no"))</f>
        <v/>
      </c>
      <c r="EJ60" s="4">
        <f>ROUND(DX60,9)</f>
        <v/>
      </c>
      <c r="EK60" s="4">
        <f>IF(EI60&lt;&gt;"no",SUMPRODUCT(($EI$2:$EI$209&lt;&gt;"no")*($EJ$2:$EJ$209&gt;EJ60))+SUMPRODUCT(($EI$2:EI60&lt;&gt;"no")*($EJ$2:EJ60=EJ60)),"")</f>
        <v/>
      </c>
    </row>
    <row r="61">
      <c r="A61" s="2" t="inlineStr">
        <is>
          <t>wallapop:1283471685</t>
        </is>
      </c>
      <c r="B61" s="2" t="inlineStr">
        <is>
          <t>wallapop</t>
        </is>
      </c>
      <c r="C61" s="2" t="inlineStr">
        <is>
          <t>https://es.wallapop.com/item/renault-megane-sport-tourer-dynamique-dci-81-kw-110-cv-1283471685</t>
        </is>
      </c>
      <c r="D61" s="2" t="inlineStr">
        <is>
          <t>Renault Megane Sport Tourer Dynamique dCi 81 kW (110 CV)</t>
        </is>
      </c>
      <c r="E61" s="2" t="inlineStr">
        <is>
          <t>Renault</t>
        </is>
      </c>
      <c r="F61" s="2" t="inlineStr">
        <is>
          <t>Renault Mégane</t>
        </is>
      </c>
      <c r="G61" s="2" t="inlineStr">
        <is>
          <t>? dCi</t>
        </is>
      </c>
      <c r="H61" s="2" t="inlineStr">
        <is>
          <t>Sport Tourer Dynamique dCi 81 kW (110 CV)</t>
        </is>
      </c>
      <c r="I61" s="2" t="n"/>
      <c r="J61" s="2" t="n">
        <v>110</v>
      </c>
      <c r="K61" s="2" t="inlineStr">
        <is>
          <t>diesel</t>
        </is>
      </c>
      <c r="L61" s="2" t="inlineStr">
        <is>
          <t>familiar</t>
        </is>
      </c>
      <c r="M61" s="2" t="n">
        <v>2011</v>
      </c>
      <c r="N61" s="2" t="n">
        <v>116570</v>
      </c>
      <c r="O61" s="2" t="n">
        <v>4600</v>
      </c>
      <c r="P61" s="2" t="inlineStr">
        <is>
          <t>manual</t>
        </is>
      </c>
      <c r="Q61" s="2" t="inlineStr">
        <is>
          <t>no</t>
        </is>
      </c>
      <c r="R61" s="2" t="inlineStr">
        <is>
          <t>profesional</t>
        </is>
      </c>
      <c r="S61" s="2" t="inlineStr">
        <is>
          <t>Paterna (46980)</t>
        </is>
      </c>
      <c r="T61" s="2" t="inlineStr">
        <is>
          <t>2026-10-31T09:13:38</t>
        </is>
      </c>
      <c r="U61" s="2" t="n">
        <v>11</v>
      </c>
      <c r="V61" s="2" t="n"/>
      <c r="W61" s="2" t="n"/>
      <c r="X61" s="2" t="n"/>
      <c r="Y61" s="2" t="n"/>
      <c r="Z61" s="2" t="inlineStr">
        <is>
          <t>sí</t>
        </is>
      </c>
      <c r="AA61" s="2" t="n"/>
      <c r="AB61" s="2" t="n"/>
      <c r="AC61" s="2" t="n"/>
      <c r="AD61" s="2" t="n"/>
      <c r="AE61" s="2" t="n"/>
      <c r="AF61" s="2" t="inlineStr">
        <is>
          <t>sí</t>
        </is>
      </c>
      <c r="AG61" s="2" t="n"/>
      <c r="AH61" s="2" t="n"/>
      <c r="AI61" s="2" t="n"/>
      <c r="AJ61" s="2" t="n"/>
      <c r="AK61" s="2" t="n"/>
      <c r="AL61" s="2" t="n"/>
      <c r="AM61" s="2" t="n">
        <v>6.4</v>
      </c>
      <c r="AN61" s="2" t="inlineStr">
        <is>
          <t>1000KMS</t>
        </is>
      </c>
      <c r="AO61" s="2" t="inlineStr">
        <is>
          <t>2011</t>
        </is>
      </c>
      <c r="AP61" s="2" t="n">
        <v>2011</v>
      </c>
      <c r="AQ61" s="2" t="n"/>
      <c r="AR61" s="2" t="inlineStr">
        <is>
          <t>B</t>
        </is>
      </c>
      <c r="AS61" s="2" t="inlineStr">
        <is>
          <t>DGT</t>
        </is>
      </c>
      <c r="AT61" s="2" t="n"/>
      <c r="AU61" s="2" t="inlineStr">
        <is>
          <t>no</t>
        </is>
      </c>
      <c r="AV61" s="2" t="inlineStr">
        <is>
          <t>B</t>
        </is>
      </c>
      <c r="AW61" s="2" t="n"/>
      <c r="AX61" s="2" t="inlineStr">
        <is>
          <t>no</t>
        </is>
      </c>
      <c r="AY61" s="2" t="inlineStr">
        <is>
          <t>no</t>
        </is>
      </c>
      <c r="AZ61" s="2" t="n"/>
      <c r="BA61" s="2" t="n"/>
      <c r="BB61" s="3" t="n">
        <v>3</v>
      </c>
      <c r="BC61" s="3" t="inlineStr">
        <is>
          <t>(por segmento)</t>
        </is>
      </c>
      <c r="BD61" s="2" t="inlineStr">
        <is>
          <t>sport</t>
        </is>
      </c>
      <c r="BE61" s="2" t="inlineStr">
        <is>
          <t>16+</t>
        </is>
      </c>
      <c r="BF61" s="2" t="n"/>
      <c r="BG61" s="2" t="n"/>
      <c r="BH61" s="2" t="n"/>
      <c r="BI61" s="2" t="n"/>
      <c r="BJ61" s="2" t="n"/>
      <c r="BK61" s="2" t="n"/>
      <c r="BL61" s="2" t="n"/>
      <c r="BM61" s="2" t="n">
        <v>387</v>
      </c>
      <c r="BN61" s="2" t="n">
        <v>0.07434027781710029</v>
      </c>
      <c r="BO61" s="2" t="n">
        <v>7</v>
      </c>
      <c r="BP61" s="2" t="n">
        <v>5900</v>
      </c>
      <c r="BQ61" s="2" t="n">
        <v>5</v>
      </c>
      <c r="BR61" s="2" t="inlineStr">
        <is>
          <t>modelo+año+km</t>
        </is>
      </c>
      <c r="BS61" s="2" t="n"/>
      <c r="BT61" s="2" t="inlineStr">
        <is>
          <t>vendedor profesional: sin ITP (operación con IVA/REBU, confirmar en factura); gastos de gestión del vendedor no indicados: se suma la tasa DGT; preguntar el precio final; Euro NCAP de la generación PENDIENTE (seguridad neutra); diésel: motor sin fuente de fiabilidad (fiabilidad limitada a neutra); carrocería familiar: -3 puntos; revisar: no menciona la ITV</t>
        </is>
      </c>
      <c r="BU61" s="2" t="inlineStr">
        <is>
          <t>Ref.85015406
¡VILLA TAMBIÉN FICHA POR OCASIONPLUS!
VEN A GANAR. ¡VEN A OCASIONPLUS!
OCASIONPLUS - 20.000 COCHES  - 120 CENTROS
OCASIONPLUS Nº1 CALIDAD - PRECIO
Elige el coche que te guste y te lo llevamos a tu ciudad sólo con reservarlo
15 DÍAS / 1000 KMS DE PRUEBA
Hasta 3300€ de descuento en este coche
ADEMÁS, HACEMOS LAS MEJORES FINANCIACIONES DEL MERCADO, PREGÚNTANOS!!
            Equipamiento destacado: Sensor de lluvia, Control de velocidad, Limitador de velocidad, Volante multifunción, Aire Acondicionado (Climatizador), Bluetooth, Isofix, Llantas de aleación (16").
                - Coche Nacional.
                - Garantía total 1 año, con cobertura nacional, ampliable a 24 meses.
                - Certificado de Kilómetros y ausencia de golpes estructurales.
            - Sobrevaloramos tu coche en operaciones de cambio. Tásalo ahora en ocasionplus.com
            - Entregamos cualquier coche en cualquier centro
            - Abierto Domingo y Festivos.</t>
        </is>
      </c>
      <c r="BV61" s="2" t="inlineStr">
        <is>
          <t>https://es.wallapop.com/item/renault-megane-sport-tourer-dynamique-dci-81-kw-110-cv-1283471685 (__NEXT_DATA__ item) /home/user/Alopecia/buscador-coches/raw/wallapop/e533e34ac38d4fc7.json</t>
        </is>
      </c>
      <c r="BW61" s="3">
        <f>MAX(ANIO_ACTUAL-M61,0)</f>
        <v/>
      </c>
      <c r="BX61" s="4">
        <f>N61/MAX(BW61,0.5)</f>
        <v/>
      </c>
      <c r="BY61" s="4">
        <f>F61</f>
        <v/>
      </c>
      <c r="BZ61" s="3">
        <f>BY61&amp;"|"&amp;INT(M61/SEG_ANIO)*SEG_ANIO</f>
        <v/>
      </c>
      <c r="CA61" s="3">
        <f>BZ61&amp;"|"&amp;INT(N61/SEG_KM)*SEG_KM</f>
        <v/>
      </c>
      <c r="CB61" s="4">
        <f>COUNTIF($BY$2:$BY$209,BY61)</f>
        <v/>
      </c>
      <c r="CC61" s="4">
        <f>COUNTIF($BZ$2:$BZ$209,BZ61)</f>
        <v/>
      </c>
      <c r="CD61" s="4">
        <f>COUNTIF($CA$2:$CA$209,CA61)</f>
        <v/>
      </c>
      <c r="CE61" s="3">
        <f t="array" ref="CE61">IF(N(BQ61)&gt;=MIN_N,BP61,IF(CD61&gt;=MIN_N,MEDIAN(IF($CA$2:$CA$209=CA61,$O$2:$O$209)),IF(CC61&gt;=MIN_N,MEDIAN(IF($BZ$2:$BZ$209=BZ61,$O$2:$O$209)),MEDIAN(IF($BY$2:$BY$209=BY61,$O$2:$O$209)))))</f>
        <v/>
      </c>
      <c r="CF61" s="3">
        <f>IF(N(BQ61)&gt;=MIN_N,"mercado "&amp;BR61,IF(CD61&gt;=MIN_N,"modelo+año+km",IF(CC61&gt;=MIN_N,"modelo+año","modelo")))</f>
        <v/>
      </c>
      <c r="CG61" s="4">
        <f>(CE61-O61)/CE61</f>
        <v/>
      </c>
      <c r="CH61" s="3">
        <f>IF(COUNTIFS(FR_FUEL,K61,FR_YEAR,AP61)&gt;0,1,0)</f>
        <v/>
      </c>
      <c r="CI61" s="3">
        <f>IF(COUNTIFS(FR_FUEL,K61,FR_YEAR,AP61-1)&gt;0,1,0)</f>
        <v/>
      </c>
      <c r="CJ61" s="4">
        <f>IF(N(AQ61)&gt;0,AP61*100+AQ61,IF(AND(CH61=1,CI61=1),(AP61-1)*100+1,AP61*100+1))</f>
        <v/>
      </c>
      <c r="CK61" s="3">
        <f>IF(OR(K61="hibrido",K61="glp",K61="gnc",K61="phev"),"ECO",IF(K61="electrico","CERO",IF(K61="gasolina",IF(CJ61&gt;=GAS_C_YM,"C",IF(CJ61&gt;=GAS_B_YM,"B","A")),IF(K61="diesel",IF(CJ61&gt;=DIE_C_YM,"C",IF(CJ61&gt;=DIE_B_YM,"B","A")),""))))</f>
        <v/>
      </c>
      <c r="CL61" s="2" t="inlineStr">
        <is>
          <t>B</t>
        </is>
      </c>
      <c r="CM61" s="4">
        <f>IF(AU61="sí","sí",IF(AS61="regla",IF(AND(N(AQ61)=0,CH61=1),"sí","no"),"no"))</f>
        <v/>
      </c>
      <c r="CN61" s="3">
        <f>IFERROR(VLOOKUP(F61,MOD_TBL,16,0),IFERROR(VLOOKUP(E61,OCU_TBL,2,0),NEUTRO))</f>
        <v/>
      </c>
      <c r="CO61" s="3">
        <f>SUMIFS(MOT_AJUSTE,MOT_MOTOR,G61,MOT_MARCA,E61,MOT_DESDE,"&lt;="&amp;M61,MOT_HASTA,"&gt;="&amp;M61)+SUMIFS(MOT_AJUSTE,MOT_MOTOR,G61,MOT_MARCA,"(todas)",MOT_DESDE,"&lt;="&amp;M61,MOT_HASTA,"&gt;="&amp;M61)+SUMIFS(MOT_AJUSTE,MOT_MOTOR,"(cualquiera)",MOT_MARCA,E61,MOT_DESDE,"&lt;="&amp;M61,MOT_HASTA,"&gt;="&amp;M61)</f>
        <v/>
      </c>
      <c r="CP61" s="3">
        <f>SUMIFS(COMB_AJUSTE,COMB_COMB,K61)</f>
        <v/>
      </c>
      <c r="CQ61" s="3">
        <f>COUNTIFS(MOT_MOTOR,G61,MOT_MARCA,E61,MOT_DESDE,"&lt;="&amp;M61,MOT_HASTA,"&gt;="&amp;M61)+COUNTIFS(MOT_MOTOR,G61,MOT_MARCA,"(todas)",MOT_DESDE,"&lt;="&amp;M61,MOT_HASTA,"&gt;="&amp;M61)+COUNTIFS(MOT_MOTOR,"(cualquiera)",MOT_MARCA,E61,MOT_DESDE,"&lt;="&amp;M61,MOT_HASTA,"&gt;="&amp;M61)</f>
        <v/>
      </c>
      <c r="CR61" s="3">
        <f>IF(AND(K61="diesel",CQ61=0),MIN(CN61,NEUTRO),CN61)</f>
        <v/>
      </c>
      <c r="CS61" s="3">
        <f>MAX(0,MIN(100,CR61+CO61+CP61-IF(AX61="sí",ROB_PEN,0)))</f>
        <v/>
      </c>
      <c r="CT61" s="3">
        <f>100-MAX(0,N61-KM_TOPE_DESDE)/1000*KM_TOPE_PTS</f>
        <v/>
      </c>
      <c r="CU61" s="3">
        <f>MAX(0,MIN(100,50+CG61*PRECIO_PEND,CT61))</f>
        <v/>
      </c>
      <c r="CV61" s="3">
        <f>MAX(0,100*(1-N61/KM_MAX))</f>
        <v/>
      </c>
      <c r="CW61" s="3">
        <f>IF(BX61&lt;KMA_SOSP,IF(AA61="sí",100,KMA_PEN),IF(BX61&lt;=KMA_IDEAL_MAX,100,MAX(0,100*(KMA_CERO-BX61)/(KMA_CERO-KMA_IDEAL_MAX))))</f>
        <v/>
      </c>
      <c r="CX61" s="3">
        <f>MAX(0,MIN(100,100*(M61-ANIO_MIN)/(ANIO_ACTUAL-ANIO_MIN)))</f>
        <v/>
      </c>
      <c r="CY61" s="3">
        <f>W_KMT*CV61+W_KMA*CW61+W_EDAD*CX61</f>
        <v/>
      </c>
      <c r="CZ61" s="4">
        <f>E61&amp;"|"&amp;G61</f>
        <v/>
      </c>
      <c r="DA61" s="3">
        <f>IFERROR(VLOOKUP(CZ61,DIST_TBL,2,0),"")</f>
        <v/>
      </c>
      <c r="DB61" s="3">
        <f>E_ITV*(V61="sí")+E_LIBRO*(W61="sí")+E_PROP*IF(Y61=1,1,IF(Y61=2,0.5,0))+E_CORREA*IF(OR(DA61="cadena",AND(X61="sí",BH61="sí")),1,IF(X61="sí",0.5,0))+E_FACT*(BI61="sí")</f>
        <v/>
      </c>
      <c r="DC61" s="3">
        <f>MAX(0,MIN(100,IFERROR(VLOOKUP(CL61,ETQ_TBL,2,0),0)-IF(CM61="sí",ETQ_PEN_DUD,IF(AS61="regla",ETQ_PEN_REGLA,0))))</f>
        <v/>
      </c>
      <c r="DD61" s="3">
        <f>IF(K61&lt;&gt;"gasolina","",IFERROR(VLOOKUP(F61,CONS_MOD_TBL,2,0),IFERROR(VLOOKUP(L61,CONS_SEG_TBL,2,0),"")))</f>
        <v/>
      </c>
      <c r="DE61" s="3">
        <f>IF(DD61="",NEUTRO,MAX(0,MIN(100,100*(CONS_REF_MAX-DD61)/(CONS_REF_MAX-CONS_REF_MIN))))</f>
        <v/>
      </c>
      <c r="DF61" s="3">
        <f>IFERROR(VLOOKUP(L61,SEGURO_TBL,3,0),"")</f>
        <v/>
      </c>
      <c r="DG61" s="3">
        <f>IF(DF61="",NEUTRO,MAX(0,MIN(100,100*(SEG_REF_MAX-DF61)/(SEG_REF_MAX-SEG_REF_MIN))))</f>
        <v/>
      </c>
      <c r="DH61" s="3">
        <f>IFERROR(VLOOKUP(E61,MANT_MARCA_TBL,2,0)+0,NEUTRO)</f>
        <v/>
      </c>
      <c r="DI61" s="3">
        <f>IF(DA61="",NEUTRO,IFERROR(VLOOKUP(DA61,DIST_PTS_TBL,2,0)+0,NEUTRO))</f>
        <v/>
      </c>
      <c r="DJ61" s="4">
        <f>(DH61+DI61)/2</f>
        <v/>
      </c>
      <c r="DK61" s="3">
        <f>W_CONS*DE61+W_SEG*DG61+W_MANT*DJ61</f>
        <v/>
      </c>
      <c r="DL61" s="3">
        <f>IF(N(AB61)&gt;0,AB61,IF(AND(R61="profesional",SG_LEGAL_ON=1),GAR_LEGAL,0))</f>
        <v/>
      </c>
      <c r="DM61" s="3">
        <f>MAX(0,MIN(100,SG_GAR*MIN(1,DL61/SG_GAR_FULL)+SG_AMPL*(AC61="sí")+SG_KMC*(AF61="sí")+SG_REV*(N(AE61)&gt;0)+SG_DEV*MIN(1,N(AG61)/SG_DEV_FULL)+SG_HIST*(W61="sí")-IF(AND(R61="particular",DL61=0),SG_PART_PEN,0)))</f>
        <v/>
      </c>
      <c r="DN61" s="3">
        <f>IF(BK61="",NEUTRO,MAX(0,MIN(100,BK61/5*100)))</f>
        <v/>
      </c>
      <c r="DO61" s="3">
        <f>IF(BL61="sí",100,IF(BL61="no",0,NEUTRO))</f>
        <v/>
      </c>
      <c r="DP61" s="3">
        <f>SV_W_NCAP*DN61+SV_W_ESP*DO61</f>
        <v/>
      </c>
      <c r="DQ61" s="3">
        <f>MAX(0,MIN(100,ATR_BASE+ATR_ACAB*(BD61&lt;&gt;"")+IF(BE61="16+",ATR_LL16,IF(BE61="sí",ATR_LL,0))+ATR_FAROS*(BF61="sí")+ATR_TINT*(BG61="sí")-ATR_CHAPA*(BE61="chapa")))</f>
        <v/>
      </c>
      <c r="DR61" s="3">
        <f>EST_W_MOD*(BB61-1)/4*100+EST_W_ATR*DQ61</f>
        <v/>
      </c>
      <c r="DS61" s="3">
        <f>IF(BA61="",NEUTRO,IFERROR(VLOOKUP(BA61,COLOR_TBL,2,0)+0,NEUTRO))</f>
        <v/>
      </c>
      <c r="DT61" s="3">
        <f>MAX(0,MIN(100,100*N(BM61)/RV_N_FULL))</f>
        <v/>
      </c>
      <c r="DU61" s="3">
        <f>IF(OR(BN61="",N(BO61)&lt;RV_DIAS_MIN),NEUTRO,MAX(0,MIN(100,100*(RV_DIAS_CERO-BN61)/(RV_DIAS_CERO-RV_DIAS_FULL))))</f>
        <v/>
      </c>
      <c r="DV61" s="3">
        <f>RV_W_LIQ*DT61+RV_W_DIAS*DU61+RV_W_ETQ*DC61</f>
        <v/>
      </c>
      <c r="DW61" s="3">
        <f>IFERROR(VLOOKUP(L61,CARR_PEN_TBL,2,0),0)</f>
        <v/>
      </c>
      <c r="DX61" s="3">
        <f>W_FIAB*CS61+W_PRECIO*CU61+W_KMEDAD*CY61+W_ESTADO*DB61+W_USO*DK61+W_SEGURIDAD*DM61+W_SEGVIAL*DP61+W_ESTETICA*DR61+W_COLOR*DS61+W_REVENTA*DV61-DW61-EG61</f>
        <v/>
      </c>
      <c r="DY61" s="4">
        <f>IF(N(I61)&gt;0,I61,IFERROR(ROUND(_xlfn.NUMBERVALUE(LEFT(G61,FIND(" ",G61&amp;" ")-1),".")*1000,0),99999))</f>
        <v/>
      </c>
      <c r="DZ61" s="3">
        <f>IF(R61="profesional",0,IF(O61&lt;CUOTA_VALOR_MAX,IF(BW61&gt;ITP_TRAMO_ALTO,SUMIFS(CF_CUOTA,CF_MAS,ITP_TRAMO_ALTO,CF_CCMIN,"&lt;="&amp;DY61,CF_CCMAX,"&gt;="&amp;DY61),IF(BW61&gt;ITP_TRAMO_BAJO,SUMIFS(CF_CUOTA,CF_MAS,ITP_TRAMO_BAJO,CF_CCMIN,"&lt;="&amp;DY61,CF_CCMAX,"&gt;="&amp;DY61),O61*ITP_TIPO)),O61*ITP_TIPO))</f>
        <v/>
      </c>
      <c r="EA61" s="4">
        <f>IF(R61="profesional",N(AK61),0)</f>
        <v/>
      </c>
      <c r="EB61" s="3">
        <f>IF(AND(R61="profesional",ISNUMBER(AK61),AL61="sí"),0,TASA_DGT)</f>
        <v/>
      </c>
      <c r="EC61" s="3">
        <f>INFORME_DGT</f>
        <v/>
      </c>
      <c r="ED61" s="4">
        <f>O61+EA61+DZ61+EB61+EC61</f>
        <v/>
      </c>
      <c r="EE61" s="4">
        <f>ED61+N(DF61)</f>
        <v/>
      </c>
      <c r="EF61" s="3">
        <f>MAX(0,ED61-TOTAL_MAX)</f>
        <v/>
      </c>
      <c r="EG61" s="3">
        <f>EF61/100*PEN_100</f>
        <v/>
      </c>
      <c r="EH61" s="3">
        <f>IF(R61="particular",ED61+IF(AND(DA61&lt;&gt;"cadena",X61&lt;&gt;"sí"),RES_CORREA,0)+IF(AND(BJ61&lt;&gt;"sí",BW61&gt;=RES_NEUM_EDAD),RES_NEUM,0),"")</f>
        <v/>
      </c>
      <c r="EI61" s="3">
        <f>IF(ED61&lt;=TOTAL_MAX,"sí",IF(ED61&lt;=TECHO,"negociar","no"))</f>
        <v/>
      </c>
      <c r="EJ61" s="4">
        <f>ROUND(DX61,9)</f>
        <v/>
      </c>
      <c r="EK61" s="4">
        <f>IF(EI61&lt;&gt;"no",SUMPRODUCT(($EI$2:$EI$209&lt;&gt;"no")*($EJ$2:$EJ$209&gt;EJ61))+SUMPRODUCT(($EI$2:EI61&lt;&gt;"no")*($EJ$2:EJ61=EJ61)),"")</f>
        <v/>
      </c>
    </row>
    <row r="62">
      <c r="A62" s="2" t="inlineStr">
        <is>
          <t>wallapop:1317858980</t>
        </is>
      </c>
      <c r="B62" s="2" t="inlineStr">
        <is>
          <t>wallapop</t>
        </is>
      </c>
      <c r="C62" s="2" t="inlineStr">
        <is>
          <t>https://es.wallapop.com/item/ford-ka-2015-1317858980</t>
        </is>
      </c>
      <c r="D62" s="2" t="inlineStr">
        <is>
          <t>Ford Ka 2015 solo 99000km</t>
        </is>
      </c>
      <c r="E62" s="2" t="inlineStr">
        <is>
          <t>Ford</t>
        </is>
      </c>
      <c r="F62" s="2" t="inlineStr">
        <is>
          <t>Ford Ka</t>
        </is>
      </c>
      <c r="G62" s="2" t="inlineStr">
        <is>
          <t>1.2</t>
        </is>
      </c>
      <c r="H62" s="2" t="inlineStr">
        <is>
          <t>1.2 69 Trend+ 3p S/S</t>
        </is>
      </c>
      <c r="I62" s="2" t="n"/>
      <c r="J62" s="2" t="n">
        <v>69</v>
      </c>
      <c r="K62" s="2" t="inlineStr">
        <is>
          <t>gasolina</t>
        </is>
      </c>
      <c r="L62" s="2" t="inlineStr">
        <is>
          <t>utilitario</t>
        </is>
      </c>
      <c r="M62" s="2" t="n">
        <v>2015</v>
      </c>
      <c r="N62" s="2" t="n">
        <v>99000</v>
      </c>
      <c r="O62" s="2" t="n">
        <v>4990</v>
      </c>
      <c r="P62" s="2" t="inlineStr">
        <is>
          <t>manual</t>
        </is>
      </c>
      <c r="Q62" s="2" t="inlineStr">
        <is>
          <t>no</t>
        </is>
      </c>
      <c r="R62" s="2" t="inlineStr">
        <is>
          <t>profesional</t>
        </is>
      </c>
      <c r="S62" s="2" t="inlineStr">
        <is>
          <t>Valencia (46026)</t>
        </is>
      </c>
      <c r="T62" s="2" t="inlineStr">
        <is>
          <t>2026-10-30T12:02:47</t>
        </is>
      </c>
      <c r="U62" s="2" t="n">
        <v>20</v>
      </c>
      <c r="V62" s="2" t="inlineStr">
        <is>
          <t>sí</t>
        </is>
      </c>
      <c r="W62" s="2" t="n"/>
      <c r="X62" s="2" t="n"/>
      <c r="Y62" s="2" t="n"/>
      <c r="Z62" s="2" t="n"/>
      <c r="AA62" s="2" t="n"/>
      <c r="AB62" s="2" t="n"/>
      <c r="AC62" s="2" t="n"/>
      <c r="AD62" s="2" t="n"/>
      <c r="AE62" s="2" t="n"/>
      <c r="AF62" s="2" t="n"/>
      <c r="AG62" s="2" t="n"/>
      <c r="AH62" s="2" t="n"/>
      <c r="AI62" s="2" t="n"/>
      <c r="AJ62" s="2" t="n"/>
      <c r="AK62" s="2" t="n"/>
      <c r="AL62" s="2" t="n"/>
      <c r="AM62" s="2" t="n">
        <v>2.4</v>
      </c>
      <c r="AN62" s="2" t="n"/>
      <c r="AO62" s="2" t="inlineStr">
        <is>
          <t>2015</t>
        </is>
      </c>
      <c r="AP62" s="2" t="n">
        <v>2015</v>
      </c>
      <c r="AQ62" s="2" t="n"/>
      <c r="AR62" s="2" t="n"/>
      <c r="AS62" s="2" t="inlineStr">
        <is>
          <t>regla</t>
        </is>
      </c>
      <c r="AT62" s="2" t="n"/>
      <c r="AU62" s="2" t="inlineStr">
        <is>
          <t>no</t>
        </is>
      </c>
      <c r="AV62" s="2" t="inlineStr">
        <is>
          <t>C</t>
        </is>
      </c>
      <c r="AW62" s="2" t="n"/>
      <c r="AX62" s="2" t="inlineStr">
        <is>
          <t>no</t>
        </is>
      </c>
      <c r="AY62" s="2" t="inlineStr">
        <is>
          <t>no</t>
        </is>
      </c>
      <c r="AZ62" s="2" t="n"/>
      <c r="BA62" s="2" t="n"/>
      <c r="BB62" s="3" t="n">
        <v>2</v>
      </c>
      <c r="BC62" s="3" t="inlineStr">
        <is>
          <t>(por segmento)</t>
        </is>
      </c>
      <c r="BD62" s="2" t="n"/>
      <c r="BE62" s="2" t="n"/>
      <c r="BF62" s="2" t="n"/>
      <c r="BG62" s="2" t="n"/>
      <c r="BH62" s="2" t="n"/>
      <c r="BI62" s="2" t="n"/>
      <c r="BJ62" s="2" t="n"/>
      <c r="BK62" s="2" t="n"/>
      <c r="BL62" s="2" t="inlineStr">
        <is>
          <t>sí</t>
        </is>
      </c>
      <c r="BM62" s="2" t="n">
        <v>50</v>
      </c>
      <c r="BN62" s="2" t="n"/>
      <c r="BO62" s="2" t="n">
        <v>0</v>
      </c>
      <c r="BP62" s="2" t="n">
        <v>5095</v>
      </c>
      <c r="BQ62" s="2" t="n">
        <v>4</v>
      </c>
      <c r="BR62" s="2" t="inlineStr">
        <is>
          <t>modelo+año+km</t>
        </is>
      </c>
      <c r="BS62" s="2" t="inlineStr">
        <is>
          <t>cochesnet:71847203 (https://www.coches.net/ford-ka-trend-12-duratec-autostartstop-3p-gasolina-2015-en-valencia-71847203-covo.aspx)</t>
        </is>
      </c>
      <c r="BT62" s="2" t="inlineStr">
        <is>
          <t>por encima del presupuesto: negociar 54 € (coste 5054 €; -1.1 puntos); vendedor profesional: sin ITP (operación con IVA/REBU, confirmar en factura); gastos de gestión del vendedor no indicados: se suma la tasa DGT; preguntar el precio final; Euro NCAP de la generación PENDIENTE (seguridad neutra); etiqueta C deducida por fecha (sin matrícula ni dato del anuncio); fiabilidad del modelo PENDIENTE de fuente (puntuación neutra)</t>
        </is>
      </c>
      <c r="BU62" s="2" t="inlineStr">
        <is>
          <t xml:space="preserve">Excelente Ford ka 2015 con solo 99.000km ITV 07/27,  Etiqueta ambiental verde “C”, aire acondicionado, dirección, start Stop,  elevalunas electrónicos, rueda de repuesto 
</t>
        </is>
      </c>
      <c r="BV62" s="2" t="inlineStr">
        <is>
          <t>https://es.wallapop.com/item/ford-ka-2015-1317858980 (__NEXT_DATA__ item) /home/user/Alopecia/buscador-coches/raw/wallapop/bd33a58f731c5f77.json</t>
        </is>
      </c>
      <c r="BW62" s="3">
        <f>MAX(ANIO_ACTUAL-M62,0)</f>
        <v/>
      </c>
      <c r="BX62" s="4">
        <f>N62/MAX(BW62,0.5)</f>
        <v/>
      </c>
      <c r="BY62" s="4">
        <f>F62</f>
        <v/>
      </c>
      <c r="BZ62" s="3">
        <f>BY62&amp;"|"&amp;INT(M62/SEG_ANIO)*SEG_ANIO</f>
        <v/>
      </c>
      <c r="CA62" s="3">
        <f>BZ62&amp;"|"&amp;INT(N62/SEG_KM)*SEG_KM</f>
        <v/>
      </c>
      <c r="CB62" s="4">
        <f>COUNTIF($BY$2:$BY$209,BY62)</f>
        <v/>
      </c>
      <c r="CC62" s="4">
        <f>COUNTIF($BZ$2:$BZ$209,BZ62)</f>
        <v/>
      </c>
      <c r="CD62" s="4">
        <f>COUNTIF($CA$2:$CA$209,CA62)</f>
        <v/>
      </c>
      <c r="CE62" s="3">
        <f t="array" ref="CE62">IF(N(BQ62)&gt;=MIN_N,BP62,IF(CD62&gt;=MIN_N,MEDIAN(IF($CA$2:$CA$209=CA62,$O$2:$O$209)),IF(CC62&gt;=MIN_N,MEDIAN(IF($BZ$2:$BZ$209=BZ62,$O$2:$O$209)),MEDIAN(IF($BY$2:$BY$209=BY62,$O$2:$O$209)))))</f>
        <v/>
      </c>
      <c r="CF62" s="3">
        <f>IF(N(BQ62)&gt;=MIN_N,"mercado "&amp;BR62,IF(CD62&gt;=MIN_N,"modelo+año+km",IF(CC62&gt;=MIN_N,"modelo+año","modelo")))</f>
        <v/>
      </c>
      <c r="CG62" s="4">
        <f>(CE62-O62)/CE62</f>
        <v/>
      </c>
      <c r="CH62" s="3">
        <f>IF(COUNTIFS(FR_FUEL,K62,FR_YEAR,AP62)&gt;0,1,0)</f>
        <v/>
      </c>
      <c r="CI62" s="3">
        <f>IF(COUNTIFS(FR_FUEL,K62,FR_YEAR,AP62-1)&gt;0,1,0)</f>
        <v/>
      </c>
      <c r="CJ62" s="4">
        <f>IF(N(AQ62)&gt;0,AP62*100+AQ62,IF(AND(CH62=1,CI62=1),(AP62-1)*100+1,AP62*100+1))</f>
        <v/>
      </c>
      <c r="CK62" s="3">
        <f>IF(OR(K62="hibrido",K62="glp",K62="gnc",K62="phev"),"ECO",IF(K62="electrico","CERO",IF(K62="gasolina",IF(CJ62&gt;=GAS_C_YM,"C",IF(CJ62&gt;=GAS_B_YM,"B","A")),IF(K62="diesel",IF(CJ62&gt;=DIE_C_YM,"C",IF(CJ62&gt;=DIE_B_YM,"B","A")),""))))</f>
        <v/>
      </c>
      <c r="CL62" s="4">
        <f>CK62</f>
        <v/>
      </c>
      <c r="CM62" s="4">
        <f>IF(AU62="sí","sí",IF(AS62="regla",IF(AND(N(AQ62)=0,CH62=1),"sí","no"),"no"))</f>
        <v/>
      </c>
      <c r="CN62" s="3">
        <f>IFERROR(VLOOKUP(F62,MOD_TBL,16,0),IFERROR(VLOOKUP(E62,OCU_TBL,2,0),NEUTRO))</f>
        <v/>
      </c>
      <c r="CO62" s="3">
        <f>SUMIFS(MOT_AJUSTE,MOT_MOTOR,G62,MOT_MARCA,E62,MOT_DESDE,"&lt;="&amp;M62,MOT_HASTA,"&gt;="&amp;M62)+SUMIFS(MOT_AJUSTE,MOT_MOTOR,G62,MOT_MARCA,"(todas)",MOT_DESDE,"&lt;="&amp;M62,MOT_HASTA,"&gt;="&amp;M62)+SUMIFS(MOT_AJUSTE,MOT_MOTOR,"(cualquiera)",MOT_MARCA,E62,MOT_DESDE,"&lt;="&amp;M62,MOT_HASTA,"&gt;="&amp;M62)</f>
        <v/>
      </c>
      <c r="CP62" s="3">
        <f>SUMIFS(COMB_AJUSTE,COMB_COMB,K62)</f>
        <v/>
      </c>
      <c r="CQ62" s="3">
        <f>COUNTIFS(MOT_MOTOR,G62,MOT_MARCA,E62,MOT_DESDE,"&lt;="&amp;M62,MOT_HASTA,"&gt;="&amp;M62)+COUNTIFS(MOT_MOTOR,G62,MOT_MARCA,"(todas)",MOT_DESDE,"&lt;="&amp;M62,MOT_HASTA,"&gt;="&amp;M62)+COUNTIFS(MOT_MOTOR,"(cualquiera)",MOT_MARCA,E62,MOT_DESDE,"&lt;="&amp;M62,MOT_HASTA,"&gt;="&amp;M62)</f>
        <v/>
      </c>
      <c r="CR62" s="3">
        <f>IF(AND(K62="diesel",CQ62=0),MIN(CN62,NEUTRO),CN62)</f>
        <v/>
      </c>
      <c r="CS62" s="3">
        <f>MAX(0,MIN(100,CR62+CO62+CP62-IF(AX62="sí",ROB_PEN,0)))</f>
        <v/>
      </c>
      <c r="CT62" s="3">
        <f>100-MAX(0,N62-KM_TOPE_DESDE)/1000*KM_TOPE_PTS</f>
        <v/>
      </c>
      <c r="CU62" s="3">
        <f>MAX(0,MIN(100,50+CG62*PRECIO_PEND,CT62))</f>
        <v/>
      </c>
      <c r="CV62" s="3">
        <f>MAX(0,100*(1-N62/KM_MAX))</f>
        <v/>
      </c>
      <c r="CW62" s="3">
        <f>IF(BX62&lt;KMA_SOSP,IF(AA62="sí",100,KMA_PEN),IF(BX62&lt;=KMA_IDEAL_MAX,100,MAX(0,100*(KMA_CERO-BX62)/(KMA_CERO-KMA_IDEAL_MAX))))</f>
        <v/>
      </c>
      <c r="CX62" s="3">
        <f>MAX(0,MIN(100,100*(M62-ANIO_MIN)/(ANIO_ACTUAL-ANIO_MIN)))</f>
        <v/>
      </c>
      <c r="CY62" s="3">
        <f>W_KMT*CV62+W_KMA*CW62+W_EDAD*CX62</f>
        <v/>
      </c>
      <c r="CZ62" s="4">
        <f>E62&amp;"|"&amp;G62</f>
        <v/>
      </c>
      <c r="DA62" s="3">
        <f>IFERROR(VLOOKUP(CZ62,DIST_TBL,2,0),"")</f>
        <v/>
      </c>
      <c r="DB62" s="3">
        <f>E_ITV*(V62="sí")+E_LIBRO*(W62="sí")+E_PROP*IF(Y62=1,1,IF(Y62=2,0.5,0))+E_CORREA*IF(OR(DA62="cadena",AND(X62="sí",BH62="sí")),1,IF(X62="sí",0.5,0))+E_FACT*(BI62="sí")</f>
        <v/>
      </c>
      <c r="DC62" s="3">
        <f>MAX(0,MIN(100,IFERROR(VLOOKUP(CL62,ETQ_TBL,2,0),0)-IF(CM62="sí",ETQ_PEN_DUD,IF(AS62="regla",ETQ_PEN_REGLA,0))))</f>
        <v/>
      </c>
      <c r="DD62" s="3">
        <f>IF(K62&lt;&gt;"gasolina","",IFERROR(VLOOKUP(F62,CONS_MOD_TBL,2,0),IFERROR(VLOOKUP(L62,CONS_SEG_TBL,2,0),"")))</f>
        <v/>
      </c>
      <c r="DE62" s="3">
        <f>IF(DD62="",NEUTRO,MAX(0,MIN(100,100*(CONS_REF_MAX-DD62)/(CONS_REF_MAX-CONS_REF_MIN))))</f>
        <v/>
      </c>
      <c r="DF62" s="3">
        <f>IFERROR(VLOOKUP(L62,SEGURO_TBL,3,0),"")</f>
        <v/>
      </c>
      <c r="DG62" s="3">
        <f>IF(DF62="",NEUTRO,MAX(0,MIN(100,100*(SEG_REF_MAX-DF62)/(SEG_REF_MAX-SEG_REF_MIN))))</f>
        <v/>
      </c>
      <c r="DH62" s="3">
        <f>IFERROR(VLOOKUP(E62,MANT_MARCA_TBL,2,0)+0,NEUTRO)</f>
        <v/>
      </c>
      <c r="DI62" s="3">
        <f>IF(DA62="",NEUTRO,IFERROR(VLOOKUP(DA62,DIST_PTS_TBL,2,0)+0,NEUTRO))</f>
        <v/>
      </c>
      <c r="DJ62" s="4">
        <f>(DH62+DI62)/2</f>
        <v/>
      </c>
      <c r="DK62" s="3">
        <f>W_CONS*DE62+W_SEG*DG62+W_MANT*DJ62</f>
        <v/>
      </c>
      <c r="DL62" s="3">
        <f>IF(N(AB62)&gt;0,AB62,IF(AND(R62="profesional",SG_LEGAL_ON=1),GAR_LEGAL,0))</f>
        <v/>
      </c>
      <c r="DM62" s="3">
        <f>MAX(0,MIN(100,SG_GAR*MIN(1,DL62/SG_GAR_FULL)+SG_AMPL*(AC62="sí")+SG_KMC*(AF62="sí")+SG_REV*(N(AE62)&gt;0)+SG_DEV*MIN(1,N(AG62)/SG_DEV_FULL)+SG_HIST*(W62="sí")-IF(AND(R62="particular",DL62=0),SG_PART_PEN,0)))</f>
        <v/>
      </c>
      <c r="DN62" s="3">
        <f>IF(BK62="",NEUTRO,MAX(0,MIN(100,BK62/5*100)))</f>
        <v/>
      </c>
      <c r="DO62" s="3">
        <f>IF(BL62="sí",100,IF(BL62="no",0,NEUTRO))</f>
        <v/>
      </c>
      <c r="DP62" s="3">
        <f>SV_W_NCAP*DN62+SV_W_ESP*DO62</f>
        <v/>
      </c>
      <c r="DQ62" s="3">
        <f>MAX(0,MIN(100,ATR_BASE+ATR_ACAB*(BD62&lt;&gt;"")+IF(BE62="16+",ATR_LL16,IF(BE62="sí",ATR_LL,0))+ATR_FAROS*(BF62="sí")+ATR_TINT*(BG62="sí")-ATR_CHAPA*(BE62="chapa")))</f>
        <v/>
      </c>
      <c r="DR62" s="3">
        <f>EST_W_MOD*(BB62-1)/4*100+EST_W_ATR*DQ62</f>
        <v/>
      </c>
      <c r="DS62" s="3">
        <f>IF(BA62="",NEUTRO,IFERROR(VLOOKUP(BA62,COLOR_TBL,2,0)+0,NEUTRO))</f>
        <v/>
      </c>
      <c r="DT62" s="3">
        <f>MAX(0,MIN(100,100*N(BM62)/RV_N_FULL))</f>
        <v/>
      </c>
      <c r="DU62" s="3">
        <f>IF(OR(BN62="",N(BO62)&lt;RV_DIAS_MIN),NEUTRO,MAX(0,MIN(100,100*(RV_DIAS_CERO-BN62)/(RV_DIAS_CERO-RV_DIAS_FULL))))</f>
        <v/>
      </c>
      <c r="DV62" s="3">
        <f>RV_W_LIQ*DT62+RV_W_DIAS*DU62+RV_W_ETQ*DC62</f>
        <v/>
      </c>
      <c r="DW62" s="3">
        <f>IFERROR(VLOOKUP(L62,CARR_PEN_TBL,2,0),0)</f>
        <v/>
      </c>
      <c r="DX62" s="3">
        <f>W_FIAB*CS62+W_PRECIO*CU62+W_KMEDAD*CY62+W_ESTADO*DB62+W_USO*DK62+W_SEGURIDAD*DM62+W_SEGVIAL*DP62+W_ESTETICA*DR62+W_COLOR*DS62+W_REVENTA*DV62-DW62-EG62</f>
        <v/>
      </c>
      <c r="DY62" s="4">
        <f>IF(N(I62)&gt;0,I62,IFERROR(ROUND(_xlfn.NUMBERVALUE(LEFT(G62,FIND(" ",G62&amp;" ")-1),".")*1000,0),99999))</f>
        <v/>
      </c>
      <c r="DZ62" s="3">
        <f>IF(R62="profesional",0,IF(O62&lt;CUOTA_VALOR_MAX,IF(BW62&gt;ITP_TRAMO_ALTO,SUMIFS(CF_CUOTA,CF_MAS,ITP_TRAMO_ALTO,CF_CCMIN,"&lt;="&amp;DY62,CF_CCMAX,"&gt;="&amp;DY62),IF(BW62&gt;ITP_TRAMO_BAJO,SUMIFS(CF_CUOTA,CF_MAS,ITP_TRAMO_BAJO,CF_CCMIN,"&lt;="&amp;DY62,CF_CCMAX,"&gt;="&amp;DY62),O62*ITP_TIPO)),O62*ITP_TIPO))</f>
        <v/>
      </c>
      <c r="EA62" s="4">
        <f>IF(R62="profesional",N(AK62),0)</f>
        <v/>
      </c>
      <c r="EB62" s="3">
        <f>IF(AND(R62="profesional",ISNUMBER(AK62),AL62="sí"),0,TASA_DGT)</f>
        <v/>
      </c>
      <c r="EC62" s="3">
        <f>INFORME_DGT</f>
        <v/>
      </c>
      <c r="ED62" s="4">
        <f>O62+EA62+DZ62+EB62+EC62</f>
        <v/>
      </c>
      <c r="EE62" s="4">
        <f>ED62+N(DF62)</f>
        <v/>
      </c>
      <c r="EF62" s="3">
        <f>MAX(0,ED62-TOTAL_MAX)</f>
        <v/>
      </c>
      <c r="EG62" s="3">
        <f>EF62/100*PEN_100</f>
        <v/>
      </c>
      <c r="EH62" s="3">
        <f>IF(R62="particular",ED62+IF(AND(DA62&lt;&gt;"cadena",X62&lt;&gt;"sí"),RES_CORREA,0)+IF(AND(BJ62&lt;&gt;"sí",BW62&gt;=RES_NEUM_EDAD),RES_NEUM,0),"")</f>
        <v/>
      </c>
      <c r="EI62" s="3">
        <f>IF(ED62&lt;=TOTAL_MAX,"sí",IF(ED62&lt;=TECHO,"negociar","no"))</f>
        <v/>
      </c>
      <c r="EJ62" s="4">
        <f>ROUND(DX62,9)</f>
        <v/>
      </c>
      <c r="EK62" s="4">
        <f>IF(EI62&lt;&gt;"no",SUMPRODUCT(($EI$2:$EI$209&lt;&gt;"no")*($EJ$2:$EJ$209&gt;EJ62))+SUMPRODUCT(($EI$2:EI62&lt;&gt;"no")*($EJ$2:EJ62=EJ62)),"")</f>
        <v/>
      </c>
    </row>
    <row r="63">
      <c r="A63" s="2" t="inlineStr">
        <is>
          <t>wallapop:1313124669</t>
        </is>
      </c>
      <c r="B63" s="2" t="inlineStr">
        <is>
          <t>wallapop</t>
        </is>
      </c>
      <c r="C63" s="2" t="inlineStr">
        <is>
          <t>https://es.wallapop.com/item/fiat-punto-2006-1313124669</t>
        </is>
      </c>
      <c r="D63" s="2" t="inlineStr">
        <is>
          <t>FIAT Punto 2006</t>
        </is>
      </c>
      <c r="E63" s="2" t="inlineStr">
        <is>
          <t>Fiat</t>
        </is>
      </c>
      <c r="F63" s="2" t="inlineStr">
        <is>
          <t>Fiat Punto</t>
        </is>
      </c>
      <c r="G63" s="2" t="inlineStr">
        <is>
          <t>1.4</t>
        </is>
      </c>
      <c r="H63" s="2" t="inlineStr">
        <is>
          <t>Grande 1.4 16v 95 Sport 3p</t>
        </is>
      </c>
      <c r="I63" s="2" t="n"/>
      <c r="J63" s="2" t="n">
        <v>95</v>
      </c>
      <c r="K63" s="2" t="inlineStr">
        <is>
          <t>gasolina</t>
        </is>
      </c>
      <c r="L63" s="2" t="inlineStr">
        <is>
          <t>utilitario</t>
        </is>
      </c>
      <c r="M63" s="2" t="n">
        <v>2006</v>
      </c>
      <c r="N63" s="2" t="n">
        <v>201000</v>
      </c>
      <c r="O63" s="2" t="n">
        <v>2999</v>
      </c>
      <c r="P63" s="2" t="inlineStr">
        <is>
          <t>manual</t>
        </is>
      </c>
      <c r="Q63" s="2" t="inlineStr">
        <is>
          <t>no</t>
        </is>
      </c>
      <c r="R63" s="2" t="inlineStr">
        <is>
          <t>profesional</t>
        </is>
      </c>
      <c r="S63" s="2" t="inlineStr">
        <is>
          <t>Torrent (46900)</t>
        </is>
      </c>
      <c r="T63" s="2" t="inlineStr">
        <is>
          <t>2026-10-15T09:42:12</t>
        </is>
      </c>
      <c r="U63" s="2" t="n">
        <v>19</v>
      </c>
      <c r="V63" s="2" t="n"/>
      <c r="W63" s="2" t="n"/>
      <c r="X63" s="2" t="n"/>
      <c r="Y63" s="2" t="n"/>
      <c r="Z63" s="2" t="n"/>
      <c r="AA63" s="2" t="n"/>
      <c r="AB63" s="2" t="n"/>
      <c r="AC63" s="2" t="n"/>
      <c r="AD63" s="2" t="n"/>
      <c r="AE63" s="2" t="n"/>
      <c r="AF63" s="2" t="n"/>
      <c r="AG63" s="2" t="n"/>
      <c r="AH63" s="2" t="n"/>
      <c r="AI63" s="2" t="n"/>
      <c r="AJ63" s="2" t="n"/>
      <c r="AK63" s="2" t="n"/>
      <c r="AL63" s="2" t="n"/>
      <c r="AM63" s="2" t="n">
        <v>9.300000000000001</v>
      </c>
      <c r="AN63" s="2" t="n"/>
      <c r="AO63" s="2" t="inlineStr">
        <is>
          <t>2006</t>
        </is>
      </c>
      <c r="AP63" s="2" t="n">
        <v>2006</v>
      </c>
      <c r="AQ63" s="2" t="n"/>
      <c r="AR63" s="2" t="n"/>
      <c r="AS63" s="2" t="inlineStr">
        <is>
          <t>regla</t>
        </is>
      </c>
      <c r="AT63" s="2" t="n"/>
      <c r="AU63" s="2" t="inlineStr">
        <is>
          <t>no</t>
        </is>
      </c>
      <c r="AV63" s="2" t="inlineStr">
        <is>
          <t>C</t>
        </is>
      </c>
      <c r="AW63" s="2" t="n"/>
      <c r="AX63" s="2" t="inlineStr">
        <is>
          <t>no</t>
        </is>
      </c>
      <c r="AY63" s="2" t="inlineStr">
        <is>
          <t>no</t>
        </is>
      </c>
      <c r="AZ63" s="2" t="n"/>
      <c r="BA63" s="2" t="n"/>
      <c r="BB63" s="3" t="n">
        <v>2</v>
      </c>
      <c r="BC63" s="3" t="inlineStr">
        <is>
          <t>(por segmento)</t>
        </is>
      </c>
      <c r="BD63" s="2" t="inlineStr">
        <is>
          <t>sport</t>
        </is>
      </c>
      <c r="BE63" s="2" t="n"/>
      <c r="BF63" s="2" t="n"/>
      <c r="BG63" s="2" t="n"/>
      <c r="BH63" s="2" t="n"/>
      <c r="BI63" s="2" t="n"/>
      <c r="BJ63" s="2" t="n"/>
      <c r="BK63" s="2" t="n">
        <v>5</v>
      </c>
      <c r="BL63" s="2" t="inlineStr">
        <is>
          <t>sí</t>
        </is>
      </c>
      <c r="BM63" s="2" t="n">
        <v>134</v>
      </c>
      <c r="BN63" s="2" t="n">
        <v>0.02563078701496124</v>
      </c>
      <c r="BO63" s="2" t="n">
        <v>4</v>
      </c>
      <c r="BP63" s="2" t="n"/>
      <c r="BQ63" s="2" t="n"/>
      <c r="BR63" s="2" t="n"/>
      <c r="BS63" s="2" t="n"/>
      <c r="BT63" s="2" t="inlineStr">
        <is>
          <t>vendedor profesional: sin ITP (operación con IVA/REBU, confirmar en factura); gastos de gestión del vendedor no indicados: se suma la tasa DGT; preguntar el precio final; etiqueta C deducida por fecha (sin matrícula ni dato del anuncio); revisar: no menciona la ITV; fiabilidad del modelo PENDIENTE de fuente (puntuación neutra)</t>
        </is>
      </c>
      <c r="BU63" s="2" t="inlineStr">
        <is>
          <t>SE VENDE 
CON 1AÑO DE GARANTÍA 
CON POSIBILIDAD DE TRANSPORTAR A CUALQUIER PUNTO 
SE ENTREGA CON SUS MANTENIMIENTO ECHOS 
EXTRAS 
CLIMA 
LLANTAS 
DIRECCIÓN ASISTIDA 
ELEVALUNAS ELÉCTRICOS 
RETROVISORES ELÉCTRICOS 
AIBAG 
ABS
ESP
SISTEMA DE AUDIO 
ASIENTOS DEPORTIVOS 
ORDENADOR A BORDO 
VOLANTE MULTIFUNCION 
ECT,,</t>
        </is>
      </c>
      <c r="BV63" s="2" t="inlineStr">
        <is>
          <t>https://es.wallapop.com/item/fiat-punto-2006-1313124669 (__NEXT_DATA__ item) /home/user/Alopecia/buscador-coches/raw/wallapop/1a5864ca0bb0dab6.json</t>
        </is>
      </c>
      <c r="BW63" s="3">
        <f>MAX(ANIO_ACTUAL-M63,0)</f>
        <v/>
      </c>
      <c r="BX63" s="4">
        <f>N63/MAX(BW63,0.5)</f>
        <v/>
      </c>
      <c r="BY63" s="4">
        <f>F63</f>
        <v/>
      </c>
      <c r="BZ63" s="3">
        <f>BY63&amp;"|"&amp;INT(M63/SEG_ANIO)*SEG_ANIO</f>
        <v/>
      </c>
      <c r="CA63" s="3">
        <f>BZ63&amp;"|"&amp;INT(N63/SEG_KM)*SEG_KM</f>
        <v/>
      </c>
      <c r="CB63" s="4">
        <f>COUNTIF($BY$2:$BY$209,BY63)</f>
        <v/>
      </c>
      <c r="CC63" s="4">
        <f>COUNTIF($BZ$2:$BZ$209,BZ63)</f>
        <v/>
      </c>
      <c r="CD63" s="4">
        <f>COUNTIF($CA$2:$CA$209,CA63)</f>
        <v/>
      </c>
      <c r="CE63" s="3">
        <f t="array" ref="CE63">IF(N(BQ63)&gt;=MIN_N,BP63,IF(CD63&gt;=MIN_N,MEDIAN(IF($CA$2:$CA$209=CA63,$O$2:$O$209)),IF(CC63&gt;=MIN_N,MEDIAN(IF($BZ$2:$BZ$209=BZ63,$O$2:$O$209)),MEDIAN(IF($BY$2:$BY$209=BY63,$O$2:$O$209)))))</f>
        <v/>
      </c>
      <c r="CF63" s="3">
        <f>IF(N(BQ63)&gt;=MIN_N,"mercado "&amp;BR63,IF(CD63&gt;=MIN_N,"modelo+año+km",IF(CC63&gt;=MIN_N,"modelo+año","modelo")))</f>
        <v/>
      </c>
      <c r="CG63" s="4">
        <f>(CE63-O63)/CE63</f>
        <v/>
      </c>
      <c r="CH63" s="3">
        <f>IF(COUNTIFS(FR_FUEL,K63,FR_YEAR,AP63)&gt;0,1,0)</f>
        <v/>
      </c>
      <c r="CI63" s="3">
        <f>IF(COUNTIFS(FR_FUEL,K63,FR_YEAR,AP63-1)&gt;0,1,0)</f>
        <v/>
      </c>
      <c r="CJ63" s="4">
        <f>IF(N(AQ63)&gt;0,AP63*100+AQ63,IF(AND(CH63=1,CI63=1),(AP63-1)*100+1,AP63*100+1))</f>
        <v/>
      </c>
      <c r="CK63" s="3">
        <f>IF(OR(K63="hibrido",K63="glp",K63="gnc",K63="phev"),"ECO",IF(K63="electrico","CERO",IF(K63="gasolina",IF(CJ63&gt;=GAS_C_YM,"C",IF(CJ63&gt;=GAS_B_YM,"B","A")),IF(K63="diesel",IF(CJ63&gt;=DIE_C_YM,"C",IF(CJ63&gt;=DIE_B_YM,"B","A")),""))))</f>
        <v/>
      </c>
      <c r="CL63" s="4">
        <f>CK63</f>
        <v/>
      </c>
      <c r="CM63" s="4">
        <f>IF(AU63="sí","sí",IF(AS63="regla",IF(AND(N(AQ63)=0,CH63=1),"sí","no"),"no"))</f>
        <v/>
      </c>
      <c r="CN63" s="3">
        <f>IFERROR(VLOOKUP(F63,MOD_TBL,16,0),IFERROR(VLOOKUP(E63,OCU_TBL,2,0),NEUTRO))</f>
        <v/>
      </c>
      <c r="CO63" s="3">
        <f>SUMIFS(MOT_AJUSTE,MOT_MOTOR,G63,MOT_MARCA,E63,MOT_DESDE,"&lt;="&amp;M63,MOT_HASTA,"&gt;="&amp;M63)+SUMIFS(MOT_AJUSTE,MOT_MOTOR,G63,MOT_MARCA,"(todas)",MOT_DESDE,"&lt;="&amp;M63,MOT_HASTA,"&gt;="&amp;M63)+SUMIFS(MOT_AJUSTE,MOT_MOTOR,"(cualquiera)",MOT_MARCA,E63,MOT_DESDE,"&lt;="&amp;M63,MOT_HASTA,"&gt;="&amp;M63)</f>
        <v/>
      </c>
      <c r="CP63" s="3">
        <f>SUMIFS(COMB_AJUSTE,COMB_COMB,K63)</f>
        <v/>
      </c>
      <c r="CQ63" s="3">
        <f>COUNTIFS(MOT_MOTOR,G63,MOT_MARCA,E63,MOT_DESDE,"&lt;="&amp;M63,MOT_HASTA,"&gt;="&amp;M63)+COUNTIFS(MOT_MOTOR,G63,MOT_MARCA,"(todas)",MOT_DESDE,"&lt;="&amp;M63,MOT_HASTA,"&gt;="&amp;M63)+COUNTIFS(MOT_MOTOR,"(cualquiera)",MOT_MARCA,E63,MOT_DESDE,"&lt;="&amp;M63,MOT_HASTA,"&gt;="&amp;M63)</f>
        <v/>
      </c>
      <c r="CR63" s="3">
        <f>IF(AND(K63="diesel",CQ63=0),MIN(CN63,NEUTRO),CN63)</f>
        <v/>
      </c>
      <c r="CS63" s="3">
        <f>MAX(0,MIN(100,CR63+CO63+CP63-IF(AX63="sí",ROB_PEN,0)))</f>
        <v/>
      </c>
      <c r="CT63" s="3">
        <f>100-MAX(0,N63-KM_TOPE_DESDE)/1000*KM_TOPE_PTS</f>
        <v/>
      </c>
      <c r="CU63" s="3">
        <f>MAX(0,MIN(100,50+CG63*PRECIO_PEND,CT63))</f>
        <v/>
      </c>
      <c r="CV63" s="3">
        <f>MAX(0,100*(1-N63/KM_MAX))</f>
        <v/>
      </c>
      <c r="CW63" s="3">
        <f>IF(BX63&lt;KMA_SOSP,IF(AA63="sí",100,KMA_PEN),IF(BX63&lt;=KMA_IDEAL_MAX,100,MAX(0,100*(KMA_CERO-BX63)/(KMA_CERO-KMA_IDEAL_MAX))))</f>
        <v/>
      </c>
      <c r="CX63" s="3">
        <f>MAX(0,MIN(100,100*(M63-ANIO_MIN)/(ANIO_ACTUAL-ANIO_MIN)))</f>
        <v/>
      </c>
      <c r="CY63" s="3">
        <f>W_KMT*CV63+W_KMA*CW63+W_EDAD*CX63</f>
        <v/>
      </c>
      <c r="CZ63" s="4">
        <f>E63&amp;"|"&amp;G63</f>
        <v/>
      </c>
      <c r="DA63" s="3">
        <f>IFERROR(VLOOKUP(CZ63,DIST_TBL,2,0),"")</f>
        <v/>
      </c>
      <c r="DB63" s="3">
        <f>E_ITV*(V63="sí")+E_LIBRO*(W63="sí")+E_PROP*IF(Y63=1,1,IF(Y63=2,0.5,0))+E_CORREA*IF(OR(DA63="cadena",AND(X63="sí",BH63="sí")),1,IF(X63="sí",0.5,0))+E_FACT*(BI63="sí")</f>
        <v/>
      </c>
      <c r="DC63" s="3">
        <f>MAX(0,MIN(100,IFERROR(VLOOKUP(CL63,ETQ_TBL,2,0),0)-IF(CM63="sí",ETQ_PEN_DUD,IF(AS63="regla",ETQ_PEN_REGLA,0))))</f>
        <v/>
      </c>
      <c r="DD63" s="3">
        <f>IF(K63&lt;&gt;"gasolina","",IFERROR(VLOOKUP(F63,CONS_MOD_TBL,2,0),IFERROR(VLOOKUP(L63,CONS_SEG_TBL,2,0),"")))</f>
        <v/>
      </c>
      <c r="DE63" s="3">
        <f>IF(DD63="",NEUTRO,MAX(0,MIN(100,100*(CONS_REF_MAX-DD63)/(CONS_REF_MAX-CONS_REF_MIN))))</f>
        <v/>
      </c>
      <c r="DF63" s="3">
        <f>IFERROR(VLOOKUP(L63,SEGURO_TBL,3,0),"")</f>
        <v/>
      </c>
      <c r="DG63" s="3">
        <f>IF(DF63="",NEUTRO,MAX(0,MIN(100,100*(SEG_REF_MAX-DF63)/(SEG_REF_MAX-SEG_REF_MIN))))</f>
        <v/>
      </c>
      <c r="DH63" s="3">
        <f>IFERROR(VLOOKUP(E63,MANT_MARCA_TBL,2,0)+0,NEUTRO)</f>
        <v/>
      </c>
      <c r="DI63" s="3">
        <f>IF(DA63="",NEUTRO,IFERROR(VLOOKUP(DA63,DIST_PTS_TBL,2,0)+0,NEUTRO))</f>
        <v/>
      </c>
      <c r="DJ63" s="4">
        <f>(DH63+DI63)/2</f>
        <v/>
      </c>
      <c r="DK63" s="3">
        <f>W_CONS*DE63+W_SEG*DG63+W_MANT*DJ63</f>
        <v/>
      </c>
      <c r="DL63" s="3">
        <f>IF(N(AB63)&gt;0,AB63,IF(AND(R63="profesional",SG_LEGAL_ON=1),GAR_LEGAL,0))</f>
        <v/>
      </c>
      <c r="DM63" s="3">
        <f>MAX(0,MIN(100,SG_GAR*MIN(1,DL63/SG_GAR_FULL)+SG_AMPL*(AC63="sí")+SG_KMC*(AF63="sí")+SG_REV*(N(AE63)&gt;0)+SG_DEV*MIN(1,N(AG63)/SG_DEV_FULL)+SG_HIST*(W63="sí")-IF(AND(R63="particular",DL63=0),SG_PART_PEN,0)))</f>
        <v/>
      </c>
      <c r="DN63" s="3">
        <f>IF(BK63="",NEUTRO,MAX(0,MIN(100,BK63/5*100)))</f>
        <v/>
      </c>
      <c r="DO63" s="3">
        <f>IF(BL63="sí",100,IF(BL63="no",0,NEUTRO))</f>
        <v/>
      </c>
      <c r="DP63" s="3">
        <f>SV_W_NCAP*DN63+SV_W_ESP*DO63</f>
        <v/>
      </c>
      <c r="DQ63" s="3">
        <f>MAX(0,MIN(100,ATR_BASE+ATR_ACAB*(BD63&lt;&gt;"")+IF(BE63="16+",ATR_LL16,IF(BE63="sí",ATR_LL,0))+ATR_FAROS*(BF63="sí")+ATR_TINT*(BG63="sí")-ATR_CHAPA*(BE63="chapa")))</f>
        <v/>
      </c>
      <c r="DR63" s="3">
        <f>EST_W_MOD*(BB63-1)/4*100+EST_W_ATR*DQ63</f>
        <v/>
      </c>
      <c r="DS63" s="3">
        <f>IF(BA63="",NEUTRO,IFERROR(VLOOKUP(BA63,COLOR_TBL,2,0)+0,NEUTRO))</f>
        <v/>
      </c>
      <c r="DT63" s="3">
        <f>MAX(0,MIN(100,100*N(BM63)/RV_N_FULL))</f>
        <v/>
      </c>
      <c r="DU63" s="3">
        <f>IF(OR(BN63="",N(BO63)&lt;RV_DIAS_MIN),NEUTRO,MAX(0,MIN(100,100*(RV_DIAS_CERO-BN63)/(RV_DIAS_CERO-RV_DIAS_FULL))))</f>
        <v/>
      </c>
      <c r="DV63" s="3">
        <f>RV_W_LIQ*DT63+RV_W_DIAS*DU63+RV_W_ETQ*DC63</f>
        <v/>
      </c>
      <c r="DW63" s="3">
        <f>IFERROR(VLOOKUP(L63,CARR_PEN_TBL,2,0),0)</f>
        <v/>
      </c>
      <c r="DX63" s="3">
        <f>W_FIAB*CS63+W_PRECIO*CU63+W_KMEDAD*CY63+W_ESTADO*DB63+W_USO*DK63+W_SEGURIDAD*DM63+W_SEGVIAL*DP63+W_ESTETICA*DR63+W_COLOR*DS63+W_REVENTA*DV63-DW63-EG63</f>
        <v/>
      </c>
      <c r="DY63" s="4">
        <f>IF(N(I63)&gt;0,I63,IFERROR(ROUND(_xlfn.NUMBERVALUE(LEFT(G63,FIND(" ",G63&amp;" ")-1),".")*1000,0),99999))</f>
        <v/>
      </c>
      <c r="DZ63" s="3">
        <f>IF(R63="profesional",0,IF(O63&lt;CUOTA_VALOR_MAX,IF(BW63&gt;ITP_TRAMO_ALTO,SUMIFS(CF_CUOTA,CF_MAS,ITP_TRAMO_ALTO,CF_CCMIN,"&lt;="&amp;DY63,CF_CCMAX,"&gt;="&amp;DY63),IF(BW63&gt;ITP_TRAMO_BAJO,SUMIFS(CF_CUOTA,CF_MAS,ITP_TRAMO_BAJO,CF_CCMIN,"&lt;="&amp;DY63,CF_CCMAX,"&gt;="&amp;DY63),O63*ITP_TIPO)),O63*ITP_TIPO))</f>
        <v/>
      </c>
      <c r="EA63" s="4">
        <f>IF(R63="profesional",N(AK63),0)</f>
        <v/>
      </c>
      <c r="EB63" s="3">
        <f>IF(AND(R63="profesional",ISNUMBER(AK63),AL63="sí"),0,TASA_DGT)</f>
        <v/>
      </c>
      <c r="EC63" s="3">
        <f>INFORME_DGT</f>
        <v/>
      </c>
      <c r="ED63" s="4">
        <f>O63+EA63+DZ63+EB63+EC63</f>
        <v/>
      </c>
      <c r="EE63" s="4">
        <f>ED63+N(DF63)</f>
        <v/>
      </c>
      <c r="EF63" s="3">
        <f>MAX(0,ED63-TOTAL_MAX)</f>
        <v/>
      </c>
      <c r="EG63" s="3">
        <f>EF63/100*PEN_100</f>
        <v/>
      </c>
      <c r="EH63" s="3">
        <f>IF(R63="particular",ED63+IF(AND(DA63&lt;&gt;"cadena",X63&lt;&gt;"sí"),RES_CORREA,0)+IF(AND(BJ63&lt;&gt;"sí",BW63&gt;=RES_NEUM_EDAD),RES_NEUM,0),"")</f>
        <v/>
      </c>
      <c r="EI63" s="3">
        <f>IF(ED63&lt;=TOTAL_MAX,"sí",IF(ED63&lt;=TECHO,"negociar","no"))</f>
        <v/>
      </c>
      <c r="EJ63" s="4">
        <f>ROUND(DX63,9)</f>
        <v/>
      </c>
      <c r="EK63" s="4">
        <f>IF(EI63&lt;&gt;"no",SUMPRODUCT(($EI$2:$EI$209&lt;&gt;"no")*($EJ$2:$EJ$209&gt;EJ63))+SUMPRODUCT(($EI$2:EI63&lt;&gt;"no")*($EJ$2:EJ63=EJ63)),"")</f>
        <v/>
      </c>
    </row>
    <row r="64">
      <c r="A64" s="2" t="inlineStr">
        <is>
          <t>wallapop:1308782246</t>
        </is>
      </c>
      <c r="B64" s="2" t="inlineStr">
        <is>
          <t>wallapop</t>
        </is>
      </c>
      <c r="C64" s="2" t="inlineStr">
        <is>
          <t>https://es.wallapop.com/item/fiat-punto-2007-1308782246</t>
        </is>
      </c>
      <c r="D64" s="2" t="inlineStr">
        <is>
          <t>FIAT Punto 2007</t>
        </is>
      </c>
      <c r="E64" s="2" t="inlineStr">
        <is>
          <t>Fiat</t>
        </is>
      </c>
      <c r="F64" s="2" t="inlineStr">
        <is>
          <t>Fiat Punto</t>
        </is>
      </c>
      <c r="G64" s="2" t="inlineStr">
        <is>
          <t>1.4</t>
        </is>
      </c>
      <c r="H64" s="2" t="inlineStr">
        <is>
          <t>Grande 1.4 16v 95 Dynamic 3p</t>
        </is>
      </c>
      <c r="I64" s="2" t="n"/>
      <c r="J64" s="2" t="n">
        <v>95</v>
      </c>
      <c r="K64" s="2" t="inlineStr">
        <is>
          <t>gasolina</t>
        </is>
      </c>
      <c r="L64" s="2" t="inlineStr">
        <is>
          <t>utilitario</t>
        </is>
      </c>
      <c r="M64" s="2" t="n">
        <v>2007</v>
      </c>
      <c r="N64" s="2" t="n">
        <v>179000</v>
      </c>
      <c r="O64" s="2" t="n">
        <v>3499</v>
      </c>
      <c r="P64" s="2" t="inlineStr">
        <is>
          <t>manual</t>
        </is>
      </c>
      <c r="Q64" s="2" t="inlineStr">
        <is>
          <t>no</t>
        </is>
      </c>
      <c r="R64" s="2" t="inlineStr">
        <is>
          <t>profesional</t>
        </is>
      </c>
      <c r="S64" s="2" t="inlineStr">
        <is>
          <t>Torrent (46900)</t>
        </is>
      </c>
      <c r="T64" s="2" t="inlineStr">
        <is>
          <t>2026-10-14T16:15:36</t>
        </is>
      </c>
      <c r="U64" s="2" t="n">
        <v>10</v>
      </c>
      <c r="V64" s="2" t="n"/>
      <c r="W64" s="2" t="n"/>
      <c r="X64" s="2" t="n"/>
      <c r="Y64" s="2" t="n"/>
      <c r="Z64" s="2" t="n"/>
      <c r="AA64" s="2" t="n"/>
      <c r="AB64" s="2" t="n"/>
      <c r="AC64" s="2" t="n"/>
      <c r="AD64" s="2" t="n"/>
      <c r="AE64" s="2" t="n"/>
      <c r="AF64" s="2" t="n"/>
      <c r="AG64" s="2" t="n"/>
      <c r="AH64" s="2" t="n"/>
      <c r="AI64" s="2" t="n"/>
      <c r="AJ64" s="2" t="n"/>
      <c r="AK64" s="2" t="n"/>
      <c r="AL64" s="2" t="n"/>
      <c r="AM64" s="2" t="n">
        <v>9.300000000000001</v>
      </c>
      <c r="AN64" s="2" t="n"/>
      <c r="AO64" s="2" t="inlineStr">
        <is>
          <t>2007</t>
        </is>
      </c>
      <c r="AP64" s="2" t="n">
        <v>2007</v>
      </c>
      <c r="AQ64" s="2" t="n"/>
      <c r="AR64" s="2" t="n"/>
      <c r="AS64" s="2" t="inlineStr">
        <is>
          <t>regla</t>
        </is>
      </c>
      <c r="AT64" s="2" t="n"/>
      <c r="AU64" s="2" t="inlineStr">
        <is>
          <t>no</t>
        </is>
      </c>
      <c r="AV64" s="2" t="inlineStr">
        <is>
          <t>C</t>
        </is>
      </c>
      <c r="AW64" s="2" t="n"/>
      <c r="AX64" s="2" t="inlineStr">
        <is>
          <t>no</t>
        </is>
      </c>
      <c r="AY64" s="2" t="inlineStr">
        <is>
          <t>no</t>
        </is>
      </c>
      <c r="AZ64" s="2" t="n"/>
      <c r="BA64" s="2" t="n"/>
      <c r="BB64" s="3" t="n">
        <v>2</v>
      </c>
      <c r="BC64" s="3" t="inlineStr">
        <is>
          <t>(por segmento)</t>
        </is>
      </c>
      <c r="BD64" s="2" t="n"/>
      <c r="BE64" s="2" t="n"/>
      <c r="BF64" s="2" t="n"/>
      <c r="BG64" s="2" t="n"/>
      <c r="BH64" s="2" t="n"/>
      <c r="BI64" s="2" t="n"/>
      <c r="BJ64" s="2" t="n"/>
      <c r="BK64" s="2" t="n">
        <v>5</v>
      </c>
      <c r="BL64" s="2" t="inlineStr">
        <is>
          <t>sí</t>
        </is>
      </c>
      <c r="BM64" s="2" t="n">
        <v>134</v>
      </c>
      <c r="BN64" s="2" t="n">
        <v>0.02563078701496124</v>
      </c>
      <c r="BO64" s="2" t="n">
        <v>4</v>
      </c>
      <c r="BP64" s="2" t="n">
        <v>2500</v>
      </c>
      <c r="BQ64" s="2" t="n">
        <v>13</v>
      </c>
      <c r="BR64" s="2" t="inlineStr">
        <is>
          <t>modelo+año</t>
        </is>
      </c>
      <c r="BS64" s="2" t="n"/>
      <c r="BT64" s="2" t="inlineStr">
        <is>
          <t>vendedor profesional: sin ITP (operación con IVA/REBU, confirmar en factura); gastos de gestión del vendedor no indicados: se suma la tasa DGT; preguntar el precio final; etiqueta C deducida por fecha (sin matrícula ni dato del anuncio); revisar: no menciona la ITV; fiabilidad del modelo PENDIENTE de fuente (puntuación neutra)</t>
        </is>
      </c>
      <c r="BU64" s="2" t="inlineStr">
        <is>
          <t xml:space="preserve">SE VENDE 
CON 1AÑO DE GARANTÍA 
CON POSIBILIDAD DE TRANSPORTAR A CUALQUIER PUNTO 
SE ENTREGA CON SUS MANTENIMIENTO ECHOS 
EXTRAS 
DIRECCIÓN ASISTIDA 
CLIMA 
SISTEMA DE AUDIO 
ABS
ESP
ANCLAJES ISOFIX 
CIERRE CENTRALIZADO 
ELEVALUNAS ELÉCTRICOS 
RETROVISORES ELÉCTRICOS 
ASIENTOS DEPORTIVOS 
MUCHISIMOS EXTRAS MAS 
</t>
        </is>
      </c>
      <c r="BV64" s="2" t="inlineStr">
        <is>
          <t>https://es.wallapop.com/item/fiat-punto-2007-1308782246 (__NEXT_DATA__ item) /home/user/Alopecia/buscador-coches/raw/wallapop/dd2ba05449fe4e02.json</t>
        </is>
      </c>
      <c r="BW64" s="3">
        <f>MAX(ANIO_ACTUAL-M64,0)</f>
        <v/>
      </c>
      <c r="BX64" s="4">
        <f>N64/MAX(BW64,0.5)</f>
        <v/>
      </c>
      <c r="BY64" s="4">
        <f>F64</f>
        <v/>
      </c>
      <c r="BZ64" s="3">
        <f>BY64&amp;"|"&amp;INT(M64/SEG_ANIO)*SEG_ANIO</f>
        <v/>
      </c>
      <c r="CA64" s="3">
        <f>BZ64&amp;"|"&amp;INT(N64/SEG_KM)*SEG_KM</f>
        <v/>
      </c>
      <c r="CB64" s="4">
        <f>COUNTIF($BY$2:$BY$209,BY64)</f>
        <v/>
      </c>
      <c r="CC64" s="4">
        <f>COUNTIF($BZ$2:$BZ$209,BZ64)</f>
        <v/>
      </c>
      <c r="CD64" s="4">
        <f>COUNTIF($CA$2:$CA$209,CA64)</f>
        <v/>
      </c>
      <c r="CE64" s="3">
        <f t="array" ref="CE64">IF(N(BQ64)&gt;=MIN_N,BP64,IF(CD64&gt;=MIN_N,MEDIAN(IF($CA$2:$CA$209=CA64,$O$2:$O$209)),IF(CC64&gt;=MIN_N,MEDIAN(IF($BZ$2:$BZ$209=BZ64,$O$2:$O$209)),MEDIAN(IF($BY$2:$BY$209=BY64,$O$2:$O$209)))))</f>
        <v/>
      </c>
      <c r="CF64" s="3">
        <f>IF(N(BQ64)&gt;=MIN_N,"mercado "&amp;BR64,IF(CD64&gt;=MIN_N,"modelo+año+km",IF(CC64&gt;=MIN_N,"modelo+año","modelo")))</f>
        <v/>
      </c>
      <c r="CG64" s="4">
        <f>(CE64-O64)/CE64</f>
        <v/>
      </c>
      <c r="CH64" s="3">
        <f>IF(COUNTIFS(FR_FUEL,K64,FR_YEAR,AP64)&gt;0,1,0)</f>
        <v/>
      </c>
      <c r="CI64" s="3">
        <f>IF(COUNTIFS(FR_FUEL,K64,FR_YEAR,AP64-1)&gt;0,1,0)</f>
        <v/>
      </c>
      <c r="CJ64" s="4">
        <f>IF(N(AQ64)&gt;0,AP64*100+AQ64,IF(AND(CH64=1,CI64=1),(AP64-1)*100+1,AP64*100+1))</f>
        <v/>
      </c>
      <c r="CK64" s="3">
        <f>IF(OR(K64="hibrido",K64="glp",K64="gnc",K64="phev"),"ECO",IF(K64="electrico","CERO",IF(K64="gasolina",IF(CJ64&gt;=GAS_C_YM,"C",IF(CJ64&gt;=GAS_B_YM,"B","A")),IF(K64="diesel",IF(CJ64&gt;=DIE_C_YM,"C",IF(CJ64&gt;=DIE_B_YM,"B","A")),""))))</f>
        <v/>
      </c>
      <c r="CL64" s="4">
        <f>CK64</f>
        <v/>
      </c>
      <c r="CM64" s="4">
        <f>IF(AU64="sí","sí",IF(AS64="regla",IF(AND(N(AQ64)=0,CH64=1),"sí","no"),"no"))</f>
        <v/>
      </c>
      <c r="CN64" s="3">
        <f>IFERROR(VLOOKUP(F64,MOD_TBL,16,0),IFERROR(VLOOKUP(E64,OCU_TBL,2,0),NEUTRO))</f>
        <v/>
      </c>
      <c r="CO64" s="3">
        <f>SUMIFS(MOT_AJUSTE,MOT_MOTOR,G64,MOT_MARCA,E64,MOT_DESDE,"&lt;="&amp;M64,MOT_HASTA,"&gt;="&amp;M64)+SUMIFS(MOT_AJUSTE,MOT_MOTOR,G64,MOT_MARCA,"(todas)",MOT_DESDE,"&lt;="&amp;M64,MOT_HASTA,"&gt;="&amp;M64)+SUMIFS(MOT_AJUSTE,MOT_MOTOR,"(cualquiera)",MOT_MARCA,E64,MOT_DESDE,"&lt;="&amp;M64,MOT_HASTA,"&gt;="&amp;M64)</f>
        <v/>
      </c>
      <c r="CP64" s="3">
        <f>SUMIFS(COMB_AJUSTE,COMB_COMB,K64)</f>
        <v/>
      </c>
      <c r="CQ64" s="3">
        <f>COUNTIFS(MOT_MOTOR,G64,MOT_MARCA,E64,MOT_DESDE,"&lt;="&amp;M64,MOT_HASTA,"&gt;="&amp;M64)+COUNTIFS(MOT_MOTOR,G64,MOT_MARCA,"(todas)",MOT_DESDE,"&lt;="&amp;M64,MOT_HASTA,"&gt;="&amp;M64)+COUNTIFS(MOT_MOTOR,"(cualquiera)",MOT_MARCA,E64,MOT_DESDE,"&lt;="&amp;M64,MOT_HASTA,"&gt;="&amp;M64)</f>
        <v/>
      </c>
      <c r="CR64" s="3">
        <f>IF(AND(K64="diesel",CQ64=0),MIN(CN64,NEUTRO),CN64)</f>
        <v/>
      </c>
      <c r="CS64" s="3">
        <f>MAX(0,MIN(100,CR64+CO64+CP64-IF(AX64="sí",ROB_PEN,0)))</f>
        <v/>
      </c>
      <c r="CT64" s="3">
        <f>100-MAX(0,N64-KM_TOPE_DESDE)/1000*KM_TOPE_PTS</f>
        <v/>
      </c>
      <c r="CU64" s="3">
        <f>MAX(0,MIN(100,50+CG64*PRECIO_PEND,CT64))</f>
        <v/>
      </c>
      <c r="CV64" s="3">
        <f>MAX(0,100*(1-N64/KM_MAX))</f>
        <v/>
      </c>
      <c r="CW64" s="3">
        <f>IF(BX64&lt;KMA_SOSP,IF(AA64="sí",100,KMA_PEN),IF(BX64&lt;=KMA_IDEAL_MAX,100,MAX(0,100*(KMA_CERO-BX64)/(KMA_CERO-KMA_IDEAL_MAX))))</f>
        <v/>
      </c>
      <c r="CX64" s="3">
        <f>MAX(0,MIN(100,100*(M64-ANIO_MIN)/(ANIO_ACTUAL-ANIO_MIN)))</f>
        <v/>
      </c>
      <c r="CY64" s="3">
        <f>W_KMT*CV64+W_KMA*CW64+W_EDAD*CX64</f>
        <v/>
      </c>
      <c r="CZ64" s="4">
        <f>E64&amp;"|"&amp;G64</f>
        <v/>
      </c>
      <c r="DA64" s="3">
        <f>IFERROR(VLOOKUP(CZ64,DIST_TBL,2,0),"")</f>
        <v/>
      </c>
      <c r="DB64" s="3">
        <f>E_ITV*(V64="sí")+E_LIBRO*(W64="sí")+E_PROP*IF(Y64=1,1,IF(Y64=2,0.5,0))+E_CORREA*IF(OR(DA64="cadena",AND(X64="sí",BH64="sí")),1,IF(X64="sí",0.5,0))+E_FACT*(BI64="sí")</f>
        <v/>
      </c>
      <c r="DC64" s="3">
        <f>MAX(0,MIN(100,IFERROR(VLOOKUP(CL64,ETQ_TBL,2,0),0)-IF(CM64="sí",ETQ_PEN_DUD,IF(AS64="regla",ETQ_PEN_REGLA,0))))</f>
        <v/>
      </c>
      <c r="DD64" s="3">
        <f>IF(K64&lt;&gt;"gasolina","",IFERROR(VLOOKUP(F64,CONS_MOD_TBL,2,0),IFERROR(VLOOKUP(L64,CONS_SEG_TBL,2,0),"")))</f>
        <v/>
      </c>
      <c r="DE64" s="3">
        <f>IF(DD64="",NEUTRO,MAX(0,MIN(100,100*(CONS_REF_MAX-DD64)/(CONS_REF_MAX-CONS_REF_MIN))))</f>
        <v/>
      </c>
      <c r="DF64" s="3">
        <f>IFERROR(VLOOKUP(L64,SEGURO_TBL,3,0),"")</f>
        <v/>
      </c>
      <c r="DG64" s="3">
        <f>IF(DF64="",NEUTRO,MAX(0,MIN(100,100*(SEG_REF_MAX-DF64)/(SEG_REF_MAX-SEG_REF_MIN))))</f>
        <v/>
      </c>
      <c r="DH64" s="3">
        <f>IFERROR(VLOOKUP(E64,MANT_MARCA_TBL,2,0)+0,NEUTRO)</f>
        <v/>
      </c>
      <c r="DI64" s="3">
        <f>IF(DA64="",NEUTRO,IFERROR(VLOOKUP(DA64,DIST_PTS_TBL,2,0)+0,NEUTRO))</f>
        <v/>
      </c>
      <c r="DJ64" s="4">
        <f>(DH64+DI64)/2</f>
        <v/>
      </c>
      <c r="DK64" s="3">
        <f>W_CONS*DE64+W_SEG*DG64+W_MANT*DJ64</f>
        <v/>
      </c>
      <c r="DL64" s="3">
        <f>IF(N(AB64)&gt;0,AB64,IF(AND(R64="profesional",SG_LEGAL_ON=1),GAR_LEGAL,0))</f>
        <v/>
      </c>
      <c r="DM64" s="3">
        <f>MAX(0,MIN(100,SG_GAR*MIN(1,DL64/SG_GAR_FULL)+SG_AMPL*(AC64="sí")+SG_KMC*(AF64="sí")+SG_REV*(N(AE64)&gt;0)+SG_DEV*MIN(1,N(AG64)/SG_DEV_FULL)+SG_HIST*(W64="sí")-IF(AND(R64="particular",DL64=0),SG_PART_PEN,0)))</f>
        <v/>
      </c>
      <c r="DN64" s="3">
        <f>IF(BK64="",NEUTRO,MAX(0,MIN(100,BK64/5*100)))</f>
        <v/>
      </c>
      <c r="DO64" s="3">
        <f>IF(BL64="sí",100,IF(BL64="no",0,NEUTRO))</f>
        <v/>
      </c>
      <c r="DP64" s="3">
        <f>SV_W_NCAP*DN64+SV_W_ESP*DO64</f>
        <v/>
      </c>
      <c r="DQ64" s="3">
        <f>MAX(0,MIN(100,ATR_BASE+ATR_ACAB*(BD64&lt;&gt;"")+IF(BE64="16+",ATR_LL16,IF(BE64="sí",ATR_LL,0))+ATR_FAROS*(BF64="sí")+ATR_TINT*(BG64="sí")-ATR_CHAPA*(BE64="chapa")))</f>
        <v/>
      </c>
      <c r="DR64" s="3">
        <f>EST_W_MOD*(BB64-1)/4*100+EST_W_ATR*DQ64</f>
        <v/>
      </c>
      <c r="DS64" s="3">
        <f>IF(BA64="",NEUTRO,IFERROR(VLOOKUP(BA64,COLOR_TBL,2,0)+0,NEUTRO))</f>
        <v/>
      </c>
      <c r="DT64" s="3">
        <f>MAX(0,MIN(100,100*N(BM64)/RV_N_FULL))</f>
        <v/>
      </c>
      <c r="DU64" s="3">
        <f>IF(OR(BN64="",N(BO64)&lt;RV_DIAS_MIN),NEUTRO,MAX(0,MIN(100,100*(RV_DIAS_CERO-BN64)/(RV_DIAS_CERO-RV_DIAS_FULL))))</f>
        <v/>
      </c>
      <c r="DV64" s="3">
        <f>RV_W_LIQ*DT64+RV_W_DIAS*DU64+RV_W_ETQ*DC64</f>
        <v/>
      </c>
      <c r="DW64" s="3">
        <f>IFERROR(VLOOKUP(L64,CARR_PEN_TBL,2,0),0)</f>
        <v/>
      </c>
      <c r="DX64" s="3">
        <f>W_FIAB*CS64+W_PRECIO*CU64+W_KMEDAD*CY64+W_ESTADO*DB64+W_USO*DK64+W_SEGURIDAD*DM64+W_SEGVIAL*DP64+W_ESTETICA*DR64+W_COLOR*DS64+W_REVENTA*DV64-DW64-EG64</f>
        <v/>
      </c>
      <c r="DY64" s="4">
        <f>IF(N(I64)&gt;0,I64,IFERROR(ROUND(_xlfn.NUMBERVALUE(LEFT(G64,FIND(" ",G64&amp;" ")-1),".")*1000,0),99999))</f>
        <v/>
      </c>
      <c r="DZ64" s="3">
        <f>IF(R64="profesional",0,IF(O64&lt;CUOTA_VALOR_MAX,IF(BW64&gt;ITP_TRAMO_ALTO,SUMIFS(CF_CUOTA,CF_MAS,ITP_TRAMO_ALTO,CF_CCMIN,"&lt;="&amp;DY64,CF_CCMAX,"&gt;="&amp;DY64),IF(BW64&gt;ITP_TRAMO_BAJO,SUMIFS(CF_CUOTA,CF_MAS,ITP_TRAMO_BAJO,CF_CCMIN,"&lt;="&amp;DY64,CF_CCMAX,"&gt;="&amp;DY64),O64*ITP_TIPO)),O64*ITP_TIPO))</f>
        <v/>
      </c>
      <c r="EA64" s="4">
        <f>IF(R64="profesional",N(AK64),0)</f>
        <v/>
      </c>
      <c r="EB64" s="3">
        <f>IF(AND(R64="profesional",ISNUMBER(AK64),AL64="sí"),0,TASA_DGT)</f>
        <v/>
      </c>
      <c r="EC64" s="3">
        <f>INFORME_DGT</f>
        <v/>
      </c>
      <c r="ED64" s="4">
        <f>O64+EA64+DZ64+EB64+EC64</f>
        <v/>
      </c>
      <c r="EE64" s="4">
        <f>ED64+N(DF64)</f>
        <v/>
      </c>
      <c r="EF64" s="3">
        <f>MAX(0,ED64-TOTAL_MAX)</f>
        <v/>
      </c>
      <c r="EG64" s="3">
        <f>EF64/100*PEN_100</f>
        <v/>
      </c>
      <c r="EH64" s="3">
        <f>IF(R64="particular",ED64+IF(AND(DA64&lt;&gt;"cadena",X64&lt;&gt;"sí"),RES_CORREA,0)+IF(AND(BJ64&lt;&gt;"sí",BW64&gt;=RES_NEUM_EDAD),RES_NEUM,0),"")</f>
        <v/>
      </c>
      <c r="EI64" s="3">
        <f>IF(ED64&lt;=TOTAL_MAX,"sí",IF(ED64&lt;=TECHO,"negociar","no"))</f>
        <v/>
      </c>
      <c r="EJ64" s="4">
        <f>ROUND(DX64,9)</f>
        <v/>
      </c>
      <c r="EK64" s="4">
        <f>IF(EI64&lt;&gt;"no",SUMPRODUCT(($EI$2:$EI$209&lt;&gt;"no")*($EJ$2:$EJ$209&gt;EJ64))+SUMPRODUCT(($EI$2:EI64&lt;&gt;"no")*($EJ$2:EJ64=EJ64)),"")</f>
        <v/>
      </c>
    </row>
    <row r="65">
      <c r="A65" s="2" t="inlineStr">
        <is>
          <t>wallapop:1305071192</t>
        </is>
      </c>
      <c r="B65" s="2" t="inlineStr">
        <is>
          <t>wallapop</t>
        </is>
      </c>
      <c r="C65" s="2" t="inlineStr">
        <is>
          <t>https://es.wallapop.com/item/fiat-punto-1-4-t-jet-sport-88-kw-120-cv-1305071192</t>
        </is>
      </c>
      <c r="D65" s="2" t="inlineStr">
        <is>
          <t>Fiat Punto 1.4 T-Jet Sport 88 kW (120 CV)</t>
        </is>
      </c>
      <c r="E65" s="2" t="inlineStr">
        <is>
          <t>Fiat</t>
        </is>
      </c>
      <c r="F65" s="2" t="inlineStr">
        <is>
          <t>Fiat Punto</t>
        </is>
      </c>
      <c r="G65" s="2" t="inlineStr">
        <is>
          <t>1.4 T-Jet</t>
        </is>
      </c>
      <c r="H65" s="2" t="inlineStr">
        <is>
          <t>1.4 T-Jet Sport 88 kW (120 CV)</t>
        </is>
      </c>
      <c r="I65" s="2" t="n"/>
      <c r="J65" s="2" t="n">
        <v>120</v>
      </c>
      <c r="K65" s="2" t="inlineStr">
        <is>
          <t>gasolina</t>
        </is>
      </c>
      <c r="L65" s="2" t="inlineStr">
        <is>
          <t>utilitario</t>
        </is>
      </c>
      <c r="M65" s="2" t="n">
        <v>2010</v>
      </c>
      <c r="N65" s="2" t="n">
        <v>135827</v>
      </c>
      <c r="O65" s="2" t="n">
        <v>4990</v>
      </c>
      <c r="P65" s="2" t="inlineStr">
        <is>
          <t>manual</t>
        </is>
      </c>
      <c r="Q65" s="2" t="inlineStr">
        <is>
          <t>no</t>
        </is>
      </c>
      <c r="R65" s="2" t="inlineStr">
        <is>
          <t>profesional</t>
        </is>
      </c>
      <c r="S65" s="2" t="inlineStr">
        <is>
          <t>Paterna (46980)</t>
        </is>
      </c>
      <c r="T65" s="2" t="inlineStr">
        <is>
          <t>2026-10-26T14:33:00</t>
        </is>
      </c>
      <c r="U65" s="2" t="n">
        <v>11</v>
      </c>
      <c r="V65" s="2" t="n"/>
      <c r="W65" s="2" t="inlineStr">
        <is>
          <t>sí</t>
        </is>
      </c>
      <c r="X65" s="2" t="n"/>
      <c r="Y65" s="2" t="n"/>
      <c r="Z65" s="2" t="inlineStr">
        <is>
          <t>sí</t>
        </is>
      </c>
      <c r="AA65" s="2" t="n"/>
      <c r="AB65" s="2" t="n"/>
      <c r="AC65" s="2" t="n"/>
      <c r="AD65" s="2" t="n"/>
      <c r="AE65" s="2" t="n"/>
      <c r="AF65" s="2" t="inlineStr">
        <is>
          <t>sí</t>
        </is>
      </c>
      <c r="AG65" s="2" t="n"/>
      <c r="AH65" s="2" t="n"/>
      <c r="AI65" s="2" t="n"/>
      <c r="AJ65" s="2" t="n"/>
      <c r="AK65" s="2" t="n"/>
      <c r="AL65" s="2" t="n"/>
      <c r="AM65" s="2" t="n">
        <v>6.4</v>
      </c>
      <c r="AN65" s="2" t="inlineStr">
        <is>
          <t>1000KMS</t>
        </is>
      </c>
      <c r="AO65" s="2" t="inlineStr">
        <is>
          <t>2010</t>
        </is>
      </c>
      <c r="AP65" s="2" t="n">
        <v>2010</v>
      </c>
      <c r="AQ65" s="2" t="n"/>
      <c r="AR65" s="2" t="inlineStr">
        <is>
          <t>B</t>
        </is>
      </c>
      <c r="AS65" s="2" t="inlineStr">
        <is>
          <t>DGT</t>
        </is>
      </c>
      <c r="AT65" s="2" t="n"/>
      <c r="AU65" s="2" t="inlineStr">
        <is>
          <t>no</t>
        </is>
      </c>
      <c r="AV65" s="2" t="inlineStr">
        <is>
          <t>B</t>
        </is>
      </c>
      <c r="AW65" s="2" t="n"/>
      <c r="AX65" s="2" t="inlineStr">
        <is>
          <t>no</t>
        </is>
      </c>
      <c r="AY65" s="2" t="inlineStr">
        <is>
          <t>no</t>
        </is>
      </c>
      <c r="AZ65" s="2" t="n"/>
      <c r="BA65" s="2" t="n"/>
      <c r="BB65" s="3" t="n">
        <v>2</v>
      </c>
      <c r="BC65" s="3" t="inlineStr">
        <is>
          <t>(por segmento)</t>
        </is>
      </c>
      <c r="BD65" s="2" t="inlineStr">
        <is>
          <t>sport</t>
        </is>
      </c>
      <c r="BE65" s="2" t="inlineStr">
        <is>
          <t>16+</t>
        </is>
      </c>
      <c r="BF65" s="2" t="n"/>
      <c r="BG65" s="2" t="n"/>
      <c r="BH65" s="2" t="n"/>
      <c r="BI65" s="2" t="n"/>
      <c r="BJ65" s="2" t="n"/>
      <c r="BK65" s="2" t="n">
        <v>5</v>
      </c>
      <c r="BL65" s="2" t="inlineStr">
        <is>
          <t>no</t>
        </is>
      </c>
      <c r="BM65" s="2" t="n">
        <v>134</v>
      </c>
      <c r="BN65" s="2" t="n">
        <v>0.02563078701496124</v>
      </c>
      <c r="BO65" s="2" t="n">
        <v>4</v>
      </c>
      <c r="BP65" s="2" t="n">
        <v>4990</v>
      </c>
      <c r="BQ65" s="2" t="n">
        <v>4</v>
      </c>
      <c r="BR65" s="2" t="inlineStr">
        <is>
          <t>modelo+año+km</t>
        </is>
      </c>
      <c r="BS65" s="2" t="n"/>
      <c r="BT65" s="2" t="inlineStr">
        <is>
          <t>por encima del presupuesto: negociar 54 € (coste 5054 €; -1.1 puntos); vendedor profesional: sin ITP (operación con IVA/REBU, confirmar en factura); gastos de gestión del vendedor no indicados: se suma la tasa DGT; preguntar el precio final; revisar: no menciona la ITV; fiabilidad del modelo PENDIENTE de fuente (puntuación neutra)</t>
        </is>
      </c>
      <c r="BU65" s="2" t="inlineStr">
        <is>
          <t>Ref.195599950
¡VILLA TAMBIÉN FICHA POR OCASIONPLUS!
VEN A GANAR. ¡VEN A OCASIONPLUS!
OCASIONPLUS - 20.000 COCHES  - 120 CENTROS
OCASIONPLUS Nº1 CALIDAD - PRECIO
Elige el coche que te guste y te lo llevamos a tu ciudad sólo con reservarlo
15 DÍAS / 1000 KMS DE PRUEBA
ADEMÁS, HACEMOS LAS MEJORES FINANCIACIONES DEL MERCADO, PREGÚNTANOS!!
            Equipamiento destacado: Volante multifunción, Aire Acondicionado (Climatizador), Isofix, Llantas de aleación (17").
                - Coche Nacional, Historial Mantenimiento.
                - Garantía total 1 año, con cobertura nacional, ampliable a 24 meses.
                - Certificado de Kilómetros y ausencia de golpes estructurales.
            - Sobrevaloramos tu coche en operaciones de cambio. Tásalo ahora en ocasionplus.com
            - Entregamos cualquier coche en cualquier centro
            - Abierto Domingo y Festivos.</t>
        </is>
      </c>
      <c r="BV65" s="2" t="inlineStr">
        <is>
          <t>https://es.wallapop.com/item/fiat-punto-1-4-t-jet-sport-88-kw-120-cv-1305071192 (__NEXT_DATA__ item) /home/user/Alopecia/buscador-coches/raw/wallapop/dc1b925771b4a0c9.json</t>
        </is>
      </c>
      <c r="BW65" s="3">
        <f>MAX(ANIO_ACTUAL-M65,0)</f>
        <v/>
      </c>
      <c r="BX65" s="4">
        <f>N65/MAX(BW65,0.5)</f>
        <v/>
      </c>
      <c r="BY65" s="4">
        <f>F65</f>
        <v/>
      </c>
      <c r="BZ65" s="3">
        <f>BY65&amp;"|"&amp;INT(M65/SEG_ANIO)*SEG_ANIO</f>
        <v/>
      </c>
      <c r="CA65" s="3">
        <f>BZ65&amp;"|"&amp;INT(N65/SEG_KM)*SEG_KM</f>
        <v/>
      </c>
      <c r="CB65" s="4">
        <f>COUNTIF($BY$2:$BY$209,BY65)</f>
        <v/>
      </c>
      <c r="CC65" s="4">
        <f>COUNTIF($BZ$2:$BZ$209,BZ65)</f>
        <v/>
      </c>
      <c r="CD65" s="4">
        <f>COUNTIF($CA$2:$CA$209,CA65)</f>
        <v/>
      </c>
      <c r="CE65" s="3">
        <f t="array" ref="CE65">IF(N(BQ65)&gt;=MIN_N,BP65,IF(CD65&gt;=MIN_N,MEDIAN(IF($CA$2:$CA$209=CA65,$O$2:$O$209)),IF(CC65&gt;=MIN_N,MEDIAN(IF($BZ$2:$BZ$209=BZ65,$O$2:$O$209)),MEDIAN(IF($BY$2:$BY$209=BY65,$O$2:$O$209)))))</f>
        <v/>
      </c>
      <c r="CF65" s="3">
        <f>IF(N(BQ65)&gt;=MIN_N,"mercado "&amp;BR65,IF(CD65&gt;=MIN_N,"modelo+año+km",IF(CC65&gt;=MIN_N,"modelo+año","modelo")))</f>
        <v/>
      </c>
      <c r="CG65" s="4">
        <f>(CE65-O65)/CE65</f>
        <v/>
      </c>
      <c r="CH65" s="3">
        <f>IF(COUNTIFS(FR_FUEL,K65,FR_YEAR,AP65)&gt;0,1,0)</f>
        <v/>
      </c>
      <c r="CI65" s="3">
        <f>IF(COUNTIFS(FR_FUEL,K65,FR_YEAR,AP65-1)&gt;0,1,0)</f>
        <v/>
      </c>
      <c r="CJ65" s="4">
        <f>IF(N(AQ65)&gt;0,AP65*100+AQ65,IF(AND(CH65=1,CI65=1),(AP65-1)*100+1,AP65*100+1))</f>
        <v/>
      </c>
      <c r="CK65" s="3">
        <f>IF(OR(K65="hibrido",K65="glp",K65="gnc",K65="phev"),"ECO",IF(K65="electrico","CERO",IF(K65="gasolina",IF(CJ65&gt;=GAS_C_YM,"C",IF(CJ65&gt;=GAS_B_YM,"B","A")),IF(K65="diesel",IF(CJ65&gt;=DIE_C_YM,"C",IF(CJ65&gt;=DIE_B_YM,"B","A")),""))))</f>
        <v/>
      </c>
      <c r="CL65" s="2" t="inlineStr">
        <is>
          <t>B</t>
        </is>
      </c>
      <c r="CM65" s="4">
        <f>IF(AU65="sí","sí",IF(AS65="regla",IF(AND(N(AQ65)=0,CH65=1),"sí","no"),"no"))</f>
        <v/>
      </c>
      <c r="CN65" s="3">
        <f>IFERROR(VLOOKUP(F65,MOD_TBL,16,0),IFERROR(VLOOKUP(E65,OCU_TBL,2,0),NEUTRO))</f>
        <v/>
      </c>
      <c r="CO65" s="3">
        <f>SUMIFS(MOT_AJUSTE,MOT_MOTOR,G65,MOT_MARCA,E65,MOT_DESDE,"&lt;="&amp;M65,MOT_HASTA,"&gt;="&amp;M65)+SUMIFS(MOT_AJUSTE,MOT_MOTOR,G65,MOT_MARCA,"(todas)",MOT_DESDE,"&lt;="&amp;M65,MOT_HASTA,"&gt;="&amp;M65)+SUMIFS(MOT_AJUSTE,MOT_MOTOR,"(cualquiera)",MOT_MARCA,E65,MOT_DESDE,"&lt;="&amp;M65,MOT_HASTA,"&gt;="&amp;M65)</f>
        <v/>
      </c>
      <c r="CP65" s="3">
        <f>SUMIFS(COMB_AJUSTE,COMB_COMB,K65)</f>
        <v/>
      </c>
      <c r="CQ65" s="3">
        <f>COUNTIFS(MOT_MOTOR,G65,MOT_MARCA,E65,MOT_DESDE,"&lt;="&amp;M65,MOT_HASTA,"&gt;="&amp;M65)+COUNTIFS(MOT_MOTOR,G65,MOT_MARCA,"(todas)",MOT_DESDE,"&lt;="&amp;M65,MOT_HASTA,"&gt;="&amp;M65)+COUNTIFS(MOT_MOTOR,"(cualquiera)",MOT_MARCA,E65,MOT_DESDE,"&lt;="&amp;M65,MOT_HASTA,"&gt;="&amp;M65)</f>
        <v/>
      </c>
      <c r="CR65" s="3">
        <f>IF(AND(K65="diesel",CQ65=0),MIN(CN65,NEUTRO),CN65)</f>
        <v/>
      </c>
      <c r="CS65" s="3">
        <f>MAX(0,MIN(100,CR65+CO65+CP65-IF(AX65="sí",ROB_PEN,0)))</f>
        <v/>
      </c>
      <c r="CT65" s="3">
        <f>100-MAX(0,N65-KM_TOPE_DESDE)/1000*KM_TOPE_PTS</f>
        <v/>
      </c>
      <c r="CU65" s="3">
        <f>MAX(0,MIN(100,50+CG65*PRECIO_PEND,CT65))</f>
        <v/>
      </c>
      <c r="CV65" s="3">
        <f>MAX(0,100*(1-N65/KM_MAX))</f>
        <v/>
      </c>
      <c r="CW65" s="3">
        <f>IF(BX65&lt;KMA_SOSP,IF(AA65="sí",100,KMA_PEN),IF(BX65&lt;=KMA_IDEAL_MAX,100,MAX(0,100*(KMA_CERO-BX65)/(KMA_CERO-KMA_IDEAL_MAX))))</f>
        <v/>
      </c>
      <c r="CX65" s="3">
        <f>MAX(0,MIN(100,100*(M65-ANIO_MIN)/(ANIO_ACTUAL-ANIO_MIN)))</f>
        <v/>
      </c>
      <c r="CY65" s="3">
        <f>W_KMT*CV65+W_KMA*CW65+W_EDAD*CX65</f>
        <v/>
      </c>
      <c r="CZ65" s="4">
        <f>E65&amp;"|"&amp;G65</f>
        <v/>
      </c>
      <c r="DA65" s="3">
        <f>IFERROR(VLOOKUP(CZ65,DIST_TBL,2,0),"")</f>
        <v/>
      </c>
      <c r="DB65" s="3">
        <f>E_ITV*(V65="sí")+E_LIBRO*(W65="sí")+E_PROP*IF(Y65=1,1,IF(Y65=2,0.5,0))+E_CORREA*IF(OR(DA65="cadena",AND(X65="sí",BH65="sí")),1,IF(X65="sí",0.5,0))+E_FACT*(BI65="sí")</f>
        <v/>
      </c>
      <c r="DC65" s="3">
        <f>MAX(0,MIN(100,IFERROR(VLOOKUP(CL65,ETQ_TBL,2,0),0)-IF(CM65="sí",ETQ_PEN_DUD,IF(AS65="regla",ETQ_PEN_REGLA,0))))</f>
        <v/>
      </c>
      <c r="DD65" s="3">
        <f>IF(K65&lt;&gt;"gasolina","",IFERROR(VLOOKUP(F65,CONS_MOD_TBL,2,0),IFERROR(VLOOKUP(L65,CONS_SEG_TBL,2,0),"")))</f>
        <v/>
      </c>
      <c r="DE65" s="3">
        <f>IF(DD65="",NEUTRO,MAX(0,MIN(100,100*(CONS_REF_MAX-DD65)/(CONS_REF_MAX-CONS_REF_MIN))))</f>
        <v/>
      </c>
      <c r="DF65" s="3">
        <f>IFERROR(VLOOKUP(L65,SEGURO_TBL,3,0),"")</f>
        <v/>
      </c>
      <c r="DG65" s="3">
        <f>IF(DF65="",NEUTRO,MAX(0,MIN(100,100*(SEG_REF_MAX-DF65)/(SEG_REF_MAX-SEG_REF_MIN))))</f>
        <v/>
      </c>
      <c r="DH65" s="3">
        <f>IFERROR(VLOOKUP(E65,MANT_MARCA_TBL,2,0)+0,NEUTRO)</f>
        <v/>
      </c>
      <c r="DI65" s="3">
        <f>IF(DA65="",NEUTRO,IFERROR(VLOOKUP(DA65,DIST_PTS_TBL,2,0)+0,NEUTRO))</f>
        <v/>
      </c>
      <c r="DJ65" s="4">
        <f>(DH65+DI65)/2</f>
        <v/>
      </c>
      <c r="DK65" s="3">
        <f>W_CONS*DE65+W_SEG*DG65+W_MANT*DJ65</f>
        <v/>
      </c>
      <c r="DL65" s="3">
        <f>IF(N(AB65)&gt;0,AB65,IF(AND(R65="profesional",SG_LEGAL_ON=1),GAR_LEGAL,0))</f>
        <v/>
      </c>
      <c r="DM65" s="3">
        <f>MAX(0,MIN(100,SG_GAR*MIN(1,DL65/SG_GAR_FULL)+SG_AMPL*(AC65="sí")+SG_KMC*(AF65="sí")+SG_REV*(N(AE65)&gt;0)+SG_DEV*MIN(1,N(AG65)/SG_DEV_FULL)+SG_HIST*(W65="sí")-IF(AND(R65="particular",DL65=0),SG_PART_PEN,0)))</f>
        <v/>
      </c>
      <c r="DN65" s="3">
        <f>IF(BK65="",NEUTRO,MAX(0,MIN(100,BK65/5*100)))</f>
        <v/>
      </c>
      <c r="DO65" s="3">
        <f>IF(BL65="sí",100,IF(BL65="no",0,NEUTRO))</f>
        <v/>
      </c>
      <c r="DP65" s="3">
        <f>SV_W_NCAP*DN65+SV_W_ESP*DO65</f>
        <v/>
      </c>
      <c r="DQ65" s="3">
        <f>MAX(0,MIN(100,ATR_BASE+ATR_ACAB*(BD65&lt;&gt;"")+IF(BE65="16+",ATR_LL16,IF(BE65="sí",ATR_LL,0))+ATR_FAROS*(BF65="sí")+ATR_TINT*(BG65="sí")-ATR_CHAPA*(BE65="chapa")))</f>
        <v/>
      </c>
      <c r="DR65" s="3">
        <f>EST_W_MOD*(BB65-1)/4*100+EST_W_ATR*DQ65</f>
        <v/>
      </c>
      <c r="DS65" s="3">
        <f>IF(BA65="",NEUTRO,IFERROR(VLOOKUP(BA65,COLOR_TBL,2,0)+0,NEUTRO))</f>
        <v/>
      </c>
      <c r="DT65" s="3">
        <f>MAX(0,MIN(100,100*N(BM65)/RV_N_FULL))</f>
        <v/>
      </c>
      <c r="DU65" s="3">
        <f>IF(OR(BN65="",N(BO65)&lt;RV_DIAS_MIN),NEUTRO,MAX(0,MIN(100,100*(RV_DIAS_CERO-BN65)/(RV_DIAS_CERO-RV_DIAS_FULL))))</f>
        <v/>
      </c>
      <c r="DV65" s="3">
        <f>RV_W_LIQ*DT65+RV_W_DIAS*DU65+RV_W_ETQ*DC65</f>
        <v/>
      </c>
      <c r="DW65" s="3">
        <f>IFERROR(VLOOKUP(L65,CARR_PEN_TBL,2,0),0)</f>
        <v/>
      </c>
      <c r="DX65" s="3">
        <f>W_FIAB*CS65+W_PRECIO*CU65+W_KMEDAD*CY65+W_ESTADO*DB65+W_USO*DK65+W_SEGURIDAD*DM65+W_SEGVIAL*DP65+W_ESTETICA*DR65+W_COLOR*DS65+W_REVENTA*DV65-DW65-EG65</f>
        <v/>
      </c>
      <c r="DY65" s="4">
        <f>IF(N(I65)&gt;0,I65,IFERROR(ROUND(_xlfn.NUMBERVALUE(LEFT(G65,FIND(" ",G65&amp;" ")-1),".")*1000,0),99999))</f>
        <v/>
      </c>
      <c r="DZ65" s="3">
        <f>IF(R65="profesional",0,IF(O65&lt;CUOTA_VALOR_MAX,IF(BW65&gt;ITP_TRAMO_ALTO,SUMIFS(CF_CUOTA,CF_MAS,ITP_TRAMO_ALTO,CF_CCMIN,"&lt;="&amp;DY65,CF_CCMAX,"&gt;="&amp;DY65),IF(BW65&gt;ITP_TRAMO_BAJO,SUMIFS(CF_CUOTA,CF_MAS,ITP_TRAMO_BAJO,CF_CCMIN,"&lt;="&amp;DY65,CF_CCMAX,"&gt;="&amp;DY65),O65*ITP_TIPO)),O65*ITP_TIPO))</f>
        <v/>
      </c>
      <c r="EA65" s="4">
        <f>IF(R65="profesional",N(AK65),0)</f>
        <v/>
      </c>
      <c r="EB65" s="3">
        <f>IF(AND(R65="profesional",ISNUMBER(AK65),AL65="sí"),0,TASA_DGT)</f>
        <v/>
      </c>
      <c r="EC65" s="3">
        <f>INFORME_DGT</f>
        <v/>
      </c>
      <c r="ED65" s="4">
        <f>O65+EA65+DZ65+EB65+EC65</f>
        <v/>
      </c>
      <c r="EE65" s="4">
        <f>ED65+N(DF65)</f>
        <v/>
      </c>
      <c r="EF65" s="3">
        <f>MAX(0,ED65-TOTAL_MAX)</f>
        <v/>
      </c>
      <c r="EG65" s="3">
        <f>EF65/100*PEN_100</f>
        <v/>
      </c>
      <c r="EH65" s="3">
        <f>IF(R65="particular",ED65+IF(AND(DA65&lt;&gt;"cadena",X65&lt;&gt;"sí"),RES_CORREA,0)+IF(AND(BJ65&lt;&gt;"sí",BW65&gt;=RES_NEUM_EDAD),RES_NEUM,0),"")</f>
        <v/>
      </c>
      <c r="EI65" s="3">
        <f>IF(ED65&lt;=TOTAL_MAX,"sí",IF(ED65&lt;=TECHO,"negociar","no"))</f>
        <v/>
      </c>
      <c r="EJ65" s="4">
        <f>ROUND(DX65,9)</f>
        <v/>
      </c>
      <c r="EK65" s="4">
        <f>IF(EI65&lt;&gt;"no",SUMPRODUCT(($EI$2:$EI$209&lt;&gt;"no")*($EJ$2:$EJ$209&gt;EJ65))+SUMPRODUCT(($EI$2:EI65&lt;&gt;"no")*($EJ$2:EJ65=EJ65)),"")</f>
        <v/>
      </c>
    </row>
    <row r="66">
      <c r="A66" s="2" t="inlineStr">
        <is>
          <t>wallapop:1305417932</t>
        </is>
      </c>
      <c r="B66" s="2" t="inlineStr">
        <is>
          <t>wallapop</t>
        </is>
      </c>
      <c r="C66" s="2" t="inlineStr">
        <is>
          <t>https://es.wallapop.com/item/mitsubishi-colt-1-3-16v-invite-70-kw-95-cv-1305417932</t>
        </is>
      </c>
      <c r="D66" s="2" t="inlineStr">
        <is>
          <t>Mitsubishi Colt 1.3 16v Invite 70 kW (95 CV)</t>
        </is>
      </c>
      <c r="E66" s="2" t="inlineStr">
        <is>
          <t>Mitsubishi</t>
        </is>
      </c>
      <c r="F66" s="2" t="inlineStr">
        <is>
          <t>Mitsubishi Colt</t>
        </is>
      </c>
      <c r="G66" s="2" t="inlineStr">
        <is>
          <t>1.3</t>
        </is>
      </c>
      <c r="H66" s="2" t="inlineStr">
        <is>
          <t>1.3 16v Invite 70 kW (95 CV)</t>
        </is>
      </c>
      <c r="I66" s="2" t="n"/>
      <c r="J66" s="2" t="n">
        <v>95</v>
      </c>
      <c r="K66" s="2" t="inlineStr">
        <is>
          <t>gasolina</t>
        </is>
      </c>
      <c r="L66" s="2" t="inlineStr">
        <is>
          <t>utilitario</t>
        </is>
      </c>
      <c r="M66" s="2" t="n">
        <v>2006</v>
      </c>
      <c r="N66" s="2" t="n">
        <v>149575</v>
      </c>
      <c r="O66" s="2" t="n">
        <v>3890</v>
      </c>
      <c r="P66" s="2" t="inlineStr">
        <is>
          <t>manual</t>
        </is>
      </c>
      <c r="Q66" s="2" t="inlineStr">
        <is>
          <t>no</t>
        </is>
      </c>
      <c r="R66" s="2" t="inlineStr">
        <is>
          <t>profesional</t>
        </is>
      </c>
      <c r="S66" s="2" t="inlineStr">
        <is>
          <t>Valencia (46002)</t>
        </is>
      </c>
      <c r="T66" s="2" t="inlineStr">
        <is>
          <t>2026-10-28T09:18:11</t>
        </is>
      </c>
      <c r="U66" s="2" t="n">
        <v>14</v>
      </c>
      <c r="V66" s="2" t="n"/>
      <c r="W66" s="2" t="n"/>
      <c r="X66" s="2" t="n"/>
      <c r="Y66" s="2" t="n"/>
      <c r="Z66" s="2" t="inlineStr">
        <is>
          <t>sí</t>
        </is>
      </c>
      <c r="AA66" s="2" t="n"/>
      <c r="AB66" s="2" t="n"/>
      <c r="AC66" s="2" t="n"/>
      <c r="AD66" s="2" t="n"/>
      <c r="AE66" s="2" t="n"/>
      <c r="AF66" s="2" t="n"/>
      <c r="AG66" s="2" t="n"/>
      <c r="AH66" s="2" t="n">
        <v>3890</v>
      </c>
      <c r="AI66" s="2" t="n">
        <v>3890</v>
      </c>
      <c r="AJ66" s="2" t="n"/>
      <c r="AK66" s="2" t="n"/>
      <c r="AL66" s="2" t="n"/>
      <c r="AM66" s="2" t="n">
        <v>0.1</v>
      </c>
      <c r="AN66" s="2" t="n"/>
      <c r="AO66" s="2" t="inlineStr">
        <is>
          <t>2006</t>
        </is>
      </c>
      <c r="AP66" s="2" t="n">
        <v>2006</v>
      </c>
      <c r="AQ66" s="2" t="n"/>
      <c r="AR66" s="2" t="n"/>
      <c r="AS66" s="2" t="inlineStr">
        <is>
          <t>regla</t>
        </is>
      </c>
      <c r="AT66" s="2" t="n"/>
      <c r="AU66" s="2" t="inlineStr">
        <is>
          <t>no</t>
        </is>
      </c>
      <c r="AV66" s="2" t="inlineStr">
        <is>
          <t>C</t>
        </is>
      </c>
      <c r="AW66" s="2" t="n"/>
      <c r="AX66" s="2" t="inlineStr">
        <is>
          <t>no</t>
        </is>
      </c>
      <c r="AY66" s="2" t="inlineStr">
        <is>
          <t>no</t>
        </is>
      </c>
      <c r="AZ66" s="2" t="n"/>
      <c r="BA66" s="2" t="n"/>
      <c r="BB66" s="3" t="n">
        <v>2</v>
      </c>
      <c r="BC66" s="3" t="inlineStr">
        <is>
          <t>(por segmento)</t>
        </is>
      </c>
      <c r="BD66" s="2" t="n"/>
      <c r="BE66" s="2" t="inlineStr">
        <is>
          <t>sí</t>
        </is>
      </c>
      <c r="BF66" s="2" t="n"/>
      <c r="BG66" s="2" t="n"/>
      <c r="BH66" s="2" t="n"/>
      <c r="BI66" s="2" t="n"/>
      <c r="BJ66" s="2" t="n"/>
      <c r="BK66" s="2" t="n"/>
      <c r="BL66" s="2" t="n"/>
      <c r="BM66" s="2" t="n">
        <v>19</v>
      </c>
      <c r="BN66" s="2" t="n">
        <v>0.06280092592351139</v>
      </c>
      <c r="BO66" s="2" t="n">
        <v>4</v>
      </c>
      <c r="BP66" s="2" t="n">
        <v>2600</v>
      </c>
      <c r="BQ66" s="2" t="n">
        <v>5</v>
      </c>
      <c r="BR66" s="2" t="inlineStr">
        <is>
          <t>modelo+año</t>
        </is>
      </c>
      <c r="BS66" s="2" t="n"/>
      <c r="BT66" s="2" t="inlineStr">
        <is>
          <t>vendedor profesional: sin ITP (operación con IVA/REBU, confirmar en factura); gastos de gestión del vendedor no indicados: se suma la tasa DGT; preguntar el precio final; Euro NCAP de la generación PENDIENTE (seguridad neutra); etiqueta C deducida por fecha (sin matrícula ni dato del anuncio); revisar: no menciona la ITV; fiabilidad del modelo PENDIENTE de fuente (puntuación neutra)</t>
        </is>
      </c>
      <c r="BU66" s="2" t="inlineStr">
        <is>
          <t>Ref.145769565
Este Mitsubishi Colt 1.3 16v Invite 70 kW (95 CV) se encuentra en nuestra delegación de HR Motor Lleida.
En HRmotor tenemos tu coche de segunda mano sin garantía para uso profesional o empresarial. Si eres particular, consulta nuestras condiciones a ventas a particulares.
Contamos con un stock de +3.000 coches de segunda mano para que puedas comprar un coche de ocasión que se adapte a todas tus necesidades y preferencias en nuestros más de 30 concesionarios repartidos en toda España. De esta manera nos encontramos en Madrid con 4 centros (Rivas-Vaciamadrid, Torrejón de Ardoz, Alcobendas, Collado Villalba); en Barcelona con 4 centros (Sant Boi de Llobregat, Lliça de Vall, Badalona, Manresa); en Valencia con 3 centros (Quart de Poblet, Paterna, Sedaví); en Sevilla con 2 centros (Sevilla, Alcalá de Guadaíra); en Málaga con 2 centros (Churriana, Cruz de Humilladero). Además, nos podrás encontrar también en Lleida, Girona, Castellón, Alicante, Alcoy, Elche, Vila-Real, Bilbao, Gijón, Mallorca, Murcia, Pamplona, San Sebastián, Tudela, A Coruña, Valladolid y Zaragoza.
Precio al contado de 3.890 €.
Precio financiado de 3.890 € (sujeto a oferta especial de financiación consulte condiciones).
***EQUIPAMIENTO EXTRA:***
Consulte equipamiento extra con su comercial
***EQUIPAMIENTO SERIE:***
Llantas de aleación, 15", Ordenador, Aire Acondicionado, Climatizador, Airbag, Airbag acompañante, Airbag conductor, Airbags laterales, ABS, Dirección asistida, Elevalunas eléctrico, I</t>
        </is>
      </c>
      <c r="BV66" s="2" t="inlineStr">
        <is>
          <t>https://es.wallapop.com/item/mitsubishi-colt-1-3-16v-invite-70-kw-95-cv-1305417932 (__NEXT_DATA__ item) /home/user/Alopecia/buscador-coches/raw/wallapop/f3b435677b754898.json</t>
        </is>
      </c>
      <c r="BW66" s="3">
        <f>MAX(ANIO_ACTUAL-M66,0)</f>
        <v/>
      </c>
      <c r="BX66" s="4">
        <f>N66/MAX(BW66,0.5)</f>
        <v/>
      </c>
      <c r="BY66" s="4">
        <f>F66</f>
        <v/>
      </c>
      <c r="BZ66" s="3">
        <f>BY66&amp;"|"&amp;INT(M66/SEG_ANIO)*SEG_ANIO</f>
        <v/>
      </c>
      <c r="CA66" s="3">
        <f>BZ66&amp;"|"&amp;INT(N66/SEG_KM)*SEG_KM</f>
        <v/>
      </c>
      <c r="CB66" s="4">
        <f>COUNTIF($BY$2:$BY$209,BY66)</f>
        <v/>
      </c>
      <c r="CC66" s="4">
        <f>COUNTIF($BZ$2:$BZ$209,BZ66)</f>
        <v/>
      </c>
      <c r="CD66" s="4">
        <f>COUNTIF($CA$2:$CA$209,CA66)</f>
        <v/>
      </c>
      <c r="CE66" s="3">
        <f t="array" ref="CE66">IF(N(BQ66)&gt;=MIN_N,BP66,IF(CD66&gt;=MIN_N,MEDIAN(IF($CA$2:$CA$209=CA66,$O$2:$O$209)),IF(CC66&gt;=MIN_N,MEDIAN(IF($BZ$2:$BZ$209=BZ66,$O$2:$O$209)),MEDIAN(IF($BY$2:$BY$209=BY66,$O$2:$O$209)))))</f>
        <v/>
      </c>
      <c r="CF66" s="3">
        <f>IF(N(BQ66)&gt;=MIN_N,"mercado "&amp;BR66,IF(CD66&gt;=MIN_N,"modelo+año+km",IF(CC66&gt;=MIN_N,"modelo+año","modelo")))</f>
        <v/>
      </c>
      <c r="CG66" s="4">
        <f>(CE66-O66)/CE66</f>
        <v/>
      </c>
      <c r="CH66" s="3">
        <f>IF(COUNTIFS(FR_FUEL,K66,FR_YEAR,AP66)&gt;0,1,0)</f>
        <v/>
      </c>
      <c r="CI66" s="3">
        <f>IF(COUNTIFS(FR_FUEL,K66,FR_YEAR,AP66-1)&gt;0,1,0)</f>
        <v/>
      </c>
      <c r="CJ66" s="4">
        <f>IF(N(AQ66)&gt;0,AP66*100+AQ66,IF(AND(CH66=1,CI66=1),(AP66-1)*100+1,AP66*100+1))</f>
        <v/>
      </c>
      <c r="CK66" s="3">
        <f>IF(OR(K66="hibrido",K66="glp",K66="gnc",K66="phev"),"ECO",IF(K66="electrico","CERO",IF(K66="gasolina",IF(CJ66&gt;=GAS_C_YM,"C",IF(CJ66&gt;=GAS_B_YM,"B","A")),IF(K66="diesel",IF(CJ66&gt;=DIE_C_YM,"C",IF(CJ66&gt;=DIE_B_YM,"B","A")),""))))</f>
        <v/>
      </c>
      <c r="CL66" s="4">
        <f>CK66</f>
        <v/>
      </c>
      <c r="CM66" s="4">
        <f>IF(AU66="sí","sí",IF(AS66="regla",IF(AND(N(AQ66)=0,CH66=1),"sí","no"),"no"))</f>
        <v/>
      </c>
      <c r="CN66" s="3">
        <f>IFERROR(VLOOKUP(F66,MOD_TBL,16,0),IFERROR(VLOOKUP(E66,OCU_TBL,2,0),NEUTRO))</f>
        <v/>
      </c>
      <c r="CO66" s="3">
        <f>SUMIFS(MOT_AJUSTE,MOT_MOTOR,G66,MOT_MARCA,E66,MOT_DESDE,"&lt;="&amp;M66,MOT_HASTA,"&gt;="&amp;M66)+SUMIFS(MOT_AJUSTE,MOT_MOTOR,G66,MOT_MARCA,"(todas)",MOT_DESDE,"&lt;="&amp;M66,MOT_HASTA,"&gt;="&amp;M66)+SUMIFS(MOT_AJUSTE,MOT_MOTOR,"(cualquiera)",MOT_MARCA,E66,MOT_DESDE,"&lt;="&amp;M66,MOT_HASTA,"&gt;="&amp;M66)</f>
        <v/>
      </c>
      <c r="CP66" s="3">
        <f>SUMIFS(COMB_AJUSTE,COMB_COMB,K66)</f>
        <v/>
      </c>
      <c r="CQ66" s="3">
        <f>COUNTIFS(MOT_MOTOR,G66,MOT_MARCA,E66,MOT_DESDE,"&lt;="&amp;M66,MOT_HASTA,"&gt;="&amp;M66)+COUNTIFS(MOT_MOTOR,G66,MOT_MARCA,"(todas)",MOT_DESDE,"&lt;="&amp;M66,MOT_HASTA,"&gt;="&amp;M66)+COUNTIFS(MOT_MOTOR,"(cualquiera)",MOT_MARCA,E66,MOT_DESDE,"&lt;="&amp;M66,MOT_HASTA,"&gt;="&amp;M66)</f>
        <v/>
      </c>
      <c r="CR66" s="3">
        <f>IF(AND(K66="diesel",CQ66=0),MIN(CN66,NEUTRO),CN66)</f>
        <v/>
      </c>
      <c r="CS66" s="3">
        <f>MAX(0,MIN(100,CR66+CO66+CP66-IF(AX66="sí",ROB_PEN,0)))</f>
        <v/>
      </c>
      <c r="CT66" s="3">
        <f>100-MAX(0,N66-KM_TOPE_DESDE)/1000*KM_TOPE_PTS</f>
        <v/>
      </c>
      <c r="CU66" s="3">
        <f>MAX(0,MIN(100,50+CG66*PRECIO_PEND,CT66))</f>
        <v/>
      </c>
      <c r="CV66" s="3">
        <f>MAX(0,100*(1-N66/KM_MAX))</f>
        <v/>
      </c>
      <c r="CW66" s="3">
        <f>IF(BX66&lt;KMA_SOSP,IF(AA66="sí",100,KMA_PEN),IF(BX66&lt;=KMA_IDEAL_MAX,100,MAX(0,100*(KMA_CERO-BX66)/(KMA_CERO-KMA_IDEAL_MAX))))</f>
        <v/>
      </c>
      <c r="CX66" s="3">
        <f>MAX(0,MIN(100,100*(M66-ANIO_MIN)/(ANIO_ACTUAL-ANIO_MIN)))</f>
        <v/>
      </c>
      <c r="CY66" s="3">
        <f>W_KMT*CV66+W_KMA*CW66+W_EDAD*CX66</f>
        <v/>
      </c>
      <c r="CZ66" s="4">
        <f>E66&amp;"|"&amp;G66</f>
        <v/>
      </c>
      <c r="DA66" s="3">
        <f>IFERROR(VLOOKUP(CZ66,DIST_TBL,2,0),"")</f>
        <v/>
      </c>
      <c r="DB66" s="3">
        <f>E_ITV*(V66="sí")+E_LIBRO*(W66="sí")+E_PROP*IF(Y66=1,1,IF(Y66=2,0.5,0))+E_CORREA*IF(OR(DA66="cadena",AND(X66="sí",BH66="sí")),1,IF(X66="sí",0.5,0))+E_FACT*(BI66="sí")</f>
        <v/>
      </c>
      <c r="DC66" s="3">
        <f>MAX(0,MIN(100,IFERROR(VLOOKUP(CL66,ETQ_TBL,2,0),0)-IF(CM66="sí",ETQ_PEN_DUD,IF(AS66="regla",ETQ_PEN_REGLA,0))))</f>
        <v/>
      </c>
      <c r="DD66" s="3">
        <f>IF(K66&lt;&gt;"gasolina","",IFERROR(VLOOKUP(F66,CONS_MOD_TBL,2,0),IFERROR(VLOOKUP(L66,CONS_SEG_TBL,2,0),"")))</f>
        <v/>
      </c>
      <c r="DE66" s="3">
        <f>IF(DD66="",NEUTRO,MAX(0,MIN(100,100*(CONS_REF_MAX-DD66)/(CONS_REF_MAX-CONS_REF_MIN))))</f>
        <v/>
      </c>
      <c r="DF66" s="3">
        <f>IFERROR(VLOOKUP(L66,SEGURO_TBL,3,0),"")</f>
        <v/>
      </c>
      <c r="DG66" s="3">
        <f>IF(DF66="",NEUTRO,MAX(0,MIN(100,100*(SEG_REF_MAX-DF66)/(SEG_REF_MAX-SEG_REF_MIN))))</f>
        <v/>
      </c>
      <c r="DH66" s="3">
        <f>IFERROR(VLOOKUP(E66,MANT_MARCA_TBL,2,0)+0,NEUTRO)</f>
        <v/>
      </c>
      <c r="DI66" s="3">
        <f>IF(DA66="",NEUTRO,IFERROR(VLOOKUP(DA66,DIST_PTS_TBL,2,0)+0,NEUTRO))</f>
        <v/>
      </c>
      <c r="DJ66" s="4">
        <f>(DH66+DI66)/2</f>
        <v/>
      </c>
      <c r="DK66" s="3">
        <f>W_CONS*DE66+W_SEG*DG66+W_MANT*DJ66</f>
        <v/>
      </c>
      <c r="DL66" s="3">
        <f>IF(N(AB66)&gt;0,AB66,IF(AND(R66="profesional",SG_LEGAL_ON=1),GAR_LEGAL,0))</f>
        <v/>
      </c>
      <c r="DM66" s="3">
        <f>MAX(0,MIN(100,SG_GAR*MIN(1,DL66/SG_GAR_FULL)+SG_AMPL*(AC66="sí")+SG_KMC*(AF66="sí")+SG_REV*(N(AE66)&gt;0)+SG_DEV*MIN(1,N(AG66)/SG_DEV_FULL)+SG_HIST*(W66="sí")-IF(AND(R66="particular",DL66=0),SG_PART_PEN,0)))</f>
        <v/>
      </c>
      <c r="DN66" s="3">
        <f>IF(BK66="",NEUTRO,MAX(0,MIN(100,BK66/5*100)))</f>
        <v/>
      </c>
      <c r="DO66" s="3">
        <f>IF(BL66="sí",100,IF(BL66="no",0,NEUTRO))</f>
        <v/>
      </c>
      <c r="DP66" s="3">
        <f>SV_W_NCAP*DN66+SV_W_ESP*DO66</f>
        <v/>
      </c>
      <c r="DQ66" s="3">
        <f>MAX(0,MIN(100,ATR_BASE+ATR_ACAB*(BD66&lt;&gt;"")+IF(BE66="16+",ATR_LL16,IF(BE66="sí",ATR_LL,0))+ATR_FAROS*(BF66="sí")+ATR_TINT*(BG66="sí")-ATR_CHAPA*(BE66="chapa")))</f>
        <v/>
      </c>
      <c r="DR66" s="3">
        <f>EST_W_MOD*(BB66-1)/4*100+EST_W_ATR*DQ66</f>
        <v/>
      </c>
      <c r="DS66" s="3">
        <f>IF(BA66="",NEUTRO,IFERROR(VLOOKUP(BA66,COLOR_TBL,2,0)+0,NEUTRO))</f>
        <v/>
      </c>
      <c r="DT66" s="3">
        <f>MAX(0,MIN(100,100*N(BM66)/RV_N_FULL))</f>
        <v/>
      </c>
      <c r="DU66" s="3">
        <f>IF(OR(BN66="",N(BO66)&lt;RV_DIAS_MIN),NEUTRO,MAX(0,MIN(100,100*(RV_DIAS_CERO-BN66)/(RV_DIAS_CERO-RV_DIAS_FULL))))</f>
        <v/>
      </c>
      <c r="DV66" s="3">
        <f>RV_W_LIQ*DT66+RV_W_DIAS*DU66+RV_W_ETQ*DC66</f>
        <v/>
      </c>
      <c r="DW66" s="3">
        <f>IFERROR(VLOOKUP(L66,CARR_PEN_TBL,2,0),0)</f>
        <v/>
      </c>
      <c r="DX66" s="3">
        <f>W_FIAB*CS66+W_PRECIO*CU66+W_KMEDAD*CY66+W_ESTADO*DB66+W_USO*DK66+W_SEGURIDAD*DM66+W_SEGVIAL*DP66+W_ESTETICA*DR66+W_COLOR*DS66+W_REVENTA*DV66-DW66-EG66</f>
        <v/>
      </c>
      <c r="DY66" s="4">
        <f>IF(N(I66)&gt;0,I66,IFERROR(ROUND(_xlfn.NUMBERVALUE(LEFT(G66,FIND(" ",G66&amp;" ")-1),".")*1000,0),99999))</f>
        <v/>
      </c>
      <c r="DZ66" s="3">
        <f>IF(R66="profesional",0,IF(O66&lt;CUOTA_VALOR_MAX,IF(BW66&gt;ITP_TRAMO_ALTO,SUMIFS(CF_CUOTA,CF_MAS,ITP_TRAMO_ALTO,CF_CCMIN,"&lt;="&amp;DY66,CF_CCMAX,"&gt;="&amp;DY66),IF(BW66&gt;ITP_TRAMO_BAJO,SUMIFS(CF_CUOTA,CF_MAS,ITP_TRAMO_BAJO,CF_CCMIN,"&lt;="&amp;DY66,CF_CCMAX,"&gt;="&amp;DY66),O66*ITP_TIPO)),O66*ITP_TIPO))</f>
        <v/>
      </c>
      <c r="EA66" s="4">
        <f>IF(R66="profesional",N(AK66),0)</f>
        <v/>
      </c>
      <c r="EB66" s="3">
        <f>IF(AND(R66="profesional",ISNUMBER(AK66),AL66="sí"),0,TASA_DGT)</f>
        <v/>
      </c>
      <c r="EC66" s="3">
        <f>INFORME_DGT</f>
        <v/>
      </c>
      <c r="ED66" s="4">
        <f>O66+EA66+DZ66+EB66+EC66</f>
        <v/>
      </c>
      <c r="EE66" s="4">
        <f>ED66+N(DF66)</f>
        <v/>
      </c>
      <c r="EF66" s="3">
        <f>MAX(0,ED66-TOTAL_MAX)</f>
        <v/>
      </c>
      <c r="EG66" s="3">
        <f>EF66/100*PEN_100</f>
        <v/>
      </c>
      <c r="EH66" s="3">
        <f>IF(R66="particular",ED66+IF(AND(DA66&lt;&gt;"cadena",X66&lt;&gt;"sí"),RES_CORREA,0)+IF(AND(BJ66&lt;&gt;"sí",BW66&gt;=RES_NEUM_EDAD),RES_NEUM,0),"")</f>
        <v/>
      </c>
      <c r="EI66" s="3">
        <f>IF(ED66&lt;=TOTAL_MAX,"sí",IF(ED66&lt;=TECHO,"negociar","no"))</f>
        <v/>
      </c>
      <c r="EJ66" s="4">
        <f>ROUND(DX66,9)</f>
        <v/>
      </c>
      <c r="EK66" s="4">
        <f>IF(EI66&lt;&gt;"no",SUMPRODUCT(($EI$2:$EI$209&lt;&gt;"no")*($EJ$2:$EJ$209&gt;EJ66))+SUMPRODUCT(($EI$2:EI66&lt;&gt;"no")*($EJ$2:EJ66=EJ66)),"")</f>
        <v/>
      </c>
    </row>
    <row r="67">
      <c r="A67" s="2" t="inlineStr">
        <is>
          <t>cochesnet:71799024</t>
        </is>
      </c>
      <c r="B67" s="2" t="inlineStr">
        <is>
          <t>cochesnet</t>
        </is>
      </c>
      <c r="C67" s="2" t="inlineStr">
        <is>
          <t>https://www.coches.net/opel-astra-13-cdti-111-years-gtc-3p-diesel-2011-en-valencia-71799024-covo.aspx</t>
        </is>
      </c>
      <c r="D67" s="2" t="inlineStr">
        <is>
          <t>OPEL Astra 1.3 CDTi 111 Years GTC</t>
        </is>
      </c>
      <c r="E67" s="2" t="inlineStr">
        <is>
          <t>Opel</t>
        </is>
      </c>
      <c r="F67" s="2" t="inlineStr">
        <is>
          <t>Opel Astra</t>
        </is>
      </c>
      <c r="G67" s="2" t="inlineStr">
        <is>
          <t>1.3 CDTi</t>
        </is>
      </c>
      <c r="H67" s="2" t="inlineStr">
        <is>
          <t>1.3 CDTi 111 Years GTC</t>
        </is>
      </c>
      <c r="I67" s="2" t="n"/>
      <c r="J67" s="2" t="n"/>
      <c r="K67" s="2" t="inlineStr">
        <is>
          <t>diesel</t>
        </is>
      </c>
      <c r="L67" s="2" t="inlineStr">
        <is>
          <t>compacto</t>
        </is>
      </c>
      <c r="M67" s="2" t="n">
        <v>2010</v>
      </c>
      <c r="N67" s="2" t="n">
        <v>114000</v>
      </c>
      <c r="O67" s="2" t="n">
        <v>4990</v>
      </c>
      <c r="P67" s="2" t="inlineStr">
        <is>
          <t>manual</t>
        </is>
      </c>
      <c r="Q67" s="2" t="inlineStr">
        <is>
          <t>no</t>
        </is>
      </c>
      <c r="R67" s="2" t="inlineStr">
        <is>
          <t>profesional</t>
        </is>
      </c>
      <c r="S67" s="2" t="inlineStr">
        <is>
          <t>JM Automóviles Alboraya</t>
        </is>
      </c>
      <c r="T67" s="2" t="inlineStr">
        <is>
          <t>2026-10-21T12:55:24Z</t>
        </is>
      </c>
      <c r="U67" s="2" t="n">
        <v>14</v>
      </c>
      <c r="V67" s="2" t="n"/>
      <c r="W67" s="2" t="n"/>
      <c r="X67" s="2" t="n"/>
      <c r="Y67" s="2" t="n"/>
      <c r="Z67" s="2" t="inlineStr">
        <is>
          <t>sí</t>
        </is>
      </c>
      <c r="AA67" s="2" t="n"/>
      <c r="AB67" s="2" t="n">
        <v>12</v>
      </c>
      <c r="AC67" s="2" t="n"/>
      <c r="AD67" s="2" t="n"/>
      <c r="AE67" s="2" t="n"/>
      <c r="AF67" s="2" t="n"/>
      <c r="AG67" s="2" t="n"/>
      <c r="AH67" s="2" t="n">
        <v>4990</v>
      </c>
      <c r="AI67" s="2" t="n">
        <v>4990</v>
      </c>
      <c r="AJ67" s="2" t="n"/>
      <c r="AK67" s="2" t="n"/>
      <c r="AL67" s="2" t="n"/>
      <c r="AM67" s="2" t="n">
        <v>4</v>
      </c>
      <c r="AN67" s="2" t="n"/>
      <c r="AO67" s="2" t="inlineStr">
        <is>
          <t>2010</t>
        </is>
      </c>
      <c r="AP67" s="2" t="n">
        <v>2010</v>
      </c>
      <c r="AQ67" s="2" t="n"/>
      <c r="AR67" s="2" t="inlineStr">
        <is>
          <t>B</t>
        </is>
      </c>
      <c r="AS67" s="2" t="inlineStr">
        <is>
          <t>anuncio</t>
        </is>
      </c>
      <c r="AT67" s="2" t="n">
        <v>2011</v>
      </c>
      <c r="AU67" s="2" t="inlineStr">
        <is>
          <t>no</t>
        </is>
      </c>
      <c r="AV67" s="2" t="inlineStr">
        <is>
          <t>B</t>
        </is>
      </c>
      <c r="AW67" s="2" t="n"/>
      <c r="AX67" s="2" t="inlineStr">
        <is>
          <t>no</t>
        </is>
      </c>
      <c r="AY67" s="2" t="inlineStr">
        <is>
          <t>no</t>
        </is>
      </c>
      <c r="AZ67" s="2" t="inlineStr">
        <is>
          <t>COMMON.COLOR_WHITE</t>
        </is>
      </c>
      <c r="BA67" s="2" t="inlineStr">
        <is>
          <t>blanco</t>
        </is>
      </c>
      <c r="BB67" s="3" t="n">
        <v>3</v>
      </c>
      <c r="BC67" s="3" t="inlineStr">
        <is>
          <t>(por segmento)</t>
        </is>
      </c>
      <c r="BD67" s="2" t="n"/>
      <c r="BE67" s="2" t="n"/>
      <c r="BF67" s="2" t="n"/>
      <c r="BG67" s="2" t="n"/>
      <c r="BH67" s="2" t="n"/>
      <c r="BI67" s="2" t="n"/>
      <c r="BJ67" s="2" t="n"/>
      <c r="BK67" s="2" t="n">
        <v>5</v>
      </c>
      <c r="BL67" s="2" t="inlineStr">
        <is>
          <t>sí</t>
        </is>
      </c>
      <c r="BM67" s="2" t="n">
        <v>402</v>
      </c>
      <c r="BN67" s="2" t="n">
        <v>0.06280092592351139</v>
      </c>
      <c r="BO67" s="2" t="n">
        <v>4</v>
      </c>
      <c r="BP67" s="2" t="n">
        <v>5695</v>
      </c>
      <c r="BQ67" s="2" t="n">
        <v>8</v>
      </c>
      <c r="BR67" s="2" t="inlineStr">
        <is>
          <t>modelo+año+km</t>
        </is>
      </c>
      <c r="BS67" s="2" t="n"/>
      <c r="BT67" s="2" t="inlineStr">
        <is>
          <t>año a confirmar: la URL/título dice 2011; por encima del presupuesto: negociar 54 € (coste 5054 €; -1.1 puntos); vendedor profesional: sin ITP (operación con IVA/REBU, confirmar en factura); gastos de gestión del vendedor no indicados: se suma la tasa DGT; preguntar el precio final; diésel: motor sin fuente de fiabilidad (fiabilidad limitada a neutra); revisar: no menciona la ITV</t>
        </is>
      </c>
      <c r="BU67" s="2" t="inlineStr">
        <is>
          <t>OPEL ASTRA GTC 1.3 CDTI 90 CV ESSENTIA – 2010
Opel Astra GTC del año 2010, equipado con motor 1.3 CDTI diésel de 90 CV y acabado Essentia. Un compacto de diseño deportivo, práctico y económico, ideal para el día a día y los desplazamientos por carretera.
DATOS PRINCIPALES
Año: 2010
Motor: 1.3 CDTI diésel
Potencia: 90 CV
Cambio: Manual
Acabado: Essentia
Carrocería: GTC
EQUIPAMIENTO DESTACADO
Aire acondicionado
Radio/CD
Volante multifunción
Elevalunas eléctricos
Cierre centralizado
Luces antiniebla
ABS + ESP
Ordenador de a bordo
LO MEJOR
Motor 1.3 CDTI de 90 CV
Acabado Essentia
Diseño deportivo GTC
Motor diésel de consumo contenido
Compacto y práctico
Ideal para uso diario y carretera
Vehículo en buen estado, cuidado y preparado para su entrega.</t>
        </is>
      </c>
      <c r="BV67" s="2" t="inlineStr">
        <is>
          <t>https://www.coches.net/opel-astra-13-cdti-111-years-gtc-3p-diesel-2011-en-valencia-71799024-covo.aspx (window.__INITIAL_PROPS__.ad) /home/user/Alopecia/buscador-coches/raw/cochesnet/9933ecb8a0c80054.json</t>
        </is>
      </c>
      <c r="BW67" s="3">
        <f>MAX(ANIO_ACTUAL-M67,0)</f>
        <v/>
      </c>
      <c r="BX67" s="4">
        <f>N67/MAX(BW67,0.5)</f>
        <v/>
      </c>
      <c r="BY67" s="4">
        <f>F67</f>
        <v/>
      </c>
      <c r="BZ67" s="3">
        <f>BY67&amp;"|"&amp;INT(M67/SEG_ANIO)*SEG_ANIO</f>
        <v/>
      </c>
      <c r="CA67" s="3">
        <f>BZ67&amp;"|"&amp;INT(N67/SEG_KM)*SEG_KM</f>
        <v/>
      </c>
      <c r="CB67" s="4">
        <f>COUNTIF($BY$2:$BY$209,BY67)</f>
        <v/>
      </c>
      <c r="CC67" s="4">
        <f>COUNTIF($BZ$2:$BZ$209,BZ67)</f>
        <v/>
      </c>
      <c r="CD67" s="4">
        <f>COUNTIF($CA$2:$CA$209,CA67)</f>
        <v/>
      </c>
      <c r="CE67" s="3">
        <f t="array" ref="CE67">IF(N(BQ67)&gt;=MIN_N,BP67,IF(CD67&gt;=MIN_N,MEDIAN(IF($CA$2:$CA$209=CA67,$O$2:$O$209)),IF(CC67&gt;=MIN_N,MEDIAN(IF($BZ$2:$BZ$209=BZ67,$O$2:$O$209)),MEDIAN(IF($BY$2:$BY$209=BY67,$O$2:$O$209)))))</f>
        <v/>
      </c>
      <c r="CF67" s="3">
        <f>IF(N(BQ67)&gt;=MIN_N,"mercado "&amp;BR67,IF(CD67&gt;=MIN_N,"modelo+año+km",IF(CC67&gt;=MIN_N,"modelo+año","modelo")))</f>
        <v/>
      </c>
      <c r="CG67" s="4">
        <f>(CE67-O67)/CE67</f>
        <v/>
      </c>
      <c r="CH67" s="3">
        <f>IF(COUNTIFS(FR_FUEL,K67,FR_YEAR,AP67)&gt;0,1,0)</f>
        <v/>
      </c>
      <c r="CI67" s="3">
        <f>IF(COUNTIFS(FR_FUEL,K67,FR_YEAR,AP67-1)&gt;0,1,0)</f>
        <v/>
      </c>
      <c r="CJ67" s="4">
        <f>IF(N(AQ67)&gt;0,AP67*100+AQ67,IF(AND(CH67=1,CI67=1),(AP67-1)*100+1,AP67*100+1))</f>
        <v/>
      </c>
      <c r="CK67" s="3">
        <f>IF(OR(K67="hibrido",K67="glp",K67="gnc",K67="phev"),"ECO",IF(K67="electrico","CERO",IF(K67="gasolina",IF(CJ67&gt;=GAS_C_YM,"C",IF(CJ67&gt;=GAS_B_YM,"B","A")),IF(K67="diesel",IF(CJ67&gt;=DIE_C_YM,"C",IF(CJ67&gt;=DIE_B_YM,"B","A")),""))))</f>
        <v/>
      </c>
      <c r="CL67" s="2" t="inlineStr">
        <is>
          <t>B</t>
        </is>
      </c>
      <c r="CM67" s="4">
        <f>IF(AU67="sí","sí",IF(AS67="regla",IF(AND(N(AQ67)=0,CH67=1),"sí","no"),"no"))</f>
        <v/>
      </c>
      <c r="CN67" s="3">
        <f>IFERROR(VLOOKUP(F67,MOD_TBL,16,0),IFERROR(VLOOKUP(E67,OCU_TBL,2,0),NEUTRO))</f>
        <v/>
      </c>
      <c r="CO67" s="3">
        <f>SUMIFS(MOT_AJUSTE,MOT_MOTOR,G67,MOT_MARCA,E67,MOT_DESDE,"&lt;="&amp;M67,MOT_HASTA,"&gt;="&amp;M67)+SUMIFS(MOT_AJUSTE,MOT_MOTOR,G67,MOT_MARCA,"(todas)",MOT_DESDE,"&lt;="&amp;M67,MOT_HASTA,"&gt;="&amp;M67)+SUMIFS(MOT_AJUSTE,MOT_MOTOR,"(cualquiera)",MOT_MARCA,E67,MOT_DESDE,"&lt;="&amp;M67,MOT_HASTA,"&gt;="&amp;M67)</f>
        <v/>
      </c>
      <c r="CP67" s="3">
        <f>SUMIFS(COMB_AJUSTE,COMB_COMB,K67)</f>
        <v/>
      </c>
      <c r="CQ67" s="3">
        <f>COUNTIFS(MOT_MOTOR,G67,MOT_MARCA,E67,MOT_DESDE,"&lt;="&amp;M67,MOT_HASTA,"&gt;="&amp;M67)+COUNTIFS(MOT_MOTOR,G67,MOT_MARCA,"(todas)",MOT_DESDE,"&lt;="&amp;M67,MOT_HASTA,"&gt;="&amp;M67)+COUNTIFS(MOT_MOTOR,"(cualquiera)",MOT_MARCA,E67,MOT_DESDE,"&lt;="&amp;M67,MOT_HASTA,"&gt;="&amp;M67)</f>
        <v/>
      </c>
      <c r="CR67" s="3">
        <f>IF(AND(K67="diesel",CQ67=0),MIN(CN67,NEUTRO),CN67)</f>
        <v/>
      </c>
      <c r="CS67" s="3">
        <f>MAX(0,MIN(100,CR67+CO67+CP67-IF(AX67="sí",ROB_PEN,0)))</f>
        <v/>
      </c>
      <c r="CT67" s="3">
        <f>100-MAX(0,N67-KM_TOPE_DESDE)/1000*KM_TOPE_PTS</f>
        <v/>
      </c>
      <c r="CU67" s="3">
        <f>MAX(0,MIN(100,50+CG67*PRECIO_PEND,CT67))</f>
        <v/>
      </c>
      <c r="CV67" s="3">
        <f>MAX(0,100*(1-N67/KM_MAX))</f>
        <v/>
      </c>
      <c r="CW67" s="3">
        <f>IF(BX67&lt;KMA_SOSP,IF(AA67="sí",100,KMA_PEN),IF(BX67&lt;=KMA_IDEAL_MAX,100,MAX(0,100*(KMA_CERO-BX67)/(KMA_CERO-KMA_IDEAL_MAX))))</f>
        <v/>
      </c>
      <c r="CX67" s="3">
        <f>MAX(0,MIN(100,100*(M67-ANIO_MIN)/(ANIO_ACTUAL-ANIO_MIN)))</f>
        <v/>
      </c>
      <c r="CY67" s="3">
        <f>W_KMT*CV67+W_KMA*CW67+W_EDAD*CX67</f>
        <v/>
      </c>
      <c r="CZ67" s="4">
        <f>E67&amp;"|"&amp;G67</f>
        <v/>
      </c>
      <c r="DA67" s="3">
        <f>IFERROR(VLOOKUP(CZ67,DIST_TBL,2,0),"")</f>
        <v/>
      </c>
      <c r="DB67" s="3">
        <f>E_ITV*(V67="sí")+E_LIBRO*(W67="sí")+E_PROP*IF(Y67=1,1,IF(Y67=2,0.5,0))+E_CORREA*IF(OR(DA67="cadena",AND(X67="sí",BH67="sí")),1,IF(X67="sí",0.5,0))+E_FACT*(BI67="sí")</f>
        <v/>
      </c>
      <c r="DC67" s="3">
        <f>MAX(0,MIN(100,IFERROR(VLOOKUP(CL67,ETQ_TBL,2,0),0)-IF(CM67="sí",ETQ_PEN_DUD,IF(AS67="regla",ETQ_PEN_REGLA,0))))</f>
        <v/>
      </c>
      <c r="DD67" s="3">
        <f>IF(K67&lt;&gt;"gasolina","",IFERROR(VLOOKUP(F67,CONS_MOD_TBL,2,0),IFERROR(VLOOKUP(L67,CONS_SEG_TBL,2,0),"")))</f>
        <v/>
      </c>
      <c r="DE67" s="3">
        <f>IF(DD67="",NEUTRO,MAX(0,MIN(100,100*(CONS_REF_MAX-DD67)/(CONS_REF_MAX-CONS_REF_MIN))))</f>
        <v/>
      </c>
      <c r="DF67" s="3">
        <f>IFERROR(VLOOKUP(L67,SEGURO_TBL,3,0),"")</f>
        <v/>
      </c>
      <c r="DG67" s="3">
        <f>IF(DF67="",NEUTRO,MAX(0,MIN(100,100*(SEG_REF_MAX-DF67)/(SEG_REF_MAX-SEG_REF_MIN))))</f>
        <v/>
      </c>
      <c r="DH67" s="3">
        <f>IFERROR(VLOOKUP(E67,MANT_MARCA_TBL,2,0)+0,NEUTRO)</f>
        <v/>
      </c>
      <c r="DI67" s="3">
        <f>IF(DA67="",NEUTRO,IFERROR(VLOOKUP(DA67,DIST_PTS_TBL,2,0)+0,NEUTRO))</f>
        <v/>
      </c>
      <c r="DJ67" s="4">
        <f>(DH67+DI67)/2</f>
        <v/>
      </c>
      <c r="DK67" s="3">
        <f>W_CONS*DE67+W_SEG*DG67+W_MANT*DJ67</f>
        <v/>
      </c>
      <c r="DL67" s="3">
        <f>IF(N(AB67)&gt;0,AB67,IF(AND(R67="profesional",SG_LEGAL_ON=1),GAR_LEGAL,0))</f>
        <v/>
      </c>
      <c r="DM67" s="3">
        <f>MAX(0,MIN(100,SG_GAR*MIN(1,DL67/SG_GAR_FULL)+SG_AMPL*(AC67="sí")+SG_KMC*(AF67="sí")+SG_REV*(N(AE67)&gt;0)+SG_DEV*MIN(1,N(AG67)/SG_DEV_FULL)+SG_HIST*(W67="sí")-IF(AND(R67="particular",DL67=0),SG_PART_PEN,0)))</f>
        <v/>
      </c>
      <c r="DN67" s="3">
        <f>IF(BK67="",NEUTRO,MAX(0,MIN(100,BK67/5*100)))</f>
        <v/>
      </c>
      <c r="DO67" s="3">
        <f>IF(BL67="sí",100,IF(BL67="no",0,NEUTRO))</f>
        <v/>
      </c>
      <c r="DP67" s="3">
        <f>SV_W_NCAP*DN67+SV_W_ESP*DO67</f>
        <v/>
      </c>
      <c r="DQ67" s="3">
        <f>MAX(0,MIN(100,ATR_BASE+ATR_ACAB*(BD67&lt;&gt;"")+IF(BE67="16+",ATR_LL16,IF(BE67="sí",ATR_LL,0))+ATR_FAROS*(BF67="sí")+ATR_TINT*(BG67="sí")-ATR_CHAPA*(BE67="chapa")))</f>
        <v/>
      </c>
      <c r="DR67" s="3">
        <f>EST_W_MOD*(BB67-1)/4*100+EST_W_ATR*DQ67</f>
        <v/>
      </c>
      <c r="DS67" s="3">
        <f>IF(BA67="",NEUTRO,IFERROR(VLOOKUP(BA67,COLOR_TBL,2,0)+0,NEUTRO))</f>
        <v/>
      </c>
      <c r="DT67" s="3">
        <f>MAX(0,MIN(100,100*N(BM67)/RV_N_FULL))</f>
        <v/>
      </c>
      <c r="DU67" s="3">
        <f>IF(OR(BN67="",N(BO67)&lt;RV_DIAS_MIN),NEUTRO,MAX(0,MIN(100,100*(RV_DIAS_CERO-BN67)/(RV_DIAS_CERO-RV_DIAS_FULL))))</f>
        <v/>
      </c>
      <c r="DV67" s="3">
        <f>RV_W_LIQ*DT67+RV_W_DIAS*DU67+RV_W_ETQ*DC67</f>
        <v/>
      </c>
      <c r="DW67" s="3">
        <f>IFERROR(VLOOKUP(L67,CARR_PEN_TBL,2,0),0)</f>
        <v/>
      </c>
      <c r="DX67" s="3">
        <f>W_FIAB*CS67+W_PRECIO*CU67+W_KMEDAD*CY67+W_ESTADO*DB67+W_USO*DK67+W_SEGURIDAD*DM67+W_SEGVIAL*DP67+W_ESTETICA*DR67+W_COLOR*DS67+W_REVENTA*DV67-DW67-EG67</f>
        <v/>
      </c>
      <c r="DY67" s="4">
        <f>IF(N(I67)&gt;0,I67,IFERROR(ROUND(_xlfn.NUMBERVALUE(LEFT(G67,FIND(" ",G67&amp;" ")-1),".")*1000,0),99999))</f>
        <v/>
      </c>
      <c r="DZ67" s="3">
        <f>IF(R67="profesional",0,IF(O67&lt;CUOTA_VALOR_MAX,IF(BW67&gt;ITP_TRAMO_ALTO,SUMIFS(CF_CUOTA,CF_MAS,ITP_TRAMO_ALTO,CF_CCMIN,"&lt;="&amp;DY67,CF_CCMAX,"&gt;="&amp;DY67),IF(BW67&gt;ITP_TRAMO_BAJO,SUMIFS(CF_CUOTA,CF_MAS,ITP_TRAMO_BAJO,CF_CCMIN,"&lt;="&amp;DY67,CF_CCMAX,"&gt;="&amp;DY67),O67*ITP_TIPO)),O67*ITP_TIPO))</f>
        <v/>
      </c>
      <c r="EA67" s="4">
        <f>IF(R67="profesional",N(AK67),0)</f>
        <v/>
      </c>
      <c r="EB67" s="3">
        <f>IF(AND(R67="profesional",ISNUMBER(AK67),AL67="sí"),0,TASA_DGT)</f>
        <v/>
      </c>
      <c r="EC67" s="3">
        <f>INFORME_DGT</f>
        <v/>
      </c>
      <c r="ED67" s="4">
        <f>O67+EA67+DZ67+EB67+EC67</f>
        <v/>
      </c>
      <c r="EE67" s="4">
        <f>ED67+N(DF67)</f>
        <v/>
      </c>
      <c r="EF67" s="3">
        <f>MAX(0,ED67-TOTAL_MAX)</f>
        <v/>
      </c>
      <c r="EG67" s="3">
        <f>EF67/100*PEN_100</f>
        <v/>
      </c>
      <c r="EH67" s="3">
        <f>IF(R67="particular",ED67+IF(AND(DA67&lt;&gt;"cadena",X67&lt;&gt;"sí"),RES_CORREA,0)+IF(AND(BJ67&lt;&gt;"sí",BW67&gt;=RES_NEUM_EDAD),RES_NEUM,0),"")</f>
        <v/>
      </c>
      <c r="EI67" s="3">
        <f>IF(ED67&lt;=TOTAL_MAX,"sí",IF(ED67&lt;=TECHO,"negociar","no"))</f>
        <v/>
      </c>
      <c r="EJ67" s="4">
        <f>ROUND(DX67,9)</f>
        <v/>
      </c>
      <c r="EK67" s="4">
        <f>IF(EI67&lt;&gt;"no",SUMPRODUCT(($EI$2:$EI$209&lt;&gt;"no")*($EJ$2:$EJ$209&gt;EJ67))+SUMPRODUCT(($EI$2:EI67&lt;&gt;"no")*($EJ$2:EJ67=EJ67)),"")</f>
        <v/>
      </c>
    </row>
    <row r="68">
      <c r="A68" s="2" t="inlineStr">
        <is>
          <t>cochesnet:71599225</t>
        </is>
      </c>
      <c r="B68" s="2" t="inlineStr">
        <is>
          <t>cochesnet</t>
        </is>
      </c>
      <c r="C68" s="2" t="inlineStr">
        <is>
          <t>https://www.coches.net/opel-astra-19-cdti-enjoy-120-cv-5p-diesel-2007-en-valencia-71599225-covo.aspx</t>
        </is>
      </c>
      <c r="D68" s="2" t="inlineStr">
        <is>
          <t>OPEL Astra 1.9 CDTi Enjoy 120 CV</t>
        </is>
      </c>
      <c r="E68" s="2" t="inlineStr">
        <is>
          <t>Opel</t>
        </is>
      </c>
      <c r="F68" s="2" t="inlineStr">
        <is>
          <t>Opel Astra</t>
        </is>
      </c>
      <c r="G68" s="2" t="inlineStr">
        <is>
          <t>1.9 CDTi</t>
        </is>
      </c>
      <c r="H68" s="2" t="inlineStr">
        <is>
          <t>1.9 CDTi Enjoy 120 CV</t>
        </is>
      </c>
      <c r="I68" s="2" t="n"/>
      <c r="J68" s="2" t="n">
        <v>120</v>
      </c>
      <c r="K68" s="2" t="inlineStr">
        <is>
          <t>diesel</t>
        </is>
      </c>
      <c r="L68" s="2" t="inlineStr">
        <is>
          <t>compacto</t>
        </is>
      </c>
      <c r="M68" s="2" t="n">
        <v>2006</v>
      </c>
      <c r="N68" s="2" t="n">
        <v>129000</v>
      </c>
      <c r="O68" s="2" t="n">
        <v>4190</v>
      </c>
      <c r="P68" s="2" t="inlineStr">
        <is>
          <t>manual</t>
        </is>
      </c>
      <c r="Q68" s="2" t="inlineStr">
        <is>
          <t>no</t>
        </is>
      </c>
      <c r="R68" s="2" t="inlineStr">
        <is>
          <t>profesional</t>
        </is>
      </c>
      <c r="S68" s="2" t="inlineStr">
        <is>
          <t>Only Cars Valencia Aldaia</t>
        </is>
      </c>
      <c r="T68" s="2" t="inlineStr">
        <is>
          <t>2026-09-25T16:51:25Z</t>
        </is>
      </c>
      <c r="U68" s="2" t="n">
        <v>11</v>
      </c>
      <c r="V68" s="2" t="n"/>
      <c r="W68" s="2" t="n"/>
      <c r="X68" s="2" t="n"/>
      <c r="Y68" s="2" t="n"/>
      <c r="Z68" s="2" t="inlineStr">
        <is>
          <t>sí</t>
        </is>
      </c>
      <c r="AA68" s="2" t="n"/>
      <c r="AB68" s="2" t="n">
        <v>12</v>
      </c>
      <c r="AC68" s="2" t="n"/>
      <c r="AD68" s="2" t="n"/>
      <c r="AE68" s="2" t="n"/>
      <c r="AF68" s="2" t="n"/>
      <c r="AG68" s="2" t="n"/>
      <c r="AH68" s="2" t="n">
        <v>4190</v>
      </c>
      <c r="AI68" s="2" t="n"/>
      <c r="AJ68" s="2" t="n"/>
      <c r="AK68" s="2" t="n"/>
      <c r="AL68" s="2" t="n"/>
      <c r="AM68" s="2" t="n">
        <v>7.5</v>
      </c>
      <c r="AN68" s="2" t="n"/>
      <c r="AO68" s="2" t="inlineStr">
        <is>
          <t>2006</t>
        </is>
      </c>
      <c r="AP68" s="2" t="n">
        <v>2006</v>
      </c>
      <c r="AQ68" s="2" t="n"/>
      <c r="AR68" s="2" t="inlineStr">
        <is>
          <t>B</t>
        </is>
      </c>
      <c r="AS68" s="2" t="inlineStr">
        <is>
          <t>anuncio</t>
        </is>
      </c>
      <c r="AT68" s="2" t="n">
        <v>2007</v>
      </c>
      <c r="AU68" s="2" t="inlineStr">
        <is>
          <t>no</t>
        </is>
      </c>
      <c r="AV68" s="2" t="inlineStr">
        <is>
          <t>B</t>
        </is>
      </c>
      <c r="AW68" s="2" t="n"/>
      <c r="AX68" s="2" t="inlineStr">
        <is>
          <t>no</t>
        </is>
      </c>
      <c r="AY68" s="2" t="inlineStr">
        <is>
          <t>no</t>
        </is>
      </c>
      <c r="AZ68" s="2" t="inlineStr">
        <is>
          <t>COMMON.COLOR_BLUE</t>
        </is>
      </c>
      <c r="BA68" s="2" t="inlineStr">
        <is>
          <t>azul</t>
        </is>
      </c>
      <c r="BB68" s="3" t="n">
        <v>3</v>
      </c>
      <c r="BC68" s="3" t="inlineStr">
        <is>
          <t>(por segmento)</t>
        </is>
      </c>
      <c r="BD68" s="2" t="n"/>
      <c r="BE68" s="2" t="n"/>
      <c r="BF68" s="2" t="n"/>
      <c r="BG68" s="2" t="n"/>
      <c r="BH68" s="2" t="n"/>
      <c r="BI68" s="2" t="n"/>
      <c r="BJ68" s="2" t="n"/>
      <c r="BK68" s="2" t="n">
        <v>5</v>
      </c>
      <c r="BL68" s="2" t="n"/>
      <c r="BM68" s="2" t="n">
        <v>402</v>
      </c>
      <c r="BN68" s="2" t="n">
        <v>0.06280092592351139</v>
      </c>
      <c r="BO68" s="2" t="n">
        <v>4</v>
      </c>
      <c r="BP68" s="2" t="n">
        <v>3725</v>
      </c>
      <c r="BQ68" s="2" t="n">
        <v>12</v>
      </c>
      <c r="BR68" s="2" t="inlineStr">
        <is>
          <t>modelo+año+km</t>
        </is>
      </c>
      <c r="BS68" s="2" t="n"/>
      <c r="BT68" s="2" t="inlineStr">
        <is>
          <t>año a confirmar: la URL/título dice 2007; vendedor profesional: sin ITP (operación con IVA/REBU, confirmar en factura); gastos de gestión del vendedor no indicados: se suma la tasa DGT; preguntar el precio final; diésel: motor sin fuente de fiabilidad (fiabilidad limitada a neutra); revisar: no menciona la ITV</t>
        </is>
      </c>
      <c r="BU68" s="2" t="inlineStr">
        <is>
          <t>Opel Astra 1.9 CDTI Enjoy año 2006 con 129.000Kms 120CV.
Equipamiento:
- elevalunas eléctricos 
- Espejos eléctricos 
- Aire acondicionado 
- Dirección asistida
- Mando a distancia 
Mantenimiento:
   - cambio de filtro de aire
   - cambio de filtro de aceite
   - cambio de aceite 
   - Dos juegos de llave
   - Alfombrillas</t>
        </is>
      </c>
      <c r="BV68" s="2" t="inlineStr">
        <is>
          <t>https://www.coches.net/opel-astra-19-cdti-enjoy-120-cv-5p-diesel-2007-en-valencia-71599225-covo.aspx (window.__INITIAL_PROPS__.ad) /home/user/Alopecia/buscador-coches/raw/cochesnet/f421bcba4a0c6277.json</t>
        </is>
      </c>
      <c r="BW68" s="3">
        <f>MAX(ANIO_ACTUAL-M68,0)</f>
        <v/>
      </c>
      <c r="BX68" s="4">
        <f>N68/MAX(BW68,0.5)</f>
        <v/>
      </c>
      <c r="BY68" s="4">
        <f>F68</f>
        <v/>
      </c>
      <c r="BZ68" s="3">
        <f>BY68&amp;"|"&amp;INT(M68/SEG_ANIO)*SEG_ANIO</f>
        <v/>
      </c>
      <c r="CA68" s="3">
        <f>BZ68&amp;"|"&amp;INT(N68/SEG_KM)*SEG_KM</f>
        <v/>
      </c>
      <c r="CB68" s="4">
        <f>COUNTIF($BY$2:$BY$209,BY68)</f>
        <v/>
      </c>
      <c r="CC68" s="4">
        <f>COUNTIF($BZ$2:$BZ$209,BZ68)</f>
        <v/>
      </c>
      <c r="CD68" s="4">
        <f>COUNTIF($CA$2:$CA$209,CA68)</f>
        <v/>
      </c>
      <c r="CE68" s="3">
        <f t="array" ref="CE68">IF(N(BQ68)&gt;=MIN_N,BP68,IF(CD68&gt;=MIN_N,MEDIAN(IF($CA$2:$CA$209=CA68,$O$2:$O$209)),IF(CC68&gt;=MIN_N,MEDIAN(IF($BZ$2:$BZ$209=BZ68,$O$2:$O$209)),MEDIAN(IF($BY$2:$BY$209=BY68,$O$2:$O$209)))))</f>
        <v/>
      </c>
      <c r="CF68" s="3">
        <f>IF(N(BQ68)&gt;=MIN_N,"mercado "&amp;BR68,IF(CD68&gt;=MIN_N,"modelo+año+km",IF(CC68&gt;=MIN_N,"modelo+año","modelo")))</f>
        <v/>
      </c>
      <c r="CG68" s="4">
        <f>(CE68-O68)/CE68</f>
        <v/>
      </c>
      <c r="CH68" s="3">
        <f>IF(COUNTIFS(FR_FUEL,K68,FR_YEAR,AP68)&gt;0,1,0)</f>
        <v/>
      </c>
      <c r="CI68" s="3">
        <f>IF(COUNTIFS(FR_FUEL,K68,FR_YEAR,AP68-1)&gt;0,1,0)</f>
        <v/>
      </c>
      <c r="CJ68" s="4">
        <f>IF(N(AQ68)&gt;0,AP68*100+AQ68,IF(AND(CH68=1,CI68=1),(AP68-1)*100+1,AP68*100+1))</f>
        <v/>
      </c>
      <c r="CK68" s="3">
        <f>IF(OR(K68="hibrido",K68="glp",K68="gnc",K68="phev"),"ECO",IF(K68="electrico","CERO",IF(K68="gasolina",IF(CJ68&gt;=GAS_C_YM,"C",IF(CJ68&gt;=GAS_B_YM,"B","A")),IF(K68="diesel",IF(CJ68&gt;=DIE_C_YM,"C",IF(CJ68&gt;=DIE_B_YM,"B","A")),""))))</f>
        <v/>
      </c>
      <c r="CL68" s="2" t="inlineStr">
        <is>
          <t>B</t>
        </is>
      </c>
      <c r="CM68" s="4">
        <f>IF(AU68="sí","sí",IF(AS68="regla",IF(AND(N(AQ68)=0,CH68=1),"sí","no"),"no"))</f>
        <v/>
      </c>
      <c r="CN68" s="3">
        <f>IFERROR(VLOOKUP(F68,MOD_TBL,16,0),IFERROR(VLOOKUP(E68,OCU_TBL,2,0),NEUTRO))</f>
        <v/>
      </c>
      <c r="CO68" s="3">
        <f>SUMIFS(MOT_AJUSTE,MOT_MOTOR,G68,MOT_MARCA,E68,MOT_DESDE,"&lt;="&amp;M68,MOT_HASTA,"&gt;="&amp;M68)+SUMIFS(MOT_AJUSTE,MOT_MOTOR,G68,MOT_MARCA,"(todas)",MOT_DESDE,"&lt;="&amp;M68,MOT_HASTA,"&gt;="&amp;M68)+SUMIFS(MOT_AJUSTE,MOT_MOTOR,"(cualquiera)",MOT_MARCA,E68,MOT_DESDE,"&lt;="&amp;M68,MOT_HASTA,"&gt;="&amp;M68)</f>
        <v/>
      </c>
      <c r="CP68" s="3">
        <f>SUMIFS(COMB_AJUSTE,COMB_COMB,K68)</f>
        <v/>
      </c>
      <c r="CQ68" s="3">
        <f>COUNTIFS(MOT_MOTOR,G68,MOT_MARCA,E68,MOT_DESDE,"&lt;="&amp;M68,MOT_HASTA,"&gt;="&amp;M68)+COUNTIFS(MOT_MOTOR,G68,MOT_MARCA,"(todas)",MOT_DESDE,"&lt;="&amp;M68,MOT_HASTA,"&gt;="&amp;M68)+COUNTIFS(MOT_MOTOR,"(cualquiera)",MOT_MARCA,E68,MOT_DESDE,"&lt;="&amp;M68,MOT_HASTA,"&gt;="&amp;M68)</f>
        <v/>
      </c>
      <c r="CR68" s="3">
        <f>IF(AND(K68="diesel",CQ68=0),MIN(CN68,NEUTRO),CN68)</f>
        <v/>
      </c>
      <c r="CS68" s="3">
        <f>MAX(0,MIN(100,CR68+CO68+CP68-IF(AX68="sí",ROB_PEN,0)))</f>
        <v/>
      </c>
      <c r="CT68" s="3">
        <f>100-MAX(0,N68-KM_TOPE_DESDE)/1000*KM_TOPE_PTS</f>
        <v/>
      </c>
      <c r="CU68" s="3">
        <f>MAX(0,MIN(100,50+CG68*PRECIO_PEND,CT68))</f>
        <v/>
      </c>
      <c r="CV68" s="3">
        <f>MAX(0,100*(1-N68/KM_MAX))</f>
        <v/>
      </c>
      <c r="CW68" s="3">
        <f>IF(BX68&lt;KMA_SOSP,IF(AA68="sí",100,KMA_PEN),IF(BX68&lt;=KMA_IDEAL_MAX,100,MAX(0,100*(KMA_CERO-BX68)/(KMA_CERO-KMA_IDEAL_MAX))))</f>
        <v/>
      </c>
      <c r="CX68" s="3">
        <f>MAX(0,MIN(100,100*(M68-ANIO_MIN)/(ANIO_ACTUAL-ANIO_MIN)))</f>
        <v/>
      </c>
      <c r="CY68" s="3">
        <f>W_KMT*CV68+W_KMA*CW68+W_EDAD*CX68</f>
        <v/>
      </c>
      <c r="CZ68" s="4">
        <f>E68&amp;"|"&amp;G68</f>
        <v/>
      </c>
      <c r="DA68" s="3">
        <f>IFERROR(VLOOKUP(CZ68,DIST_TBL,2,0),"")</f>
        <v/>
      </c>
      <c r="DB68" s="3">
        <f>E_ITV*(V68="sí")+E_LIBRO*(W68="sí")+E_PROP*IF(Y68=1,1,IF(Y68=2,0.5,0))+E_CORREA*IF(OR(DA68="cadena",AND(X68="sí",BH68="sí")),1,IF(X68="sí",0.5,0))+E_FACT*(BI68="sí")</f>
        <v/>
      </c>
      <c r="DC68" s="3">
        <f>MAX(0,MIN(100,IFERROR(VLOOKUP(CL68,ETQ_TBL,2,0),0)-IF(CM68="sí",ETQ_PEN_DUD,IF(AS68="regla",ETQ_PEN_REGLA,0))))</f>
        <v/>
      </c>
      <c r="DD68" s="3">
        <f>IF(K68&lt;&gt;"gasolina","",IFERROR(VLOOKUP(F68,CONS_MOD_TBL,2,0),IFERROR(VLOOKUP(L68,CONS_SEG_TBL,2,0),"")))</f>
        <v/>
      </c>
      <c r="DE68" s="3">
        <f>IF(DD68="",NEUTRO,MAX(0,MIN(100,100*(CONS_REF_MAX-DD68)/(CONS_REF_MAX-CONS_REF_MIN))))</f>
        <v/>
      </c>
      <c r="DF68" s="3">
        <f>IFERROR(VLOOKUP(L68,SEGURO_TBL,3,0),"")</f>
        <v/>
      </c>
      <c r="DG68" s="3">
        <f>IF(DF68="",NEUTRO,MAX(0,MIN(100,100*(SEG_REF_MAX-DF68)/(SEG_REF_MAX-SEG_REF_MIN))))</f>
        <v/>
      </c>
      <c r="DH68" s="3">
        <f>IFERROR(VLOOKUP(E68,MANT_MARCA_TBL,2,0)+0,NEUTRO)</f>
        <v/>
      </c>
      <c r="DI68" s="3">
        <f>IF(DA68="",NEUTRO,IFERROR(VLOOKUP(DA68,DIST_PTS_TBL,2,0)+0,NEUTRO))</f>
        <v/>
      </c>
      <c r="DJ68" s="4">
        <f>(DH68+DI68)/2</f>
        <v/>
      </c>
      <c r="DK68" s="3">
        <f>W_CONS*DE68+W_SEG*DG68+W_MANT*DJ68</f>
        <v/>
      </c>
      <c r="DL68" s="3">
        <f>IF(N(AB68)&gt;0,AB68,IF(AND(R68="profesional",SG_LEGAL_ON=1),GAR_LEGAL,0))</f>
        <v/>
      </c>
      <c r="DM68" s="3">
        <f>MAX(0,MIN(100,SG_GAR*MIN(1,DL68/SG_GAR_FULL)+SG_AMPL*(AC68="sí")+SG_KMC*(AF68="sí")+SG_REV*(N(AE68)&gt;0)+SG_DEV*MIN(1,N(AG68)/SG_DEV_FULL)+SG_HIST*(W68="sí")-IF(AND(R68="particular",DL68=0),SG_PART_PEN,0)))</f>
        <v/>
      </c>
      <c r="DN68" s="3">
        <f>IF(BK68="",NEUTRO,MAX(0,MIN(100,BK68/5*100)))</f>
        <v/>
      </c>
      <c r="DO68" s="3">
        <f>IF(BL68="sí",100,IF(BL68="no",0,NEUTRO))</f>
        <v/>
      </c>
      <c r="DP68" s="3">
        <f>SV_W_NCAP*DN68+SV_W_ESP*DO68</f>
        <v/>
      </c>
      <c r="DQ68" s="3">
        <f>MAX(0,MIN(100,ATR_BASE+ATR_ACAB*(BD68&lt;&gt;"")+IF(BE68="16+",ATR_LL16,IF(BE68="sí",ATR_LL,0))+ATR_FAROS*(BF68="sí")+ATR_TINT*(BG68="sí")-ATR_CHAPA*(BE68="chapa")))</f>
        <v/>
      </c>
      <c r="DR68" s="3">
        <f>EST_W_MOD*(BB68-1)/4*100+EST_W_ATR*DQ68</f>
        <v/>
      </c>
      <c r="DS68" s="3">
        <f>IF(BA68="",NEUTRO,IFERROR(VLOOKUP(BA68,COLOR_TBL,2,0)+0,NEUTRO))</f>
        <v/>
      </c>
      <c r="DT68" s="3">
        <f>MAX(0,MIN(100,100*N(BM68)/RV_N_FULL))</f>
        <v/>
      </c>
      <c r="DU68" s="3">
        <f>IF(OR(BN68="",N(BO68)&lt;RV_DIAS_MIN),NEUTRO,MAX(0,MIN(100,100*(RV_DIAS_CERO-BN68)/(RV_DIAS_CERO-RV_DIAS_FULL))))</f>
        <v/>
      </c>
      <c r="DV68" s="3">
        <f>RV_W_LIQ*DT68+RV_W_DIAS*DU68+RV_W_ETQ*DC68</f>
        <v/>
      </c>
      <c r="DW68" s="3">
        <f>IFERROR(VLOOKUP(L68,CARR_PEN_TBL,2,0),0)</f>
        <v/>
      </c>
      <c r="DX68" s="3">
        <f>W_FIAB*CS68+W_PRECIO*CU68+W_KMEDAD*CY68+W_ESTADO*DB68+W_USO*DK68+W_SEGURIDAD*DM68+W_SEGVIAL*DP68+W_ESTETICA*DR68+W_COLOR*DS68+W_REVENTA*DV68-DW68-EG68</f>
        <v/>
      </c>
      <c r="DY68" s="4">
        <f>IF(N(I68)&gt;0,I68,IFERROR(ROUND(_xlfn.NUMBERVALUE(LEFT(G68,FIND(" ",G68&amp;" ")-1),".")*1000,0),99999))</f>
        <v/>
      </c>
      <c r="DZ68" s="3">
        <f>IF(R68="profesional",0,IF(O68&lt;CUOTA_VALOR_MAX,IF(BW68&gt;ITP_TRAMO_ALTO,SUMIFS(CF_CUOTA,CF_MAS,ITP_TRAMO_ALTO,CF_CCMIN,"&lt;="&amp;DY68,CF_CCMAX,"&gt;="&amp;DY68),IF(BW68&gt;ITP_TRAMO_BAJO,SUMIFS(CF_CUOTA,CF_MAS,ITP_TRAMO_BAJO,CF_CCMIN,"&lt;="&amp;DY68,CF_CCMAX,"&gt;="&amp;DY68),O68*ITP_TIPO)),O68*ITP_TIPO))</f>
        <v/>
      </c>
      <c r="EA68" s="4">
        <f>IF(R68="profesional",N(AK68),0)</f>
        <v/>
      </c>
      <c r="EB68" s="3">
        <f>IF(AND(R68="profesional",ISNUMBER(AK68),AL68="sí"),0,TASA_DGT)</f>
        <v/>
      </c>
      <c r="EC68" s="3">
        <f>INFORME_DGT</f>
        <v/>
      </c>
      <c r="ED68" s="4">
        <f>O68+EA68+DZ68+EB68+EC68</f>
        <v/>
      </c>
      <c r="EE68" s="4">
        <f>ED68+N(DF68)</f>
        <v/>
      </c>
      <c r="EF68" s="3">
        <f>MAX(0,ED68-TOTAL_MAX)</f>
        <v/>
      </c>
      <c r="EG68" s="3">
        <f>EF68/100*PEN_100</f>
        <v/>
      </c>
      <c r="EH68" s="3">
        <f>IF(R68="particular",ED68+IF(AND(DA68&lt;&gt;"cadena",X68&lt;&gt;"sí"),RES_CORREA,0)+IF(AND(BJ68&lt;&gt;"sí",BW68&gt;=RES_NEUM_EDAD),RES_NEUM,0),"")</f>
        <v/>
      </c>
      <c r="EI68" s="3">
        <f>IF(ED68&lt;=TOTAL_MAX,"sí",IF(ED68&lt;=TECHO,"negociar","no"))</f>
        <v/>
      </c>
      <c r="EJ68" s="4">
        <f>ROUND(DX68,9)</f>
        <v/>
      </c>
      <c r="EK68" s="4">
        <f>IF(EI68&lt;&gt;"no",SUMPRODUCT(($EI$2:$EI$209&lt;&gt;"no")*($EJ$2:$EJ$209&gt;EJ68))+SUMPRODUCT(($EI$2:EI68&lt;&gt;"no")*($EJ$2:EJ68=EJ68)),"")</f>
        <v/>
      </c>
    </row>
    <row r="69">
      <c r="A69" s="2" t="inlineStr">
        <is>
          <t>cochesnet:71722524</t>
        </is>
      </c>
      <c r="B69" s="2" t="inlineStr">
        <is>
          <t>cochesnet</t>
        </is>
      </c>
      <c r="C69" s="2" t="inlineStr">
        <is>
          <t>https://www.coches.net/opel-astra-14-enjoy-5p-gasolina-2006-en-valencia-71722524-covo.aspx</t>
        </is>
      </c>
      <c r="D69" s="2" t="inlineStr">
        <is>
          <t>OPEL Astra 1.4 Enjoy</t>
        </is>
      </c>
      <c r="E69" s="2" t="inlineStr">
        <is>
          <t>Opel</t>
        </is>
      </c>
      <c r="F69" s="2" t="inlineStr">
        <is>
          <t>Opel Astra</t>
        </is>
      </c>
      <c r="G69" s="2" t="inlineStr">
        <is>
          <t>1.4</t>
        </is>
      </c>
      <c r="H69" s="2" t="inlineStr">
        <is>
          <t>1.4 Enjoy</t>
        </is>
      </c>
      <c r="I69" s="2" t="n"/>
      <c r="J69" s="2" t="n"/>
      <c r="K69" s="2" t="inlineStr">
        <is>
          <t>gasolina</t>
        </is>
      </c>
      <c r="L69" s="2" t="inlineStr">
        <is>
          <t>compacto</t>
        </is>
      </c>
      <c r="M69" s="2" t="n">
        <v>2006</v>
      </c>
      <c r="N69" s="2" t="n">
        <v>78450</v>
      </c>
      <c r="O69" s="2" t="n">
        <v>4490</v>
      </c>
      <c r="P69" s="2" t="inlineStr">
        <is>
          <t>manual</t>
        </is>
      </c>
      <c r="Q69" s="2" t="inlineStr">
        <is>
          <t>no</t>
        </is>
      </c>
      <c r="R69" s="2" t="inlineStr">
        <is>
          <t>profesional</t>
        </is>
      </c>
      <c r="S69" s="2" t="inlineStr">
        <is>
          <t>Automóviles OCASIÓN.  Valencia</t>
        </is>
      </c>
      <c r="T69" s="2" t="inlineStr">
        <is>
          <t>2026-10-11T14:37:16Z</t>
        </is>
      </c>
      <c r="U69" s="2" t="n">
        <v>81</v>
      </c>
      <c r="V69" s="2" t="inlineStr">
        <is>
          <t>sí</t>
        </is>
      </c>
      <c r="W69" s="2" t="inlineStr">
        <is>
          <t>sí</t>
        </is>
      </c>
      <c r="X69" s="2" t="n"/>
      <c r="Y69" s="2" t="n">
        <v>1</v>
      </c>
      <c r="Z69" s="2" t="inlineStr">
        <is>
          <t>sí</t>
        </is>
      </c>
      <c r="AA69" s="2" t="n"/>
      <c r="AB69" s="2" t="n">
        <v>12</v>
      </c>
      <c r="AC69" s="2" t="n"/>
      <c r="AD69" s="2" t="n"/>
      <c r="AE69" s="2" t="n"/>
      <c r="AF69" s="2" t="inlineStr">
        <is>
          <t>sí</t>
        </is>
      </c>
      <c r="AG69" s="2" t="n"/>
      <c r="AH69" s="2" t="n">
        <v>4490</v>
      </c>
      <c r="AI69" s="2" t="n"/>
      <c r="AJ69" s="2" t="n"/>
      <c r="AK69" s="2" t="n"/>
      <c r="AL69" s="2" t="n"/>
      <c r="AM69" s="2" t="n">
        <v>0.1</v>
      </c>
      <c r="AN69" s="2" t="n"/>
      <c r="AO69" s="2" t="inlineStr">
        <is>
          <t>2006</t>
        </is>
      </c>
      <c r="AP69" s="2" t="n">
        <v>2006</v>
      </c>
      <c r="AQ69" s="2" t="n"/>
      <c r="AR69" s="2" t="n"/>
      <c r="AS69" s="2" t="inlineStr">
        <is>
          <t>regla</t>
        </is>
      </c>
      <c r="AT69" s="2" t="n"/>
      <c r="AU69" s="2" t="inlineStr">
        <is>
          <t>no</t>
        </is>
      </c>
      <c r="AV69" s="2" t="inlineStr">
        <is>
          <t>C</t>
        </is>
      </c>
      <c r="AW69" s="2" t="inlineStr">
        <is>
          <t>B</t>
        </is>
      </c>
      <c r="AX69" s="2" t="inlineStr">
        <is>
          <t>no</t>
        </is>
      </c>
      <c r="AY69" s="2" t="inlineStr">
        <is>
          <t>no</t>
        </is>
      </c>
      <c r="AZ69" s="2" t="inlineStr">
        <is>
          <t>COMMON.COLOR_BEIGE</t>
        </is>
      </c>
      <c r="BA69" s="2" t="inlineStr">
        <is>
          <t>beige</t>
        </is>
      </c>
      <c r="BB69" s="3" t="n">
        <v>3</v>
      </c>
      <c r="BC69" s="3" t="inlineStr">
        <is>
          <t>(por segmento)</t>
        </is>
      </c>
      <c r="BD69" s="2" t="n"/>
      <c r="BE69" s="2" t="inlineStr">
        <is>
          <t>16+</t>
        </is>
      </c>
      <c r="BF69" s="2" t="inlineStr">
        <is>
          <t>sí</t>
        </is>
      </c>
      <c r="BG69" s="2" t="n"/>
      <c r="BH69" s="2" t="n"/>
      <c r="BI69" s="2" t="n"/>
      <c r="BJ69" s="2" t="n"/>
      <c r="BK69" s="2" t="n">
        <v>5</v>
      </c>
      <c r="BL69" s="2" t="n"/>
      <c r="BM69" s="2" t="n">
        <v>402</v>
      </c>
      <c r="BN69" s="2" t="n">
        <v>0.06280092592351139</v>
      </c>
      <c r="BO69" s="2" t="n">
        <v>4</v>
      </c>
      <c r="BP69" s="2" t="n">
        <v>2500</v>
      </c>
      <c r="BQ69" s="2" t="n">
        <v>64</v>
      </c>
      <c r="BR69" s="2" t="inlineStr">
        <is>
          <t>modelo+año</t>
        </is>
      </c>
      <c r="BS69" s="2" t="n"/>
      <c r="BT69" s="2" t="inlineStr">
        <is>
          <t>anuncio incoherente: dice etiqueta B y por fecha corresponde C; se usa la regla; vendedor profesional: sin ITP (operación con IVA/REBU, confirmar en factura); gastos de gestión del vendedor no indicados: se suma la tasa DGT; preguntar el precio final; etiqueta C deducida por fecha (sin matrícula ni dato del anuncio)</t>
        </is>
      </c>
      <c r="BU69" s="2" t="inlineStr">
        <is>
          <t>****PARA MAS INFORMACIÓN, SOLO SE ATENDERÁ MEDIANTE LAMADA TELEFÓNICA. NO SE CONTESTARAN MENSAJES POR CHAT. SOLO LLAMADAS****
Vehículo DISPONIBLE - Entrega INMEDIATA (IMPECABLE).
*****Para + información, contactar SOLO por vía telefónica.
Para ver y probar el Vehículo siempre con CITA PREVIA*****.
Vehículo nacional. Único propietario. Historial de Mantenimiento del Vehículo. Kilómetros CERTIFICADOS. ITV en vigor hasta 2027 (Favorable). Revisión de mantenimiento + Kit de Distribución al día. Neumáticos Bridgestone. Dispone de pegatina medio ambiental.
EXTRAS: Acabado ENJOY/SPORT. Con Climatizador digital. Faros deportivos Xenón con óptica negra. Ordenador abordo. Sistema de Audio OPEL. Cierre centralizado. Elevalunas eléctricos. Retrovisores eléctricos. Abs/Esp/Airbargs/Isofix en asientos traseros. Antinieblas delanter/trasero. Gran capacidad de maletero. Pintura metalizada. Dispone de 2 llaves con mando. LLantas de aleación en 16 pulgadas. ETC.
Vehículo económico, amplio, versátil y de bajo consumo.
***Cambio de nombre. Más Seguro Mecánico PLUS de 1 año:  500.-€***.
Para + INFO, contactar solo por vía telefónica...</t>
        </is>
      </c>
      <c r="BV69" s="2" t="inlineStr">
        <is>
          <t>https://www.coches.net/opel-astra-14-enjoy-5p-gasolina-2006-en-valencia-71722524-covo.aspx (window.__INITIAL_PROPS__.ad) /home/user/Alopecia/buscador-coches/raw/cochesnet/30ba241b7773e8c7.json</t>
        </is>
      </c>
      <c r="BW69" s="3">
        <f>MAX(ANIO_ACTUAL-M69,0)</f>
        <v/>
      </c>
      <c r="BX69" s="4">
        <f>N69/MAX(BW69,0.5)</f>
        <v/>
      </c>
      <c r="BY69" s="4">
        <f>F69</f>
        <v/>
      </c>
      <c r="BZ69" s="3">
        <f>BY69&amp;"|"&amp;INT(M69/SEG_ANIO)*SEG_ANIO</f>
        <v/>
      </c>
      <c r="CA69" s="3">
        <f>BZ69&amp;"|"&amp;INT(N69/SEG_KM)*SEG_KM</f>
        <v/>
      </c>
      <c r="CB69" s="4">
        <f>COUNTIF($BY$2:$BY$209,BY69)</f>
        <v/>
      </c>
      <c r="CC69" s="4">
        <f>COUNTIF($BZ$2:$BZ$209,BZ69)</f>
        <v/>
      </c>
      <c r="CD69" s="4">
        <f>COUNTIF($CA$2:$CA$209,CA69)</f>
        <v/>
      </c>
      <c r="CE69" s="3">
        <f t="array" ref="CE69">IF(N(BQ69)&gt;=MIN_N,BP69,IF(CD69&gt;=MIN_N,MEDIAN(IF($CA$2:$CA$209=CA69,$O$2:$O$209)),IF(CC69&gt;=MIN_N,MEDIAN(IF($BZ$2:$BZ$209=BZ69,$O$2:$O$209)),MEDIAN(IF($BY$2:$BY$209=BY69,$O$2:$O$209)))))</f>
        <v/>
      </c>
      <c r="CF69" s="3">
        <f>IF(N(BQ69)&gt;=MIN_N,"mercado "&amp;BR69,IF(CD69&gt;=MIN_N,"modelo+año+km",IF(CC69&gt;=MIN_N,"modelo+año","modelo")))</f>
        <v/>
      </c>
      <c r="CG69" s="4">
        <f>(CE69-O69)/CE69</f>
        <v/>
      </c>
      <c r="CH69" s="3">
        <f>IF(COUNTIFS(FR_FUEL,K69,FR_YEAR,AP69)&gt;0,1,0)</f>
        <v/>
      </c>
      <c r="CI69" s="3">
        <f>IF(COUNTIFS(FR_FUEL,K69,FR_YEAR,AP69-1)&gt;0,1,0)</f>
        <v/>
      </c>
      <c r="CJ69" s="4">
        <f>IF(N(AQ69)&gt;0,AP69*100+AQ69,IF(AND(CH69=1,CI69=1),(AP69-1)*100+1,AP69*100+1))</f>
        <v/>
      </c>
      <c r="CK69" s="3">
        <f>IF(OR(K69="hibrido",K69="glp",K69="gnc",K69="phev"),"ECO",IF(K69="electrico","CERO",IF(K69="gasolina",IF(CJ69&gt;=GAS_C_YM,"C",IF(CJ69&gt;=GAS_B_YM,"B","A")),IF(K69="diesel",IF(CJ69&gt;=DIE_C_YM,"C",IF(CJ69&gt;=DIE_B_YM,"B","A")),""))))</f>
        <v/>
      </c>
      <c r="CL69" s="4">
        <f>CK69</f>
        <v/>
      </c>
      <c r="CM69" s="4">
        <f>IF(AU69="sí","sí",IF(AS69="regla",IF(AND(N(AQ69)=0,CH69=1),"sí","no"),"no"))</f>
        <v/>
      </c>
      <c r="CN69" s="3">
        <f>IFERROR(VLOOKUP(F69,MOD_TBL,16,0),IFERROR(VLOOKUP(E69,OCU_TBL,2,0),NEUTRO))</f>
        <v/>
      </c>
      <c r="CO69" s="3">
        <f>SUMIFS(MOT_AJUSTE,MOT_MOTOR,G69,MOT_MARCA,E69,MOT_DESDE,"&lt;="&amp;M69,MOT_HASTA,"&gt;="&amp;M69)+SUMIFS(MOT_AJUSTE,MOT_MOTOR,G69,MOT_MARCA,"(todas)",MOT_DESDE,"&lt;="&amp;M69,MOT_HASTA,"&gt;="&amp;M69)+SUMIFS(MOT_AJUSTE,MOT_MOTOR,"(cualquiera)",MOT_MARCA,E69,MOT_DESDE,"&lt;="&amp;M69,MOT_HASTA,"&gt;="&amp;M69)</f>
        <v/>
      </c>
      <c r="CP69" s="3">
        <f>SUMIFS(COMB_AJUSTE,COMB_COMB,K69)</f>
        <v/>
      </c>
      <c r="CQ69" s="3">
        <f>COUNTIFS(MOT_MOTOR,G69,MOT_MARCA,E69,MOT_DESDE,"&lt;="&amp;M69,MOT_HASTA,"&gt;="&amp;M69)+COUNTIFS(MOT_MOTOR,G69,MOT_MARCA,"(todas)",MOT_DESDE,"&lt;="&amp;M69,MOT_HASTA,"&gt;="&amp;M69)+COUNTIFS(MOT_MOTOR,"(cualquiera)",MOT_MARCA,E69,MOT_DESDE,"&lt;="&amp;M69,MOT_HASTA,"&gt;="&amp;M69)</f>
        <v/>
      </c>
      <c r="CR69" s="3">
        <f>IF(AND(K69="diesel",CQ69=0),MIN(CN69,NEUTRO),CN69)</f>
        <v/>
      </c>
      <c r="CS69" s="3">
        <f>MAX(0,MIN(100,CR69+CO69+CP69-IF(AX69="sí",ROB_PEN,0)))</f>
        <v/>
      </c>
      <c r="CT69" s="3">
        <f>100-MAX(0,N69-KM_TOPE_DESDE)/1000*KM_TOPE_PTS</f>
        <v/>
      </c>
      <c r="CU69" s="3">
        <f>MAX(0,MIN(100,50+CG69*PRECIO_PEND,CT69))</f>
        <v/>
      </c>
      <c r="CV69" s="3">
        <f>MAX(0,100*(1-N69/KM_MAX))</f>
        <v/>
      </c>
      <c r="CW69" s="3">
        <f>IF(BX69&lt;KMA_SOSP,IF(AA69="sí",100,KMA_PEN),IF(BX69&lt;=KMA_IDEAL_MAX,100,MAX(0,100*(KMA_CERO-BX69)/(KMA_CERO-KMA_IDEAL_MAX))))</f>
        <v/>
      </c>
      <c r="CX69" s="3">
        <f>MAX(0,MIN(100,100*(M69-ANIO_MIN)/(ANIO_ACTUAL-ANIO_MIN)))</f>
        <v/>
      </c>
      <c r="CY69" s="3">
        <f>W_KMT*CV69+W_KMA*CW69+W_EDAD*CX69</f>
        <v/>
      </c>
      <c r="CZ69" s="4">
        <f>E69&amp;"|"&amp;G69</f>
        <v/>
      </c>
      <c r="DA69" s="3">
        <f>IFERROR(VLOOKUP(CZ69,DIST_TBL,2,0),"")</f>
        <v/>
      </c>
      <c r="DB69" s="3">
        <f>E_ITV*(V69="sí")+E_LIBRO*(W69="sí")+E_PROP*IF(Y69=1,1,IF(Y69=2,0.5,0))+E_CORREA*IF(OR(DA69="cadena",AND(X69="sí",BH69="sí")),1,IF(X69="sí",0.5,0))+E_FACT*(BI69="sí")</f>
        <v/>
      </c>
      <c r="DC69" s="3">
        <f>MAX(0,MIN(100,IFERROR(VLOOKUP(CL69,ETQ_TBL,2,0),0)-IF(CM69="sí",ETQ_PEN_DUD,IF(AS69="regla",ETQ_PEN_REGLA,0))))</f>
        <v/>
      </c>
      <c r="DD69" s="3">
        <f>IF(K69&lt;&gt;"gasolina","",IFERROR(VLOOKUP(F69,CONS_MOD_TBL,2,0),IFERROR(VLOOKUP(L69,CONS_SEG_TBL,2,0),"")))</f>
        <v/>
      </c>
      <c r="DE69" s="3">
        <f>IF(DD69="",NEUTRO,MAX(0,MIN(100,100*(CONS_REF_MAX-DD69)/(CONS_REF_MAX-CONS_REF_MIN))))</f>
        <v/>
      </c>
      <c r="DF69" s="3">
        <f>IFERROR(VLOOKUP(L69,SEGURO_TBL,3,0),"")</f>
        <v/>
      </c>
      <c r="DG69" s="3">
        <f>IF(DF69="",NEUTRO,MAX(0,MIN(100,100*(SEG_REF_MAX-DF69)/(SEG_REF_MAX-SEG_REF_MIN))))</f>
        <v/>
      </c>
      <c r="DH69" s="3">
        <f>IFERROR(VLOOKUP(E69,MANT_MARCA_TBL,2,0)+0,NEUTRO)</f>
        <v/>
      </c>
      <c r="DI69" s="3">
        <f>IF(DA69="",NEUTRO,IFERROR(VLOOKUP(DA69,DIST_PTS_TBL,2,0)+0,NEUTRO))</f>
        <v/>
      </c>
      <c r="DJ69" s="4">
        <f>(DH69+DI69)/2</f>
        <v/>
      </c>
      <c r="DK69" s="3">
        <f>W_CONS*DE69+W_SEG*DG69+W_MANT*DJ69</f>
        <v/>
      </c>
      <c r="DL69" s="3">
        <f>IF(N(AB69)&gt;0,AB69,IF(AND(R69="profesional",SG_LEGAL_ON=1),GAR_LEGAL,0))</f>
        <v/>
      </c>
      <c r="DM69" s="3">
        <f>MAX(0,MIN(100,SG_GAR*MIN(1,DL69/SG_GAR_FULL)+SG_AMPL*(AC69="sí")+SG_KMC*(AF69="sí")+SG_REV*(N(AE69)&gt;0)+SG_DEV*MIN(1,N(AG69)/SG_DEV_FULL)+SG_HIST*(W69="sí")-IF(AND(R69="particular",DL69=0),SG_PART_PEN,0)))</f>
        <v/>
      </c>
      <c r="DN69" s="3">
        <f>IF(BK69="",NEUTRO,MAX(0,MIN(100,BK69/5*100)))</f>
        <v/>
      </c>
      <c r="DO69" s="3">
        <f>IF(BL69="sí",100,IF(BL69="no",0,NEUTRO))</f>
        <v/>
      </c>
      <c r="DP69" s="3">
        <f>SV_W_NCAP*DN69+SV_W_ESP*DO69</f>
        <v/>
      </c>
      <c r="DQ69" s="3">
        <f>MAX(0,MIN(100,ATR_BASE+ATR_ACAB*(BD69&lt;&gt;"")+IF(BE69="16+",ATR_LL16,IF(BE69="sí",ATR_LL,0))+ATR_FAROS*(BF69="sí")+ATR_TINT*(BG69="sí")-ATR_CHAPA*(BE69="chapa")))</f>
        <v/>
      </c>
      <c r="DR69" s="3">
        <f>EST_W_MOD*(BB69-1)/4*100+EST_W_ATR*DQ69</f>
        <v/>
      </c>
      <c r="DS69" s="3">
        <f>IF(BA69="",NEUTRO,IFERROR(VLOOKUP(BA69,COLOR_TBL,2,0)+0,NEUTRO))</f>
        <v/>
      </c>
      <c r="DT69" s="3">
        <f>MAX(0,MIN(100,100*N(BM69)/RV_N_FULL))</f>
        <v/>
      </c>
      <c r="DU69" s="3">
        <f>IF(OR(BN69="",N(BO69)&lt;RV_DIAS_MIN),NEUTRO,MAX(0,MIN(100,100*(RV_DIAS_CERO-BN69)/(RV_DIAS_CERO-RV_DIAS_FULL))))</f>
        <v/>
      </c>
      <c r="DV69" s="3">
        <f>RV_W_LIQ*DT69+RV_W_DIAS*DU69+RV_W_ETQ*DC69</f>
        <v/>
      </c>
      <c r="DW69" s="3">
        <f>IFERROR(VLOOKUP(L69,CARR_PEN_TBL,2,0),0)</f>
        <v/>
      </c>
      <c r="DX69" s="3">
        <f>W_FIAB*CS69+W_PRECIO*CU69+W_KMEDAD*CY69+W_ESTADO*DB69+W_USO*DK69+W_SEGURIDAD*DM69+W_SEGVIAL*DP69+W_ESTETICA*DR69+W_COLOR*DS69+W_REVENTA*DV69-DW69-EG69</f>
        <v/>
      </c>
      <c r="DY69" s="4">
        <f>IF(N(I69)&gt;0,I69,IFERROR(ROUND(_xlfn.NUMBERVALUE(LEFT(G69,FIND(" ",G69&amp;" ")-1),".")*1000,0),99999))</f>
        <v/>
      </c>
      <c r="DZ69" s="3">
        <f>IF(R69="profesional",0,IF(O69&lt;CUOTA_VALOR_MAX,IF(BW69&gt;ITP_TRAMO_ALTO,SUMIFS(CF_CUOTA,CF_MAS,ITP_TRAMO_ALTO,CF_CCMIN,"&lt;="&amp;DY69,CF_CCMAX,"&gt;="&amp;DY69),IF(BW69&gt;ITP_TRAMO_BAJO,SUMIFS(CF_CUOTA,CF_MAS,ITP_TRAMO_BAJO,CF_CCMIN,"&lt;="&amp;DY69,CF_CCMAX,"&gt;="&amp;DY69),O69*ITP_TIPO)),O69*ITP_TIPO))</f>
        <v/>
      </c>
      <c r="EA69" s="4">
        <f>IF(R69="profesional",N(AK69),0)</f>
        <v/>
      </c>
      <c r="EB69" s="3">
        <f>IF(AND(R69="profesional",ISNUMBER(AK69),AL69="sí"),0,TASA_DGT)</f>
        <v/>
      </c>
      <c r="EC69" s="3">
        <f>INFORME_DGT</f>
        <v/>
      </c>
      <c r="ED69" s="4">
        <f>O69+EA69+DZ69+EB69+EC69</f>
        <v/>
      </c>
      <c r="EE69" s="4">
        <f>ED69+N(DF69)</f>
        <v/>
      </c>
      <c r="EF69" s="3">
        <f>MAX(0,ED69-TOTAL_MAX)</f>
        <v/>
      </c>
      <c r="EG69" s="3">
        <f>EF69/100*PEN_100</f>
        <v/>
      </c>
      <c r="EH69" s="3">
        <f>IF(R69="particular",ED69+IF(AND(DA69&lt;&gt;"cadena",X69&lt;&gt;"sí"),RES_CORREA,0)+IF(AND(BJ69&lt;&gt;"sí",BW69&gt;=RES_NEUM_EDAD),RES_NEUM,0),"")</f>
        <v/>
      </c>
      <c r="EI69" s="3">
        <f>IF(ED69&lt;=TOTAL_MAX,"sí",IF(ED69&lt;=TECHO,"negociar","no"))</f>
        <v/>
      </c>
      <c r="EJ69" s="4">
        <f>ROUND(DX69,9)</f>
        <v/>
      </c>
      <c r="EK69" s="4">
        <f>IF(EI69&lt;&gt;"no",SUMPRODUCT(($EI$2:$EI$209&lt;&gt;"no")*($EJ$2:$EJ$209&gt;EJ69))+SUMPRODUCT(($EI$2:EI69&lt;&gt;"no")*($EJ$2:EJ69=EJ69)),"")</f>
        <v/>
      </c>
    </row>
    <row r="70">
      <c r="A70" s="2" t="inlineStr">
        <is>
          <t>cochesnet:71241892</t>
        </is>
      </c>
      <c r="B70" s="2" t="inlineStr">
        <is>
          <t>cochesnet</t>
        </is>
      </c>
      <c r="C70" s="2" t="inlineStr">
        <is>
          <t>https://www.coches.net/opel-astra-17-cdti-enjoy-sw-5p-diesel-2007-en-valencia-71241892-covo.aspx</t>
        </is>
      </c>
      <c r="D70" s="2" t="inlineStr">
        <is>
          <t>OPEL Astra 1.7 CDTi Enjoy SW</t>
        </is>
      </c>
      <c r="E70" s="2" t="inlineStr">
        <is>
          <t>Opel</t>
        </is>
      </c>
      <c r="F70" s="2" t="inlineStr">
        <is>
          <t>Opel Astra</t>
        </is>
      </c>
      <c r="G70" s="2" t="inlineStr">
        <is>
          <t>1.7 CDTi</t>
        </is>
      </c>
      <c r="H70" s="2" t="inlineStr">
        <is>
          <t>1.7 CDTi Enjoy SW</t>
        </is>
      </c>
      <c r="I70" s="2" t="n"/>
      <c r="J70" s="2" t="n"/>
      <c r="K70" s="2" t="inlineStr">
        <is>
          <t>diesel</t>
        </is>
      </c>
      <c r="L70" s="2" t="inlineStr">
        <is>
          <t>familiar</t>
        </is>
      </c>
      <c r="M70" s="2" t="n">
        <v>2006</v>
      </c>
      <c r="N70" s="2" t="n">
        <v>168488</v>
      </c>
      <c r="O70" s="2" t="n">
        <v>3490</v>
      </c>
      <c r="P70" s="2" t="inlineStr">
        <is>
          <t>manual</t>
        </is>
      </c>
      <c r="Q70" s="2" t="inlineStr">
        <is>
          <t>no</t>
        </is>
      </c>
      <c r="R70" s="2" t="inlineStr">
        <is>
          <t>profesional</t>
        </is>
      </c>
      <c r="S70" s="2" t="inlineStr">
        <is>
          <t>Automóviles Nord Bonrepòs i Mirambell</t>
        </is>
      </c>
      <c r="T70" s="2" t="inlineStr">
        <is>
          <t>2026-08-06T13:08:47Z</t>
        </is>
      </c>
      <c r="U70" s="2" t="n">
        <v>15</v>
      </c>
      <c r="V70" s="2" t="n"/>
      <c r="W70" s="2" t="inlineStr">
        <is>
          <t>sí</t>
        </is>
      </c>
      <c r="X70" s="2" t="n"/>
      <c r="Y70" s="2" t="n">
        <v>1</v>
      </c>
      <c r="Z70" s="2" t="inlineStr">
        <is>
          <t>sí</t>
        </is>
      </c>
      <c r="AA70" s="2" t="n"/>
      <c r="AB70" s="2" t="n">
        <v>12</v>
      </c>
      <c r="AC70" s="2" t="n"/>
      <c r="AD70" s="2" t="n"/>
      <c r="AE70" s="2" t="n"/>
      <c r="AF70" s="2" t="n"/>
      <c r="AG70" s="2" t="n"/>
      <c r="AH70" s="2" t="n">
        <v>3490</v>
      </c>
      <c r="AI70" s="2" t="n"/>
      <c r="AJ70" s="2" t="n"/>
      <c r="AK70" s="2" t="n"/>
      <c r="AL70" s="2" t="n"/>
      <c r="AM70" s="2" t="n">
        <v>5.3</v>
      </c>
      <c r="AN70" s="2" t="n"/>
      <c r="AO70" s="2" t="inlineStr">
        <is>
          <t>2006</t>
        </is>
      </c>
      <c r="AP70" s="2" t="n">
        <v>2006</v>
      </c>
      <c r="AQ70" s="2" t="n"/>
      <c r="AR70" s="2" t="inlineStr">
        <is>
          <t>B</t>
        </is>
      </c>
      <c r="AS70" s="2" t="inlineStr">
        <is>
          <t>anuncio</t>
        </is>
      </c>
      <c r="AT70" s="2" t="n">
        <v>2007</v>
      </c>
      <c r="AU70" s="2" t="inlineStr">
        <is>
          <t>no</t>
        </is>
      </c>
      <c r="AV70" s="2" t="inlineStr">
        <is>
          <t>B</t>
        </is>
      </c>
      <c r="AW70" s="2" t="n"/>
      <c r="AX70" s="2" t="inlineStr">
        <is>
          <t>no</t>
        </is>
      </c>
      <c r="AY70" s="2" t="inlineStr">
        <is>
          <t>no</t>
        </is>
      </c>
      <c r="AZ70" s="2" t="inlineStr">
        <is>
          <t>COMMON.COLOR_GRAY</t>
        </is>
      </c>
      <c r="BA70" s="2" t="inlineStr">
        <is>
          <t>gris_medio</t>
        </is>
      </c>
      <c r="BB70" s="3" t="n">
        <v>3</v>
      </c>
      <c r="BC70" s="3" t="inlineStr">
        <is>
          <t>(por segmento)</t>
        </is>
      </c>
      <c r="BD70" s="2" t="n"/>
      <c r="BE70" s="2" t="n"/>
      <c r="BF70" s="2" t="n"/>
      <c r="BG70" s="2" t="n"/>
      <c r="BH70" s="2" t="n"/>
      <c r="BI70" s="2" t="n"/>
      <c r="BJ70" s="2" t="n"/>
      <c r="BK70" s="2" t="n">
        <v>5</v>
      </c>
      <c r="BL70" s="2" t="inlineStr">
        <is>
          <t>sí</t>
        </is>
      </c>
      <c r="BM70" s="2" t="n">
        <v>402</v>
      </c>
      <c r="BN70" s="2" t="n">
        <v>0.06280092592351139</v>
      </c>
      <c r="BO70" s="2" t="n">
        <v>4</v>
      </c>
      <c r="BP70" s="2" t="n">
        <v>2850</v>
      </c>
      <c r="BQ70" s="2" t="n">
        <v>16</v>
      </c>
      <c r="BR70" s="2" t="inlineStr">
        <is>
          <t>modelo+año+km</t>
        </is>
      </c>
      <c r="BS70" s="2" t="n"/>
      <c r="BT70" s="2" t="inlineStr">
        <is>
          <t>año a confirmar: la URL/título dice 2007; vendedor profesional: sin ITP (operación con IVA/REBU, confirmar en factura); gastos de gestión del vendedor no indicados: se suma la tasa DGT; preguntar el precio final; diésel: motor sin fuente de fiabilidad (fiabilidad limitada a neutra); carrocería familiar: -3 puntos</t>
        </is>
      </c>
      <c r="BU70" s="2" t="inlineStr">
        <is>
          <t>-Automóviles Nord-
Opel Astra SW 1.7CDTi motor diésel de bajo consumo de procedencia nacional y único propietario.
El vehículo dispone de los siguientes extras: 
-Cierre centralizado
-Ordenador de abordo
-Elevalunas delanteros eléctricos
-Asientos confort 
-Radio cd mp3 
-Sistema ABS y control de estabilidad ESP
-Aire acondicionado
-El vehículo se entrega con la ITV y el mantenimiento al día
-Dirección asistida
-Dos llaves
-Ordenador abordo
El anuncio puede contener errores tipográficos y esta sujeto a cambios o variaciones por el vendedor en cualquier momento
Para mas información llamar al teléfono de contacto.
OPEL ASTRA EN SILLA</t>
        </is>
      </c>
      <c r="BV70" s="2" t="inlineStr">
        <is>
          <t>https://www.coches.net/opel-astra-17-cdti-enjoy-sw-5p-diesel-2007-en-valencia-71241892-covo.aspx (window.__INITIAL_PROPS__.ad) /home/user/Alopecia/buscador-coches/raw/cochesnet/dce79a1705535ace.json</t>
        </is>
      </c>
      <c r="BW70" s="3">
        <f>MAX(ANIO_ACTUAL-M70,0)</f>
        <v/>
      </c>
      <c r="BX70" s="4">
        <f>N70/MAX(BW70,0.5)</f>
        <v/>
      </c>
      <c r="BY70" s="4">
        <f>F70</f>
        <v/>
      </c>
      <c r="BZ70" s="3">
        <f>BY70&amp;"|"&amp;INT(M70/SEG_ANIO)*SEG_ANIO</f>
        <v/>
      </c>
      <c r="CA70" s="3">
        <f>BZ70&amp;"|"&amp;INT(N70/SEG_KM)*SEG_KM</f>
        <v/>
      </c>
      <c r="CB70" s="4">
        <f>COUNTIF($BY$2:$BY$209,BY70)</f>
        <v/>
      </c>
      <c r="CC70" s="4">
        <f>COUNTIF($BZ$2:$BZ$209,BZ70)</f>
        <v/>
      </c>
      <c r="CD70" s="4">
        <f>COUNTIF($CA$2:$CA$209,CA70)</f>
        <v/>
      </c>
      <c r="CE70" s="3">
        <f t="array" ref="CE70">IF(N(BQ70)&gt;=MIN_N,BP70,IF(CD70&gt;=MIN_N,MEDIAN(IF($CA$2:$CA$209=CA70,$O$2:$O$209)),IF(CC70&gt;=MIN_N,MEDIAN(IF($BZ$2:$BZ$209=BZ70,$O$2:$O$209)),MEDIAN(IF($BY$2:$BY$209=BY70,$O$2:$O$209)))))</f>
        <v/>
      </c>
      <c r="CF70" s="3">
        <f>IF(N(BQ70)&gt;=MIN_N,"mercado "&amp;BR70,IF(CD70&gt;=MIN_N,"modelo+año+km",IF(CC70&gt;=MIN_N,"modelo+año","modelo")))</f>
        <v/>
      </c>
      <c r="CG70" s="4">
        <f>(CE70-O70)/CE70</f>
        <v/>
      </c>
      <c r="CH70" s="3">
        <f>IF(COUNTIFS(FR_FUEL,K70,FR_YEAR,AP70)&gt;0,1,0)</f>
        <v/>
      </c>
      <c r="CI70" s="3">
        <f>IF(COUNTIFS(FR_FUEL,K70,FR_YEAR,AP70-1)&gt;0,1,0)</f>
        <v/>
      </c>
      <c r="CJ70" s="4">
        <f>IF(N(AQ70)&gt;0,AP70*100+AQ70,IF(AND(CH70=1,CI70=1),(AP70-1)*100+1,AP70*100+1))</f>
        <v/>
      </c>
      <c r="CK70" s="3">
        <f>IF(OR(K70="hibrido",K70="glp",K70="gnc",K70="phev"),"ECO",IF(K70="electrico","CERO",IF(K70="gasolina",IF(CJ70&gt;=GAS_C_YM,"C",IF(CJ70&gt;=GAS_B_YM,"B","A")),IF(K70="diesel",IF(CJ70&gt;=DIE_C_YM,"C",IF(CJ70&gt;=DIE_B_YM,"B","A")),""))))</f>
        <v/>
      </c>
      <c r="CL70" s="2" t="inlineStr">
        <is>
          <t>B</t>
        </is>
      </c>
      <c r="CM70" s="4">
        <f>IF(AU70="sí","sí",IF(AS70="regla",IF(AND(N(AQ70)=0,CH70=1),"sí","no"),"no"))</f>
        <v/>
      </c>
      <c r="CN70" s="3">
        <f>IFERROR(VLOOKUP(F70,MOD_TBL,16,0),IFERROR(VLOOKUP(E70,OCU_TBL,2,0),NEUTRO))</f>
        <v/>
      </c>
      <c r="CO70" s="3">
        <f>SUMIFS(MOT_AJUSTE,MOT_MOTOR,G70,MOT_MARCA,E70,MOT_DESDE,"&lt;="&amp;M70,MOT_HASTA,"&gt;="&amp;M70)+SUMIFS(MOT_AJUSTE,MOT_MOTOR,G70,MOT_MARCA,"(todas)",MOT_DESDE,"&lt;="&amp;M70,MOT_HASTA,"&gt;="&amp;M70)+SUMIFS(MOT_AJUSTE,MOT_MOTOR,"(cualquiera)",MOT_MARCA,E70,MOT_DESDE,"&lt;="&amp;M70,MOT_HASTA,"&gt;="&amp;M70)</f>
        <v/>
      </c>
      <c r="CP70" s="3">
        <f>SUMIFS(COMB_AJUSTE,COMB_COMB,K70)</f>
        <v/>
      </c>
      <c r="CQ70" s="3">
        <f>COUNTIFS(MOT_MOTOR,G70,MOT_MARCA,E70,MOT_DESDE,"&lt;="&amp;M70,MOT_HASTA,"&gt;="&amp;M70)+COUNTIFS(MOT_MOTOR,G70,MOT_MARCA,"(todas)",MOT_DESDE,"&lt;="&amp;M70,MOT_HASTA,"&gt;="&amp;M70)+COUNTIFS(MOT_MOTOR,"(cualquiera)",MOT_MARCA,E70,MOT_DESDE,"&lt;="&amp;M70,MOT_HASTA,"&gt;="&amp;M70)</f>
        <v/>
      </c>
      <c r="CR70" s="3">
        <f>IF(AND(K70="diesel",CQ70=0),MIN(CN70,NEUTRO),CN70)</f>
        <v/>
      </c>
      <c r="CS70" s="3">
        <f>MAX(0,MIN(100,CR70+CO70+CP70-IF(AX70="sí",ROB_PEN,0)))</f>
        <v/>
      </c>
      <c r="CT70" s="3">
        <f>100-MAX(0,N70-KM_TOPE_DESDE)/1000*KM_TOPE_PTS</f>
        <v/>
      </c>
      <c r="CU70" s="3">
        <f>MAX(0,MIN(100,50+CG70*PRECIO_PEND,CT70))</f>
        <v/>
      </c>
      <c r="CV70" s="3">
        <f>MAX(0,100*(1-N70/KM_MAX))</f>
        <v/>
      </c>
      <c r="CW70" s="3">
        <f>IF(BX70&lt;KMA_SOSP,IF(AA70="sí",100,KMA_PEN),IF(BX70&lt;=KMA_IDEAL_MAX,100,MAX(0,100*(KMA_CERO-BX70)/(KMA_CERO-KMA_IDEAL_MAX))))</f>
        <v/>
      </c>
      <c r="CX70" s="3">
        <f>MAX(0,MIN(100,100*(M70-ANIO_MIN)/(ANIO_ACTUAL-ANIO_MIN)))</f>
        <v/>
      </c>
      <c r="CY70" s="3">
        <f>W_KMT*CV70+W_KMA*CW70+W_EDAD*CX70</f>
        <v/>
      </c>
      <c r="CZ70" s="4">
        <f>E70&amp;"|"&amp;G70</f>
        <v/>
      </c>
      <c r="DA70" s="3">
        <f>IFERROR(VLOOKUP(CZ70,DIST_TBL,2,0),"")</f>
        <v/>
      </c>
      <c r="DB70" s="3">
        <f>E_ITV*(V70="sí")+E_LIBRO*(W70="sí")+E_PROP*IF(Y70=1,1,IF(Y70=2,0.5,0))+E_CORREA*IF(OR(DA70="cadena",AND(X70="sí",BH70="sí")),1,IF(X70="sí",0.5,0))+E_FACT*(BI70="sí")</f>
        <v/>
      </c>
      <c r="DC70" s="3">
        <f>MAX(0,MIN(100,IFERROR(VLOOKUP(CL70,ETQ_TBL,2,0),0)-IF(CM70="sí",ETQ_PEN_DUD,IF(AS70="regla",ETQ_PEN_REGLA,0))))</f>
        <v/>
      </c>
      <c r="DD70" s="3">
        <f>IF(K70&lt;&gt;"gasolina","",IFERROR(VLOOKUP(F70,CONS_MOD_TBL,2,0),IFERROR(VLOOKUP(L70,CONS_SEG_TBL,2,0),"")))</f>
        <v/>
      </c>
      <c r="DE70" s="3">
        <f>IF(DD70="",NEUTRO,MAX(0,MIN(100,100*(CONS_REF_MAX-DD70)/(CONS_REF_MAX-CONS_REF_MIN))))</f>
        <v/>
      </c>
      <c r="DF70" s="3">
        <f>IFERROR(VLOOKUP(L70,SEGURO_TBL,3,0),"")</f>
        <v/>
      </c>
      <c r="DG70" s="3">
        <f>IF(DF70="",NEUTRO,MAX(0,MIN(100,100*(SEG_REF_MAX-DF70)/(SEG_REF_MAX-SEG_REF_MIN))))</f>
        <v/>
      </c>
      <c r="DH70" s="3">
        <f>IFERROR(VLOOKUP(E70,MANT_MARCA_TBL,2,0)+0,NEUTRO)</f>
        <v/>
      </c>
      <c r="DI70" s="3">
        <f>IF(DA70="",NEUTRO,IFERROR(VLOOKUP(DA70,DIST_PTS_TBL,2,0)+0,NEUTRO))</f>
        <v/>
      </c>
      <c r="DJ70" s="4">
        <f>(DH70+DI70)/2</f>
        <v/>
      </c>
      <c r="DK70" s="3">
        <f>W_CONS*DE70+W_SEG*DG70+W_MANT*DJ70</f>
        <v/>
      </c>
      <c r="DL70" s="3">
        <f>IF(N(AB70)&gt;0,AB70,IF(AND(R70="profesional",SG_LEGAL_ON=1),GAR_LEGAL,0))</f>
        <v/>
      </c>
      <c r="DM70" s="3">
        <f>MAX(0,MIN(100,SG_GAR*MIN(1,DL70/SG_GAR_FULL)+SG_AMPL*(AC70="sí")+SG_KMC*(AF70="sí")+SG_REV*(N(AE70)&gt;0)+SG_DEV*MIN(1,N(AG70)/SG_DEV_FULL)+SG_HIST*(W70="sí")-IF(AND(R70="particular",DL70=0),SG_PART_PEN,0)))</f>
        <v/>
      </c>
      <c r="DN70" s="3">
        <f>IF(BK70="",NEUTRO,MAX(0,MIN(100,BK70/5*100)))</f>
        <v/>
      </c>
      <c r="DO70" s="3">
        <f>IF(BL70="sí",100,IF(BL70="no",0,NEUTRO))</f>
        <v/>
      </c>
      <c r="DP70" s="3">
        <f>SV_W_NCAP*DN70+SV_W_ESP*DO70</f>
        <v/>
      </c>
      <c r="DQ70" s="3">
        <f>MAX(0,MIN(100,ATR_BASE+ATR_ACAB*(BD70&lt;&gt;"")+IF(BE70="16+",ATR_LL16,IF(BE70="sí",ATR_LL,0))+ATR_FAROS*(BF70="sí")+ATR_TINT*(BG70="sí")-ATR_CHAPA*(BE70="chapa")))</f>
        <v/>
      </c>
      <c r="DR70" s="3">
        <f>EST_W_MOD*(BB70-1)/4*100+EST_W_ATR*DQ70</f>
        <v/>
      </c>
      <c r="DS70" s="3">
        <f>IF(BA70="",NEUTRO,IFERROR(VLOOKUP(BA70,COLOR_TBL,2,0)+0,NEUTRO))</f>
        <v/>
      </c>
      <c r="DT70" s="3">
        <f>MAX(0,MIN(100,100*N(BM70)/RV_N_FULL))</f>
        <v/>
      </c>
      <c r="DU70" s="3">
        <f>IF(OR(BN70="",N(BO70)&lt;RV_DIAS_MIN),NEUTRO,MAX(0,MIN(100,100*(RV_DIAS_CERO-BN70)/(RV_DIAS_CERO-RV_DIAS_FULL))))</f>
        <v/>
      </c>
      <c r="DV70" s="3">
        <f>RV_W_LIQ*DT70+RV_W_DIAS*DU70+RV_W_ETQ*DC70</f>
        <v/>
      </c>
      <c r="DW70" s="3">
        <f>IFERROR(VLOOKUP(L70,CARR_PEN_TBL,2,0),0)</f>
        <v/>
      </c>
      <c r="DX70" s="3">
        <f>W_FIAB*CS70+W_PRECIO*CU70+W_KMEDAD*CY70+W_ESTADO*DB70+W_USO*DK70+W_SEGURIDAD*DM70+W_SEGVIAL*DP70+W_ESTETICA*DR70+W_COLOR*DS70+W_REVENTA*DV70-DW70-EG70</f>
        <v/>
      </c>
      <c r="DY70" s="4">
        <f>IF(N(I70)&gt;0,I70,IFERROR(ROUND(_xlfn.NUMBERVALUE(LEFT(G70,FIND(" ",G70&amp;" ")-1),".")*1000,0),99999))</f>
        <v/>
      </c>
      <c r="DZ70" s="3">
        <f>IF(R70="profesional",0,IF(O70&lt;CUOTA_VALOR_MAX,IF(BW70&gt;ITP_TRAMO_ALTO,SUMIFS(CF_CUOTA,CF_MAS,ITP_TRAMO_ALTO,CF_CCMIN,"&lt;="&amp;DY70,CF_CCMAX,"&gt;="&amp;DY70),IF(BW70&gt;ITP_TRAMO_BAJO,SUMIFS(CF_CUOTA,CF_MAS,ITP_TRAMO_BAJO,CF_CCMIN,"&lt;="&amp;DY70,CF_CCMAX,"&gt;="&amp;DY70),O70*ITP_TIPO)),O70*ITP_TIPO))</f>
        <v/>
      </c>
      <c r="EA70" s="4">
        <f>IF(R70="profesional",N(AK70),0)</f>
        <v/>
      </c>
      <c r="EB70" s="3">
        <f>IF(AND(R70="profesional",ISNUMBER(AK70),AL70="sí"),0,TASA_DGT)</f>
        <v/>
      </c>
      <c r="EC70" s="3">
        <f>INFORME_DGT</f>
        <v/>
      </c>
      <c r="ED70" s="4">
        <f>O70+EA70+DZ70+EB70+EC70</f>
        <v/>
      </c>
      <c r="EE70" s="4">
        <f>ED70+N(DF70)</f>
        <v/>
      </c>
      <c r="EF70" s="3">
        <f>MAX(0,ED70-TOTAL_MAX)</f>
        <v/>
      </c>
      <c r="EG70" s="3">
        <f>EF70/100*PEN_100</f>
        <v/>
      </c>
      <c r="EH70" s="3">
        <f>IF(R70="particular",ED70+IF(AND(DA70&lt;&gt;"cadena",X70&lt;&gt;"sí"),RES_CORREA,0)+IF(AND(BJ70&lt;&gt;"sí",BW70&gt;=RES_NEUM_EDAD),RES_NEUM,0),"")</f>
        <v/>
      </c>
      <c r="EI70" s="3">
        <f>IF(ED70&lt;=TOTAL_MAX,"sí",IF(ED70&lt;=TECHO,"negociar","no"))</f>
        <v/>
      </c>
      <c r="EJ70" s="4">
        <f>ROUND(DX70,9)</f>
        <v/>
      </c>
      <c r="EK70" s="4">
        <f>IF(EI70&lt;&gt;"no",SUMPRODUCT(($EI$2:$EI$209&lt;&gt;"no")*($EJ$2:$EJ$209&gt;EJ70))+SUMPRODUCT(($EI$2:EI70&lt;&gt;"no")*($EJ$2:EJ70=EJ70)),"")</f>
        <v/>
      </c>
    </row>
    <row r="71">
      <c r="A71" s="2" t="inlineStr">
        <is>
          <t>cochesnet:71508169</t>
        </is>
      </c>
      <c r="B71" s="2" t="inlineStr">
        <is>
          <t>cochesnet</t>
        </is>
      </c>
      <c r="C71" s="2" t="inlineStr">
        <is>
          <t>https://www.coches.net/renault-megane-coupecabrio-dynamique-16-16v-2p-gasolina-2007-en-valencia-71508169-covo.aspx</t>
        </is>
      </c>
      <c r="D71" s="2" t="inlineStr">
        <is>
          <t>RENAULT Mégane Coupecabrio Dynamique 1.6 16v</t>
        </is>
      </c>
      <c r="E71" s="2" t="inlineStr">
        <is>
          <t>Renault</t>
        </is>
      </c>
      <c r="F71" s="2" t="inlineStr">
        <is>
          <t>Renault Mégane</t>
        </is>
      </c>
      <c r="G71" s="2" t="inlineStr">
        <is>
          <t>1.6</t>
        </is>
      </c>
      <c r="H71" s="2" t="inlineStr">
        <is>
          <t>Coupecabrio Dynamique 1.6 16v</t>
        </is>
      </c>
      <c r="I71" s="2" t="n"/>
      <c r="J71" s="2" t="n"/>
      <c r="K71" s="2" t="inlineStr">
        <is>
          <t>gasolina</t>
        </is>
      </c>
      <c r="L71" s="2" t="inlineStr">
        <is>
          <t>compacto</t>
        </is>
      </c>
      <c r="M71" s="2" t="n">
        <v>2007</v>
      </c>
      <c r="N71" s="2" t="n">
        <v>115000</v>
      </c>
      <c r="O71" s="2" t="n">
        <v>4500</v>
      </c>
      <c r="P71" s="2" t="inlineStr">
        <is>
          <t>manual</t>
        </is>
      </c>
      <c r="Q71" s="2" t="inlineStr">
        <is>
          <t>no</t>
        </is>
      </c>
      <c r="R71" s="2" t="inlineStr">
        <is>
          <t>profesional</t>
        </is>
      </c>
      <c r="S71" s="2" t="inlineStr">
        <is>
          <t>JM Automóviles Alboraya</t>
        </is>
      </c>
      <c r="T71" s="2" t="inlineStr">
        <is>
          <t>2026-09-14T12:11:39Z</t>
        </is>
      </c>
      <c r="U71" s="2" t="n">
        <v>11</v>
      </c>
      <c r="V71" s="2" t="n"/>
      <c r="W71" s="2" t="n"/>
      <c r="X71" s="2" t="n"/>
      <c r="Y71" s="2" t="n"/>
      <c r="Z71" s="2" t="inlineStr">
        <is>
          <t>sí</t>
        </is>
      </c>
      <c r="AA71" s="2" t="n"/>
      <c r="AB71" s="2" t="n">
        <v>12</v>
      </c>
      <c r="AC71" s="2" t="n"/>
      <c r="AD71" s="2" t="n"/>
      <c r="AE71" s="2" t="n"/>
      <c r="AF71" s="2" t="n"/>
      <c r="AG71" s="2" t="n"/>
      <c r="AH71" s="2" t="n">
        <v>4500</v>
      </c>
      <c r="AI71" s="2" t="n">
        <v>4500</v>
      </c>
      <c r="AJ71" s="2" t="n"/>
      <c r="AK71" s="2" t="n"/>
      <c r="AL71" s="2" t="n"/>
      <c r="AM71" s="2" t="n">
        <v>4</v>
      </c>
      <c r="AN71" s="2" t="n"/>
      <c r="AO71" s="2" t="inlineStr">
        <is>
          <t>2007</t>
        </is>
      </c>
      <c r="AP71" s="2" t="n">
        <v>2007</v>
      </c>
      <c r="AQ71" s="2" t="n"/>
      <c r="AR71" s="2" t="inlineStr">
        <is>
          <t>C</t>
        </is>
      </c>
      <c r="AS71" s="2" t="inlineStr">
        <is>
          <t>anuncio</t>
        </is>
      </c>
      <c r="AT71" s="2" t="n"/>
      <c r="AU71" s="2" t="inlineStr">
        <is>
          <t>no</t>
        </is>
      </c>
      <c r="AV71" s="2" t="inlineStr">
        <is>
          <t>C</t>
        </is>
      </c>
      <c r="AW71" s="2" t="n"/>
      <c r="AX71" s="2" t="inlineStr">
        <is>
          <t>no</t>
        </is>
      </c>
      <c r="AY71" s="2" t="inlineStr">
        <is>
          <t>no</t>
        </is>
      </c>
      <c r="AZ71" s="2" t="inlineStr">
        <is>
          <t>COMMON.COLOR_GRAY</t>
        </is>
      </c>
      <c r="BA71" s="2" t="inlineStr">
        <is>
          <t>gris_medio</t>
        </is>
      </c>
      <c r="BB71" s="3" t="n">
        <v>3</v>
      </c>
      <c r="BC71" s="3" t="inlineStr">
        <is>
          <t>(por segmento)</t>
        </is>
      </c>
      <c r="BD71" s="2" t="n"/>
      <c r="BE71" s="2" t="inlineStr">
        <is>
          <t>sí</t>
        </is>
      </c>
      <c r="BF71" s="2" t="n"/>
      <c r="BG71" s="2" t="n"/>
      <c r="BH71" s="2" t="n"/>
      <c r="BI71" s="2" t="n"/>
      <c r="BJ71" s="2" t="n"/>
      <c r="BK71" s="2" t="n">
        <v>5</v>
      </c>
      <c r="BL71" s="2" t="inlineStr">
        <is>
          <t>sí</t>
        </is>
      </c>
      <c r="BM71" s="2" t="n">
        <v>387</v>
      </c>
      <c r="BN71" s="2" t="n">
        <v>0.07434027781710029</v>
      </c>
      <c r="BO71" s="2" t="n">
        <v>7</v>
      </c>
      <c r="BP71" s="2" t="n">
        <v>4500</v>
      </c>
      <c r="BQ71" s="2" t="n">
        <v>5</v>
      </c>
      <c r="BR71" s="2" t="inlineStr">
        <is>
          <t>modelo+año+km</t>
        </is>
      </c>
      <c r="BS71" s="2" t="n"/>
      <c r="BT71" s="2" t="inlineStr">
        <is>
          <t>vendedor profesional: sin ITP (operación con IVA/REBU, confirmar en factura); gastos de gestión del vendedor no indicados: se suma la tasa DGT; preguntar el precio final; revisar: no menciona la ITV</t>
        </is>
      </c>
      <c r="BU71" s="2" t="inlineStr">
        <is>
          <t>RENAULT MÉGANE CABRIO 1.6 16V 110 CV DYNAMIQUE – 2007 – 114.000 KM
Renault Mégane Cabrio del 2007, con motor 1.6 gasolina de 110 CV, acabado Dynamique y solo 114.000 km. Un descapotable cómodo y atractivo, ideal para disfrutar de la conducción tanto en ciudad como en carretera.
DATOS PRINCIPALES
* Año: 2007
* Combustible: Gasolina
* Motor: 1.6 16V
* Potencia: 110 CV
* Cambio: Manual
* Kilómetros: 114.000 km
* Acabado: Dynamique
* Listo para entregar
EQUIPAMIENTO DESTACADO
* Techo descapotable
* Climatizador
* Radio CD
* Volante multifunción
* Control de velocidad
* Llantas de aleación
* Elevalunas eléctricos
* Cierre centralizado
* Faros antiniebla
* ABS y control de estabilidad
* ISOFIX
LO MEJOR
* Motor 1.6 gasolina de 110 CV
* Acabado Dynamique
* Solo 114.000 km
* Descapotable
* Diseño atractivo
* Ideal para disfrutar de la conducción
* Cómodo y práctico para el día a día
Vehículo en buen estado general, cuidado y listo para su entrega.</t>
        </is>
      </c>
      <c r="BV71" s="2" t="inlineStr">
        <is>
          <t>https://www.coches.net/renault-megane-coupecabrio-dynamique-16-16v-2p-gasolina-2007-en-valencia-71508169-covo.aspx (window.__INITIAL_PROPS__.ad) /home/user/Alopecia/buscador-coches/raw/cochesnet/ae12582aa857913e.json</t>
        </is>
      </c>
      <c r="BW71" s="3">
        <f>MAX(ANIO_ACTUAL-M71,0)</f>
        <v/>
      </c>
      <c r="BX71" s="4">
        <f>N71/MAX(BW71,0.5)</f>
        <v/>
      </c>
      <c r="BY71" s="4">
        <f>F71</f>
        <v/>
      </c>
      <c r="BZ71" s="3">
        <f>BY71&amp;"|"&amp;INT(M71/SEG_ANIO)*SEG_ANIO</f>
        <v/>
      </c>
      <c r="CA71" s="3">
        <f>BZ71&amp;"|"&amp;INT(N71/SEG_KM)*SEG_KM</f>
        <v/>
      </c>
      <c r="CB71" s="4">
        <f>COUNTIF($BY$2:$BY$209,BY71)</f>
        <v/>
      </c>
      <c r="CC71" s="4">
        <f>COUNTIF($BZ$2:$BZ$209,BZ71)</f>
        <v/>
      </c>
      <c r="CD71" s="4">
        <f>COUNTIF($CA$2:$CA$209,CA71)</f>
        <v/>
      </c>
      <c r="CE71" s="3">
        <f t="array" ref="CE71">IF(N(BQ71)&gt;=MIN_N,BP71,IF(CD71&gt;=MIN_N,MEDIAN(IF($CA$2:$CA$209=CA71,$O$2:$O$209)),IF(CC71&gt;=MIN_N,MEDIAN(IF($BZ$2:$BZ$209=BZ71,$O$2:$O$209)),MEDIAN(IF($BY$2:$BY$209=BY71,$O$2:$O$209)))))</f>
        <v/>
      </c>
      <c r="CF71" s="3">
        <f>IF(N(BQ71)&gt;=MIN_N,"mercado "&amp;BR71,IF(CD71&gt;=MIN_N,"modelo+año+km",IF(CC71&gt;=MIN_N,"modelo+año","modelo")))</f>
        <v/>
      </c>
      <c r="CG71" s="4">
        <f>(CE71-O71)/CE71</f>
        <v/>
      </c>
      <c r="CH71" s="3">
        <f>IF(COUNTIFS(FR_FUEL,K71,FR_YEAR,AP71)&gt;0,1,0)</f>
        <v/>
      </c>
      <c r="CI71" s="3">
        <f>IF(COUNTIFS(FR_FUEL,K71,FR_YEAR,AP71-1)&gt;0,1,0)</f>
        <v/>
      </c>
      <c r="CJ71" s="4">
        <f>IF(N(AQ71)&gt;0,AP71*100+AQ71,IF(AND(CH71=1,CI71=1),(AP71-1)*100+1,AP71*100+1))</f>
        <v/>
      </c>
      <c r="CK71" s="3">
        <f>IF(OR(K71="hibrido",K71="glp",K71="gnc",K71="phev"),"ECO",IF(K71="electrico","CERO",IF(K71="gasolina",IF(CJ71&gt;=GAS_C_YM,"C",IF(CJ71&gt;=GAS_B_YM,"B","A")),IF(K71="diesel",IF(CJ71&gt;=DIE_C_YM,"C",IF(CJ71&gt;=DIE_B_YM,"B","A")),""))))</f>
        <v/>
      </c>
      <c r="CL71" s="2" t="inlineStr">
        <is>
          <t>C</t>
        </is>
      </c>
      <c r="CM71" s="4">
        <f>IF(AU71="sí","sí",IF(AS71="regla",IF(AND(N(AQ71)=0,CH71=1),"sí","no"),"no"))</f>
        <v/>
      </c>
      <c r="CN71" s="3">
        <f>IFERROR(VLOOKUP(F71,MOD_TBL,16,0),IFERROR(VLOOKUP(E71,OCU_TBL,2,0),NEUTRO))</f>
        <v/>
      </c>
      <c r="CO71" s="3">
        <f>SUMIFS(MOT_AJUSTE,MOT_MOTOR,G71,MOT_MARCA,E71,MOT_DESDE,"&lt;="&amp;M71,MOT_HASTA,"&gt;="&amp;M71)+SUMIFS(MOT_AJUSTE,MOT_MOTOR,G71,MOT_MARCA,"(todas)",MOT_DESDE,"&lt;="&amp;M71,MOT_HASTA,"&gt;="&amp;M71)+SUMIFS(MOT_AJUSTE,MOT_MOTOR,"(cualquiera)",MOT_MARCA,E71,MOT_DESDE,"&lt;="&amp;M71,MOT_HASTA,"&gt;="&amp;M71)</f>
        <v/>
      </c>
      <c r="CP71" s="3">
        <f>SUMIFS(COMB_AJUSTE,COMB_COMB,K71)</f>
        <v/>
      </c>
      <c r="CQ71" s="3">
        <f>COUNTIFS(MOT_MOTOR,G71,MOT_MARCA,E71,MOT_DESDE,"&lt;="&amp;M71,MOT_HASTA,"&gt;="&amp;M71)+COUNTIFS(MOT_MOTOR,G71,MOT_MARCA,"(todas)",MOT_DESDE,"&lt;="&amp;M71,MOT_HASTA,"&gt;="&amp;M71)+COUNTIFS(MOT_MOTOR,"(cualquiera)",MOT_MARCA,E71,MOT_DESDE,"&lt;="&amp;M71,MOT_HASTA,"&gt;="&amp;M71)</f>
        <v/>
      </c>
      <c r="CR71" s="3">
        <f>IF(AND(K71="diesel",CQ71=0),MIN(CN71,NEUTRO),CN71)</f>
        <v/>
      </c>
      <c r="CS71" s="3">
        <f>MAX(0,MIN(100,CR71+CO71+CP71-IF(AX71="sí",ROB_PEN,0)))</f>
        <v/>
      </c>
      <c r="CT71" s="3">
        <f>100-MAX(0,N71-KM_TOPE_DESDE)/1000*KM_TOPE_PTS</f>
        <v/>
      </c>
      <c r="CU71" s="3">
        <f>MAX(0,MIN(100,50+CG71*PRECIO_PEND,CT71))</f>
        <v/>
      </c>
      <c r="CV71" s="3">
        <f>MAX(0,100*(1-N71/KM_MAX))</f>
        <v/>
      </c>
      <c r="CW71" s="3">
        <f>IF(BX71&lt;KMA_SOSP,IF(AA71="sí",100,KMA_PEN),IF(BX71&lt;=KMA_IDEAL_MAX,100,MAX(0,100*(KMA_CERO-BX71)/(KMA_CERO-KMA_IDEAL_MAX))))</f>
        <v/>
      </c>
      <c r="CX71" s="3">
        <f>MAX(0,MIN(100,100*(M71-ANIO_MIN)/(ANIO_ACTUAL-ANIO_MIN)))</f>
        <v/>
      </c>
      <c r="CY71" s="3">
        <f>W_KMT*CV71+W_KMA*CW71+W_EDAD*CX71</f>
        <v/>
      </c>
      <c r="CZ71" s="4">
        <f>E71&amp;"|"&amp;G71</f>
        <v/>
      </c>
      <c r="DA71" s="3">
        <f>IFERROR(VLOOKUP(CZ71,DIST_TBL,2,0),"")</f>
        <v/>
      </c>
      <c r="DB71" s="3">
        <f>E_ITV*(V71="sí")+E_LIBRO*(W71="sí")+E_PROP*IF(Y71=1,1,IF(Y71=2,0.5,0))+E_CORREA*IF(OR(DA71="cadena",AND(X71="sí",BH71="sí")),1,IF(X71="sí",0.5,0))+E_FACT*(BI71="sí")</f>
        <v/>
      </c>
      <c r="DC71" s="3">
        <f>MAX(0,MIN(100,IFERROR(VLOOKUP(CL71,ETQ_TBL,2,0),0)-IF(CM71="sí",ETQ_PEN_DUD,IF(AS71="regla",ETQ_PEN_REGLA,0))))</f>
        <v/>
      </c>
      <c r="DD71" s="3">
        <f>IF(K71&lt;&gt;"gasolina","",IFERROR(VLOOKUP(F71,CONS_MOD_TBL,2,0),IFERROR(VLOOKUP(L71,CONS_SEG_TBL,2,0),"")))</f>
        <v/>
      </c>
      <c r="DE71" s="3">
        <f>IF(DD71="",NEUTRO,MAX(0,MIN(100,100*(CONS_REF_MAX-DD71)/(CONS_REF_MAX-CONS_REF_MIN))))</f>
        <v/>
      </c>
      <c r="DF71" s="3">
        <f>IFERROR(VLOOKUP(L71,SEGURO_TBL,3,0),"")</f>
        <v/>
      </c>
      <c r="DG71" s="3">
        <f>IF(DF71="",NEUTRO,MAX(0,MIN(100,100*(SEG_REF_MAX-DF71)/(SEG_REF_MAX-SEG_REF_MIN))))</f>
        <v/>
      </c>
      <c r="DH71" s="3">
        <f>IFERROR(VLOOKUP(E71,MANT_MARCA_TBL,2,0)+0,NEUTRO)</f>
        <v/>
      </c>
      <c r="DI71" s="3">
        <f>IF(DA71="",NEUTRO,IFERROR(VLOOKUP(DA71,DIST_PTS_TBL,2,0)+0,NEUTRO))</f>
        <v/>
      </c>
      <c r="DJ71" s="4">
        <f>(DH71+DI71)/2</f>
        <v/>
      </c>
      <c r="DK71" s="3">
        <f>W_CONS*DE71+W_SEG*DG71+W_MANT*DJ71</f>
        <v/>
      </c>
      <c r="DL71" s="3">
        <f>IF(N(AB71)&gt;0,AB71,IF(AND(R71="profesional",SG_LEGAL_ON=1),GAR_LEGAL,0))</f>
        <v/>
      </c>
      <c r="DM71" s="3">
        <f>MAX(0,MIN(100,SG_GAR*MIN(1,DL71/SG_GAR_FULL)+SG_AMPL*(AC71="sí")+SG_KMC*(AF71="sí")+SG_REV*(N(AE71)&gt;0)+SG_DEV*MIN(1,N(AG71)/SG_DEV_FULL)+SG_HIST*(W71="sí")-IF(AND(R71="particular",DL71=0),SG_PART_PEN,0)))</f>
        <v/>
      </c>
      <c r="DN71" s="3">
        <f>IF(BK71="",NEUTRO,MAX(0,MIN(100,BK71/5*100)))</f>
        <v/>
      </c>
      <c r="DO71" s="3">
        <f>IF(BL71="sí",100,IF(BL71="no",0,NEUTRO))</f>
        <v/>
      </c>
      <c r="DP71" s="3">
        <f>SV_W_NCAP*DN71+SV_W_ESP*DO71</f>
        <v/>
      </c>
      <c r="DQ71" s="3">
        <f>MAX(0,MIN(100,ATR_BASE+ATR_ACAB*(BD71&lt;&gt;"")+IF(BE71="16+",ATR_LL16,IF(BE71="sí",ATR_LL,0))+ATR_FAROS*(BF71="sí")+ATR_TINT*(BG71="sí")-ATR_CHAPA*(BE71="chapa")))</f>
        <v/>
      </c>
      <c r="DR71" s="3">
        <f>EST_W_MOD*(BB71-1)/4*100+EST_W_ATR*DQ71</f>
        <v/>
      </c>
      <c r="DS71" s="3">
        <f>IF(BA71="",NEUTRO,IFERROR(VLOOKUP(BA71,COLOR_TBL,2,0)+0,NEUTRO))</f>
        <v/>
      </c>
      <c r="DT71" s="3">
        <f>MAX(0,MIN(100,100*N(BM71)/RV_N_FULL))</f>
        <v/>
      </c>
      <c r="DU71" s="3">
        <f>IF(OR(BN71="",N(BO71)&lt;RV_DIAS_MIN),NEUTRO,MAX(0,MIN(100,100*(RV_DIAS_CERO-BN71)/(RV_DIAS_CERO-RV_DIAS_FULL))))</f>
        <v/>
      </c>
      <c r="DV71" s="3">
        <f>RV_W_LIQ*DT71+RV_W_DIAS*DU71+RV_W_ETQ*DC71</f>
        <v/>
      </c>
      <c r="DW71" s="3">
        <f>IFERROR(VLOOKUP(L71,CARR_PEN_TBL,2,0),0)</f>
        <v/>
      </c>
      <c r="DX71" s="3">
        <f>W_FIAB*CS71+W_PRECIO*CU71+W_KMEDAD*CY71+W_ESTADO*DB71+W_USO*DK71+W_SEGURIDAD*DM71+W_SEGVIAL*DP71+W_ESTETICA*DR71+W_COLOR*DS71+W_REVENTA*DV71-DW71-EG71</f>
        <v/>
      </c>
      <c r="DY71" s="4">
        <f>IF(N(I71)&gt;0,I71,IFERROR(ROUND(_xlfn.NUMBERVALUE(LEFT(G71,FIND(" ",G71&amp;" ")-1),".")*1000,0),99999))</f>
        <v/>
      </c>
      <c r="DZ71" s="3">
        <f>IF(R71="profesional",0,IF(O71&lt;CUOTA_VALOR_MAX,IF(BW71&gt;ITP_TRAMO_ALTO,SUMIFS(CF_CUOTA,CF_MAS,ITP_TRAMO_ALTO,CF_CCMIN,"&lt;="&amp;DY71,CF_CCMAX,"&gt;="&amp;DY71),IF(BW71&gt;ITP_TRAMO_BAJO,SUMIFS(CF_CUOTA,CF_MAS,ITP_TRAMO_BAJO,CF_CCMIN,"&lt;="&amp;DY71,CF_CCMAX,"&gt;="&amp;DY71),O71*ITP_TIPO)),O71*ITP_TIPO))</f>
        <v/>
      </c>
      <c r="EA71" s="4">
        <f>IF(R71="profesional",N(AK71),0)</f>
        <v/>
      </c>
      <c r="EB71" s="3">
        <f>IF(AND(R71="profesional",ISNUMBER(AK71),AL71="sí"),0,TASA_DGT)</f>
        <v/>
      </c>
      <c r="EC71" s="3">
        <f>INFORME_DGT</f>
        <v/>
      </c>
      <c r="ED71" s="4">
        <f>O71+EA71+DZ71+EB71+EC71</f>
        <v/>
      </c>
      <c r="EE71" s="4">
        <f>ED71+N(DF71)</f>
        <v/>
      </c>
      <c r="EF71" s="3">
        <f>MAX(0,ED71-TOTAL_MAX)</f>
        <v/>
      </c>
      <c r="EG71" s="3">
        <f>EF71/100*PEN_100</f>
        <v/>
      </c>
      <c r="EH71" s="3">
        <f>IF(R71="particular",ED71+IF(AND(DA71&lt;&gt;"cadena",X71&lt;&gt;"sí"),RES_CORREA,0)+IF(AND(BJ71&lt;&gt;"sí",BW71&gt;=RES_NEUM_EDAD),RES_NEUM,0),"")</f>
        <v/>
      </c>
      <c r="EI71" s="3">
        <f>IF(ED71&lt;=TOTAL_MAX,"sí",IF(ED71&lt;=TECHO,"negociar","no"))</f>
        <v/>
      </c>
      <c r="EJ71" s="4">
        <f>ROUND(DX71,9)</f>
        <v/>
      </c>
      <c r="EK71" s="4">
        <f>IF(EI71&lt;&gt;"no",SUMPRODUCT(($EI$2:$EI$209&lt;&gt;"no")*($EJ$2:$EJ$209&gt;EJ71))+SUMPRODUCT(($EI$2:EI71&lt;&gt;"no")*($EJ$2:EJ71=EJ71)),"")</f>
        <v/>
      </c>
    </row>
    <row r="72">
      <c r="A72" s="2" t="inlineStr">
        <is>
          <t>cochesnet:71662456</t>
        </is>
      </c>
      <c r="B72" s="2" t="inlineStr">
        <is>
          <t>cochesnet</t>
        </is>
      </c>
      <c r="C72" s="2" t="inlineStr">
        <is>
          <t>https://www.coches.net/renault-megane-coupecabrio-dynamique-16-16v-2p-gasolina-2007-en-valencia-71662456-covo.aspx</t>
        </is>
      </c>
      <c r="D72" s="2" t="inlineStr">
        <is>
          <t>RENAULT Mégane Coupecabrio Dynamique 1.6 16v</t>
        </is>
      </c>
      <c r="E72" s="2" t="inlineStr">
        <is>
          <t>Renault</t>
        </is>
      </c>
      <c r="F72" s="2" t="inlineStr">
        <is>
          <t>Renault Mégane</t>
        </is>
      </c>
      <c r="G72" s="2" t="inlineStr">
        <is>
          <t>1.6</t>
        </is>
      </c>
      <c r="H72" s="2" t="inlineStr">
        <is>
          <t>Coupecabrio Dynamique 1.6 16v</t>
        </is>
      </c>
      <c r="I72" s="2" t="n"/>
      <c r="J72" s="2" t="n"/>
      <c r="K72" s="2" t="inlineStr">
        <is>
          <t>gasolina</t>
        </is>
      </c>
      <c r="L72" s="2" t="inlineStr">
        <is>
          <t>compacto</t>
        </is>
      </c>
      <c r="M72" s="2" t="n">
        <v>2007</v>
      </c>
      <c r="N72" s="2" t="n">
        <v>183000</v>
      </c>
      <c r="O72" s="2" t="n">
        <v>4750</v>
      </c>
      <c r="P72" s="2" t="inlineStr">
        <is>
          <t>manual</t>
        </is>
      </c>
      <c r="Q72" s="2" t="inlineStr">
        <is>
          <t>no</t>
        </is>
      </c>
      <c r="R72" s="2" t="inlineStr">
        <is>
          <t>profesional</t>
        </is>
      </c>
      <c r="S72" s="2" t="inlineStr">
        <is>
          <t>JM Automóviles Alboraya</t>
        </is>
      </c>
      <c r="T72" s="2" t="inlineStr">
        <is>
          <t>2026-10-02T23:57:31Z</t>
        </is>
      </c>
      <c r="U72" s="2" t="n">
        <v>10</v>
      </c>
      <c r="V72" s="2" t="n"/>
      <c r="W72" s="2" t="inlineStr">
        <is>
          <t>sí</t>
        </is>
      </c>
      <c r="X72" s="2" t="n"/>
      <c r="Y72" s="2" t="n"/>
      <c r="Z72" s="2" t="inlineStr">
        <is>
          <t>sí</t>
        </is>
      </c>
      <c r="AA72" s="2" t="n"/>
      <c r="AB72" s="2" t="n">
        <v>12</v>
      </c>
      <c r="AC72" s="2" t="n"/>
      <c r="AD72" s="2" t="n"/>
      <c r="AE72" s="2" t="n"/>
      <c r="AF72" s="2" t="n"/>
      <c r="AG72" s="2" t="n"/>
      <c r="AH72" s="2" t="n">
        <v>4750</v>
      </c>
      <c r="AI72" s="2" t="n">
        <v>4750</v>
      </c>
      <c r="AJ72" s="2" t="n"/>
      <c r="AK72" s="2" t="n"/>
      <c r="AL72" s="2" t="n"/>
      <c r="AM72" s="2" t="n">
        <v>4</v>
      </c>
      <c r="AN72" s="2" t="n"/>
      <c r="AO72" s="2" t="inlineStr">
        <is>
          <t>2007</t>
        </is>
      </c>
      <c r="AP72" s="2" t="n">
        <v>2007</v>
      </c>
      <c r="AQ72" s="2" t="n"/>
      <c r="AR72" s="2" t="inlineStr">
        <is>
          <t>C</t>
        </is>
      </c>
      <c r="AS72" s="2" t="inlineStr">
        <is>
          <t>anuncio</t>
        </is>
      </c>
      <c r="AT72" s="2" t="n"/>
      <c r="AU72" s="2" t="inlineStr">
        <is>
          <t>no</t>
        </is>
      </c>
      <c r="AV72" s="2" t="inlineStr">
        <is>
          <t>C</t>
        </is>
      </c>
      <c r="AW72" s="2" t="n"/>
      <c r="AX72" s="2" t="inlineStr">
        <is>
          <t>no</t>
        </is>
      </c>
      <c r="AY72" s="2" t="inlineStr">
        <is>
          <t>no</t>
        </is>
      </c>
      <c r="AZ72" s="2" t="inlineStr">
        <is>
          <t>COMMON.COLOR_BEIGE</t>
        </is>
      </c>
      <c r="BA72" s="2" t="inlineStr">
        <is>
          <t>beige</t>
        </is>
      </c>
      <c r="BB72" s="3" t="n">
        <v>3</v>
      </c>
      <c r="BC72" s="3" t="inlineStr">
        <is>
          <t>(por segmento)</t>
        </is>
      </c>
      <c r="BD72" s="2" t="n"/>
      <c r="BE72" s="2" t="inlineStr">
        <is>
          <t>sí</t>
        </is>
      </c>
      <c r="BF72" s="2" t="n"/>
      <c r="BG72" s="2" t="n"/>
      <c r="BH72" s="2" t="n"/>
      <c r="BI72" s="2" t="n"/>
      <c r="BJ72" s="2" t="n"/>
      <c r="BK72" s="2" t="n">
        <v>5</v>
      </c>
      <c r="BL72" s="2" t="inlineStr">
        <is>
          <t>sí</t>
        </is>
      </c>
      <c r="BM72" s="2" t="n">
        <v>387</v>
      </c>
      <c r="BN72" s="2" t="n">
        <v>0.07434027781710029</v>
      </c>
      <c r="BO72" s="2" t="n">
        <v>7</v>
      </c>
      <c r="BP72" s="2" t="n">
        <v>3850</v>
      </c>
      <c r="BQ72" s="2" t="n">
        <v>6</v>
      </c>
      <c r="BR72" s="2" t="inlineStr">
        <is>
          <t>modelo+año+km</t>
        </is>
      </c>
      <c r="BS72" s="2" t="n"/>
      <c r="BT72" s="2" t="inlineStr">
        <is>
          <t>vendedor profesional: sin ITP (operación con IVA/REBU, confirmar en factura); gastos de gestión del vendedor no indicados: se suma la tasa DGT; preguntar el precio final; revisar: no menciona la ITV</t>
        </is>
      </c>
      <c r="BU72" s="2" t="inlineStr">
        <is>
          <t>RENAULT MÉGANE CABRIO 1.6 16V GASOLINA – 2007 – 182.000 KM
Descapotable elegante, cómodo y perfecto para disfrutar de la conducción a cielo abierto. Un coche ideal para quienes buscan estilo y diversión con un mantenimiento contenido.
DATOS PRINCIPALES
Año: 2007
Kilómetros: 182.000 km
Motor: 1.6 Gasolina
Potencia: 110 CV
Cambio manual
Mantenimiento al día
Listo para circular
EQUIPAMIENTO
Techo rígido retráctil eléctrico
Climatizador automático
Radio CD
Volante multifunción
Ordenador de a bordo
Elevalunas eléctricos
Cierre centralizado
Llantas de aleación
ABS + Control de estabilidad
Dirección asistida
LO MEJOR
Descapotable de techo rígido eléctrico
Motor gasolina fiable y de bajo mantenimiento
Cómodo para el día a día y escapadas
Excelente relación calidad-precio
Vehículo en buen estado general, cuidado y listo para su entrega.</t>
        </is>
      </c>
      <c r="BV72" s="2" t="inlineStr">
        <is>
          <t>https://www.coches.net/renault-megane-coupecabrio-dynamique-16-16v-2p-gasolina-2007-en-valencia-71662456-covo.aspx (window.__INITIAL_PROPS__.ad) /home/user/Alopecia/buscador-coches/raw/cochesnet/2e16acfbd04d922b.json</t>
        </is>
      </c>
      <c r="BW72" s="3">
        <f>MAX(ANIO_ACTUAL-M72,0)</f>
        <v/>
      </c>
      <c r="BX72" s="4">
        <f>N72/MAX(BW72,0.5)</f>
        <v/>
      </c>
      <c r="BY72" s="4">
        <f>F72</f>
        <v/>
      </c>
      <c r="BZ72" s="3">
        <f>BY72&amp;"|"&amp;INT(M72/SEG_ANIO)*SEG_ANIO</f>
        <v/>
      </c>
      <c r="CA72" s="3">
        <f>BZ72&amp;"|"&amp;INT(N72/SEG_KM)*SEG_KM</f>
        <v/>
      </c>
      <c r="CB72" s="4">
        <f>COUNTIF($BY$2:$BY$209,BY72)</f>
        <v/>
      </c>
      <c r="CC72" s="4">
        <f>COUNTIF($BZ$2:$BZ$209,BZ72)</f>
        <v/>
      </c>
      <c r="CD72" s="4">
        <f>COUNTIF($CA$2:$CA$209,CA72)</f>
        <v/>
      </c>
      <c r="CE72" s="3">
        <f t="array" ref="CE72">IF(N(BQ72)&gt;=MIN_N,BP72,IF(CD72&gt;=MIN_N,MEDIAN(IF($CA$2:$CA$209=CA72,$O$2:$O$209)),IF(CC72&gt;=MIN_N,MEDIAN(IF($BZ$2:$BZ$209=BZ72,$O$2:$O$209)),MEDIAN(IF($BY$2:$BY$209=BY72,$O$2:$O$209)))))</f>
        <v/>
      </c>
      <c r="CF72" s="3">
        <f>IF(N(BQ72)&gt;=MIN_N,"mercado "&amp;BR72,IF(CD72&gt;=MIN_N,"modelo+año+km",IF(CC72&gt;=MIN_N,"modelo+año","modelo")))</f>
        <v/>
      </c>
      <c r="CG72" s="4">
        <f>(CE72-O72)/CE72</f>
        <v/>
      </c>
      <c r="CH72" s="3">
        <f>IF(COUNTIFS(FR_FUEL,K72,FR_YEAR,AP72)&gt;0,1,0)</f>
        <v/>
      </c>
      <c r="CI72" s="3">
        <f>IF(COUNTIFS(FR_FUEL,K72,FR_YEAR,AP72-1)&gt;0,1,0)</f>
        <v/>
      </c>
      <c r="CJ72" s="4">
        <f>IF(N(AQ72)&gt;0,AP72*100+AQ72,IF(AND(CH72=1,CI72=1),(AP72-1)*100+1,AP72*100+1))</f>
        <v/>
      </c>
      <c r="CK72" s="3">
        <f>IF(OR(K72="hibrido",K72="glp",K72="gnc",K72="phev"),"ECO",IF(K72="electrico","CERO",IF(K72="gasolina",IF(CJ72&gt;=GAS_C_YM,"C",IF(CJ72&gt;=GAS_B_YM,"B","A")),IF(K72="diesel",IF(CJ72&gt;=DIE_C_YM,"C",IF(CJ72&gt;=DIE_B_YM,"B","A")),""))))</f>
        <v/>
      </c>
      <c r="CL72" s="2" t="inlineStr">
        <is>
          <t>C</t>
        </is>
      </c>
      <c r="CM72" s="4">
        <f>IF(AU72="sí","sí",IF(AS72="regla",IF(AND(N(AQ72)=0,CH72=1),"sí","no"),"no"))</f>
        <v/>
      </c>
      <c r="CN72" s="3">
        <f>IFERROR(VLOOKUP(F72,MOD_TBL,16,0),IFERROR(VLOOKUP(E72,OCU_TBL,2,0),NEUTRO))</f>
        <v/>
      </c>
      <c r="CO72" s="3">
        <f>SUMIFS(MOT_AJUSTE,MOT_MOTOR,G72,MOT_MARCA,E72,MOT_DESDE,"&lt;="&amp;M72,MOT_HASTA,"&gt;="&amp;M72)+SUMIFS(MOT_AJUSTE,MOT_MOTOR,G72,MOT_MARCA,"(todas)",MOT_DESDE,"&lt;="&amp;M72,MOT_HASTA,"&gt;="&amp;M72)+SUMIFS(MOT_AJUSTE,MOT_MOTOR,"(cualquiera)",MOT_MARCA,E72,MOT_DESDE,"&lt;="&amp;M72,MOT_HASTA,"&gt;="&amp;M72)</f>
        <v/>
      </c>
      <c r="CP72" s="3">
        <f>SUMIFS(COMB_AJUSTE,COMB_COMB,K72)</f>
        <v/>
      </c>
      <c r="CQ72" s="3">
        <f>COUNTIFS(MOT_MOTOR,G72,MOT_MARCA,E72,MOT_DESDE,"&lt;="&amp;M72,MOT_HASTA,"&gt;="&amp;M72)+COUNTIFS(MOT_MOTOR,G72,MOT_MARCA,"(todas)",MOT_DESDE,"&lt;="&amp;M72,MOT_HASTA,"&gt;="&amp;M72)+COUNTIFS(MOT_MOTOR,"(cualquiera)",MOT_MARCA,E72,MOT_DESDE,"&lt;="&amp;M72,MOT_HASTA,"&gt;="&amp;M72)</f>
        <v/>
      </c>
      <c r="CR72" s="3">
        <f>IF(AND(K72="diesel",CQ72=0),MIN(CN72,NEUTRO),CN72)</f>
        <v/>
      </c>
      <c r="CS72" s="3">
        <f>MAX(0,MIN(100,CR72+CO72+CP72-IF(AX72="sí",ROB_PEN,0)))</f>
        <v/>
      </c>
      <c r="CT72" s="3">
        <f>100-MAX(0,N72-KM_TOPE_DESDE)/1000*KM_TOPE_PTS</f>
        <v/>
      </c>
      <c r="CU72" s="3">
        <f>MAX(0,MIN(100,50+CG72*PRECIO_PEND,CT72))</f>
        <v/>
      </c>
      <c r="CV72" s="3">
        <f>MAX(0,100*(1-N72/KM_MAX))</f>
        <v/>
      </c>
      <c r="CW72" s="3">
        <f>IF(BX72&lt;KMA_SOSP,IF(AA72="sí",100,KMA_PEN),IF(BX72&lt;=KMA_IDEAL_MAX,100,MAX(0,100*(KMA_CERO-BX72)/(KMA_CERO-KMA_IDEAL_MAX))))</f>
        <v/>
      </c>
      <c r="CX72" s="3">
        <f>MAX(0,MIN(100,100*(M72-ANIO_MIN)/(ANIO_ACTUAL-ANIO_MIN)))</f>
        <v/>
      </c>
      <c r="CY72" s="3">
        <f>W_KMT*CV72+W_KMA*CW72+W_EDAD*CX72</f>
        <v/>
      </c>
      <c r="CZ72" s="4">
        <f>E72&amp;"|"&amp;G72</f>
        <v/>
      </c>
      <c r="DA72" s="3">
        <f>IFERROR(VLOOKUP(CZ72,DIST_TBL,2,0),"")</f>
        <v/>
      </c>
      <c r="DB72" s="3">
        <f>E_ITV*(V72="sí")+E_LIBRO*(W72="sí")+E_PROP*IF(Y72=1,1,IF(Y72=2,0.5,0))+E_CORREA*IF(OR(DA72="cadena",AND(X72="sí",BH72="sí")),1,IF(X72="sí",0.5,0))+E_FACT*(BI72="sí")</f>
        <v/>
      </c>
      <c r="DC72" s="3">
        <f>MAX(0,MIN(100,IFERROR(VLOOKUP(CL72,ETQ_TBL,2,0),0)-IF(CM72="sí",ETQ_PEN_DUD,IF(AS72="regla",ETQ_PEN_REGLA,0))))</f>
        <v/>
      </c>
      <c r="DD72" s="3">
        <f>IF(K72&lt;&gt;"gasolina","",IFERROR(VLOOKUP(F72,CONS_MOD_TBL,2,0),IFERROR(VLOOKUP(L72,CONS_SEG_TBL,2,0),"")))</f>
        <v/>
      </c>
      <c r="DE72" s="3">
        <f>IF(DD72="",NEUTRO,MAX(0,MIN(100,100*(CONS_REF_MAX-DD72)/(CONS_REF_MAX-CONS_REF_MIN))))</f>
        <v/>
      </c>
      <c r="DF72" s="3">
        <f>IFERROR(VLOOKUP(L72,SEGURO_TBL,3,0),"")</f>
        <v/>
      </c>
      <c r="DG72" s="3">
        <f>IF(DF72="",NEUTRO,MAX(0,MIN(100,100*(SEG_REF_MAX-DF72)/(SEG_REF_MAX-SEG_REF_MIN))))</f>
        <v/>
      </c>
      <c r="DH72" s="3">
        <f>IFERROR(VLOOKUP(E72,MANT_MARCA_TBL,2,0)+0,NEUTRO)</f>
        <v/>
      </c>
      <c r="DI72" s="3">
        <f>IF(DA72="",NEUTRO,IFERROR(VLOOKUP(DA72,DIST_PTS_TBL,2,0)+0,NEUTRO))</f>
        <v/>
      </c>
      <c r="DJ72" s="4">
        <f>(DH72+DI72)/2</f>
        <v/>
      </c>
      <c r="DK72" s="3">
        <f>W_CONS*DE72+W_SEG*DG72+W_MANT*DJ72</f>
        <v/>
      </c>
      <c r="DL72" s="3">
        <f>IF(N(AB72)&gt;0,AB72,IF(AND(R72="profesional",SG_LEGAL_ON=1),GAR_LEGAL,0))</f>
        <v/>
      </c>
      <c r="DM72" s="3">
        <f>MAX(0,MIN(100,SG_GAR*MIN(1,DL72/SG_GAR_FULL)+SG_AMPL*(AC72="sí")+SG_KMC*(AF72="sí")+SG_REV*(N(AE72)&gt;0)+SG_DEV*MIN(1,N(AG72)/SG_DEV_FULL)+SG_HIST*(W72="sí")-IF(AND(R72="particular",DL72=0),SG_PART_PEN,0)))</f>
        <v/>
      </c>
      <c r="DN72" s="3">
        <f>IF(BK72="",NEUTRO,MAX(0,MIN(100,BK72/5*100)))</f>
        <v/>
      </c>
      <c r="DO72" s="3">
        <f>IF(BL72="sí",100,IF(BL72="no",0,NEUTRO))</f>
        <v/>
      </c>
      <c r="DP72" s="3">
        <f>SV_W_NCAP*DN72+SV_W_ESP*DO72</f>
        <v/>
      </c>
      <c r="DQ72" s="3">
        <f>MAX(0,MIN(100,ATR_BASE+ATR_ACAB*(BD72&lt;&gt;"")+IF(BE72="16+",ATR_LL16,IF(BE72="sí",ATR_LL,0))+ATR_FAROS*(BF72="sí")+ATR_TINT*(BG72="sí")-ATR_CHAPA*(BE72="chapa")))</f>
        <v/>
      </c>
      <c r="DR72" s="3">
        <f>EST_W_MOD*(BB72-1)/4*100+EST_W_ATR*DQ72</f>
        <v/>
      </c>
      <c r="DS72" s="3">
        <f>IF(BA72="",NEUTRO,IFERROR(VLOOKUP(BA72,COLOR_TBL,2,0)+0,NEUTRO))</f>
        <v/>
      </c>
      <c r="DT72" s="3">
        <f>MAX(0,MIN(100,100*N(BM72)/RV_N_FULL))</f>
        <v/>
      </c>
      <c r="DU72" s="3">
        <f>IF(OR(BN72="",N(BO72)&lt;RV_DIAS_MIN),NEUTRO,MAX(0,MIN(100,100*(RV_DIAS_CERO-BN72)/(RV_DIAS_CERO-RV_DIAS_FULL))))</f>
        <v/>
      </c>
      <c r="DV72" s="3">
        <f>RV_W_LIQ*DT72+RV_W_DIAS*DU72+RV_W_ETQ*DC72</f>
        <v/>
      </c>
      <c r="DW72" s="3">
        <f>IFERROR(VLOOKUP(L72,CARR_PEN_TBL,2,0),0)</f>
        <v/>
      </c>
      <c r="DX72" s="3">
        <f>W_FIAB*CS72+W_PRECIO*CU72+W_KMEDAD*CY72+W_ESTADO*DB72+W_USO*DK72+W_SEGURIDAD*DM72+W_SEGVIAL*DP72+W_ESTETICA*DR72+W_COLOR*DS72+W_REVENTA*DV72-DW72-EG72</f>
        <v/>
      </c>
      <c r="DY72" s="4">
        <f>IF(N(I72)&gt;0,I72,IFERROR(ROUND(_xlfn.NUMBERVALUE(LEFT(G72,FIND(" ",G72&amp;" ")-1),".")*1000,0),99999))</f>
        <v/>
      </c>
      <c r="DZ72" s="3">
        <f>IF(R72="profesional",0,IF(O72&lt;CUOTA_VALOR_MAX,IF(BW72&gt;ITP_TRAMO_ALTO,SUMIFS(CF_CUOTA,CF_MAS,ITP_TRAMO_ALTO,CF_CCMIN,"&lt;="&amp;DY72,CF_CCMAX,"&gt;="&amp;DY72),IF(BW72&gt;ITP_TRAMO_BAJO,SUMIFS(CF_CUOTA,CF_MAS,ITP_TRAMO_BAJO,CF_CCMIN,"&lt;="&amp;DY72,CF_CCMAX,"&gt;="&amp;DY72),O72*ITP_TIPO)),O72*ITP_TIPO))</f>
        <v/>
      </c>
      <c r="EA72" s="4">
        <f>IF(R72="profesional",N(AK72),0)</f>
        <v/>
      </c>
      <c r="EB72" s="3">
        <f>IF(AND(R72="profesional",ISNUMBER(AK72),AL72="sí"),0,TASA_DGT)</f>
        <v/>
      </c>
      <c r="EC72" s="3">
        <f>INFORME_DGT</f>
        <v/>
      </c>
      <c r="ED72" s="4">
        <f>O72+EA72+DZ72+EB72+EC72</f>
        <v/>
      </c>
      <c r="EE72" s="4">
        <f>ED72+N(DF72)</f>
        <v/>
      </c>
      <c r="EF72" s="3">
        <f>MAX(0,ED72-TOTAL_MAX)</f>
        <v/>
      </c>
      <c r="EG72" s="3">
        <f>EF72/100*PEN_100</f>
        <v/>
      </c>
      <c r="EH72" s="3">
        <f>IF(R72="particular",ED72+IF(AND(DA72&lt;&gt;"cadena",X72&lt;&gt;"sí"),RES_CORREA,0)+IF(AND(BJ72&lt;&gt;"sí",BW72&gt;=RES_NEUM_EDAD),RES_NEUM,0),"")</f>
        <v/>
      </c>
      <c r="EI72" s="3">
        <f>IF(ED72&lt;=TOTAL_MAX,"sí",IF(ED72&lt;=TECHO,"negociar","no"))</f>
        <v/>
      </c>
      <c r="EJ72" s="4">
        <f>ROUND(DX72,9)</f>
        <v/>
      </c>
      <c r="EK72" s="4">
        <f>IF(EI72&lt;&gt;"no",SUMPRODUCT(($EI$2:$EI$209&lt;&gt;"no")*($EJ$2:$EJ$209&gt;EJ72))+SUMPRODUCT(($EI$2:EI72&lt;&gt;"no")*($EJ$2:EJ72=EJ72)),"")</f>
        <v/>
      </c>
    </row>
    <row r="73">
      <c r="A73" s="2" t="inlineStr">
        <is>
          <t>cochesnet:71693535</t>
        </is>
      </c>
      <c r="B73" s="2" t="inlineStr">
        <is>
          <t>cochesnet</t>
        </is>
      </c>
      <c r="C73" s="2" t="inlineStr">
        <is>
          <t>https://www.coches.net/renault-clio-expression-12-16v-5p-gasolina-2007-en-valencia-71693535-covo.aspx</t>
        </is>
      </c>
      <c r="D73" s="2" t="inlineStr">
        <is>
          <t>RENAULT Clio Expression 1.2 16v</t>
        </is>
      </c>
      <c r="E73" s="2" t="inlineStr">
        <is>
          <t>Renault</t>
        </is>
      </c>
      <c r="F73" s="2" t="inlineStr">
        <is>
          <t>Renault Clio</t>
        </is>
      </c>
      <c r="G73" s="2" t="inlineStr">
        <is>
          <t>1.2</t>
        </is>
      </c>
      <c r="H73" s="2" t="inlineStr">
        <is>
          <t>Expression 1.2 16v</t>
        </is>
      </c>
      <c r="I73" s="2" t="n"/>
      <c r="J73" s="2" t="n"/>
      <c r="K73" s="2" t="inlineStr">
        <is>
          <t>gasolina</t>
        </is>
      </c>
      <c r="L73" s="2" t="inlineStr">
        <is>
          <t>utilitario</t>
        </is>
      </c>
      <c r="M73" s="2" t="n">
        <v>2007</v>
      </c>
      <c r="N73" s="2" t="n">
        <v>97000</v>
      </c>
      <c r="O73" s="2" t="n">
        <v>4000</v>
      </c>
      <c r="P73" s="2" t="inlineStr">
        <is>
          <t>manual</t>
        </is>
      </c>
      <c r="Q73" s="2" t="inlineStr">
        <is>
          <t>no</t>
        </is>
      </c>
      <c r="R73" s="2" t="inlineStr">
        <is>
          <t>profesional</t>
        </is>
      </c>
      <c r="S73" s="2" t="inlineStr">
        <is>
          <t>Beniparrell</t>
        </is>
      </c>
      <c r="T73" s="2" t="inlineStr">
        <is>
          <t>2026-10-07T12:15:49Z</t>
        </is>
      </c>
      <c r="U73" s="2" t="n">
        <v>14</v>
      </c>
      <c r="V73" s="2" t="n"/>
      <c r="W73" s="2" t="n"/>
      <c r="X73" s="2" t="n"/>
      <c r="Y73" s="2" t="n"/>
      <c r="Z73" s="2" t="inlineStr">
        <is>
          <t>sí</t>
        </is>
      </c>
      <c r="AA73" s="2" t="n"/>
      <c r="AB73" s="2" t="n">
        <v>12</v>
      </c>
      <c r="AC73" s="2" t="n"/>
      <c r="AD73" s="2" t="n"/>
      <c r="AE73" s="2" t="n"/>
      <c r="AF73" s="2" t="n"/>
      <c r="AG73" s="2" t="n"/>
      <c r="AH73" s="2" t="n">
        <v>4000</v>
      </c>
      <c r="AI73" s="2" t="n"/>
      <c r="AJ73" s="2" t="n"/>
      <c r="AK73" s="2" t="n"/>
      <c r="AL73" s="2" t="n"/>
      <c r="AM73" s="2" t="n">
        <v>10.2</v>
      </c>
      <c r="AN73" s="2" t="n"/>
      <c r="AO73" s="2" t="inlineStr">
        <is>
          <t>2007</t>
        </is>
      </c>
      <c r="AP73" s="2" t="n">
        <v>2007</v>
      </c>
      <c r="AQ73" s="2" t="n"/>
      <c r="AR73" s="2" t="inlineStr">
        <is>
          <t>C</t>
        </is>
      </c>
      <c r="AS73" s="2" t="inlineStr">
        <is>
          <t>anuncio</t>
        </is>
      </c>
      <c r="AT73" s="2" t="n"/>
      <c r="AU73" s="2" t="inlineStr">
        <is>
          <t>no</t>
        </is>
      </c>
      <c r="AV73" s="2" t="inlineStr">
        <is>
          <t>C</t>
        </is>
      </c>
      <c r="AW73" s="2" t="n"/>
      <c r="AX73" s="2" t="inlineStr">
        <is>
          <t>no</t>
        </is>
      </c>
      <c r="AY73" s="2" t="inlineStr">
        <is>
          <t>no</t>
        </is>
      </c>
      <c r="AZ73" s="2" t="inlineStr">
        <is>
          <t>COMMON.COLOR_GRAY</t>
        </is>
      </c>
      <c r="BA73" s="2" t="inlineStr">
        <is>
          <t>gris_medio</t>
        </is>
      </c>
      <c r="BB73" s="3" t="n">
        <v>2</v>
      </c>
      <c r="BC73" s="3" t="inlineStr">
        <is>
          <t>(por segmento)</t>
        </is>
      </c>
      <c r="BD73" s="2" t="n"/>
      <c r="BE73" s="2" t="n"/>
      <c r="BF73" s="2" t="n"/>
      <c r="BG73" s="2" t="inlineStr">
        <is>
          <t>sí</t>
        </is>
      </c>
      <c r="BH73" s="2" t="n"/>
      <c r="BI73" s="2" t="n"/>
      <c r="BJ73" s="2" t="n"/>
      <c r="BK73" s="2" t="n">
        <v>5</v>
      </c>
      <c r="BL73" s="2" t="n"/>
      <c r="BM73" s="2" t="n">
        <v>332</v>
      </c>
      <c r="BN73" s="2" t="n">
        <v>0.05126157402992249</v>
      </c>
      <c r="BO73" s="2" t="n">
        <v>9</v>
      </c>
      <c r="BP73" s="2" t="n">
        <v>3500</v>
      </c>
      <c r="BQ73" s="2" t="n">
        <v>24</v>
      </c>
      <c r="BR73" s="2" t="inlineStr">
        <is>
          <t>modelo+año</t>
        </is>
      </c>
      <c r="BS73" s="2" t="n"/>
      <c r="BT73" s="2" t="inlineStr">
        <is>
          <t>vendedor profesional: sin ITP (operación con IVA/REBU, confirmar en factura); gastos de gestión del vendedor no indicados: se suma la tasa DGT; preguntar el precio final; revisar: no menciona la ITV</t>
        </is>
      </c>
      <c r="BU73" s="2" t="inlineStr">
        <is>
          <t>Este Renault Clio Expression cuenta con dirección asistida eléctrica progresiva, climatización con filtro de partículas y sistema de audio completo con control remoto en volante para máxima comodidad. Equipado con control de crucero, ordenador de viaje multifunción, elevalunas eléctricos delanteros y retrovisores exteriores eléctricos desempañables. Dispone de asientos ajustables en altura con reposacabezas regulables, cristales tintados y limpiaparabrisas con intermitencia variable. Etiqueta medioambiental C que facilita acceso a zonas de circulación restringida en núcleos urbanos.GARANTÍA 12 meses (cobertura de 25 componentes del vehículo )cobertura de reparación hasta 2.000e en cualquier taller)</t>
        </is>
      </c>
      <c r="BV73" s="2" t="inlineStr">
        <is>
          <t>https://www.coches.net/renault-clio-expression-12-16v-5p-gasolina-2007-en-valencia-71693535-covo.aspx (window.__INITIAL_PROPS__.ad) /home/user/Alopecia/buscador-coches/raw/cochesnet/d9d8e1e1790f9a56.json</t>
        </is>
      </c>
      <c r="BW73" s="3">
        <f>MAX(ANIO_ACTUAL-M73,0)</f>
        <v/>
      </c>
      <c r="BX73" s="4">
        <f>N73/MAX(BW73,0.5)</f>
        <v/>
      </c>
      <c r="BY73" s="4">
        <f>F73</f>
        <v/>
      </c>
      <c r="BZ73" s="3">
        <f>BY73&amp;"|"&amp;INT(M73/SEG_ANIO)*SEG_ANIO</f>
        <v/>
      </c>
      <c r="CA73" s="3">
        <f>BZ73&amp;"|"&amp;INT(N73/SEG_KM)*SEG_KM</f>
        <v/>
      </c>
      <c r="CB73" s="4">
        <f>COUNTIF($BY$2:$BY$209,BY73)</f>
        <v/>
      </c>
      <c r="CC73" s="4">
        <f>COUNTIF($BZ$2:$BZ$209,BZ73)</f>
        <v/>
      </c>
      <c r="CD73" s="4">
        <f>COUNTIF($CA$2:$CA$209,CA73)</f>
        <v/>
      </c>
      <c r="CE73" s="3">
        <f t="array" ref="CE73">IF(N(BQ73)&gt;=MIN_N,BP73,IF(CD73&gt;=MIN_N,MEDIAN(IF($CA$2:$CA$209=CA73,$O$2:$O$209)),IF(CC73&gt;=MIN_N,MEDIAN(IF($BZ$2:$BZ$209=BZ73,$O$2:$O$209)),MEDIAN(IF($BY$2:$BY$209=BY73,$O$2:$O$209)))))</f>
        <v/>
      </c>
      <c r="CF73" s="3">
        <f>IF(N(BQ73)&gt;=MIN_N,"mercado "&amp;BR73,IF(CD73&gt;=MIN_N,"modelo+año+km",IF(CC73&gt;=MIN_N,"modelo+año","modelo")))</f>
        <v/>
      </c>
      <c r="CG73" s="4">
        <f>(CE73-O73)/CE73</f>
        <v/>
      </c>
      <c r="CH73" s="3">
        <f>IF(COUNTIFS(FR_FUEL,K73,FR_YEAR,AP73)&gt;0,1,0)</f>
        <v/>
      </c>
      <c r="CI73" s="3">
        <f>IF(COUNTIFS(FR_FUEL,K73,FR_YEAR,AP73-1)&gt;0,1,0)</f>
        <v/>
      </c>
      <c r="CJ73" s="4">
        <f>IF(N(AQ73)&gt;0,AP73*100+AQ73,IF(AND(CH73=1,CI73=1),(AP73-1)*100+1,AP73*100+1))</f>
        <v/>
      </c>
      <c r="CK73" s="3">
        <f>IF(OR(K73="hibrido",K73="glp",K73="gnc",K73="phev"),"ECO",IF(K73="electrico","CERO",IF(K73="gasolina",IF(CJ73&gt;=GAS_C_YM,"C",IF(CJ73&gt;=GAS_B_YM,"B","A")),IF(K73="diesel",IF(CJ73&gt;=DIE_C_YM,"C",IF(CJ73&gt;=DIE_B_YM,"B","A")),""))))</f>
        <v/>
      </c>
      <c r="CL73" s="2" t="inlineStr">
        <is>
          <t>C</t>
        </is>
      </c>
      <c r="CM73" s="4">
        <f>IF(AU73="sí","sí",IF(AS73="regla",IF(AND(N(AQ73)=0,CH73=1),"sí","no"),"no"))</f>
        <v/>
      </c>
      <c r="CN73" s="3">
        <f>IFERROR(VLOOKUP(F73,MOD_TBL,16,0),IFERROR(VLOOKUP(E73,OCU_TBL,2,0),NEUTRO))</f>
        <v/>
      </c>
      <c r="CO73" s="3">
        <f>SUMIFS(MOT_AJUSTE,MOT_MOTOR,G73,MOT_MARCA,E73,MOT_DESDE,"&lt;="&amp;M73,MOT_HASTA,"&gt;="&amp;M73)+SUMIFS(MOT_AJUSTE,MOT_MOTOR,G73,MOT_MARCA,"(todas)",MOT_DESDE,"&lt;="&amp;M73,MOT_HASTA,"&gt;="&amp;M73)+SUMIFS(MOT_AJUSTE,MOT_MOTOR,"(cualquiera)",MOT_MARCA,E73,MOT_DESDE,"&lt;="&amp;M73,MOT_HASTA,"&gt;="&amp;M73)</f>
        <v/>
      </c>
      <c r="CP73" s="3">
        <f>SUMIFS(COMB_AJUSTE,COMB_COMB,K73)</f>
        <v/>
      </c>
      <c r="CQ73" s="3">
        <f>COUNTIFS(MOT_MOTOR,G73,MOT_MARCA,E73,MOT_DESDE,"&lt;="&amp;M73,MOT_HASTA,"&gt;="&amp;M73)+COUNTIFS(MOT_MOTOR,G73,MOT_MARCA,"(todas)",MOT_DESDE,"&lt;="&amp;M73,MOT_HASTA,"&gt;="&amp;M73)+COUNTIFS(MOT_MOTOR,"(cualquiera)",MOT_MARCA,E73,MOT_DESDE,"&lt;="&amp;M73,MOT_HASTA,"&gt;="&amp;M73)</f>
        <v/>
      </c>
      <c r="CR73" s="3">
        <f>IF(AND(K73="diesel",CQ73=0),MIN(CN73,NEUTRO),CN73)</f>
        <v/>
      </c>
      <c r="CS73" s="3">
        <f>MAX(0,MIN(100,CR73+CO73+CP73-IF(AX73="sí",ROB_PEN,0)))</f>
        <v/>
      </c>
      <c r="CT73" s="3">
        <f>100-MAX(0,N73-KM_TOPE_DESDE)/1000*KM_TOPE_PTS</f>
        <v/>
      </c>
      <c r="CU73" s="3">
        <f>MAX(0,MIN(100,50+CG73*PRECIO_PEND,CT73))</f>
        <v/>
      </c>
      <c r="CV73" s="3">
        <f>MAX(0,100*(1-N73/KM_MAX))</f>
        <v/>
      </c>
      <c r="CW73" s="3">
        <f>IF(BX73&lt;KMA_SOSP,IF(AA73="sí",100,KMA_PEN),IF(BX73&lt;=KMA_IDEAL_MAX,100,MAX(0,100*(KMA_CERO-BX73)/(KMA_CERO-KMA_IDEAL_MAX))))</f>
        <v/>
      </c>
      <c r="CX73" s="3">
        <f>MAX(0,MIN(100,100*(M73-ANIO_MIN)/(ANIO_ACTUAL-ANIO_MIN)))</f>
        <v/>
      </c>
      <c r="CY73" s="3">
        <f>W_KMT*CV73+W_KMA*CW73+W_EDAD*CX73</f>
        <v/>
      </c>
      <c r="CZ73" s="4">
        <f>E73&amp;"|"&amp;G73</f>
        <v/>
      </c>
      <c r="DA73" s="3">
        <f>IFERROR(VLOOKUP(CZ73,DIST_TBL,2,0),"")</f>
        <v/>
      </c>
      <c r="DB73" s="3">
        <f>E_ITV*(V73="sí")+E_LIBRO*(W73="sí")+E_PROP*IF(Y73=1,1,IF(Y73=2,0.5,0))+E_CORREA*IF(OR(DA73="cadena",AND(X73="sí",BH73="sí")),1,IF(X73="sí",0.5,0))+E_FACT*(BI73="sí")</f>
        <v/>
      </c>
      <c r="DC73" s="3">
        <f>MAX(0,MIN(100,IFERROR(VLOOKUP(CL73,ETQ_TBL,2,0),0)-IF(CM73="sí",ETQ_PEN_DUD,IF(AS73="regla",ETQ_PEN_REGLA,0))))</f>
        <v/>
      </c>
      <c r="DD73" s="3">
        <f>IF(K73&lt;&gt;"gasolina","",IFERROR(VLOOKUP(F73,CONS_MOD_TBL,2,0),IFERROR(VLOOKUP(L73,CONS_SEG_TBL,2,0),"")))</f>
        <v/>
      </c>
      <c r="DE73" s="3">
        <f>IF(DD73="",NEUTRO,MAX(0,MIN(100,100*(CONS_REF_MAX-DD73)/(CONS_REF_MAX-CONS_REF_MIN))))</f>
        <v/>
      </c>
      <c r="DF73" s="3">
        <f>IFERROR(VLOOKUP(L73,SEGURO_TBL,3,0),"")</f>
        <v/>
      </c>
      <c r="DG73" s="3">
        <f>IF(DF73="",NEUTRO,MAX(0,MIN(100,100*(SEG_REF_MAX-DF73)/(SEG_REF_MAX-SEG_REF_MIN))))</f>
        <v/>
      </c>
      <c r="DH73" s="3">
        <f>IFERROR(VLOOKUP(E73,MANT_MARCA_TBL,2,0)+0,NEUTRO)</f>
        <v/>
      </c>
      <c r="DI73" s="3">
        <f>IF(DA73="",NEUTRO,IFERROR(VLOOKUP(DA73,DIST_PTS_TBL,2,0)+0,NEUTRO))</f>
        <v/>
      </c>
      <c r="DJ73" s="4">
        <f>(DH73+DI73)/2</f>
        <v/>
      </c>
      <c r="DK73" s="3">
        <f>W_CONS*DE73+W_SEG*DG73+W_MANT*DJ73</f>
        <v/>
      </c>
      <c r="DL73" s="3">
        <f>IF(N(AB73)&gt;0,AB73,IF(AND(R73="profesional",SG_LEGAL_ON=1),GAR_LEGAL,0))</f>
        <v/>
      </c>
      <c r="DM73" s="3">
        <f>MAX(0,MIN(100,SG_GAR*MIN(1,DL73/SG_GAR_FULL)+SG_AMPL*(AC73="sí")+SG_KMC*(AF73="sí")+SG_REV*(N(AE73)&gt;0)+SG_DEV*MIN(1,N(AG73)/SG_DEV_FULL)+SG_HIST*(W73="sí")-IF(AND(R73="particular",DL73=0),SG_PART_PEN,0)))</f>
        <v/>
      </c>
      <c r="DN73" s="3">
        <f>IF(BK73="",NEUTRO,MAX(0,MIN(100,BK73/5*100)))</f>
        <v/>
      </c>
      <c r="DO73" s="3">
        <f>IF(BL73="sí",100,IF(BL73="no",0,NEUTRO))</f>
        <v/>
      </c>
      <c r="DP73" s="3">
        <f>SV_W_NCAP*DN73+SV_W_ESP*DO73</f>
        <v/>
      </c>
      <c r="DQ73" s="3">
        <f>MAX(0,MIN(100,ATR_BASE+ATR_ACAB*(BD73&lt;&gt;"")+IF(BE73="16+",ATR_LL16,IF(BE73="sí",ATR_LL,0))+ATR_FAROS*(BF73="sí")+ATR_TINT*(BG73="sí")-ATR_CHAPA*(BE73="chapa")))</f>
        <v/>
      </c>
      <c r="DR73" s="3">
        <f>EST_W_MOD*(BB73-1)/4*100+EST_W_ATR*DQ73</f>
        <v/>
      </c>
      <c r="DS73" s="3">
        <f>IF(BA73="",NEUTRO,IFERROR(VLOOKUP(BA73,COLOR_TBL,2,0)+0,NEUTRO))</f>
        <v/>
      </c>
      <c r="DT73" s="3">
        <f>MAX(0,MIN(100,100*N(BM73)/RV_N_FULL))</f>
        <v/>
      </c>
      <c r="DU73" s="3">
        <f>IF(OR(BN73="",N(BO73)&lt;RV_DIAS_MIN),NEUTRO,MAX(0,MIN(100,100*(RV_DIAS_CERO-BN73)/(RV_DIAS_CERO-RV_DIAS_FULL))))</f>
        <v/>
      </c>
      <c r="DV73" s="3">
        <f>RV_W_LIQ*DT73+RV_W_DIAS*DU73+RV_W_ETQ*DC73</f>
        <v/>
      </c>
      <c r="DW73" s="3">
        <f>IFERROR(VLOOKUP(L73,CARR_PEN_TBL,2,0),0)</f>
        <v/>
      </c>
      <c r="DX73" s="3">
        <f>W_FIAB*CS73+W_PRECIO*CU73+W_KMEDAD*CY73+W_ESTADO*DB73+W_USO*DK73+W_SEGURIDAD*DM73+W_SEGVIAL*DP73+W_ESTETICA*DR73+W_COLOR*DS73+W_REVENTA*DV73-DW73-EG73</f>
        <v/>
      </c>
      <c r="DY73" s="4">
        <f>IF(N(I73)&gt;0,I73,IFERROR(ROUND(_xlfn.NUMBERVALUE(LEFT(G73,FIND(" ",G73&amp;" ")-1),".")*1000,0),99999))</f>
        <v/>
      </c>
      <c r="DZ73" s="3">
        <f>IF(R73="profesional",0,IF(O73&lt;CUOTA_VALOR_MAX,IF(BW73&gt;ITP_TRAMO_ALTO,SUMIFS(CF_CUOTA,CF_MAS,ITP_TRAMO_ALTO,CF_CCMIN,"&lt;="&amp;DY73,CF_CCMAX,"&gt;="&amp;DY73),IF(BW73&gt;ITP_TRAMO_BAJO,SUMIFS(CF_CUOTA,CF_MAS,ITP_TRAMO_BAJO,CF_CCMIN,"&lt;="&amp;DY73,CF_CCMAX,"&gt;="&amp;DY73),O73*ITP_TIPO)),O73*ITP_TIPO))</f>
        <v/>
      </c>
      <c r="EA73" s="4">
        <f>IF(R73="profesional",N(AK73),0)</f>
        <v/>
      </c>
      <c r="EB73" s="3">
        <f>IF(AND(R73="profesional",ISNUMBER(AK73),AL73="sí"),0,TASA_DGT)</f>
        <v/>
      </c>
      <c r="EC73" s="3">
        <f>INFORME_DGT</f>
        <v/>
      </c>
      <c r="ED73" s="4">
        <f>O73+EA73+DZ73+EB73+EC73</f>
        <v/>
      </c>
      <c r="EE73" s="4">
        <f>ED73+N(DF73)</f>
        <v/>
      </c>
      <c r="EF73" s="3">
        <f>MAX(0,ED73-TOTAL_MAX)</f>
        <v/>
      </c>
      <c r="EG73" s="3">
        <f>EF73/100*PEN_100</f>
        <v/>
      </c>
      <c r="EH73" s="3">
        <f>IF(R73="particular",ED73+IF(AND(DA73&lt;&gt;"cadena",X73&lt;&gt;"sí"),RES_CORREA,0)+IF(AND(BJ73&lt;&gt;"sí",BW73&gt;=RES_NEUM_EDAD),RES_NEUM,0),"")</f>
        <v/>
      </c>
      <c r="EI73" s="3">
        <f>IF(ED73&lt;=TOTAL_MAX,"sí",IF(ED73&lt;=TECHO,"negociar","no"))</f>
        <v/>
      </c>
      <c r="EJ73" s="4">
        <f>ROUND(DX73,9)</f>
        <v/>
      </c>
      <c r="EK73" s="4">
        <f>IF(EI73&lt;&gt;"no",SUMPRODUCT(($EI$2:$EI$209&lt;&gt;"no")*($EJ$2:$EJ$209&gt;EJ73))+SUMPRODUCT(($EI$2:EI73&lt;&gt;"no")*($EJ$2:EJ73=EJ73)),"")</f>
        <v/>
      </c>
    </row>
    <row r="74">
      <c r="A74" s="2" t="inlineStr">
        <is>
          <t>cochesnet:71684364</t>
        </is>
      </c>
      <c r="B74" s="2" t="inlineStr">
        <is>
          <t>cochesnet</t>
        </is>
      </c>
      <c r="C74" s="2" t="inlineStr">
        <is>
          <t>https://www.coches.net/renault-megane-business-dci-110-5p-diesel-2012-en-valencia-71684364-covo.aspx</t>
        </is>
      </c>
      <c r="D74" s="2" t="inlineStr">
        <is>
          <t>RENAULT Mégane Business dCi 110</t>
        </is>
      </c>
      <c r="E74" s="2" t="inlineStr">
        <is>
          <t>Renault</t>
        </is>
      </c>
      <c r="F74" s="2" t="inlineStr">
        <is>
          <t>Renault Mégane</t>
        </is>
      </c>
      <c r="G74" s="2" t="inlineStr">
        <is>
          <t>? dCi</t>
        </is>
      </c>
      <c r="H74" s="2" t="inlineStr">
        <is>
          <t>Business dCi 110</t>
        </is>
      </c>
      <c r="I74" s="2" t="n"/>
      <c r="J74" s="2" t="n"/>
      <c r="K74" s="2" t="inlineStr">
        <is>
          <t>diesel</t>
        </is>
      </c>
      <c r="L74" s="2" t="inlineStr">
        <is>
          <t>compacto</t>
        </is>
      </c>
      <c r="M74" s="2" t="n">
        <v>2012</v>
      </c>
      <c r="N74" s="2" t="n">
        <v>199000</v>
      </c>
      <c r="O74" s="2" t="n">
        <v>4990</v>
      </c>
      <c r="P74" s="2" t="inlineStr">
        <is>
          <t>manual</t>
        </is>
      </c>
      <c r="Q74" s="2" t="inlineStr">
        <is>
          <t>no</t>
        </is>
      </c>
      <c r="R74" s="2" t="inlineStr">
        <is>
          <t>profesional</t>
        </is>
      </c>
      <c r="S74" s="2" t="inlineStr">
        <is>
          <t>V.O. Eliana San Antonio de Benagéber</t>
        </is>
      </c>
      <c r="T74" s="2" t="inlineStr">
        <is>
          <t>2026-10-06T12:23:00Z</t>
        </is>
      </c>
      <c r="U74" s="2" t="n">
        <v>17</v>
      </c>
      <c r="V74" s="2" t="n"/>
      <c r="W74" s="2" t="n"/>
      <c r="X74" s="2" t="n"/>
      <c r="Y74" s="2" t="n"/>
      <c r="Z74" s="2" t="inlineStr">
        <is>
          <t>sí</t>
        </is>
      </c>
      <c r="AA74" s="2" t="n"/>
      <c r="AB74" s="2" t="n">
        <v>12</v>
      </c>
      <c r="AC74" s="2" t="n"/>
      <c r="AD74" s="2" t="n"/>
      <c r="AE74" s="2" t="n"/>
      <c r="AF74" s="2" t="n"/>
      <c r="AG74" s="2" t="n"/>
      <c r="AH74" s="2" t="n">
        <v>4990</v>
      </c>
      <c r="AI74" s="2" t="n"/>
      <c r="AJ74" s="2" t="n"/>
      <c r="AK74" s="2" t="n"/>
      <c r="AL74" s="2" t="n"/>
      <c r="AM74" s="2" t="n">
        <v>19.1</v>
      </c>
      <c r="AN74" s="2" t="n"/>
      <c r="AO74" s="2" t="inlineStr">
        <is>
          <t>2012</t>
        </is>
      </c>
      <c r="AP74" s="2" t="n">
        <v>2012</v>
      </c>
      <c r="AQ74" s="2" t="n"/>
      <c r="AR74" s="2" t="inlineStr">
        <is>
          <t>B</t>
        </is>
      </c>
      <c r="AS74" s="2" t="inlineStr">
        <is>
          <t>anuncio</t>
        </is>
      </c>
      <c r="AT74" s="2" t="n"/>
      <c r="AU74" s="2" t="inlineStr">
        <is>
          <t>no</t>
        </is>
      </c>
      <c r="AV74" s="2" t="inlineStr">
        <is>
          <t>B</t>
        </is>
      </c>
      <c r="AW74" s="2" t="n"/>
      <c r="AX74" s="2" t="inlineStr">
        <is>
          <t>no</t>
        </is>
      </c>
      <c r="AY74" s="2" t="inlineStr">
        <is>
          <t>no</t>
        </is>
      </c>
      <c r="AZ74" s="2" t="inlineStr">
        <is>
          <t>COMMON.COLOR_BLUE</t>
        </is>
      </c>
      <c r="BA74" s="2" t="inlineStr">
        <is>
          <t>azul</t>
        </is>
      </c>
      <c r="BB74" s="3" t="n">
        <v>3</v>
      </c>
      <c r="BC74" s="3" t="inlineStr">
        <is>
          <t>(por segmento)</t>
        </is>
      </c>
      <c r="BD74" s="2" t="n"/>
      <c r="BE74" s="2" t="n"/>
      <c r="BF74" s="2" t="n"/>
      <c r="BG74" s="2" t="inlineStr">
        <is>
          <t>sí</t>
        </is>
      </c>
      <c r="BH74" s="2" t="n"/>
      <c r="BI74" s="2" t="n"/>
      <c r="BJ74" s="2" t="n"/>
      <c r="BK74" s="2" t="n"/>
      <c r="BL74" s="2" t="n"/>
      <c r="BM74" s="2" t="n">
        <v>387</v>
      </c>
      <c r="BN74" s="2" t="n">
        <v>0.07434027781710029</v>
      </c>
      <c r="BO74" s="2" t="n">
        <v>7</v>
      </c>
      <c r="BP74" s="2" t="n">
        <v>5295</v>
      </c>
      <c r="BQ74" s="2" t="n">
        <v>14</v>
      </c>
      <c r="BR74" s="2" t="inlineStr">
        <is>
          <t>modelo+año+km</t>
        </is>
      </c>
      <c r="BS74" s="2" t="n"/>
      <c r="BT74" s="2" t="inlineStr">
        <is>
          <t>por encima del presupuesto: negociar 54 € (coste 5054 €; -1.1 puntos); vendedor profesional: sin ITP (operación con IVA/REBU, confirmar en factura); gastos de gestión del vendedor no indicados: se suma la tasa DGT; preguntar el precio final; Euro NCAP de la generación PENDIENTE (seguridad neutra); diésel: motor sin fuente de fiabilidad (fiabilidad limitada a neutra); revisar: no menciona la ITV</t>
        </is>
      </c>
      <c r="BU74" s="2" t="inlineStr">
        <is>
          <t>Este Mégane Business dCi combina confort y tecnología con aire acondicionado bizona automático, volante multifunción de cuero ajustable y ordenador de viaje con datos de consumo en tiempo real. Equipado con control de crucero, limpiaparabrisas con sensor de lluvia, faros con regulación automática y sistema de audio con seis altavoces y control remoto en el volante. Dirección asistida eléctrica progresiva, cristales tintados y retrovisores eléctricos desempañables completan una propuesta práctica y versátil para uso diario.</t>
        </is>
      </c>
      <c r="BV74" s="2" t="inlineStr">
        <is>
          <t>https://www.coches.net/renault-megane-business-dci-110-5p-diesel-2012-en-valencia-71684364-covo.aspx (window.__INITIAL_PROPS__.ad) /home/user/Alopecia/buscador-coches/raw/cochesnet/0b83cc2dfa699629.json</t>
        </is>
      </c>
      <c r="BW74" s="3">
        <f>MAX(ANIO_ACTUAL-M74,0)</f>
        <v/>
      </c>
      <c r="BX74" s="4">
        <f>N74/MAX(BW74,0.5)</f>
        <v/>
      </c>
      <c r="BY74" s="4">
        <f>F74</f>
        <v/>
      </c>
      <c r="BZ74" s="3">
        <f>BY74&amp;"|"&amp;INT(M74/SEG_ANIO)*SEG_ANIO</f>
        <v/>
      </c>
      <c r="CA74" s="3">
        <f>BZ74&amp;"|"&amp;INT(N74/SEG_KM)*SEG_KM</f>
        <v/>
      </c>
      <c r="CB74" s="4">
        <f>COUNTIF($BY$2:$BY$209,BY74)</f>
        <v/>
      </c>
      <c r="CC74" s="4">
        <f>COUNTIF($BZ$2:$BZ$209,BZ74)</f>
        <v/>
      </c>
      <c r="CD74" s="4">
        <f>COUNTIF($CA$2:$CA$209,CA74)</f>
        <v/>
      </c>
      <c r="CE74" s="3">
        <f t="array" ref="CE74">IF(N(BQ74)&gt;=MIN_N,BP74,IF(CD74&gt;=MIN_N,MEDIAN(IF($CA$2:$CA$209=CA74,$O$2:$O$209)),IF(CC74&gt;=MIN_N,MEDIAN(IF($BZ$2:$BZ$209=BZ74,$O$2:$O$209)),MEDIAN(IF($BY$2:$BY$209=BY74,$O$2:$O$209)))))</f>
        <v/>
      </c>
      <c r="CF74" s="3">
        <f>IF(N(BQ74)&gt;=MIN_N,"mercado "&amp;BR74,IF(CD74&gt;=MIN_N,"modelo+año+km",IF(CC74&gt;=MIN_N,"modelo+año","modelo")))</f>
        <v/>
      </c>
      <c r="CG74" s="4">
        <f>(CE74-O74)/CE74</f>
        <v/>
      </c>
      <c r="CH74" s="3">
        <f>IF(COUNTIFS(FR_FUEL,K74,FR_YEAR,AP74)&gt;0,1,0)</f>
        <v/>
      </c>
      <c r="CI74" s="3">
        <f>IF(COUNTIFS(FR_FUEL,K74,FR_YEAR,AP74-1)&gt;0,1,0)</f>
        <v/>
      </c>
      <c r="CJ74" s="4">
        <f>IF(N(AQ74)&gt;0,AP74*100+AQ74,IF(AND(CH74=1,CI74=1),(AP74-1)*100+1,AP74*100+1))</f>
        <v/>
      </c>
      <c r="CK74" s="3">
        <f>IF(OR(K74="hibrido",K74="glp",K74="gnc",K74="phev"),"ECO",IF(K74="electrico","CERO",IF(K74="gasolina",IF(CJ74&gt;=GAS_C_YM,"C",IF(CJ74&gt;=GAS_B_YM,"B","A")),IF(K74="diesel",IF(CJ74&gt;=DIE_C_YM,"C",IF(CJ74&gt;=DIE_B_YM,"B","A")),""))))</f>
        <v/>
      </c>
      <c r="CL74" s="2" t="inlineStr">
        <is>
          <t>B</t>
        </is>
      </c>
      <c r="CM74" s="4">
        <f>IF(AU74="sí","sí",IF(AS74="regla",IF(AND(N(AQ74)=0,CH74=1),"sí","no"),"no"))</f>
        <v/>
      </c>
      <c r="CN74" s="3">
        <f>IFERROR(VLOOKUP(F74,MOD_TBL,16,0),IFERROR(VLOOKUP(E74,OCU_TBL,2,0),NEUTRO))</f>
        <v/>
      </c>
      <c r="CO74" s="3">
        <f>SUMIFS(MOT_AJUSTE,MOT_MOTOR,G74,MOT_MARCA,E74,MOT_DESDE,"&lt;="&amp;M74,MOT_HASTA,"&gt;="&amp;M74)+SUMIFS(MOT_AJUSTE,MOT_MOTOR,G74,MOT_MARCA,"(todas)",MOT_DESDE,"&lt;="&amp;M74,MOT_HASTA,"&gt;="&amp;M74)+SUMIFS(MOT_AJUSTE,MOT_MOTOR,"(cualquiera)",MOT_MARCA,E74,MOT_DESDE,"&lt;="&amp;M74,MOT_HASTA,"&gt;="&amp;M74)</f>
        <v/>
      </c>
      <c r="CP74" s="3">
        <f>SUMIFS(COMB_AJUSTE,COMB_COMB,K74)</f>
        <v/>
      </c>
      <c r="CQ74" s="3">
        <f>COUNTIFS(MOT_MOTOR,G74,MOT_MARCA,E74,MOT_DESDE,"&lt;="&amp;M74,MOT_HASTA,"&gt;="&amp;M74)+COUNTIFS(MOT_MOTOR,G74,MOT_MARCA,"(todas)",MOT_DESDE,"&lt;="&amp;M74,MOT_HASTA,"&gt;="&amp;M74)+COUNTIFS(MOT_MOTOR,"(cualquiera)",MOT_MARCA,E74,MOT_DESDE,"&lt;="&amp;M74,MOT_HASTA,"&gt;="&amp;M74)</f>
        <v/>
      </c>
      <c r="CR74" s="3">
        <f>IF(AND(K74="diesel",CQ74=0),MIN(CN74,NEUTRO),CN74)</f>
        <v/>
      </c>
      <c r="CS74" s="3">
        <f>MAX(0,MIN(100,CR74+CO74+CP74-IF(AX74="sí",ROB_PEN,0)))</f>
        <v/>
      </c>
      <c r="CT74" s="3">
        <f>100-MAX(0,N74-KM_TOPE_DESDE)/1000*KM_TOPE_PTS</f>
        <v/>
      </c>
      <c r="CU74" s="3">
        <f>MAX(0,MIN(100,50+CG74*PRECIO_PEND,CT74))</f>
        <v/>
      </c>
      <c r="CV74" s="3">
        <f>MAX(0,100*(1-N74/KM_MAX))</f>
        <v/>
      </c>
      <c r="CW74" s="3">
        <f>IF(BX74&lt;KMA_SOSP,IF(AA74="sí",100,KMA_PEN),IF(BX74&lt;=KMA_IDEAL_MAX,100,MAX(0,100*(KMA_CERO-BX74)/(KMA_CERO-KMA_IDEAL_MAX))))</f>
        <v/>
      </c>
      <c r="CX74" s="3">
        <f>MAX(0,MIN(100,100*(M74-ANIO_MIN)/(ANIO_ACTUAL-ANIO_MIN)))</f>
        <v/>
      </c>
      <c r="CY74" s="3">
        <f>W_KMT*CV74+W_KMA*CW74+W_EDAD*CX74</f>
        <v/>
      </c>
      <c r="CZ74" s="4">
        <f>E74&amp;"|"&amp;G74</f>
        <v/>
      </c>
      <c r="DA74" s="3">
        <f>IFERROR(VLOOKUP(CZ74,DIST_TBL,2,0),"")</f>
        <v/>
      </c>
      <c r="DB74" s="3">
        <f>E_ITV*(V74="sí")+E_LIBRO*(W74="sí")+E_PROP*IF(Y74=1,1,IF(Y74=2,0.5,0))+E_CORREA*IF(OR(DA74="cadena",AND(X74="sí",BH74="sí")),1,IF(X74="sí",0.5,0))+E_FACT*(BI74="sí")</f>
        <v/>
      </c>
      <c r="DC74" s="3">
        <f>MAX(0,MIN(100,IFERROR(VLOOKUP(CL74,ETQ_TBL,2,0),0)-IF(CM74="sí",ETQ_PEN_DUD,IF(AS74="regla",ETQ_PEN_REGLA,0))))</f>
        <v/>
      </c>
      <c r="DD74" s="3">
        <f>IF(K74&lt;&gt;"gasolina","",IFERROR(VLOOKUP(F74,CONS_MOD_TBL,2,0),IFERROR(VLOOKUP(L74,CONS_SEG_TBL,2,0),"")))</f>
        <v/>
      </c>
      <c r="DE74" s="3">
        <f>IF(DD74="",NEUTRO,MAX(0,MIN(100,100*(CONS_REF_MAX-DD74)/(CONS_REF_MAX-CONS_REF_MIN))))</f>
        <v/>
      </c>
      <c r="DF74" s="3">
        <f>IFERROR(VLOOKUP(L74,SEGURO_TBL,3,0),"")</f>
        <v/>
      </c>
      <c r="DG74" s="3">
        <f>IF(DF74="",NEUTRO,MAX(0,MIN(100,100*(SEG_REF_MAX-DF74)/(SEG_REF_MAX-SEG_REF_MIN))))</f>
        <v/>
      </c>
      <c r="DH74" s="3">
        <f>IFERROR(VLOOKUP(E74,MANT_MARCA_TBL,2,0)+0,NEUTRO)</f>
        <v/>
      </c>
      <c r="DI74" s="3">
        <f>IF(DA74="",NEUTRO,IFERROR(VLOOKUP(DA74,DIST_PTS_TBL,2,0)+0,NEUTRO))</f>
        <v/>
      </c>
      <c r="DJ74" s="4">
        <f>(DH74+DI74)/2</f>
        <v/>
      </c>
      <c r="DK74" s="3">
        <f>W_CONS*DE74+W_SEG*DG74+W_MANT*DJ74</f>
        <v/>
      </c>
      <c r="DL74" s="3">
        <f>IF(N(AB74)&gt;0,AB74,IF(AND(R74="profesional",SG_LEGAL_ON=1),GAR_LEGAL,0))</f>
        <v/>
      </c>
      <c r="DM74" s="3">
        <f>MAX(0,MIN(100,SG_GAR*MIN(1,DL74/SG_GAR_FULL)+SG_AMPL*(AC74="sí")+SG_KMC*(AF74="sí")+SG_REV*(N(AE74)&gt;0)+SG_DEV*MIN(1,N(AG74)/SG_DEV_FULL)+SG_HIST*(W74="sí")-IF(AND(R74="particular",DL74=0),SG_PART_PEN,0)))</f>
        <v/>
      </c>
      <c r="DN74" s="3">
        <f>IF(BK74="",NEUTRO,MAX(0,MIN(100,BK74/5*100)))</f>
        <v/>
      </c>
      <c r="DO74" s="3">
        <f>IF(BL74="sí",100,IF(BL74="no",0,NEUTRO))</f>
        <v/>
      </c>
      <c r="DP74" s="3">
        <f>SV_W_NCAP*DN74+SV_W_ESP*DO74</f>
        <v/>
      </c>
      <c r="DQ74" s="3">
        <f>MAX(0,MIN(100,ATR_BASE+ATR_ACAB*(BD74&lt;&gt;"")+IF(BE74="16+",ATR_LL16,IF(BE74="sí",ATR_LL,0))+ATR_FAROS*(BF74="sí")+ATR_TINT*(BG74="sí")-ATR_CHAPA*(BE74="chapa")))</f>
        <v/>
      </c>
      <c r="DR74" s="3">
        <f>EST_W_MOD*(BB74-1)/4*100+EST_W_ATR*DQ74</f>
        <v/>
      </c>
      <c r="DS74" s="3">
        <f>IF(BA74="",NEUTRO,IFERROR(VLOOKUP(BA74,COLOR_TBL,2,0)+0,NEUTRO))</f>
        <v/>
      </c>
      <c r="DT74" s="3">
        <f>MAX(0,MIN(100,100*N(BM74)/RV_N_FULL))</f>
        <v/>
      </c>
      <c r="DU74" s="3">
        <f>IF(OR(BN74="",N(BO74)&lt;RV_DIAS_MIN),NEUTRO,MAX(0,MIN(100,100*(RV_DIAS_CERO-BN74)/(RV_DIAS_CERO-RV_DIAS_FULL))))</f>
        <v/>
      </c>
      <c r="DV74" s="3">
        <f>RV_W_LIQ*DT74+RV_W_DIAS*DU74+RV_W_ETQ*DC74</f>
        <v/>
      </c>
      <c r="DW74" s="3">
        <f>IFERROR(VLOOKUP(L74,CARR_PEN_TBL,2,0),0)</f>
        <v/>
      </c>
      <c r="DX74" s="3">
        <f>W_FIAB*CS74+W_PRECIO*CU74+W_KMEDAD*CY74+W_ESTADO*DB74+W_USO*DK74+W_SEGURIDAD*DM74+W_SEGVIAL*DP74+W_ESTETICA*DR74+W_COLOR*DS74+W_REVENTA*DV74-DW74-EG74</f>
        <v/>
      </c>
      <c r="DY74" s="4">
        <f>IF(N(I74)&gt;0,I74,IFERROR(ROUND(_xlfn.NUMBERVALUE(LEFT(G74,FIND(" ",G74&amp;" ")-1),".")*1000,0),99999))</f>
        <v/>
      </c>
      <c r="DZ74" s="3">
        <f>IF(R74="profesional",0,IF(O74&lt;CUOTA_VALOR_MAX,IF(BW74&gt;ITP_TRAMO_ALTO,SUMIFS(CF_CUOTA,CF_MAS,ITP_TRAMO_ALTO,CF_CCMIN,"&lt;="&amp;DY74,CF_CCMAX,"&gt;="&amp;DY74),IF(BW74&gt;ITP_TRAMO_BAJO,SUMIFS(CF_CUOTA,CF_MAS,ITP_TRAMO_BAJO,CF_CCMIN,"&lt;="&amp;DY74,CF_CCMAX,"&gt;="&amp;DY74),O74*ITP_TIPO)),O74*ITP_TIPO))</f>
        <v/>
      </c>
      <c r="EA74" s="4">
        <f>IF(R74="profesional",N(AK74),0)</f>
        <v/>
      </c>
      <c r="EB74" s="3">
        <f>IF(AND(R74="profesional",ISNUMBER(AK74),AL74="sí"),0,TASA_DGT)</f>
        <v/>
      </c>
      <c r="EC74" s="3">
        <f>INFORME_DGT</f>
        <v/>
      </c>
      <c r="ED74" s="4">
        <f>O74+EA74+DZ74+EB74+EC74</f>
        <v/>
      </c>
      <c r="EE74" s="4">
        <f>ED74+N(DF74)</f>
        <v/>
      </c>
      <c r="EF74" s="3">
        <f>MAX(0,ED74-TOTAL_MAX)</f>
        <v/>
      </c>
      <c r="EG74" s="3">
        <f>EF74/100*PEN_100</f>
        <v/>
      </c>
      <c r="EH74" s="3">
        <f>IF(R74="particular",ED74+IF(AND(DA74&lt;&gt;"cadena",X74&lt;&gt;"sí"),RES_CORREA,0)+IF(AND(BJ74&lt;&gt;"sí",BW74&gt;=RES_NEUM_EDAD),RES_NEUM,0),"")</f>
        <v/>
      </c>
      <c r="EI74" s="3">
        <f>IF(ED74&lt;=TOTAL_MAX,"sí",IF(ED74&lt;=TECHO,"negociar","no"))</f>
        <v/>
      </c>
      <c r="EJ74" s="4">
        <f>ROUND(DX74,9)</f>
        <v/>
      </c>
      <c r="EK74" s="4">
        <f>IF(EI74&lt;&gt;"no",SUMPRODUCT(($EI$2:$EI$209&lt;&gt;"no")*($EJ$2:$EJ$209&gt;EJ74))+SUMPRODUCT(($EI$2:EI74&lt;&gt;"no")*($EJ$2:EJ74=EJ74)),"")</f>
        <v/>
      </c>
    </row>
    <row r="75">
      <c r="A75" s="2" t="inlineStr">
        <is>
          <t>cochesnet:71537820</t>
        </is>
      </c>
      <c r="B75" s="2" t="inlineStr">
        <is>
          <t>cochesnet</t>
        </is>
      </c>
      <c r="C75" s="2" t="inlineStr">
        <is>
          <t>https://www.coches.net/renault-megane-dynamique-energy-dci-110-ss-eco2-3p-diesel-2012-en-valencia-71537820-covo.aspx</t>
        </is>
      </c>
      <c r="D75" s="2" t="inlineStr">
        <is>
          <t>RENAULT Mégane Dynamique Energy dCi 110 SS eco2</t>
        </is>
      </c>
      <c r="E75" s="2" t="inlineStr">
        <is>
          <t>Renault</t>
        </is>
      </c>
      <c r="F75" s="2" t="inlineStr">
        <is>
          <t>Renault Mégane</t>
        </is>
      </c>
      <c r="G75" s="2" t="inlineStr">
        <is>
          <t>? dCi</t>
        </is>
      </c>
      <c r="H75" s="2" t="inlineStr">
        <is>
          <t>Dynamique Energy dCi 110 SS eco2</t>
        </is>
      </c>
      <c r="I75" s="2" t="n"/>
      <c r="J75" s="2" t="n"/>
      <c r="K75" s="2" t="inlineStr">
        <is>
          <t>diesel</t>
        </is>
      </c>
      <c r="L75" s="2" t="inlineStr">
        <is>
          <t>compacto</t>
        </is>
      </c>
      <c r="M75" s="2" t="n">
        <v>2012</v>
      </c>
      <c r="N75" s="2" t="n">
        <v>120000</v>
      </c>
      <c r="O75" s="2" t="n">
        <v>4999</v>
      </c>
      <c r="P75" s="2" t="inlineStr">
        <is>
          <t>manual</t>
        </is>
      </c>
      <c r="Q75" s="2" t="inlineStr">
        <is>
          <t>no</t>
        </is>
      </c>
      <c r="R75" s="2" t="inlineStr">
        <is>
          <t>profesional</t>
        </is>
      </c>
      <c r="S75" s="2" t="inlineStr">
        <is>
          <t>Automoción Valencia Albal</t>
        </is>
      </c>
      <c r="T75" s="2" t="inlineStr">
        <is>
          <t>2026-09-17T17:16:15Z</t>
        </is>
      </c>
      <c r="U75" s="2" t="n">
        <v>14</v>
      </c>
      <c r="V75" s="2" t="inlineStr">
        <is>
          <t>sí</t>
        </is>
      </c>
      <c r="W75" s="2" t="n"/>
      <c r="X75" s="2" t="n"/>
      <c r="Y75" s="2" t="n"/>
      <c r="Z75" s="2" t="inlineStr">
        <is>
          <t>no</t>
        </is>
      </c>
      <c r="AA75" s="2" t="inlineStr">
        <is>
          <t>sí</t>
        </is>
      </c>
      <c r="AB75" s="2" t="n"/>
      <c r="AC75" s="2" t="n"/>
      <c r="AD75" s="2" t="n"/>
      <c r="AE75" s="2" t="n"/>
      <c r="AF75" s="2" t="inlineStr">
        <is>
          <t>sí</t>
        </is>
      </c>
      <c r="AG75" s="2" t="n"/>
      <c r="AH75" s="2" t="n">
        <v>4999</v>
      </c>
      <c r="AI75" s="2" t="n">
        <v>4999</v>
      </c>
      <c r="AJ75" s="2" t="n"/>
      <c r="AK75" s="2" t="n"/>
      <c r="AL75" s="2" t="n"/>
      <c r="AM75" s="2" t="n">
        <v>8.699999999999999</v>
      </c>
      <c r="AN75" s="2" t="n"/>
      <c r="AO75" s="2" t="inlineStr">
        <is>
          <t>2012</t>
        </is>
      </c>
      <c r="AP75" s="2" t="n">
        <v>2012</v>
      </c>
      <c r="AQ75" s="2" t="n"/>
      <c r="AR75" s="2" t="inlineStr">
        <is>
          <t>B</t>
        </is>
      </c>
      <c r="AS75" s="2" t="inlineStr">
        <is>
          <t>anuncio</t>
        </is>
      </c>
      <c r="AT75" s="2" t="n"/>
      <c r="AU75" s="2" t="inlineStr">
        <is>
          <t>no</t>
        </is>
      </c>
      <c r="AV75" s="2" t="inlineStr">
        <is>
          <t>B</t>
        </is>
      </c>
      <c r="AW75" s="2" t="n"/>
      <c r="AX75" s="2" t="inlineStr">
        <is>
          <t>no</t>
        </is>
      </c>
      <c r="AY75" s="2" t="inlineStr">
        <is>
          <t>no</t>
        </is>
      </c>
      <c r="AZ75" s="2" t="inlineStr">
        <is>
          <t>COMMON.COLOR_GRAY</t>
        </is>
      </c>
      <c r="BA75" s="2" t="inlineStr">
        <is>
          <t>gris_medio</t>
        </is>
      </c>
      <c r="BB75" s="3" t="n">
        <v>3</v>
      </c>
      <c r="BC75" s="3" t="inlineStr">
        <is>
          <t>(por segmento)</t>
        </is>
      </c>
      <c r="BD75" s="2" t="n"/>
      <c r="BE75" s="2" t="inlineStr">
        <is>
          <t>sí</t>
        </is>
      </c>
      <c r="BF75" s="2" t="n"/>
      <c r="BG75" s="2" t="n"/>
      <c r="BH75" s="2" t="n"/>
      <c r="BI75" s="2" t="n"/>
      <c r="BJ75" s="2" t="n"/>
      <c r="BK75" s="2" t="n"/>
      <c r="BL75" s="2" t="inlineStr">
        <is>
          <t>sí</t>
        </is>
      </c>
      <c r="BM75" s="2" t="n">
        <v>387</v>
      </c>
      <c r="BN75" s="2" t="n">
        <v>0.07434027781710029</v>
      </c>
      <c r="BO75" s="2" t="n">
        <v>7</v>
      </c>
      <c r="BP75" s="2" t="n">
        <v>5900</v>
      </c>
      <c r="BQ75" s="2" t="n">
        <v>5</v>
      </c>
      <c r="BR75" s="2" t="inlineStr">
        <is>
          <t>modelo+año+km</t>
        </is>
      </c>
      <c r="BS75" s="2" t="n"/>
      <c r="BT75" s="2" t="inlineStr">
        <is>
          <t>por encima del presupuesto: negociar 63 € (coste 5063 €; -1.3 puntos); vendedor profesional: sin ITP (operación con IVA/REBU, confirmar en factura); gastos de gestión del vendedor no indicados: se suma la tasa DGT; preguntar el precio final; Euro NCAP de la generación PENDIENTE (seguridad neutra); diésel: motor sin fuente de fiabilidad (fiabilidad limitada a neutra)</t>
        </is>
      </c>
      <c r="BU75" s="2" t="inlineStr">
        <is>
          <t xml:space="preserve">•RENAUL  MEGANE III 1.5DCI 110CV GT-LINE
•AÑO 2012 123072 KM DISTINTIVO B
•TEL 664506303
 km certificados | ITV en vigor |
Equipamiento destacado:
Climatizador bizona
Control de velocidad (cruise control)
Limitador de velocidad
Sensor de luces y lluvia
Faros antiniebla
Elevalunas eléctricos delanteros y traseros
Retrovisores eléctricos
Llantas de aleación
Cierre centralizado con mando
Ordenador de a bordo
Radio CD/MP3 con mandos en el volante
ISOFIX
ABS, ESP, múltiples airbags
Información adicional:
120.000 km reales (123.072 km certificados)
ITV en vigor
Distintivo ambiental B
Contacto:
Teléfono: 664 506 303
</t>
        </is>
      </c>
      <c r="BV75" s="2" t="inlineStr">
        <is>
          <t>https://www.coches.net/renault-megane-dynamique-energy-dci-110-ss-eco2-3p-diesel-2012-en-valencia-71537820-covo.aspx (window.__INITIAL_PROPS__.ad) /home/user/Alopecia/buscador-coches/raw/cochesnet/1c66f9e703cb9d52.json</t>
        </is>
      </c>
      <c r="BW75" s="3">
        <f>MAX(ANIO_ACTUAL-M75,0)</f>
        <v/>
      </c>
      <c r="BX75" s="4">
        <f>N75/MAX(BW75,0.5)</f>
        <v/>
      </c>
      <c r="BY75" s="4">
        <f>F75</f>
        <v/>
      </c>
      <c r="BZ75" s="3">
        <f>BY75&amp;"|"&amp;INT(M75/SEG_ANIO)*SEG_ANIO</f>
        <v/>
      </c>
      <c r="CA75" s="3">
        <f>BZ75&amp;"|"&amp;INT(N75/SEG_KM)*SEG_KM</f>
        <v/>
      </c>
      <c r="CB75" s="4">
        <f>COUNTIF($BY$2:$BY$209,BY75)</f>
        <v/>
      </c>
      <c r="CC75" s="4">
        <f>COUNTIF($BZ$2:$BZ$209,BZ75)</f>
        <v/>
      </c>
      <c r="CD75" s="4">
        <f>COUNTIF($CA$2:$CA$209,CA75)</f>
        <v/>
      </c>
      <c r="CE75" s="3">
        <f t="array" ref="CE75">IF(N(BQ75)&gt;=MIN_N,BP75,IF(CD75&gt;=MIN_N,MEDIAN(IF($CA$2:$CA$209=CA75,$O$2:$O$209)),IF(CC75&gt;=MIN_N,MEDIAN(IF($BZ$2:$BZ$209=BZ75,$O$2:$O$209)),MEDIAN(IF($BY$2:$BY$209=BY75,$O$2:$O$209)))))</f>
        <v/>
      </c>
      <c r="CF75" s="3">
        <f>IF(N(BQ75)&gt;=MIN_N,"mercado "&amp;BR75,IF(CD75&gt;=MIN_N,"modelo+año+km",IF(CC75&gt;=MIN_N,"modelo+año","modelo")))</f>
        <v/>
      </c>
      <c r="CG75" s="4">
        <f>(CE75-O75)/CE75</f>
        <v/>
      </c>
      <c r="CH75" s="3">
        <f>IF(COUNTIFS(FR_FUEL,K75,FR_YEAR,AP75)&gt;0,1,0)</f>
        <v/>
      </c>
      <c r="CI75" s="3">
        <f>IF(COUNTIFS(FR_FUEL,K75,FR_YEAR,AP75-1)&gt;0,1,0)</f>
        <v/>
      </c>
      <c r="CJ75" s="4">
        <f>IF(N(AQ75)&gt;0,AP75*100+AQ75,IF(AND(CH75=1,CI75=1),(AP75-1)*100+1,AP75*100+1))</f>
        <v/>
      </c>
      <c r="CK75" s="3">
        <f>IF(OR(K75="hibrido",K75="glp",K75="gnc",K75="phev"),"ECO",IF(K75="electrico","CERO",IF(K75="gasolina",IF(CJ75&gt;=GAS_C_YM,"C",IF(CJ75&gt;=GAS_B_YM,"B","A")),IF(K75="diesel",IF(CJ75&gt;=DIE_C_YM,"C",IF(CJ75&gt;=DIE_B_YM,"B","A")),""))))</f>
        <v/>
      </c>
      <c r="CL75" s="2" t="inlineStr">
        <is>
          <t>B</t>
        </is>
      </c>
      <c r="CM75" s="4">
        <f>IF(AU75="sí","sí",IF(AS75="regla",IF(AND(N(AQ75)=0,CH75=1),"sí","no"),"no"))</f>
        <v/>
      </c>
      <c r="CN75" s="3">
        <f>IFERROR(VLOOKUP(F75,MOD_TBL,16,0),IFERROR(VLOOKUP(E75,OCU_TBL,2,0),NEUTRO))</f>
        <v/>
      </c>
      <c r="CO75" s="3">
        <f>SUMIFS(MOT_AJUSTE,MOT_MOTOR,G75,MOT_MARCA,E75,MOT_DESDE,"&lt;="&amp;M75,MOT_HASTA,"&gt;="&amp;M75)+SUMIFS(MOT_AJUSTE,MOT_MOTOR,G75,MOT_MARCA,"(todas)",MOT_DESDE,"&lt;="&amp;M75,MOT_HASTA,"&gt;="&amp;M75)+SUMIFS(MOT_AJUSTE,MOT_MOTOR,"(cualquiera)",MOT_MARCA,E75,MOT_DESDE,"&lt;="&amp;M75,MOT_HASTA,"&gt;="&amp;M75)</f>
        <v/>
      </c>
      <c r="CP75" s="3">
        <f>SUMIFS(COMB_AJUSTE,COMB_COMB,K75)</f>
        <v/>
      </c>
      <c r="CQ75" s="3">
        <f>COUNTIFS(MOT_MOTOR,G75,MOT_MARCA,E75,MOT_DESDE,"&lt;="&amp;M75,MOT_HASTA,"&gt;="&amp;M75)+COUNTIFS(MOT_MOTOR,G75,MOT_MARCA,"(todas)",MOT_DESDE,"&lt;="&amp;M75,MOT_HASTA,"&gt;="&amp;M75)+COUNTIFS(MOT_MOTOR,"(cualquiera)",MOT_MARCA,E75,MOT_DESDE,"&lt;="&amp;M75,MOT_HASTA,"&gt;="&amp;M75)</f>
        <v/>
      </c>
      <c r="CR75" s="3">
        <f>IF(AND(K75="diesel",CQ75=0),MIN(CN75,NEUTRO),CN75)</f>
        <v/>
      </c>
      <c r="CS75" s="3">
        <f>MAX(0,MIN(100,CR75+CO75+CP75-IF(AX75="sí",ROB_PEN,0)))</f>
        <v/>
      </c>
      <c r="CT75" s="3">
        <f>100-MAX(0,N75-KM_TOPE_DESDE)/1000*KM_TOPE_PTS</f>
        <v/>
      </c>
      <c r="CU75" s="3">
        <f>MAX(0,MIN(100,50+CG75*PRECIO_PEND,CT75))</f>
        <v/>
      </c>
      <c r="CV75" s="3">
        <f>MAX(0,100*(1-N75/KM_MAX))</f>
        <v/>
      </c>
      <c r="CW75" s="3">
        <f>IF(BX75&lt;KMA_SOSP,IF(AA75="sí",100,KMA_PEN),IF(BX75&lt;=KMA_IDEAL_MAX,100,MAX(0,100*(KMA_CERO-BX75)/(KMA_CERO-KMA_IDEAL_MAX))))</f>
        <v/>
      </c>
      <c r="CX75" s="3">
        <f>MAX(0,MIN(100,100*(M75-ANIO_MIN)/(ANIO_ACTUAL-ANIO_MIN)))</f>
        <v/>
      </c>
      <c r="CY75" s="3">
        <f>W_KMT*CV75+W_KMA*CW75+W_EDAD*CX75</f>
        <v/>
      </c>
      <c r="CZ75" s="4">
        <f>E75&amp;"|"&amp;G75</f>
        <v/>
      </c>
      <c r="DA75" s="3">
        <f>IFERROR(VLOOKUP(CZ75,DIST_TBL,2,0),"")</f>
        <v/>
      </c>
      <c r="DB75" s="3">
        <f>E_ITV*(V75="sí")+E_LIBRO*(W75="sí")+E_PROP*IF(Y75=1,1,IF(Y75=2,0.5,0))+E_CORREA*IF(OR(DA75="cadena",AND(X75="sí",BH75="sí")),1,IF(X75="sí",0.5,0))+E_FACT*(BI75="sí")</f>
        <v/>
      </c>
      <c r="DC75" s="3">
        <f>MAX(0,MIN(100,IFERROR(VLOOKUP(CL75,ETQ_TBL,2,0),0)-IF(CM75="sí",ETQ_PEN_DUD,IF(AS75="regla",ETQ_PEN_REGLA,0))))</f>
        <v/>
      </c>
      <c r="DD75" s="3">
        <f>IF(K75&lt;&gt;"gasolina","",IFERROR(VLOOKUP(F75,CONS_MOD_TBL,2,0),IFERROR(VLOOKUP(L75,CONS_SEG_TBL,2,0),"")))</f>
        <v/>
      </c>
      <c r="DE75" s="3">
        <f>IF(DD75="",NEUTRO,MAX(0,MIN(100,100*(CONS_REF_MAX-DD75)/(CONS_REF_MAX-CONS_REF_MIN))))</f>
        <v/>
      </c>
      <c r="DF75" s="3">
        <f>IFERROR(VLOOKUP(L75,SEGURO_TBL,3,0),"")</f>
        <v/>
      </c>
      <c r="DG75" s="3">
        <f>IF(DF75="",NEUTRO,MAX(0,MIN(100,100*(SEG_REF_MAX-DF75)/(SEG_REF_MAX-SEG_REF_MIN))))</f>
        <v/>
      </c>
      <c r="DH75" s="3">
        <f>IFERROR(VLOOKUP(E75,MANT_MARCA_TBL,2,0)+0,NEUTRO)</f>
        <v/>
      </c>
      <c r="DI75" s="3">
        <f>IF(DA75="",NEUTRO,IFERROR(VLOOKUP(DA75,DIST_PTS_TBL,2,0)+0,NEUTRO))</f>
        <v/>
      </c>
      <c r="DJ75" s="4">
        <f>(DH75+DI75)/2</f>
        <v/>
      </c>
      <c r="DK75" s="3">
        <f>W_CONS*DE75+W_SEG*DG75+W_MANT*DJ75</f>
        <v/>
      </c>
      <c r="DL75" s="3">
        <f>IF(N(AB75)&gt;0,AB75,IF(AND(R75="profesional",SG_LEGAL_ON=1),GAR_LEGAL,0))</f>
        <v/>
      </c>
      <c r="DM75" s="3">
        <f>MAX(0,MIN(100,SG_GAR*MIN(1,DL75/SG_GAR_FULL)+SG_AMPL*(AC75="sí")+SG_KMC*(AF75="sí")+SG_REV*(N(AE75)&gt;0)+SG_DEV*MIN(1,N(AG75)/SG_DEV_FULL)+SG_HIST*(W75="sí")-IF(AND(R75="particular",DL75=0),SG_PART_PEN,0)))</f>
        <v/>
      </c>
      <c r="DN75" s="3">
        <f>IF(BK75="",NEUTRO,MAX(0,MIN(100,BK75/5*100)))</f>
        <v/>
      </c>
      <c r="DO75" s="3">
        <f>IF(BL75="sí",100,IF(BL75="no",0,NEUTRO))</f>
        <v/>
      </c>
      <c r="DP75" s="3">
        <f>SV_W_NCAP*DN75+SV_W_ESP*DO75</f>
        <v/>
      </c>
      <c r="DQ75" s="3">
        <f>MAX(0,MIN(100,ATR_BASE+ATR_ACAB*(BD75&lt;&gt;"")+IF(BE75="16+",ATR_LL16,IF(BE75="sí",ATR_LL,0))+ATR_FAROS*(BF75="sí")+ATR_TINT*(BG75="sí")-ATR_CHAPA*(BE75="chapa")))</f>
        <v/>
      </c>
      <c r="DR75" s="3">
        <f>EST_W_MOD*(BB75-1)/4*100+EST_W_ATR*DQ75</f>
        <v/>
      </c>
      <c r="DS75" s="3">
        <f>IF(BA75="",NEUTRO,IFERROR(VLOOKUP(BA75,COLOR_TBL,2,0)+0,NEUTRO))</f>
        <v/>
      </c>
      <c r="DT75" s="3">
        <f>MAX(0,MIN(100,100*N(BM75)/RV_N_FULL))</f>
        <v/>
      </c>
      <c r="DU75" s="3">
        <f>IF(OR(BN75="",N(BO75)&lt;RV_DIAS_MIN),NEUTRO,MAX(0,MIN(100,100*(RV_DIAS_CERO-BN75)/(RV_DIAS_CERO-RV_DIAS_FULL))))</f>
        <v/>
      </c>
      <c r="DV75" s="3">
        <f>RV_W_LIQ*DT75+RV_W_DIAS*DU75+RV_W_ETQ*DC75</f>
        <v/>
      </c>
      <c r="DW75" s="3">
        <f>IFERROR(VLOOKUP(L75,CARR_PEN_TBL,2,0),0)</f>
        <v/>
      </c>
      <c r="DX75" s="3">
        <f>W_FIAB*CS75+W_PRECIO*CU75+W_KMEDAD*CY75+W_ESTADO*DB75+W_USO*DK75+W_SEGURIDAD*DM75+W_SEGVIAL*DP75+W_ESTETICA*DR75+W_COLOR*DS75+W_REVENTA*DV75-DW75-EG75</f>
        <v/>
      </c>
      <c r="DY75" s="4">
        <f>IF(N(I75)&gt;0,I75,IFERROR(ROUND(_xlfn.NUMBERVALUE(LEFT(G75,FIND(" ",G75&amp;" ")-1),".")*1000,0),99999))</f>
        <v/>
      </c>
      <c r="DZ75" s="3">
        <f>IF(R75="profesional",0,IF(O75&lt;CUOTA_VALOR_MAX,IF(BW75&gt;ITP_TRAMO_ALTO,SUMIFS(CF_CUOTA,CF_MAS,ITP_TRAMO_ALTO,CF_CCMIN,"&lt;="&amp;DY75,CF_CCMAX,"&gt;="&amp;DY75),IF(BW75&gt;ITP_TRAMO_BAJO,SUMIFS(CF_CUOTA,CF_MAS,ITP_TRAMO_BAJO,CF_CCMIN,"&lt;="&amp;DY75,CF_CCMAX,"&gt;="&amp;DY75),O75*ITP_TIPO)),O75*ITP_TIPO))</f>
        <v/>
      </c>
      <c r="EA75" s="4">
        <f>IF(R75="profesional",N(AK75),0)</f>
        <v/>
      </c>
      <c r="EB75" s="3">
        <f>IF(AND(R75="profesional",ISNUMBER(AK75),AL75="sí"),0,TASA_DGT)</f>
        <v/>
      </c>
      <c r="EC75" s="3">
        <f>INFORME_DGT</f>
        <v/>
      </c>
      <c r="ED75" s="4">
        <f>O75+EA75+DZ75+EB75+EC75</f>
        <v/>
      </c>
      <c r="EE75" s="4">
        <f>ED75+N(DF75)</f>
        <v/>
      </c>
      <c r="EF75" s="3">
        <f>MAX(0,ED75-TOTAL_MAX)</f>
        <v/>
      </c>
      <c r="EG75" s="3">
        <f>EF75/100*PEN_100</f>
        <v/>
      </c>
      <c r="EH75" s="3">
        <f>IF(R75="particular",ED75+IF(AND(DA75&lt;&gt;"cadena",X75&lt;&gt;"sí"),RES_CORREA,0)+IF(AND(BJ75&lt;&gt;"sí",BW75&gt;=RES_NEUM_EDAD),RES_NEUM,0),"")</f>
        <v/>
      </c>
      <c r="EI75" s="3">
        <f>IF(ED75&lt;=TOTAL_MAX,"sí",IF(ED75&lt;=TECHO,"negociar","no"))</f>
        <v/>
      </c>
      <c r="EJ75" s="4">
        <f>ROUND(DX75,9)</f>
        <v/>
      </c>
      <c r="EK75" s="4">
        <f>IF(EI75&lt;&gt;"no",SUMPRODUCT(($EI$2:$EI$209&lt;&gt;"no")*($EJ$2:$EJ$209&gt;EJ75))+SUMPRODUCT(($EI$2:EI75&lt;&gt;"no")*($EJ$2:EJ75=EJ75)),"")</f>
        <v/>
      </c>
    </row>
    <row r="76">
      <c r="A76" s="2" t="inlineStr">
        <is>
          <t>cochesnet:71783816</t>
        </is>
      </c>
      <c r="B76" s="2" t="inlineStr">
        <is>
          <t>cochesnet</t>
        </is>
      </c>
      <c r="C76" s="2" t="inlineStr">
        <is>
          <t>https://www.coches.net/renault-megane-sport-tourer-dynamique-15dci-105cv-eco2-5p-diesel-2009-en-valencia-71783816-covo.aspx</t>
        </is>
      </c>
      <c r="D76" s="2" t="inlineStr">
        <is>
          <t>RENAULT Mégane Sport Tourer Dynamique 1.5dCi eco2</t>
        </is>
      </c>
      <c r="E76" s="2" t="inlineStr">
        <is>
          <t>Renault</t>
        </is>
      </c>
      <c r="F76" s="2" t="inlineStr">
        <is>
          <t>Renault Mégane</t>
        </is>
      </c>
      <c r="G76" s="2" t="inlineStr">
        <is>
          <t>1.5</t>
        </is>
      </c>
      <c r="H76" s="2" t="inlineStr">
        <is>
          <t>Sport Tourer Dynamique 1.5dCi 105cv eco2</t>
        </is>
      </c>
      <c r="I76" s="2" t="n"/>
      <c r="J76" s="2" t="n">
        <v>105</v>
      </c>
      <c r="K76" s="2" t="inlineStr">
        <is>
          <t>diesel</t>
        </is>
      </c>
      <c r="L76" s="2" t="inlineStr">
        <is>
          <t>familiar</t>
        </is>
      </c>
      <c r="M76" s="2" t="n">
        <v>2010</v>
      </c>
      <c r="N76" s="2" t="n">
        <v>186000</v>
      </c>
      <c r="O76" s="2" t="n">
        <v>4990</v>
      </c>
      <c r="P76" s="2" t="inlineStr">
        <is>
          <t>manual</t>
        </is>
      </c>
      <c r="Q76" s="2" t="inlineStr">
        <is>
          <t>no</t>
        </is>
      </c>
      <c r="R76" s="2" t="inlineStr">
        <is>
          <t>profesional</t>
        </is>
      </c>
      <c r="S76" s="2" t="inlineStr">
        <is>
          <t>PRIM CARS Alboraya</t>
        </is>
      </c>
      <c r="T76" s="2" t="inlineStr">
        <is>
          <t>2026-10-19T18:24:38Z</t>
        </is>
      </c>
      <c r="U76" s="2" t="n">
        <v>23</v>
      </c>
      <c r="V76" s="2" t="inlineStr">
        <is>
          <t>sí</t>
        </is>
      </c>
      <c r="W76" s="2" t="n"/>
      <c r="X76" s="2" t="n"/>
      <c r="Y76" s="2" t="n">
        <v>1</v>
      </c>
      <c r="Z76" s="2" t="inlineStr">
        <is>
          <t>sí</t>
        </is>
      </c>
      <c r="AA76" s="2" t="n"/>
      <c r="AB76" s="2" t="n">
        <v>12</v>
      </c>
      <c r="AC76" s="2" t="n"/>
      <c r="AD76" s="2" t="n"/>
      <c r="AE76" s="2" t="n"/>
      <c r="AF76" s="2" t="n"/>
      <c r="AG76" s="2" t="n"/>
      <c r="AH76" s="2" t="n">
        <v>4990</v>
      </c>
      <c r="AI76" s="2" t="n">
        <v>4990</v>
      </c>
      <c r="AJ76" s="2" t="n"/>
      <c r="AK76" s="2" t="n"/>
      <c r="AL76" s="2" t="n"/>
      <c r="AM76" s="2" t="n">
        <v>4</v>
      </c>
      <c r="AN76" s="2" t="n"/>
      <c r="AO76" s="2" t="inlineStr">
        <is>
          <t>2010</t>
        </is>
      </c>
      <c r="AP76" s="2" t="n">
        <v>2010</v>
      </c>
      <c r="AQ76" s="2" t="n"/>
      <c r="AR76" s="2" t="inlineStr">
        <is>
          <t>B</t>
        </is>
      </c>
      <c r="AS76" s="2" t="inlineStr">
        <is>
          <t>anuncio</t>
        </is>
      </c>
      <c r="AT76" s="2" t="n">
        <v>2009</v>
      </c>
      <c r="AU76" s="2" t="inlineStr">
        <is>
          <t>no</t>
        </is>
      </c>
      <c r="AV76" s="2" t="inlineStr">
        <is>
          <t>B</t>
        </is>
      </c>
      <c r="AW76" s="2" t="n"/>
      <c r="AX76" s="2" t="inlineStr">
        <is>
          <t>no</t>
        </is>
      </c>
      <c r="AY76" s="2" t="inlineStr">
        <is>
          <t>no</t>
        </is>
      </c>
      <c r="AZ76" s="2" t="inlineStr">
        <is>
          <t>COMMON.COLOR_GARNET</t>
        </is>
      </c>
      <c r="BA76" s="2" t="inlineStr">
        <is>
          <t>granate</t>
        </is>
      </c>
      <c r="BB76" s="3" t="n">
        <v>3</v>
      </c>
      <c r="BC76" s="3" t="inlineStr">
        <is>
          <t>(por segmento)</t>
        </is>
      </c>
      <c r="BD76" s="2" t="inlineStr">
        <is>
          <t>sport</t>
        </is>
      </c>
      <c r="BE76" s="2" t="n"/>
      <c r="BF76" s="2" t="n"/>
      <c r="BG76" s="2" t="n"/>
      <c r="BH76" s="2" t="n"/>
      <c r="BI76" s="2" t="n"/>
      <c r="BJ76" s="2" t="n"/>
      <c r="BK76" s="2" t="n"/>
      <c r="BL76" s="2" t="inlineStr">
        <is>
          <t>sí</t>
        </is>
      </c>
      <c r="BM76" s="2" t="n">
        <v>387</v>
      </c>
      <c r="BN76" s="2" t="n">
        <v>0.07434027781710029</v>
      </c>
      <c r="BO76" s="2" t="n">
        <v>7</v>
      </c>
      <c r="BP76" s="2" t="n">
        <v>5295</v>
      </c>
      <c r="BQ76" s="2" t="n">
        <v>14</v>
      </c>
      <c r="BR76" s="2" t="inlineStr">
        <is>
          <t>modelo+año+km</t>
        </is>
      </c>
      <c r="BS76" s="2" t="n"/>
      <c r="BT76" s="2" t="inlineStr">
        <is>
          <t>año a confirmar: la URL/título dice 2009; por encima del presupuesto: negociar 54 € (coste 5054 €; -1.1 puntos); vendedor profesional: sin ITP (operación con IVA/REBU, confirmar en factura); gastos de gestión del vendedor no indicados: se suma la tasa DGT; preguntar el precio final; Euro NCAP de la generación PENDIENTE (seguridad neutra); diésel: motor sin fuente de fiabilidad (fiabilidad limitada a neutra); carrocería familiar: -3 puntos</t>
        </is>
      </c>
      <c r="BU76" s="2" t="inlineStr">
        <is>
          <t>RENAULT MÉGANE III ESTATE 1.5 dCi 106 CV – AÑO 2010
Vehículo nacional, procedente de único propietario, en buen estado de conservación, cuidado y listo para circular.
Se entrega con mantenimiento recién realizado e ITV recién pasada.
Dispone de distintivo ambiental B.
Equipamiento destacado:
* Barras de techo
* Aire acondicionado 
* Control de crucero y limitador de velocidad
* Ordenador de a bordo
* Elevalunas eléctricos
* Retrovisores eléctricos
* Cierre centralizado con mando y dos llaves 
* Dirección asistida
* Volante regulable en altura y profundidad
* Asientos traseros abatibles
* Amplio maletero con gran capacidad de carga
* Sistema de audio con radio y CD
* Airbags frontales y laterales
* Sistema antibloqueo de frenos ABS
* Control electrónico de estabilidad ESP
* 
Para más información o concertar una visita, contactar sin compromiso.
Este anuncio tiene carácter informativo y no contractual, pudiendo contener errores tipográficos. El equipamiento concreto puede variar según la versión y debe verificarse en el vehículo.</t>
        </is>
      </c>
      <c r="BV76" s="2" t="inlineStr">
        <is>
          <t>https://www.coches.net/renault-megane-sport-tourer-dynamique-15dci-105cv-eco2-5p-diesel-2009-en-valencia-71783816-covo.aspx (window.__INITIAL_PROPS__.ad) /home/user/Alopecia/buscador-coches/raw/cochesnet/41e7d798cdcad364.json</t>
        </is>
      </c>
      <c r="BW76" s="3">
        <f>MAX(ANIO_ACTUAL-M76,0)</f>
        <v/>
      </c>
      <c r="BX76" s="4">
        <f>N76/MAX(BW76,0.5)</f>
        <v/>
      </c>
      <c r="BY76" s="4">
        <f>F76</f>
        <v/>
      </c>
      <c r="BZ76" s="3">
        <f>BY76&amp;"|"&amp;INT(M76/SEG_ANIO)*SEG_ANIO</f>
        <v/>
      </c>
      <c r="CA76" s="3">
        <f>BZ76&amp;"|"&amp;INT(N76/SEG_KM)*SEG_KM</f>
        <v/>
      </c>
      <c r="CB76" s="4">
        <f>COUNTIF($BY$2:$BY$209,BY76)</f>
        <v/>
      </c>
      <c r="CC76" s="4">
        <f>COUNTIF($BZ$2:$BZ$209,BZ76)</f>
        <v/>
      </c>
      <c r="CD76" s="4">
        <f>COUNTIF($CA$2:$CA$209,CA76)</f>
        <v/>
      </c>
      <c r="CE76" s="3">
        <f t="array" ref="CE76">IF(N(BQ76)&gt;=MIN_N,BP76,IF(CD76&gt;=MIN_N,MEDIAN(IF($CA$2:$CA$209=CA76,$O$2:$O$209)),IF(CC76&gt;=MIN_N,MEDIAN(IF($BZ$2:$BZ$209=BZ76,$O$2:$O$209)),MEDIAN(IF($BY$2:$BY$209=BY76,$O$2:$O$209)))))</f>
        <v/>
      </c>
      <c r="CF76" s="3">
        <f>IF(N(BQ76)&gt;=MIN_N,"mercado "&amp;BR76,IF(CD76&gt;=MIN_N,"modelo+año+km",IF(CC76&gt;=MIN_N,"modelo+año","modelo")))</f>
        <v/>
      </c>
      <c r="CG76" s="4">
        <f>(CE76-O76)/CE76</f>
        <v/>
      </c>
      <c r="CH76" s="3">
        <f>IF(COUNTIFS(FR_FUEL,K76,FR_YEAR,AP76)&gt;0,1,0)</f>
        <v/>
      </c>
      <c r="CI76" s="3">
        <f>IF(COUNTIFS(FR_FUEL,K76,FR_YEAR,AP76-1)&gt;0,1,0)</f>
        <v/>
      </c>
      <c r="CJ76" s="4">
        <f>IF(N(AQ76)&gt;0,AP76*100+AQ76,IF(AND(CH76=1,CI76=1),(AP76-1)*100+1,AP76*100+1))</f>
        <v/>
      </c>
      <c r="CK76" s="3">
        <f>IF(OR(K76="hibrido",K76="glp",K76="gnc",K76="phev"),"ECO",IF(K76="electrico","CERO",IF(K76="gasolina",IF(CJ76&gt;=GAS_C_YM,"C",IF(CJ76&gt;=GAS_B_YM,"B","A")),IF(K76="diesel",IF(CJ76&gt;=DIE_C_YM,"C",IF(CJ76&gt;=DIE_B_YM,"B","A")),""))))</f>
        <v/>
      </c>
      <c r="CL76" s="2" t="inlineStr">
        <is>
          <t>B</t>
        </is>
      </c>
      <c r="CM76" s="4">
        <f>IF(AU76="sí","sí",IF(AS76="regla",IF(AND(N(AQ76)=0,CH76=1),"sí","no"),"no"))</f>
        <v/>
      </c>
      <c r="CN76" s="3">
        <f>IFERROR(VLOOKUP(F76,MOD_TBL,16,0),IFERROR(VLOOKUP(E76,OCU_TBL,2,0),NEUTRO))</f>
        <v/>
      </c>
      <c r="CO76" s="3">
        <f>SUMIFS(MOT_AJUSTE,MOT_MOTOR,G76,MOT_MARCA,E76,MOT_DESDE,"&lt;="&amp;M76,MOT_HASTA,"&gt;="&amp;M76)+SUMIFS(MOT_AJUSTE,MOT_MOTOR,G76,MOT_MARCA,"(todas)",MOT_DESDE,"&lt;="&amp;M76,MOT_HASTA,"&gt;="&amp;M76)+SUMIFS(MOT_AJUSTE,MOT_MOTOR,"(cualquiera)",MOT_MARCA,E76,MOT_DESDE,"&lt;="&amp;M76,MOT_HASTA,"&gt;="&amp;M76)</f>
        <v/>
      </c>
      <c r="CP76" s="3">
        <f>SUMIFS(COMB_AJUSTE,COMB_COMB,K76)</f>
        <v/>
      </c>
      <c r="CQ76" s="3">
        <f>COUNTIFS(MOT_MOTOR,G76,MOT_MARCA,E76,MOT_DESDE,"&lt;="&amp;M76,MOT_HASTA,"&gt;="&amp;M76)+COUNTIFS(MOT_MOTOR,G76,MOT_MARCA,"(todas)",MOT_DESDE,"&lt;="&amp;M76,MOT_HASTA,"&gt;="&amp;M76)+COUNTIFS(MOT_MOTOR,"(cualquiera)",MOT_MARCA,E76,MOT_DESDE,"&lt;="&amp;M76,MOT_HASTA,"&gt;="&amp;M76)</f>
        <v/>
      </c>
      <c r="CR76" s="3">
        <f>IF(AND(K76="diesel",CQ76=0),MIN(CN76,NEUTRO),CN76)</f>
        <v/>
      </c>
      <c r="CS76" s="3">
        <f>MAX(0,MIN(100,CR76+CO76+CP76-IF(AX76="sí",ROB_PEN,0)))</f>
        <v/>
      </c>
      <c r="CT76" s="3">
        <f>100-MAX(0,N76-KM_TOPE_DESDE)/1000*KM_TOPE_PTS</f>
        <v/>
      </c>
      <c r="CU76" s="3">
        <f>MAX(0,MIN(100,50+CG76*PRECIO_PEND,CT76))</f>
        <v/>
      </c>
      <c r="CV76" s="3">
        <f>MAX(0,100*(1-N76/KM_MAX))</f>
        <v/>
      </c>
      <c r="CW76" s="3">
        <f>IF(BX76&lt;KMA_SOSP,IF(AA76="sí",100,KMA_PEN),IF(BX76&lt;=KMA_IDEAL_MAX,100,MAX(0,100*(KMA_CERO-BX76)/(KMA_CERO-KMA_IDEAL_MAX))))</f>
        <v/>
      </c>
      <c r="CX76" s="3">
        <f>MAX(0,MIN(100,100*(M76-ANIO_MIN)/(ANIO_ACTUAL-ANIO_MIN)))</f>
        <v/>
      </c>
      <c r="CY76" s="3">
        <f>W_KMT*CV76+W_KMA*CW76+W_EDAD*CX76</f>
        <v/>
      </c>
      <c r="CZ76" s="4">
        <f>E76&amp;"|"&amp;G76</f>
        <v/>
      </c>
      <c r="DA76" s="3">
        <f>IFERROR(VLOOKUP(CZ76,DIST_TBL,2,0),"")</f>
        <v/>
      </c>
      <c r="DB76" s="3">
        <f>E_ITV*(V76="sí")+E_LIBRO*(W76="sí")+E_PROP*IF(Y76=1,1,IF(Y76=2,0.5,0))+E_CORREA*IF(OR(DA76="cadena",AND(X76="sí",BH76="sí")),1,IF(X76="sí",0.5,0))+E_FACT*(BI76="sí")</f>
        <v/>
      </c>
      <c r="DC76" s="3">
        <f>MAX(0,MIN(100,IFERROR(VLOOKUP(CL76,ETQ_TBL,2,0),0)-IF(CM76="sí",ETQ_PEN_DUD,IF(AS76="regla",ETQ_PEN_REGLA,0))))</f>
        <v/>
      </c>
      <c r="DD76" s="3">
        <f>IF(K76&lt;&gt;"gasolina","",IFERROR(VLOOKUP(F76,CONS_MOD_TBL,2,0),IFERROR(VLOOKUP(L76,CONS_SEG_TBL,2,0),"")))</f>
        <v/>
      </c>
      <c r="DE76" s="3">
        <f>IF(DD76="",NEUTRO,MAX(0,MIN(100,100*(CONS_REF_MAX-DD76)/(CONS_REF_MAX-CONS_REF_MIN))))</f>
        <v/>
      </c>
      <c r="DF76" s="3">
        <f>IFERROR(VLOOKUP(L76,SEGURO_TBL,3,0),"")</f>
        <v/>
      </c>
      <c r="DG76" s="3">
        <f>IF(DF76="",NEUTRO,MAX(0,MIN(100,100*(SEG_REF_MAX-DF76)/(SEG_REF_MAX-SEG_REF_MIN))))</f>
        <v/>
      </c>
      <c r="DH76" s="3">
        <f>IFERROR(VLOOKUP(E76,MANT_MARCA_TBL,2,0)+0,NEUTRO)</f>
        <v/>
      </c>
      <c r="DI76" s="3">
        <f>IF(DA76="",NEUTRO,IFERROR(VLOOKUP(DA76,DIST_PTS_TBL,2,0)+0,NEUTRO))</f>
        <v/>
      </c>
      <c r="DJ76" s="4">
        <f>(DH76+DI76)/2</f>
        <v/>
      </c>
      <c r="DK76" s="3">
        <f>W_CONS*DE76+W_SEG*DG76+W_MANT*DJ76</f>
        <v/>
      </c>
      <c r="DL76" s="3">
        <f>IF(N(AB76)&gt;0,AB76,IF(AND(R76="profesional",SG_LEGAL_ON=1),GAR_LEGAL,0))</f>
        <v/>
      </c>
      <c r="DM76" s="3">
        <f>MAX(0,MIN(100,SG_GAR*MIN(1,DL76/SG_GAR_FULL)+SG_AMPL*(AC76="sí")+SG_KMC*(AF76="sí")+SG_REV*(N(AE76)&gt;0)+SG_DEV*MIN(1,N(AG76)/SG_DEV_FULL)+SG_HIST*(W76="sí")-IF(AND(R76="particular",DL76=0),SG_PART_PEN,0)))</f>
        <v/>
      </c>
      <c r="DN76" s="3">
        <f>IF(BK76="",NEUTRO,MAX(0,MIN(100,BK76/5*100)))</f>
        <v/>
      </c>
      <c r="DO76" s="3">
        <f>IF(BL76="sí",100,IF(BL76="no",0,NEUTRO))</f>
        <v/>
      </c>
      <c r="DP76" s="3">
        <f>SV_W_NCAP*DN76+SV_W_ESP*DO76</f>
        <v/>
      </c>
      <c r="DQ76" s="3">
        <f>MAX(0,MIN(100,ATR_BASE+ATR_ACAB*(BD76&lt;&gt;"")+IF(BE76="16+",ATR_LL16,IF(BE76="sí",ATR_LL,0))+ATR_FAROS*(BF76="sí")+ATR_TINT*(BG76="sí")-ATR_CHAPA*(BE76="chapa")))</f>
        <v/>
      </c>
      <c r="DR76" s="3">
        <f>EST_W_MOD*(BB76-1)/4*100+EST_W_ATR*DQ76</f>
        <v/>
      </c>
      <c r="DS76" s="3">
        <f>IF(BA76="",NEUTRO,IFERROR(VLOOKUP(BA76,COLOR_TBL,2,0)+0,NEUTRO))</f>
        <v/>
      </c>
      <c r="DT76" s="3">
        <f>MAX(0,MIN(100,100*N(BM76)/RV_N_FULL))</f>
        <v/>
      </c>
      <c r="DU76" s="3">
        <f>IF(OR(BN76="",N(BO76)&lt;RV_DIAS_MIN),NEUTRO,MAX(0,MIN(100,100*(RV_DIAS_CERO-BN76)/(RV_DIAS_CERO-RV_DIAS_FULL))))</f>
        <v/>
      </c>
      <c r="DV76" s="3">
        <f>RV_W_LIQ*DT76+RV_W_DIAS*DU76+RV_W_ETQ*DC76</f>
        <v/>
      </c>
      <c r="DW76" s="3">
        <f>IFERROR(VLOOKUP(L76,CARR_PEN_TBL,2,0),0)</f>
        <v/>
      </c>
      <c r="DX76" s="3">
        <f>W_FIAB*CS76+W_PRECIO*CU76+W_KMEDAD*CY76+W_ESTADO*DB76+W_USO*DK76+W_SEGURIDAD*DM76+W_SEGVIAL*DP76+W_ESTETICA*DR76+W_COLOR*DS76+W_REVENTA*DV76-DW76-EG76</f>
        <v/>
      </c>
      <c r="DY76" s="4">
        <f>IF(N(I76)&gt;0,I76,IFERROR(ROUND(_xlfn.NUMBERVALUE(LEFT(G76,FIND(" ",G76&amp;" ")-1),".")*1000,0),99999))</f>
        <v/>
      </c>
      <c r="DZ76" s="3">
        <f>IF(R76="profesional",0,IF(O76&lt;CUOTA_VALOR_MAX,IF(BW76&gt;ITP_TRAMO_ALTO,SUMIFS(CF_CUOTA,CF_MAS,ITP_TRAMO_ALTO,CF_CCMIN,"&lt;="&amp;DY76,CF_CCMAX,"&gt;="&amp;DY76),IF(BW76&gt;ITP_TRAMO_BAJO,SUMIFS(CF_CUOTA,CF_MAS,ITP_TRAMO_BAJO,CF_CCMIN,"&lt;="&amp;DY76,CF_CCMAX,"&gt;="&amp;DY76),O76*ITP_TIPO)),O76*ITP_TIPO))</f>
        <v/>
      </c>
      <c r="EA76" s="4">
        <f>IF(R76="profesional",N(AK76),0)</f>
        <v/>
      </c>
      <c r="EB76" s="3">
        <f>IF(AND(R76="profesional",ISNUMBER(AK76),AL76="sí"),0,TASA_DGT)</f>
        <v/>
      </c>
      <c r="EC76" s="3">
        <f>INFORME_DGT</f>
        <v/>
      </c>
      <c r="ED76" s="4">
        <f>O76+EA76+DZ76+EB76+EC76</f>
        <v/>
      </c>
      <c r="EE76" s="4">
        <f>ED76+N(DF76)</f>
        <v/>
      </c>
      <c r="EF76" s="3">
        <f>MAX(0,ED76-TOTAL_MAX)</f>
        <v/>
      </c>
      <c r="EG76" s="3">
        <f>EF76/100*PEN_100</f>
        <v/>
      </c>
      <c r="EH76" s="3">
        <f>IF(R76="particular",ED76+IF(AND(DA76&lt;&gt;"cadena",X76&lt;&gt;"sí"),RES_CORREA,0)+IF(AND(BJ76&lt;&gt;"sí",BW76&gt;=RES_NEUM_EDAD),RES_NEUM,0),"")</f>
        <v/>
      </c>
      <c r="EI76" s="3">
        <f>IF(ED76&lt;=TOTAL_MAX,"sí",IF(ED76&lt;=TECHO,"negociar","no"))</f>
        <v/>
      </c>
      <c r="EJ76" s="4">
        <f>ROUND(DX76,9)</f>
        <v/>
      </c>
      <c r="EK76" s="4">
        <f>IF(EI76&lt;&gt;"no",SUMPRODUCT(($EI$2:$EI$209&lt;&gt;"no")*($EJ$2:$EJ$209&gt;EJ76))+SUMPRODUCT(($EI$2:EI76&lt;&gt;"no")*($EJ$2:EJ76=EJ76)),"")</f>
        <v/>
      </c>
    </row>
    <row r="77">
      <c r="A77" s="2" t="inlineStr">
        <is>
          <t>cochesnet:70833355</t>
        </is>
      </c>
      <c r="B77" s="2" t="inlineStr">
        <is>
          <t>cochesnet</t>
        </is>
      </c>
      <c r="C77" s="2" t="inlineStr">
        <is>
          <t>https://www.coches.net/renault-modus-confort-dynamique-14-16v-5p-gasolina-2006-en-valencia-70833355-covo.aspx</t>
        </is>
      </c>
      <c r="D77" s="2" t="inlineStr">
        <is>
          <t>RENAULT Modus Confort Dynamique 1.4 16v</t>
        </is>
      </c>
      <c r="E77" s="2" t="inlineStr">
        <is>
          <t>Renault</t>
        </is>
      </c>
      <c r="F77" s="2" t="inlineStr">
        <is>
          <t>Renault Modus</t>
        </is>
      </c>
      <c r="G77" s="2" t="inlineStr">
        <is>
          <t>1.4</t>
        </is>
      </c>
      <c r="H77" s="2" t="inlineStr">
        <is>
          <t>Confort Dynamique 1.4 16v</t>
        </is>
      </c>
      <c r="I77" s="2" t="n"/>
      <c r="J77" s="2" t="n"/>
      <c r="K77" s="2" t="inlineStr">
        <is>
          <t>gasolina</t>
        </is>
      </c>
      <c r="L77" s="2" t="inlineStr">
        <is>
          <t>monovolumen_pequeno</t>
        </is>
      </c>
      <c r="M77" s="2" t="n">
        <v>2006</v>
      </c>
      <c r="N77" s="2" t="n">
        <v>190000</v>
      </c>
      <c r="O77" s="2" t="n">
        <v>2490</v>
      </c>
      <c r="P77" s="2" t="inlineStr">
        <is>
          <t>manual</t>
        </is>
      </c>
      <c r="Q77" s="2" t="inlineStr">
        <is>
          <t>no</t>
        </is>
      </c>
      <c r="R77" s="2" t="inlineStr">
        <is>
          <t>profesional</t>
        </is>
      </c>
      <c r="S77" s="2" t="inlineStr">
        <is>
          <t>Foios</t>
        </is>
      </c>
      <c r="T77" s="2" t="inlineStr">
        <is>
          <t>2026-09-07T18:54:24Z</t>
        </is>
      </c>
      <c r="U77" s="2" t="n">
        <v>13</v>
      </c>
      <c r="V77" s="2" t="n"/>
      <c r="W77" s="2" t="n"/>
      <c r="X77" s="2" t="n"/>
      <c r="Y77" s="2" t="n"/>
      <c r="Z77" s="2" t="inlineStr">
        <is>
          <t>sí</t>
        </is>
      </c>
      <c r="AA77" s="2" t="n"/>
      <c r="AB77" s="2" t="n">
        <v>12</v>
      </c>
      <c r="AC77" s="2" t="n"/>
      <c r="AD77" s="2" t="n"/>
      <c r="AE77" s="2" t="n"/>
      <c r="AF77" s="2" t="n"/>
      <c r="AG77" s="2" t="n"/>
      <c r="AH77" s="2" t="n">
        <v>2490</v>
      </c>
      <c r="AI77" s="2" t="n">
        <v>2490</v>
      </c>
      <c r="AJ77" s="2" t="n"/>
      <c r="AK77" s="2" t="n"/>
      <c r="AL77" s="2" t="n"/>
      <c r="AM77" s="2" t="n">
        <v>7.7</v>
      </c>
      <c r="AN77" s="2" t="n"/>
      <c r="AO77" s="2" t="inlineStr">
        <is>
          <t>2006</t>
        </is>
      </c>
      <c r="AP77" s="2" t="n">
        <v>2006</v>
      </c>
      <c r="AQ77" s="2" t="n"/>
      <c r="AR77" s="2" t="inlineStr">
        <is>
          <t>C</t>
        </is>
      </c>
      <c r="AS77" s="2" t="inlineStr">
        <is>
          <t>anuncio</t>
        </is>
      </c>
      <c r="AT77" s="2" t="n"/>
      <c r="AU77" s="2" t="inlineStr">
        <is>
          <t>no</t>
        </is>
      </c>
      <c r="AV77" s="2" t="inlineStr">
        <is>
          <t>C</t>
        </is>
      </c>
      <c r="AW77" s="2" t="n"/>
      <c r="AX77" s="2" t="inlineStr">
        <is>
          <t>no</t>
        </is>
      </c>
      <c r="AY77" s="2" t="inlineStr">
        <is>
          <t>no</t>
        </is>
      </c>
      <c r="AZ77" s="2" t="inlineStr">
        <is>
          <t>COMMON.COLOR_GRAY</t>
        </is>
      </c>
      <c r="BA77" s="2" t="inlineStr">
        <is>
          <t>gris_medio</t>
        </is>
      </c>
      <c r="BB77" s="3" t="n">
        <v>2</v>
      </c>
      <c r="BC77" s="3" t="inlineStr">
        <is>
          <t>(por segmento)</t>
        </is>
      </c>
      <c r="BD77" s="2" t="n"/>
      <c r="BE77" s="2" t="n"/>
      <c r="BF77" s="2" t="n"/>
      <c r="BG77" s="2" t="n"/>
      <c r="BH77" s="2" t="n"/>
      <c r="BI77" s="2" t="n"/>
      <c r="BJ77" s="2" t="n"/>
      <c r="BK77" s="2" t="n"/>
      <c r="BL77" s="2" t="inlineStr">
        <is>
          <t>sí</t>
        </is>
      </c>
      <c r="BM77" s="2" t="n">
        <v>4</v>
      </c>
      <c r="BN77" s="2" t="n"/>
      <c r="BO77" s="2" t="n">
        <v>0</v>
      </c>
      <c r="BP77" s="2" t="n"/>
      <c r="BQ77" s="2" t="n"/>
      <c r="BR77" s="2" t="n"/>
      <c r="BS77" s="2" t="n"/>
      <c r="BT77" s="2" t="inlineStr">
        <is>
          <t>vendedor profesional: sin ITP (operación con IVA/REBU, confirmar en factura); gastos de gestión del vendedor no indicados: se suma la tasa DGT; preguntar el precio final; Euro NCAP de la generación PENDIENTE (seguridad neutra); carrocería monovolumen_pequeno: -6 puntos; revisar: no menciona la ITV; fiabilidad del modelo PENDIENTE de fuente (puntuación neutra); mediana con solo 1 anuncio(s)</t>
        </is>
      </c>
      <c r="BU77" s="2" t="inlineStr">
        <is>
          <t>Este Renault Modus combina practicidad y versatilidad en un formato compacto pensado para la vida urbana y los desplazamientos diarios. Su estructura de monovolumen de cinco puertas ofrece una accesibilidad notable, con un maletero de 274 litros que se expande hasta 1.283 litros al plegar los asientos traseros, proporcionando flexibilidad para adaptar el espacio según las necesidades del momento.
El motor de 1.4 litros de gasolina, con 100 CV, entrega un comportamiento equilibrado en ciudad gracias a su par disponible desde las bajas revoluciones. La transmisión manual de cinco velocidades facilita un manejo directo y eficiente, especialmente apropiado para conductores que valoran el control activo del vehículo. El consumo mixto de 6,7 l/100 km lo posiciona como una opción razonable en términos de eficiencia.
En cuanto a seguridad, este vehículo incorpora airbags frontales y laterales, sistemas de pretensión de cinturones en todas las plazas, ABS en las cuatro ruedas y control de estabilidad, elementos que reflejan los estándares de protección de su época. La dirección asistida con endurecimiento progresivo y la suspensión independiente delantera garantizan una conducción cómoda tanto en carreteras como en entornos urbanos.
El equipamiento de confort incluye climatización, volante regulable en altura revestido de cuero, control de crucero con limitador de velocidad, elevalunas eléctricos delanteros y cierre centralizado con mando a distancia. El sistema de audio cuenta con</t>
        </is>
      </c>
      <c r="BV77" s="2" t="inlineStr">
        <is>
          <t>https://www.coches.net/renault-modus-confort-dynamique-14-16v-5p-gasolina-2006-en-valencia-70833355-covo.aspx (window.__INITIAL_PROPS__.ad) /home/user/Alopecia/buscador-coches/raw/cochesnet/291453f12eb96d2d.json</t>
        </is>
      </c>
      <c r="BW77" s="3">
        <f>MAX(ANIO_ACTUAL-M77,0)</f>
        <v/>
      </c>
      <c r="BX77" s="4">
        <f>N77/MAX(BW77,0.5)</f>
        <v/>
      </c>
      <c r="BY77" s="4">
        <f>F77</f>
        <v/>
      </c>
      <c r="BZ77" s="3">
        <f>BY77&amp;"|"&amp;INT(M77/SEG_ANIO)*SEG_ANIO</f>
        <v/>
      </c>
      <c r="CA77" s="3">
        <f>BZ77&amp;"|"&amp;INT(N77/SEG_KM)*SEG_KM</f>
        <v/>
      </c>
      <c r="CB77" s="4">
        <f>COUNTIF($BY$2:$BY$209,BY77)</f>
        <v/>
      </c>
      <c r="CC77" s="4">
        <f>COUNTIF($BZ$2:$BZ$209,BZ77)</f>
        <v/>
      </c>
      <c r="CD77" s="4">
        <f>COUNTIF($CA$2:$CA$209,CA77)</f>
        <v/>
      </c>
      <c r="CE77" s="3">
        <f t="array" ref="CE77">IF(N(BQ77)&gt;=MIN_N,BP77,IF(CD77&gt;=MIN_N,MEDIAN(IF($CA$2:$CA$209=CA77,$O$2:$O$209)),IF(CC77&gt;=MIN_N,MEDIAN(IF($BZ$2:$BZ$209=BZ77,$O$2:$O$209)),MEDIAN(IF($BY$2:$BY$209=BY77,$O$2:$O$209)))))</f>
        <v/>
      </c>
      <c r="CF77" s="3">
        <f>IF(N(BQ77)&gt;=MIN_N,"mercado "&amp;BR77,IF(CD77&gt;=MIN_N,"modelo+año+km",IF(CC77&gt;=MIN_N,"modelo+año","modelo")))</f>
        <v/>
      </c>
      <c r="CG77" s="4">
        <f>(CE77-O77)/CE77</f>
        <v/>
      </c>
      <c r="CH77" s="3">
        <f>IF(COUNTIFS(FR_FUEL,K77,FR_YEAR,AP77)&gt;0,1,0)</f>
        <v/>
      </c>
      <c r="CI77" s="3">
        <f>IF(COUNTIFS(FR_FUEL,K77,FR_YEAR,AP77-1)&gt;0,1,0)</f>
        <v/>
      </c>
      <c r="CJ77" s="4">
        <f>IF(N(AQ77)&gt;0,AP77*100+AQ77,IF(AND(CH77=1,CI77=1),(AP77-1)*100+1,AP77*100+1))</f>
        <v/>
      </c>
      <c r="CK77" s="3">
        <f>IF(OR(K77="hibrido",K77="glp",K77="gnc",K77="phev"),"ECO",IF(K77="electrico","CERO",IF(K77="gasolina",IF(CJ77&gt;=GAS_C_YM,"C",IF(CJ77&gt;=GAS_B_YM,"B","A")),IF(K77="diesel",IF(CJ77&gt;=DIE_C_YM,"C",IF(CJ77&gt;=DIE_B_YM,"B","A")),""))))</f>
        <v/>
      </c>
      <c r="CL77" s="2" t="inlineStr">
        <is>
          <t>C</t>
        </is>
      </c>
      <c r="CM77" s="4">
        <f>IF(AU77="sí","sí",IF(AS77="regla",IF(AND(N(AQ77)=0,CH77=1),"sí","no"),"no"))</f>
        <v/>
      </c>
      <c r="CN77" s="3">
        <f>IFERROR(VLOOKUP(F77,MOD_TBL,16,0),IFERROR(VLOOKUP(E77,OCU_TBL,2,0),NEUTRO))</f>
        <v/>
      </c>
      <c r="CO77" s="3">
        <f>SUMIFS(MOT_AJUSTE,MOT_MOTOR,G77,MOT_MARCA,E77,MOT_DESDE,"&lt;="&amp;M77,MOT_HASTA,"&gt;="&amp;M77)+SUMIFS(MOT_AJUSTE,MOT_MOTOR,G77,MOT_MARCA,"(todas)",MOT_DESDE,"&lt;="&amp;M77,MOT_HASTA,"&gt;="&amp;M77)+SUMIFS(MOT_AJUSTE,MOT_MOTOR,"(cualquiera)",MOT_MARCA,E77,MOT_DESDE,"&lt;="&amp;M77,MOT_HASTA,"&gt;="&amp;M77)</f>
        <v/>
      </c>
      <c r="CP77" s="3">
        <f>SUMIFS(COMB_AJUSTE,COMB_COMB,K77)</f>
        <v/>
      </c>
      <c r="CQ77" s="3">
        <f>COUNTIFS(MOT_MOTOR,G77,MOT_MARCA,E77,MOT_DESDE,"&lt;="&amp;M77,MOT_HASTA,"&gt;="&amp;M77)+COUNTIFS(MOT_MOTOR,G77,MOT_MARCA,"(todas)",MOT_DESDE,"&lt;="&amp;M77,MOT_HASTA,"&gt;="&amp;M77)+COUNTIFS(MOT_MOTOR,"(cualquiera)",MOT_MARCA,E77,MOT_DESDE,"&lt;="&amp;M77,MOT_HASTA,"&gt;="&amp;M77)</f>
        <v/>
      </c>
      <c r="CR77" s="3">
        <f>IF(AND(K77="diesel",CQ77=0),MIN(CN77,NEUTRO),CN77)</f>
        <v/>
      </c>
      <c r="CS77" s="3">
        <f>MAX(0,MIN(100,CR77+CO77+CP77-IF(AX77="sí",ROB_PEN,0)))</f>
        <v/>
      </c>
      <c r="CT77" s="3">
        <f>100-MAX(0,N77-KM_TOPE_DESDE)/1000*KM_TOPE_PTS</f>
        <v/>
      </c>
      <c r="CU77" s="3">
        <f>MAX(0,MIN(100,50+CG77*PRECIO_PEND,CT77))</f>
        <v/>
      </c>
      <c r="CV77" s="3">
        <f>MAX(0,100*(1-N77/KM_MAX))</f>
        <v/>
      </c>
      <c r="CW77" s="3">
        <f>IF(BX77&lt;KMA_SOSP,IF(AA77="sí",100,KMA_PEN),IF(BX77&lt;=KMA_IDEAL_MAX,100,MAX(0,100*(KMA_CERO-BX77)/(KMA_CERO-KMA_IDEAL_MAX))))</f>
        <v/>
      </c>
      <c r="CX77" s="3">
        <f>MAX(0,MIN(100,100*(M77-ANIO_MIN)/(ANIO_ACTUAL-ANIO_MIN)))</f>
        <v/>
      </c>
      <c r="CY77" s="3">
        <f>W_KMT*CV77+W_KMA*CW77+W_EDAD*CX77</f>
        <v/>
      </c>
      <c r="CZ77" s="4">
        <f>E77&amp;"|"&amp;G77</f>
        <v/>
      </c>
      <c r="DA77" s="3">
        <f>IFERROR(VLOOKUP(CZ77,DIST_TBL,2,0),"")</f>
        <v/>
      </c>
      <c r="DB77" s="3">
        <f>E_ITV*(V77="sí")+E_LIBRO*(W77="sí")+E_PROP*IF(Y77=1,1,IF(Y77=2,0.5,0))+E_CORREA*IF(OR(DA77="cadena",AND(X77="sí",BH77="sí")),1,IF(X77="sí",0.5,0))+E_FACT*(BI77="sí")</f>
        <v/>
      </c>
      <c r="DC77" s="3">
        <f>MAX(0,MIN(100,IFERROR(VLOOKUP(CL77,ETQ_TBL,2,0),0)-IF(CM77="sí",ETQ_PEN_DUD,IF(AS77="regla",ETQ_PEN_REGLA,0))))</f>
        <v/>
      </c>
      <c r="DD77" s="3">
        <f>IF(K77&lt;&gt;"gasolina","",IFERROR(VLOOKUP(F77,CONS_MOD_TBL,2,0),IFERROR(VLOOKUP(L77,CONS_SEG_TBL,2,0),"")))</f>
        <v/>
      </c>
      <c r="DE77" s="3">
        <f>IF(DD77="",NEUTRO,MAX(0,MIN(100,100*(CONS_REF_MAX-DD77)/(CONS_REF_MAX-CONS_REF_MIN))))</f>
        <v/>
      </c>
      <c r="DF77" s="3">
        <f>IFERROR(VLOOKUP(L77,SEGURO_TBL,3,0),"")</f>
        <v/>
      </c>
      <c r="DG77" s="3">
        <f>IF(DF77="",NEUTRO,MAX(0,MIN(100,100*(SEG_REF_MAX-DF77)/(SEG_REF_MAX-SEG_REF_MIN))))</f>
        <v/>
      </c>
      <c r="DH77" s="3">
        <f>IFERROR(VLOOKUP(E77,MANT_MARCA_TBL,2,0)+0,NEUTRO)</f>
        <v/>
      </c>
      <c r="DI77" s="3">
        <f>IF(DA77="",NEUTRO,IFERROR(VLOOKUP(DA77,DIST_PTS_TBL,2,0)+0,NEUTRO))</f>
        <v/>
      </c>
      <c r="DJ77" s="4">
        <f>(DH77+DI77)/2</f>
        <v/>
      </c>
      <c r="DK77" s="3">
        <f>W_CONS*DE77+W_SEG*DG77+W_MANT*DJ77</f>
        <v/>
      </c>
      <c r="DL77" s="3">
        <f>IF(N(AB77)&gt;0,AB77,IF(AND(R77="profesional",SG_LEGAL_ON=1),GAR_LEGAL,0))</f>
        <v/>
      </c>
      <c r="DM77" s="3">
        <f>MAX(0,MIN(100,SG_GAR*MIN(1,DL77/SG_GAR_FULL)+SG_AMPL*(AC77="sí")+SG_KMC*(AF77="sí")+SG_REV*(N(AE77)&gt;0)+SG_DEV*MIN(1,N(AG77)/SG_DEV_FULL)+SG_HIST*(W77="sí")-IF(AND(R77="particular",DL77=0),SG_PART_PEN,0)))</f>
        <v/>
      </c>
      <c r="DN77" s="3">
        <f>IF(BK77="",NEUTRO,MAX(0,MIN(100,BK77/5*100)))</f>
        <v/>
      </c>
      <c r="DO77" s="3">
        <f>IF(BL77="sí",100,IF(BL77="no",0,NEUTRO))</f>
        <v/>
      </c>
      <c r="DP77" s="3">
        <f>SV_W_NCAP*DN77+SV_W_ESP*DO77</f>
        <v/>
      </c>
      <c r="DQ77" s="3">
        <f>MAX(0,MIN(100,ATR_BASE+ATR_ACAB*(BD77&lt;&gt;"")+IF(BE77="16+",ATR_LL16,IF(BE77="sí",ATR_LL,0))+ATR_FAROS*(BF77="sí")+ATR_TINT*(BG77="sí")-ATR_CHAPA*(BE77="chapa")))</f>
        <v/>
      </c>
      <c r="DR77" s="3">
        <f>EST_W_MOD*(BB77-1)/4*100+EST_W_ATR*DQ77</f>
        <v/>
      </c>
      <c r="DS77" s="3">
        <f>IF(BA77="",NEUTRO,IFERROR(VLOOKUP(BA77,COLOR_TBL,2,0)+0,NEUTRO))</f>
        <v/>
      </c>
      <c r="DT77" s="3">
        <f>MAX(0,MIN(100,100*N(BM77)/RV_N_FULL))</f>
        <v/>
      </c>
      <c r="DU77" s="3">
        <f>IF(OR(BN77="",N(BO77)&lt;RV_DIAS_MIN),NEUTRO,MAX(0,MIN(100,100*(RV_DIAS_CERO-BN77)/(RV_DIAS_CERO-RV_DIAS_FULL))))</f>
        <v/>
      </c>
      <c r="DV77" s="3">
        <f>RV_W_LIQ*DT77+RV_W_DIAS*DU77+RV_W_ETQ*DC77</f>
        <v/>
      </c>
      <c r="DW77" s="3">
        <f>IFERROR(VLOOKUP(L77,CARR_PEN_TBL,2,0),0)</f>
        <v/>
      </c>
      <c r="DX77" s="3">
        <f>W_FIAB*CS77+W_PRECIO*CU77+W_KMEDAD*CY77+W_ESTADO*DB77+W_USO*DK77+W_SEGURIDAD*DM77+W_SEGVIAL*DP77+W_ESTETICA*DR77+W_COLOR*DS77+W_REVENTA*DV77-DW77-EG77</f>
        <v/>
      </c>
      <c r="DY77" s="4">
        <f>IF(N(I77)&gt;0,I77,IFERROR(ROUND(_xlfn.NUMBERVALUE(LEFT(G77,FIND(" ",G77&amp;" ")-1),".")*1000,0),99999))</f>
        <v/>
      </c>
      <c r="DZ77" s="3">
        <f>IF(R77="profesional",0,IF(O77&lt;CUOTA_VALOR_MAX,IF(BW77&gt;ITP_TRAMO_ALTO,SUMIFS(CF_CUOTA,CF_MAS,ITP_TRAMO_ALTO,CF_CCMIN,"&lt;="&amp;DY77,CF_CCMAX,"&gt;="&amp;DY77),IF(BW77&gt;ITP_TRAMO_BAJO,SUMIFS(CF_CUOTA,CF_MAS,ITP_TRAMO_BAJO,CF_CCMIN,"&lt;="&amp;DY77,CF_CCMAX,"&gt;="&amp;DY77),O77*ITP_TIPO)),O77*ITP_TIPO))</f>
        <v/>
      </c>
      <c r="EA77" s="4">
        <f>IF(R77="profesional",N(AK77),0)</f>
        <v/>
      </c>
      <c r="EB77" s="3">
        <f>IF(AND(R77="profesional",ISNUMBER(AK77),AL77="sí"),0,TASA_DGT)</f>
        <v/>
      </c>
      <c r="EC77" s="3">
        <f>INFORME_DGT</f>
        <v/>
      </c>
      <c r="ED77" s="4">
        <f>O77+EA77+DZ77+EB77+EC77</f>
        <v/>
      </c>
      <c r="EE77" s="4">
        <f>ED77+N(DF77)</f>
        <v/>
      </c>
      <c r="EF77" s="3">
        <f>MAX(0,ED77-TOTAL_MAX)</f>
        <v/>
      </c>
      <c r="EG77" s="3">
        <f>EF77/100*PEN_100</f>
        <v/>
      </c>
      <c r="EH77" s="3">
        <f>IF(R77="particular",ED77+IF(AND(DA77&lt;&gt;"cadena",X77&lt;&gt;"sí"),RES_CORREA,0)+IF(AND(BJ77&lt;&gt;"sí",BW77&gt;=RES_NEUM_EDAD),RES_NEUM,0),"")</f>
        <v/>
      </c>
      <c r="EI77" s="3">
        <f>IF(ED77&lt;=TOTAL_MAX,"sí",IF(ED77&lt;=TECHO,"negociar","no"))</f>
        <v/>
      </c>
      <c r="EJ77" s="4">
        <f>ROUND(DX77,9)</f>
        <v/>
      </c>
      <c r="EK77" s="4">
        <f>IF(EI77&lt;&gt;"no",SUMPRODUCT(($EI$2:$EI$209&lt;&gt;"no")*($EJ$2:$EJ$209&gt;EJ77))+SUMPRODUCT(($EI$2:EI77&lt;&gt;"no")*($EJ$2:EJ77=EJ77)),"")</f>
        <v/>
      </c>
    </row>
    <row r="78">
      <c r="A78" s="2" t="inlineStr">
        <is>
          <t>cochesnet:71604371</t>
        </is>
      </c>
      <c r="B78" s="2" t="inlineStr">
        <is>
          <t>cochesnet</t>
        </is>
      </c>
      <c r="C78" s="2" t="inlineStr">
        <is>
          <t>https://www.coches.net/renault-fluence-dynamique-dci-110cv-4p-diesel-2010-en-valencia-71604371-covo.aspx</t>
        </is>
      </c>
      <c r="D78" s="2" t="inlineStr">
        <is>
          <t>RENAULT Fluence Dynamique dCi</t>
        </is>
      </c>
      <c r="E78" s="2" t="inlineStr">
        <is>
          <t>Renault</t>
        </is>
      </c>
      <c r="F78" s="2" t="inlineStr">
        <is>
          <t>Renault Fluence</t>
        </is>
      </c>
      <c r="G78" s="2" t="inlineStr">
        <is>
          <t>? dCi</t>
        </is>
      </c>
      <c r="H78" s="2" t="inlineStr">
        <is>
          <t>Dynamique dCi 110cv</t>
        </is>
      </c>
      <c r="I78" s="2" t="n"/>
      <c r="J78" s="2" t="n">
        <v>110</v>
      </c>
      <c r="K78" s="2" t="inlineStr">
        <is>
          <t>diesel</t>
        </is>
      </c>
      <c r="L78" s="2" t="inlineStr">
        <is>
          <t>berlina</t>
        </is>
      </c>
      <c r="M78" s="2" t="n">
        <v>2011</v>
      </c>
      <c r="N78" s="2" t="n">
        <v>212000</v>
      </c>
      <c r="O78" s="2" t="n">
        <v>4490</v>
      </c>
      <c r="P78" s="2" t="inlineStr">
        <is>
          <t>manual</t>
        </is>
      </c>
      <c r="Q78" s="2" t="inlineStr">
        <is>
          <t>no</t>
        </is>
      </c>
      <c r="R78" s="2" t="inlineStr">
        <is>
          <t>profesional</t>
        </is>
      </c>
      <c r="S78" s="2" t="inlineStr">
        <is>
          <t>Bonrepòs i Mirambell</t>
        </is>
      </c>
      <c r="T78" s="2" t="inlineStr">
        <is>
          <t>2026-09-26T14:10:43Z</t>
        </is>
      </c>
      <c r="U78" s="2" t="n">
        <v>23</v>
      </c>
      <c r="V78" s="2" t="n"/>
      <c r="W78" s="2" t="n"/>
      <c r="X78" s="2" t="n"/>
      <c r="Y78" s="2" t="n"/>
      <c r="Z78" s="2" t="inlineStr">
        <is>
          <t>sí</t>
        </is>
      </c>
      <c r="AA78" s="2" t="n"/>
      <c r="AB78" s="2" t="n">
        <v>12</v>
      </c>
      <c r="AC78" s="2" t="n"/>
      <c r="AD78" s="2" t="n"/>
      <c r="AE78" s="2" t="n"/>
      <c r="AF78" s="2" t="inlineStr">
        <is>
          <t>sí</t>
        </is>
      </c>
      <c r="AG78" s="2" t="n"/>
      <c r="AH78" s="2" t="n">
        <v>4490</v>
      </c>
      <c r="AI78" s="2" t="n"/>
      <c r="AJ78" s="2" t="n"/>
      <c r="AK78" s="2" t="n"/>
      <c r="AL78" s="2" t="n"/>
      <c r="AM78" s="2" t="n">
        <v>5.3</v>
      </c>
      <c r="AN78" s="2" t="n"/>
      <c r="AO78" s="2" t="inlineStr">
        <is>
          <t>2011</t>
        </is>
      </c>
      <c r="AP78" s="2" t="n">
        <v>2011</v>
      </c>
      <c r="AQ78" s="2" t="n"/>
      <c r="AR78" s="2" t="n"/>
      <c r="AS78" s="2" t="inlineStr">
        <is>
          <t>regla</t>
        </is>
      </c>
      <c r="AT78" s="2" t="n">
        <v>2010</v>
      </c>
      <c r="AU78" s="2" t="inlineStr">
        <is>
          <t>no</t>
        </is>
      </c>
      <c r="AV78" s="2" t="inlineStr">
        <is>
          <t>B</t>
        </is>
      </c>
      <c r="AW78" s="2" t="n"/>
      <c r="AX78" s="2" t="inlineStr">
        <is>
          <t>no</t>
        </is>
      </c>
      <c r="AY78" s="2" t="inlineStr">
        <is>
          <t>no</t>
        </is>
      </c>
      <c r="AZ78" s="2" t="inlineStr">
        <is>
          <t>COMMON.COLOR_GRAY</t>
        </is>
      </c>
      <c r="BA78" s="2" t="inlineStr">
        <is>
          <t>gris_medio</t>
        </is>
      </c>
      <c r="BB78" s="3" t="n">
        <v>3</v>
      </c>
      <c r="BC78" s="3" t="inlineStr">
        <is>
          <t>(por segmento)</t>
        </is>
      </c>
      <c r="BD78" s="2" t="n"/>
      <c r="BE78" s="2" t="n"/>
      <c r="BF78" s="2" t="n"/>
      <c r="BG78" s="2" t="n"/>
      <c r="BH78" s="2" t="n"/>
      <c r="BI78" s="2" t="n"/>
      <c r="BJ78" s="2" t="n"/>
      <c r="BK78" s="2" t="n"/>
      <c r="BL78" s="2" t="n"/>
      <c r="BM78" s="2" t="n">
        <v>9</v>
      </c>
      <c r="BN78" s="2" t="n">
        <v>0</v>
      </c>
      <c r="BO78" s="2" t="n">
        <v>1</v>
      </c>
      <c r="BP78" s="2" t="n">
        <v>5300</v>
      </c>
      <c r="BQ78" s="2" t="n">
        <v>5</v>
      </c>
      <c r="BR78" s="2" t="inlineStr">
        <is>
          <t>modelo+año</t>
        </is>
      </c>
      <c r="BS78" s="2" t="n"/>
      <c r="BT78" s="2" t="inlineStr">
        <is>
          <t>año a confirmar: la URL/título dice 2010; vendedor profesional: sin ITP (operación con IVA/REBU, confirmar en factura); gastos de gestión del vendedor no indicados: se suma la tasa DGT; preguntar el precio final; Euro NCAP de la generación PENDIENTE (seguridad neutra); diésel: motor sin fuente de fiabilidad (fiabilidad limitada a neutra); etiqueta B deducida por fecha (sin matrícula ni dato del anuncio); fiabilidad del modelo PENDIENTE de fuente (puntuación neutra)</t>
        </is>
      </c>
      <c r="BU78" s="2" t="inlineStr">
        <is>
          <t>ELEGANZA AUTOMÓVILES
Vehículo nacional, en excelente estado, con ITV favorable, kilómetros certificados. Se encuentra en perfecto estado de conservación.
Equipamiento:
- Climatizador digital bizona
- Volante de cuero multifuncional
- Control de crucero y limitador de velocidad
- Conexión a teléfono móvil
- Radio CD con AUX, USB y Bluetooth
- Ordenador de a bordo con pantalla integrada
- Retrovisores con ajuste eléctrico
- Sistema de audio profesional
- Tapicería mixta cuero/textil en perfecto estado
- Posavasos
- Sistema antirrobo
- Anclajes ISOFIX
- Sensores de aparcamiento
Incluye 1 año de garantía.
Solicita más información sin compromiso.
Abrimos los 365 días del año.</t>
        </is>
      </c>
      <c r="BV78" s="2" t="inlineStr">
        <is>
          <t>https://www.coches.net/renault-fluence-dynamique-dci-110cv-4p-diesel-2010-en-valencia-71604371-covo.aspx (window.__INITIAL_PROPS__.ad) /home/user/Alopecia/buscador-coches/raw/cochesnet/0d94285184c4a61e.json</t>
        </is>
      </c>
      <c r="BW78" s="3">
        <f>MAX(ANIO_ACTUAL-M78,0)</f>
        <v/>
      </c>
      <c r="BX78" s="4">
        <f>N78/MAX(BW78,0.5)</f>
        <v/>
      </c>
      <c r="BY78" s="4">
        <f>F78</f>
        <v/>
      </c>
      <c r="BZ78" s="3">
        <f>BY78&amp;"|"&amp;INT(M78/SEG_ANIO)*SEG_ANIO</f>
        <v/>
      </c>
      <c r="CA78" s="3">
        <f>BZ78&amp;"|"&amp;INT(N78/SEG_KM)*SEG_KM</f>
        <v/>
      </c>
      <c r="CB78" s="4">
        <f>COUNTIF($BY$2:$BY$209,BY78)</f>
        <v/>
      </c>
      <c r="CC78" s="4">
        <f>COUNTIF($BZ$2:$BZ$209,BZ78)</f>
        <v/>
      </c>
      <c r="CD78" s="4">
        <f>COUNTIF($CA$2:$CA$209,CA78)</f>
        <v/>
      </c>
      <c r="CE78" s="3">
        <f t="array" ref="CE78">IF(N(BQ78)&gt;=MIN_N,BP78,IF(CD78&gt;=MIN_N,MEDIAN(IF($CA$2:$CA$209=CA78,$O$2:$O$209)),IF(CC78&gt;=MIN_N,MEDIAN(IF($BZ$2:$BZ$209=BZ78,$O$2:$O$209)),MEDIAN(IF($BY$2:$BY$209=BY78,$O$2:$O$209)))))</f>
        <v/>
      </c>
      <c r="CF78" s="3">
        <f>IF(N(BQ78)&gt;=MIN_N,"mercado "&amp;BR78,IF(CD78&gt;=MIN_N,"modelo+año+km",IF(CC78&gt;=MIN_N,"modelo+año","modelo")))</f>
        <v/>
      </c>
      <c r="CG78" s="4">
        <f>(CE78-O78)/CE78</f>
        <v/>
      </c>
      <c r="CH78" s="3">
        <f>IF(COUNTIFS(FR_FUEL,K78,FR_YEAR,AP78)&gt;0,1,0)</f>
        <v/>
      </c>
      <c r="CI78" s="3">
        <f>IF(COUNTIFS(FR_FUEL,K78,FR_YEAR,AP78-1)&gt;0,1,0)</f>
        <v/>
      </c>
      <c r="CJ78" s="4">
        <f>IF(N(AQ78)&gt;0,AP78*100+AQ78,IF(AND(CH78=1,CI78=1),(AP78-1)*100+1,AP78*100+1))</f>
        <v/>
      </c>
      <c r="CK78" s="3">
        <f>IF(OR(K78="hibrido",K78="glp",K78="gnc",K78="phev"),"ECO",IF(K78="electrico","CERO",IF(K78="gasolina",IF(CJ78&gt;=GAS_C_YM,"C",IF(CJ78&gt;=GAS_B_YM,"B","A")),IF(K78="diesel",IF(CJ78&gt;=DIE_C_YM,"C",IF(CJ78&gt;=DIE_B_YM,"B","A")),""))))</f>
        <v/>
      </c>
      <c r="CL78" s="4">
        <f>CK78</f>
        <v/>
      </c>
      <c r="CM78" s="4">
        <f>IF(AU78="sí","sí",IF(AS78="regla",IF(AND(N(AQ78)=0,CH78=1),"sí","no"),"no"))</f>
        <v/>
      </c>
      <c r="CN78" s="3">
        <f>IFERROR(VLOOKUP(F78,MOD_TBL,16,0),IFERROR(VLOOKUP(E78,OCU_TBL,2,0),NEUTRO))</f>
        <v/>
      </c>
      <c r="CO78" s="3">
        <f>SUMIFS(MOT_AJUSTE,MOT_MOTOR,G78,MOT_MARCA,E78,MOT_DESDE,"&lt;="&amp;M78,MOT_HASTA,"&gt;="&amp;M78)+SUMIFS(MOT_AJUSTE,MOT_MOTOR,G78,MOT_MARCA,"(todas)",MOT_DESDE,"&lt;="&amp;M78,MOT_HASTA,"&gt;="&amp;M78)+SUMIFS(MOT_AJUSTE,MOT_MOTOR,"(cualquiera)",MOT_MARCA,E78,MOT_DESDE,"&lt;="&amp;M78,MOT_HASTA,"&gt;="&amp;M78)</f>
        <v/>
      </c>
      <c r="CP78" s="3">
        <f>SUMIFS(COMB_AJUSTE,COMB_COMB,K78)</f>
        <v/>
      </c>
      <c r="CQ78" s="3">
        <f>COUNTIFS(MOT_MOTOR,G78,MOT_MARCA,E78,MOT_DESDE,"&lt;="&amp;M78,MOT_HASTA,"&gt;="&amp;M78)+COUNTIFS(MOT_MOTOR,G78,MOT_MARCA,"(todas)",MOT_DESDE,"&lt;="&amp;M78,MOT_HASTA,"&gt;="&amp;M78)+COUNTIFS(MOT_MOTOR,"(cualquiera)",MOT_MARCA,E78,MOT_DESDE,"&lt;="&amp;M78,MOT_HASTA,"&gt;="&amp;M78)</f>
        <v/>
      </c>
      <c r="CR78" s="3">
        <f>IF(AND(K78="diesel",CQ78=0),MIN(CN78,NEUTRO),CN78)</f>
        <v/>
      </c>
      <c r="CS78" s="3">
        <f>MAX(0,MIN(100,CR78+CO78+CP78-IF(AX78="sí",ROB_PEN,0)))</f>
        <v/>
      </c>
      <c r="CT78" s="3">
        <f>100-MAX(0,N78-KM_TOPE_DESDE)/1000*KM_TOPE_PTS</f>
        <v/>
      </c>
      <c r="CU78" s="3">
        <f>MAX(0,MIN(100,50+CG78*PRECIO_PEND,CT78))</f>
        <v/>
      </c>
      <c r="CV78" s="3">
        <f>MAX(0,100*(1-N78/KM_MAX))</f>
        <v/>
      </c>
      <c r="CW78" s="3">
        <f>IF(BX78&lt;KMA_SOSP,IF(AA78="sí",100,KMA_PEN),IF(BX78&lt;=KMA_IDEAL_MAX,100,MAX(0,100*(KMA_CERO-BX78)/(KMA_CERO-KMA_IDEAL_MAX))))</f>
        <v/>
      </c>
      <c r="CX78" s="3">
        <f>MAX(0,MIN(100,100*(M78-ANIO_MIN)/(ANIO_ACTUAL-ANIO_MIN)))</f>
        <v/>
      </c>
      <c r="CY78" s="3">
        <f>W_KMT*CV78+W_KMA*CW78+W_EDAD*CX78</f>
        <v/>
      </c>
      <c r="CZ78" s="4">
        <f>E78&amp;"|"&amp;G78</f>
        <v/>
      </c>
      <c r="DA78" s="3">
        <f>IFERROR(VLOOKUP(CZ78,DIST_TBL,2,0),"")</f>
        <v/>
      </c>
      <c r="DB78" s="3">
        <f>E_ITV*(V78="sí")+E_LIBRO*(W78="sí")+E_PROP*IF(Y78=1,1,IF(Y78=2,0.5,0))+E_CORREA*IF(OR(DA78="cadena",AND(X78="sí",BH78="sí")),1,IF(X78="sí",0.5,0))+E_FACT*(BI78="sí")</f>
        <v/>
      </c>
      <c r="DC78" s="3">
        <f>MAX(0,MIN(100,IFERROR(VLOOKUP(CL78,ETQ_TBL,2,0),0)-IF(CM78="sí",ETQ_PEN_DUD,IF(AS78="regla",ETQ_PEN_REGLA,0))))</f>
        <v/>
      </c>
      <c r="DD78" s="3">
        <f>IF(K78&lt;&gt;"gasolina","",IFERROR(VLOOKUP(F78,CONS_MOD_TBL,2,0),IFERROR(VLOOKUP(L78,CONS_SEG_TBL,2,0),"")))</f>
        <v/>
      </c>
      <c r="DE78" s="3">
        <f>IF(DD78="",NEUTRO,MAX(0,MIN(100,100*(CONS_REF_MAX-DD78)/(CONS_REF_MAX-CONS_REF_MIN))))</f>
        <v/>
      </c>
      <c r="DF78" s="3">
        <f>IFERROR(VLOOKUP(L78,SEGURO_TBL,3,0),"")</f>
        <v/>
      </c>
      <c r="DG78" s="3">
        <f>IF(DF78="",NEUTRO,MAX(0,MIN(100,100*(SEG_REF_MAX-DF78)/(SEG_REF_MAX-SEG_REF_MIN))))</f>
        <v/>
      </c>
      <c r="DH78" s="3">
        <f>IFERROR(VLOOKUP(E78,MANT_MARCA_TBL,2,0)+0,NEUTRO)</f>
        <v/>
      </c>
      <c r="DI78" s="3">
        <f>IF(DA78="",NEUTRO,IFERROR(VLOOKUP(DA78,DIST_PTS_TBL,2,0)+0,NEUTRO))</f>
        <v/>
      </c>
      <c r="DJ78" s="4">
        <f>(DH78+DI78)/2</f>
        <v/>
      </c>
      <c r="DK78" s="3">
        <f>W_CONS*DE78+W_SEG*DG78+W_MANT*DJ78</f>
        <v/>
      </c>
      <c r="DL78" s="3">
        <f>IF(N(AB78)&gt;0,AB78,IF(AND(R78="profesional",SG_LEGAL_ON=1),GAR_LEGAL,0))</f>
        <v/>
      </c>
      <c r="DM78" s="3">
        <f>MAX(0,MIN(100,SG_GAR*MIN(1,DL78/SG_GAR_FULL)+SG_AMPL*(AC78="sí")+SG_KMC*(AF78="sí")+SG_REV*(N(AE78)&gt;0)+SG_DEV*MIN(1,N(AG78)/SG_DEV_FULL)+SG_HIST*(W78="sí")-IF(AND(R78="particular",DL78=0),SG_PART_PEN,0)))</f>
        <v/>
      </c>
      <c r="DN78" s="3">
        <f>IF(BK78="",NEUTRO,MAX(0,MIN(100,BK78/5*100)))</f>
        <v/>
      </c>
      <c r="DO78" s="3">
        <f>IF(BL78="sí",100,IF(BL78="no",0,NEUTRO))</f>
        <v/>
      </c>
      <c r="DP78" s="3">
        <f>SV_W_NCAP*DN78+SV_W_ESP*DO78</f>
        <v/>
      </c>
      <c r="DQ78" s="3">
        <f>MAX(0,MIN(100,ATR_BASE+ATR_ACAB*(BD78&lt;&gt;"")+IF(BE78="16+",ATR_LL16,IF(BE78="sí",ATR_LL,0))+ATR_FAROS*(BF78="sí")+ATR_TINT*(BG78="sí")-ATR_CHAPA*(BE78="chapa")))</f>
        <v/>
      </c>
      <c r="DR78" s="3">
        <f>EST_W_MOD*(BB78-1)/4*100+EST_W_ATR*DQ78</f>
        <v/>
      </c>
      <c r="DS78" s="3">
        <f>IF(BA78="",NEUTRO,IFERROR(VLOOKUP(BA78,COLOR_TBL,2,0)+0,NEUTRO))</f>
        <v/>
      </c>
      <c r="DT78" s="3">
        <f>MAX(0,MIN(100,100*N(BM78)/RV_N_FULL))</f>
        <v/>
      </c>
      <c r="DU78" s="3">
        <f>IF(OR(BN78="",N(BO78)&lt;RV_DIAS_MIN),NEUTRO,MAX(0,MIN(100,100*(RV_DIAS_CERO-BN78)/(RV_DIAS_CERO-RV_DIAS_FULL))))</f>
        <v/>
      </c>
      <c r="DV78" s="3">
        <f>RV_W_LIQ*DT78+RV_W_DIAS*DU78+RV_W_ETQ*DC78</f>
        <v/>
      </c>
      <c r="DW78" s="3">
        <f>IFERROR(VLOOKUP(L78,CARR_PEN_TBL,2,0),0)</f>
        <v/>
      </c>
      <c r="DX78" s="3">
        <f>W_FIAB*CS78+W_PRECIO*CU78+W_KMEDAD*CY78+W_ESTADO*DB78+W_USO*DK78+W_SEGURIDAD*DM78+W_SEGVIAL*DP78+W_ESTETICA*DR78+W_COLOR*DS78+W_REVENTA*DV78-DW78-EG78</f>
        <v/>
      </c>
      <c r="DY78" s="4">
        <f>IF(N(I78)&gt;0,I78,IFERROR(ROUND(_xlfn.NUMBERVALUE(LEFT(G78,FIND(" ",G78&amp;" ")-1),".")*1000,0),99999))</f>
        <v/>
      </c>
      <c r="DZ78" s="3">
        <f>IF(R78="profesional",0,IF(O78&lt;CUOTA_VALOR_MAX,IF(BW78&gt;ITP_TRAMO_ALTO,SUMIFS(CF_CUOTA,CF_MAS,ITP_TRAMO_ALTO,CF_CCMIN,"&lt;="&amp;DY78,CF_CCMAX,"&gt;="&amp;DY78),IF(BW78&gt;ITP_TRAMO_BAJO,SUMIFS(CF_CUOTA,CF_MAS,ITP_TRAMO_BAJO,CF_CCMIN,"&lt;="&amp;DY78,CF_CCMAX,"&gt;="&amp;DY78),O78*ITP_TIPO)),O78*ITP_TIPO))</f>
        <v/>
      </c>
      <c r="EA78" s="4">
        <f>IF(R78="profesional",N(AK78),0)</f>
        <v/>
      </c>
      <c r="EB78" s="3">
        <f>IF(AND(R78="profesional",ISNUMBER(AK78),AL78="sí"),0,TASA_DGT)</f>
        <v/>
      </c>
      <c r="EC78" s="3">
        <f>INFORME_DGT</f>
        <v/>
      </c>
      <c r="ED78" s="4">
        <f>O78+EA78+DZ78+EB78+EC78</f>
        <v/>
      </c>
      <c r="EE78" s="4">
        <f>ED78+N(DF78)</f>
        <v/>
      </c>
      <c r="EF78" s="3">
        <f>MAX(0,ED78-TOTAL_MAX)</f>
        <v/>
      </c>
      <c r="EG78" s="3">
        <f>EF78/100*PEN_100</f>
        <v/>
      </c>
      <c r="EH78" s="3">
        <f>IF(R78="particular",ED78+IF(AND(DA78&lt;&gt;"cadena",X78&lt;&gt;"sí"),RES_CORREA,0)+IF(AND(BJ78&lt;&gt;"sí",BW78&gt;=RES_NEUM_EDAD),RES_NEUM,0),"")</f>
        <v/>
      </c>
      <c r="EI78" s="3">
        <f>IF(ED78&lt;=TOTAL_MAX,"sí",IF(ED78&lt;=TECHO,"negociar","no"))</f>
        <v/>
      </c>
      <c r="EJ78" s="4">
        <f>ROUND(DX78,9)</f>
        <v/>
      </c>
      <c r="EK78" s="4">
        <f>IF(EI78&lt;&gt;"no",SUMPRODUCT(($EI$2:$EI$209&lt;&gt;"no")*($EJ$2:$EJ$209&gt;EJ78))+SUMPRODUCT(($EI$2:EI78&lt;&gt;"no")*($EJ$2:EJ78=EJ78)),"")</f>
        <v/>
      </c>
    </row>
    <row r="79">
      <c r="A79" s="2" t="inlineStr">
        <is>
          <t>cochesnet:71749298</t>
        </is>
      </c>
      <c r="B79" s="2" t="inlineStr">
        <is>
          <t>cochesnet</t>
        </is>
      </c>
      <c r="C79" s="2" t="inlineStr">
        <is>
          <t>https://www.coches.net/dacia-sandero-laureate-12-16v-75cv-5p-gasolina-2009-en-valencia-71749298-covo.aspx</t>
        </is>
      </c>
      <c r="D79" s="2" t="inlineStr">
        <is>
          <t>DACIA Sandero Laureate 1.2 16v</t>
        </is>
      </c>
      <c r="E79" s="2" t="inlineStr">
        <is>
          <t>Dacia</t>
        </is>
      </c>
      <c r="F79" s="2" t="inlineStr">
        <is>
          <t>Dacia Sandero</t>
        </is>
      </c>
      <c r="G79" s="2" t="inlineStr">
        <is>
          <t>1.2</t>
        </is>
      </c>
      <c r="H79" s="2" t="inlineStr">
        <is>
          <t>Laureate 1.2 16v 75cv</t>
        </is>
      </c>
      <c r="I79" s="2" t="n"/>
      <c r="J79" s="2" t="n">
        <v>75</v>
      </c>
      <c r="K79" s="2" t="inlineStr">
        <is>
          <t>gasolina</t>
        </is>
      </c>
      <c r="L79" s="2" t="inlineStr">
        <is>
          <t>utilitario</t>
        </is>
      </c>
      <c r="M79" s="2" t="n">
        <v>2010</v>
      </c>
      <c r="N79" s="2" t="n">
        <v>115000</v>
      </c>
      <c r="O79" s="2" t="n">
        <v>4690</v>
      </c>
      <c r="P79" s="2" t="inlineStr">
        <is>
          <t>manual</t>
        </is>
      </c>
      <c r="Q79" s="2" t="inlineStr">
        <is>
          <t>no</t>
        </is>
      </c>
      <c r="R79" s="2" t="inlineStr">
        <is>
          <t>profesional</t>
        </is>
      </c>
      <c r="S79" s="2" t="inlineStr">
        <is>
          <t>MM Autos Marín Moreno Godella</t>
        </is>
      </c>
      <c r="T79" s="2" t="inlineStr">
        <is>
          <t>2026-10-15T08:59:44Z</t>
        </is>
      </c>
      <c r="U79" s="2" t="n">
        <v>14</v>
      </c>
      <c r="V79" s="2" t="n"/>
      <c r="W79" s="2" t="n"/>
      <c r="X79" s="2" t="n"/>
      <c r="Y79" s="2" t="n"/>
      <c r="Z79" s="2" t="inlineStr">
        <is>
          <t>sí</t>
        </is>
      </c>
      <c r="AA79" s="2" t="n"/>
      <c r="AB79" s="2" t="n">
        <v>12</v>
      </c>
      <c r="AC79" s="2" t="inlineStr">
        <is>
          <t>sí</t>
        </is>
      </c>
      <c r="AD79" s="2" t="n"/>
      <c r="AE79" s="2" t="n"/>
      <c r="AF79" s="2" t="n"/>
      <c r="AG79" s="2" t="n"/>
      <c r="AH79" s="2" t="n">
        <v>4690</v>
      </c>
      <c r="AI79" s="2" t="n"/>
      <c r="AJ79" s="2" t="n"/>
      <c r="AK79" s="2" t="n"/>
      <c r="AL79" s="2" t="n"/>
      <c r="AM79" s="2" t="n">
        <v>6.7</v>
      </c>
      <c r="AN79" s="2" t="n"/>
      <c r="AO79" s="2" t="inlineStr">
        <is>
          <t>2010</t>
        </is>
      </c>
      <c r="AP79" s="2" t="n">
        <v>2010</v>
      </c>
      <c r="AQ79" s="2" t="n"/>
      <c r="AR79" s="2" t="inlineStr">
        <is>
          <t>C</t>
        </is>
      </c>
      <c r="AS79" s="2" t="inlineStr">
        <is>
          <t>anuncio</t>
        </is>
      </c>
      <c r="AT79" s="2" t="n">
        <v>2009</v>
      </c>
      <c r="AU79" s="2" t="inlineStr">
        <is>
          <t>no</t>
        </is>
      </c>
      <c r="AV79" s="2" t="inlineStr">
        <is>
          <t>C</t>
        </is>
      </c>
      <c r="AW79" s="2" t="n"/>
      <c r="AX79" s="2" t="inlineStr">
        <is>
          <t>no</t>
        </is>
      </c>
      <c r="AY79" s="2" t="inlineStr">
        <is>
          <t>no</t>
        </is>
      </c>
      <c r="AZ79" s="2" t="inlineStr">
        <is>
          <t>COMMON.COLOR_BLUE</t>
        </is>
      </c>
      <c r="BA79" s="2" t="inlineStr">
        <is>
          <t>azul</t>
        </is>
      </c>
      <c r="BB79" s="3" t="n">
        <v>2</v>
      </c>
      <c r="BC79" s="3" t="inlineStr">
        <is>
          <t>(por segmento)</t>
        </is>
      </c>
      <c r="BD79" s="2" t="n"/>
      <c r="BE79" s="2" t="n"/>
      <c r="BF79" s="2" t="n"/>
      <c r="BG79" s="2" t="n"/>
      <c r="BH79" s="2" t="n"/>
      <c r="BI79" s="2" t="n"/>
      <c r="BJ79" s="2" t="n"/>
      <c r="BK79" s="2" t="n">
        <v>3</v>
      </c>
      <c r="BL79" s="2" t="inlineStr">
        <is>
          <t>no</t>
        </is>
      </c>
      <c r="BM79" s="2" t="n">
        <v>211</v>
      </c>
      <c r="BN79" s="2" t="n">
        <v>0.021909722359851</v>
      </c>
      <c r="BO79" s="2" t="n">
        <v>4</v>
      </c>
      <c r="BP79" s="2" t="n">
        <v>3800</v>
      </c>
      <c r="BQ79" s="2" t="n">
        <v>9</v>
      </c>
      <c r="BR79" s="2" t="inlineStr">
        <is>
          <t>modelo+año</t>
        </is>
      </c>
      <c r="BS79" s="2" t="n"/>
      <c r="BT79" s="2" t="inlineStr">
        <is>
          <t>año a confirmar: la URL/título dice 2009; vendedor profesional: sin ITP (operación con IVA/REBU, confirmar en factura); gastos de gestión del vendedor no indicados: se suma la tasa DGT; preguntar el precio final; revisar: no menciona la ITV</t>
        </is>
      </c>
      <c r="BU79" s="2" t="inlineStr">
        <is>
          <t>Precio del vehículo financiado: (consultar condiciones)
Gastos de gestoría: 150,00€
GARANTÍA incluida 12 meses. Posibilidad de ampliar GARANTÍA PREMIUM hasta 24 o 36 mes
En nuestro centro multimarca, los vehículos se someten a un riguroso filtro antes de su entrega definitiva: limpieza, taller, reparación, etc… y así conseguir la mejor valoración de nuestros clientes. 
Ofrecemos a todos nuestros clientes un trato personalizado y especializado en el sector de la automoción.
Compramos su vehículo.
Entrega tu VEHÍCULO como parte de pago! Si contacta por e-mail, por favor, incluya su teléfono para un trato más rápido, ágil y personalizado.
El vehículo se entrega tras haber pasado un estricto control de calidad, de manera que puedas adquirirlo online con total tranquilidad. REVISIÓN PREENTREGA incluida.
Podemos realizar todo el proceso online con ENTREGA en toda la Península. Consulta el precio con tu asesor comercial.
Anuncio a título informativo no vinculante, puede contener errores y carece de valor contractual. Consultar condiciones.
Adquiere un coche de segunda mano en buen estado y a precio competitivo, hazlo. Nuestra tienda está a escasos metros de Metro Godella línea 1 amarilla, facil ubicación, cerca del centro de Valencia. Te esperamos!</t>
        </is>
      </c>
      <c r="BV79" s="2" t="inlineStr">
        <is>
          <t>https://www.coches.net/dacia-sandero-laureate-12-16v-75cv-5p-gasolina-2009-en-valencia-71749298-covo.aspx (window.__INITIAL_PROPS__.ad) /home/user/Alopecia/buscador-coches/raw/cochesnet/f0bc83d303744e62.json</t>
        </is>
      </c>
      <c r="BW79" s="3">
        <f>MAX(ANIO_ACTUAL-M79,0)</f>
        <v/>
      </c>
      <c r="BX79" s="4">
        <f>N79/MAX(BW79,0.5)</f>
        <v/>
      </c>
      <c r="BY79" s="4">
        <f>F79</f>
        <v/>
      </c>
      <c r="BZ79" s="3">
        <f>BY79&amp;"|"&amp;INT(M79/SEG_ANIO)*SEG_ANIO</f>
        <v/>
      </c>
      <c r="CA79" s="3">
        <f>BZ79&amp;"|"&amp;INT(N79/SEG_KM)*SEG_KM</f>
        <v/>
      </c>
      <c r="CB79" s="4">
        <f>COUNTIF($BY$2:$BY$209,BY79)</f>
        <v/>
      </c>
      <c r="CC79" s="4">
        <f>COUNTIF($BZ$2:$BZ$209,BZ79)</f>
        <v/>
      </c>
      <c r="CD79" s="4">
        <f>COUNTIF($CA$2:$CA$209,CA79)</f>
        <v/>
      </c>
      <c r="CE79" s="3">
        <f t="array" ref="CE79">IF(N(BQ79)&gt;=MIN_N,BP79,IF(CD79&gt;=MIN_N,MEDIAN(IF($CA$2:$CA$209=CA79,$O$2:$O$209)),IF(CC79&gt;=MIN_N,MEDIAN(IF($BZ$2:$BZ$209=BZ79,$O$2:$O$209)),MEDIAN(IF($BY$2:$BY$209=BY79,$O$2:$O$209)))))</f>
        <v/>
      </c>
      <c r="CF79" s="3">
        <f>IF(N(BQ79)&gt;=MIN_N,"mercado "&amp;BR79,IF(CD79&gt;=MIN_N,"modelo+año+km",IF(CC79&gt;=MIN_N,"modelo+año","modelo")))</f>
        <v/>
      </c>
      <c r="CG79" s="4">
        <f>(CE79-O79)/CE79</f>
        <v/>
      </c>
      <c r="CH79" s="3">
        <f>IF(COUNTIFS(FR_FUEL,K79,FR_YEAR,AP79)&gt;0,1,0)</f>
        <v/>
      </c>
      <c r="CI79" s="3">
        <f>IF(COUNTIFS(FR_FUEL,K79,FR_YEAR,AP79-1)&gt;0,1,0)</f>
        <v/>
      </c>
      <c r="CJ79" s="4">
        <f>IF(N(AQ79)&gt;0,AP79*100+AQ79,IF(AND(CH79=1,CI79=1),(AP79-1)*100+1,AP79*100+1))</f>
        <v/>
      </c>
      <c r="CK79" s="3">
        <f>IF(OR(K79="hibrido",K79="glp",K79="gnc",K79="phev"),"ECO",IF(K79="electrico","CERO",IF(K79="gasolina",IF(CJ79&gt;=GAS_C_YM,"C",IF(CJ79&gt;=GAS_B_YM,"B","A")),IF(K79="diesel",IF(CJ79&gt;=DIE_C_YM,"C",IF(CJ79&gt;=DIE_B_YM,"B","A")),""))))</f>
        <v/>
      </c>
      <c r="CL79" s="2" t="inlineStr">
        <is>
          <t>C</t>
        </is>
      </c>
      <c r="CM79" s="4">
        <f>IF(AU79="sí","sí",IF(AS79="regla",IF(AND(N(AQ79)=0,CH79=1),"sí","no"),"no"))</f>
        <v/>
      </c>
      <c r="CN79" s="3">
        <f>IFERROR(VLOOKUP(F79,MOD_TBL,16,0),IFERROR(VLOOKUP(E79,OCU_TBL,2,0),NEUTRO))</f>
        <v/>
      </c>
      <c r="CO79" s="3">
        <f>SUMIFS(MOT_AJUSTE,MOT_MOTOR,G79,MOT_MARCA,E79,MOT_DESDE,"&lt;="&amp;M79,MOT_HASTA,"&gt;="&amp;M79)+SUMIFS(MOT_AJUSTE,MOT_MOTOR,G79,MOT_MARCA,"(todas)",MOT_DESDE,"&lt;="&amp;M79,MOT_HASTA,"&gt;="&amp;M79)+SUMIFS(MOT_AJUSTE,MOT_MOTOR,"(cualquiera)",MOT_MARCA,E79,MOT_DESDE,"&lt;="&amp;M79,MOT_HASTA,"&gt;="&amp;M79)</f>
        <v/>
      </c>
      <c r="CP79" s="3">
        <f>SUMIFS(COMB_AJUSTE,COMB_COMB,K79)</f>
        <v/>
      </c>
      <c r="CQ79" s="3">
        <f>COUNTIFS(MOT_MOTOR,G79,MOT_MARCA,E79,MOT_DESDE,"&lt;="&amp;M79,MOT_HASTA,"&gt;="&amp;M79)+COUNTIFS(MOT_MOTOR,G79,MOT_MARCA,"(todas)",MOT_DESDE,"&lt;="&amp;M79,MOT_HASTA,"&gt;="&amp;M79)+COUNTIFS(MOT_MOTOR,"(cualquiera)",MOT_MARCA,E79,MOT_DESDE,"&lt;="&amp;M79,MOT_HASTA,"&gt;="&amp;M79)</f>
        <v/>
      </c>
      <c r="CR79" s="3">
        <f>IF(AND(K79="diesel",CQ79=0),MIN(CN79,NEUTRO),CN79)</f>
        <v/>
      </c>
      <c r="CS79" s="3">
        <f>MAX(0,MIN(100,CR79+CO79+CP79-IF(AX79="sí",ROB_PEN,0)))</f>
        <v/>
      </c>
      <c r="CT79" s="3">
        <f>100-MAX(0,N79-KM_TOPE_DESDE)/1000*KM_TOPE_PTS</f>
        <v/>
      </c>
      <c r="CU79" s="3">
        <f>MAX(0,MIN(100,50+CG79*PRECIO_PEND,CT79))</f>
        <v/>
      </c>
      <c r="CV79" s="3">
        <f>MAX(0,100*(1-N79/KM_MAX))</f>
        <v/>
      </c>
      <c r="CW79" s="3">
        <f>IF(BX79&lt;KMA_SOSP,IF(AA79="sí",100,KMA_PEN),IF(BX79&lt;=KMA_IDEAL_MAX,100,MAX(0,100*(KMA_CERO-BX79)/(KMA_CERO-KMA_IDEAL_MAX))))</f>
        <v/>
      </c>
      <c r="CX79" s="3">
        <f>MAX(0,MIN(100,100*(M79-ANIO_MIN)/(ANIO_ACTUAL-ANIO_MIN)))</f>
        <v/>
      </c>
      <c r="CY79" s="3">
        <f>W_KMT*CV79+W_KMA*CW79+W_EDAD*CX79</f>
        <v/>
      </c>
      <c r="CZ79" s="4">
        <f>E79&amp;"|"&amp;G79</f>
        <v/>
      </c>
      <c r="DA79" s="3">
        <f>IFERROR(VLOOKUP(CZ79,DIST_TBL,2,0),"")</f>
        <v/>
      </c>
      <c r="DB79" s="3">
        <f>E_ITV*(V79="sí")+E_LIBRO*(W79="sí")+E_PROP*IF(Y79=1,1,IF(Y79=2,0.5,0))+E_CORREA*IF(OR(DA79="cadena",AND(X79="sí",BH79="sí")),1,IF(X79="sí",0.5,0))+E_FACT*(BI79="sí")</f>
        <v/>
      </c>
      <c r="DC79" s="3">
        <f>MAX(0,MIN(100,IFERROR(VLOOKUP(CL79,ETQ_TBL,2,0),0)-IF(CM79="sí",ETQ_PEN_DUD,IF(AS79="regla",ETQ_PEN_REGLA,0))))</f>
        <v/>
      </c>
      <c r="DD79" s="3">
        <f>IF(K79&lt;&gt;"gasolina","",IFERROR(VLOOKUP(F79,CONS_MOD_TBL,2,0),IFERROR(VLOOKUP(L79,CONS_SEG_TBL,2,0),"")))</f>
        <v/>
      </c>
      <c r="DE79" s="3">
        <f>IF(DD79="",NEUTRO,MAX(0,MIN(100,100*(CONS_REF_MAX-DD79)/(CONS_REF_MAX-CONS_REF_MIN))))</f>
        <v/>
      </c>
      <c r="DF79" s="3">
        <f>IFERROR(VLOOKUP(L79,SEGURO_TBL,3,0),"")</f>
        <v/>
      </c>
      <c r="DG79" s="3">
        <f>IF(DF79="",NEUTRO,MAX(0,MIN(100,100*(SEG_REF_MAX-DF79)/(SEG_REF_MAX-SEG_REF_MIN))))</f>
        <v/>
      </c>
      <c r="DH79" s="3">
        <f>IFERROR(VLOOKUP(E79,MANT_MARCA_TBL,2,0)+0,NEUTRO)</f>
        <v/>
      </c>
      <c r="DI79" s="3">
        <f>IF(DA79="",NEUTRO,IFERROR(VLOOKUP(DA79,DIST_PTS_TBL,2,0)+0,NEUTRO))</f>
        <v/>
      </c>
      <c r="DJ79" s="4">
        <f>(DH79+DI79)/2</f>
        <v/>
      </c>
      <c r="DK79" s="3">
        <f>W_CONS*DE79+W_SEG*DG79+W_MANT*DJ79</f>
        <v/>
      </c>
      <c r="DL79" s="3">
        <f>IF(N(AB79)&gt;0,AB79,IF(AND(R79="profesional",SG_LEGAL_ON=1),GAR_LEGAL,0))</f>
        <v/>
      </c>
      <c r="DM79" s="3">
        <f>MAX(0,MIN(100,SG_GAR*MIN(1,DL79/SG_GAR_FULL)+SG_AMPL*(AC79="sí")+SG_KMC*(AF79="sí")+SG_REV*(N(AE79)&gt;0)+SG_DEV*MIN(1,N(AG79)/SG_DEV_FULL)+SG_HIST*(W79="sí")-IF(AND(R79="particular",DL79=0),SG_PART_PEN,0)))</f>
        <v/>
      </c>
      <c r="DN79" s="3">
        <f>IF(BK79="",NEUTRO,MAX(0,MIN(100,BK79/5*100)))</f>
        <v/>
      </c>
      <c r="DO79" s="3">
        <f>IF(BL79="sí",100,IF(BL79="no",0,NEUTRO))</f>
        <v/>
      </c>
      <c r="DP79" s="3">
        <f>SV_W_NCAP*DN79+SV_W_ESP*DO79</f>
        <v/>
      </c>
      <c r="DQ79" s="3">
        <f>MAX(0,MIN(100,ATR_BASE+ATR_ACAB*(BD79&lt;&gt;"")+IF(BE79="16+",ATR_LL16,IF(BE79="sí",ATR_LL,0))+ATR_FAROS*(BF79="sí")+ATR_TINT*(BG79="sí")-ATR_CHAPA*(BE79="chapa")))</f>
        <v/>
      </c>
      <c r="DR79" s="3">
        <f>EST_W_MOD*(BB79-1)/4*100+EST_W_ATR*DQ79</f>
        <v/>
      </c>
      <c r="DS79" s="3">
        <f>IF(BA79="",NEUTRO,IFERROR(VLOOKUP(BA79,COLOR_TBL,2,0)+0,NEUTRO))</f>
        <v/>
      </c>
      <c r="DT79" s="3">
        <f>MAX(0,MIN(100,100*N(BM79)/RV_N_FULL))</f>
        <v/>
      </c>
      <c r="DU79" s="3">
        <f>IF(OR(BN79="",N(BO79)&lt;RV_DIAS_MIN),NEUTRO,MAX(0,MIN(100,100*(RV_DIAS_CERO-BN79)/(RV_DIAS_CERO-RV_DIAS_FULL))))</f>
        <v/>
      </c>
      <c r="DV79" s="3">
        <f>RV_W_LIQ*DT79+RV_W_DIAS*DU79+RV_W_ETQ*DC79</f>
        <v/>
      </c>
      <c r="DW79" s="3">
        <f>IFERROR(VLOOKUP(L79,CARR_PEN_TBL,2,0),0)</f>
        <v/>
      </c>
      <c r="DX79" s="3">
        <f>W_FIAB*CS79+W_PRECIO*CU79+W_KMEDAD*CY79+W_ESTADO*DB79+W_USO*DK79+W_SEGURIDAD*DM79+W_SEGVIAL*DP79+W_ESTETICA*DR79+W_COLOR*DS79+W_REVENTA*DV79-DW79-EG79</f>
        <v/>
      </c>
      <c r="DY79" s="4">
        <f>IF(N(I79)&gt;0,I79,IFERROR(ROUND(_xlfn.NUMBERVALUE(LEFT(G79,FIND(" ",G79&amp;" ")-1),".")*1000,0),99999))</f>
        <v/>
      </c>
      <c r="DZ79" s="3">
        <f>IF(R79="profesional",0,IF(O79&lt;CUOTA_VALOR_MAX,IF(BW79&gt;ITP_TRAMO_ALTO,SUMIFS(CF_CUOTA,CF_MAS,ITP_TRAMO_ALTO,CF_CCMIN,"&lt;="&amp;DY79,CF_CCMAX,"&gt;="&amp;DY79),IF(BW79&gt;ITP_TRAMO_BAJO,SUMIFS(CF_CUOTA,CF_MAS,ITP_TRAMO_BAJO,CF_CCMIN,"&lt;="&amp;DY79,CF_CCMAX,"&gt;="&amp;DY79),O79*ITP_TIPO)),O79*ITP_TIPO))</f>
        <v/>
      </c>
      <c r="EA79" s="4">
        <f>IF(R79="profesional",N(AK79),0)</f>
        <v/>
      </c>
      <c r="EB79" s="3">
        <f>IF(AND(R79="profesional",ISNUMBER(AK79),AL79="sí"),0,TASA_DGT)</f>
        <v/>
      </c>
      <c r="EC79" s="3">
        <f>INFORME_DGT</f>
        <v/>
      </c>
      <c r="ED79" s="4">
        <f>O79+EA79+DZ79+EB79+EC79</f>
        <v/>
      </c>
      <c r="EE79" s="4">
        <f>ED79+N(DF79)</f>
        <v/>
      </c>
      <c r="EF79" s="3">
        <f>MAX(0,ED79-TOTAL_MAX)</f>
        <v/>
      </c>
      <c r="EG79" s="3">
        <f>EF79/100*PEN_100</f>
        <v/>
      </c>
      <c r="EH79" s="3">
        <f>IF(R79="particular",ED79+IF(AND(DA79&lt;&gt;"cadena",X79&lt;&gt;"sí"),RES_CORREA,0)+IF(AND(BJ79&lt;&gt;"sí",BW79&gt;=RES_NEUM_EDAD),RES_NEUM,0),"")</f>
        <v/>
      </c>
      <c r="EI79" s="3">
        <f>IF(ED79&lt;=TOTAL_MAX,"sí",IF(ED79&lt;=TECHO,"negociar","no"))</f>
        <v/>
      </c>
      <c r="EJ79" s="4">
        <f>ROUND(DX79,9)</f>
        <v/>
      </c>
      <c r="EK79" s="4">
        <f>IF(EI79&lt;&gt;"no",SUMPRODUCT(($EI$2:$EI$209&lt;&gt;"no")*($EJ$2:$EJ$209&gt;EJ79))+SUMPRODUCT(($EI$2:EI79&lt;&gt;"no")*($EJ$2:EJ79=EJ79)),"")</f>
        <v/>
      </c>
    </row>
    <row r="80">
      <c r="A80" s="2" t="inlineStr">
        <is>
          <t>cochesnet:71858806</t>
        </is>
      </c>
      <c r="B80" s="2" t="inlineStr">
        <is>
          <t>cochesnet</t>
        </is>
      </c>
      <c r="C80" s="2" t="inlineStr">
        <is>
          <t>https://www.coches.net/peugeot-207-confort-14-vti-16v-95-5p-gasolina-2008-en-valencia-71858806-covo.aspx</t>
        </is>
      </c>
      <c r="D80" s="2" t="inlineStr">
        <is>
          <t>PEUGEOT 207 Confort 1.4 VTi 16v 95</t>
        </is>
      </c>
      <c r="E80" s="2" t="inlineStr">
        <is>
          <t>Peugeot</t>
        </is>
      </c>
      <c r="F80" s="2" t="inlineStr">
        <is>
          <t>Peugeot 207</t>
        </is>
      </c>
      <c r="G80" s="2" t="inlineStr">
        <is>
          <t>1.4 VTi</t>
        </is>
      </c>
      <c r="H80" s="2" t="inlineStr">
        <is>
          <t>Confort 1.4 VTi 16v 95</t>
        </is>
      </c>
      <c r="I80" s="2" t="n"/>
      <c r="J80" s="2" t="n"/>
      <c r="K80" s="2" t="inlineStr">
        <is>
          <t>gasolina</t>
        </is>
      </c>
      <c r="L80" s="2" t="inlineStr">
        <is>
          <t>utilitario</t>
        </is>
      </c>
      <c r="M80" s="2" t="n">
        <v>2007</v>
      </c>
      <c r="N80" s="2" t="n">
        <v>144000</v>
      </c>
      <c r="O80" s="2" t="n">
        <v>3500</v>
      </c>
      <c r="P80" s="2" t="inlineStr">
        <is>
          <t>manual</t>
        </is>
      </c>
      <c r="Q80" s="2" t="inlineStr">
        <is>
          <t>no</t>
        </is>
      </c>
      <c r="R80" s="2" t="inlineStr">
        <is>
          <t>profesional</t>
        </is>
      </c>
      <c r="S80" s="2" t="inlineStr">
        <is>
          <t>AUTOMOVILES CASTILLO PEPE Manises</t>
        </is>
      </c>
      <c r="T80" s="2" t="inlineStr">
        <is>
          <t>2026-10-29T09:24:27Z</t>
        </is>
      </c>
      <c r="U80" s="2" t="n">
        <v>14</v>
      </c>
      <c r="V80" s="2" t="inlineStr">
        <is>
          <t>sí</t>
        </is>
      </c>
      <c r="W80" s="2" t="n"/>
      <c r="X80" s="2" t="inlineStr">
        <is>
          <t>sí</t>
        </is>
      </c>
      <c r="Y80" s="2" t="n"/>
      <c r="Z80" s="2" t="inlineStr">
        <is>
          <t>sí</t>
        </is>
      </c>
      <c r="AA80" s="2" t="n"/>
      <c r="AB80" s="2" t="n">
        <v>12</v>
      </c>
      <c r="AC80" s="2" t="n"/>
      <c r="AD80" s="2" t="n"/>
      <c r="AE80" s="2" t="n"/>
      <c r="AF80" s="2" t="inlineStr">
        <is>
          <t>sí</t>
        </is>
      </c>
      <c r="AG80" s="2" t="n"/>
      <c r="AH80" s="2" t="n">
        <v>3500</v>
      </c>
      <c r="AI80" s="2" t="n">
        <v>3500</v>
      </c>
      <c r="AJ80" s="2" t="n"/>
      <c r="AK80" s="2" t="n"/>
      <c r="AL80" s="2" t="n"/>
      <c r="AM80" s="2" t="n">
        <v>8.1</v>
      </c>
      <c r="AN80" s="2" t="n"/>
      <c r="AO80" s="2" t="inlineStr">
        <is>
          <t>2007</t>
        </is>
      </c>
      <c r="AP80" s="2" t="n">
        <v>2007</v>
      </c>
      <c r="AQ80" s="2" t="n"/>
      <c r="AR80" s="2" t="inlineStr">
        <is>
          <t>C</t>
        </is>
      </c>
      <c r="AS80" s="2" t="inlineStr">
        <is>
          <t>anuncio</t>
        </is>
      </c>
      <c r="AT80" s="2" t="n">
        <v>2008</v>
      </c>
      <c r="AU80" s="2" t="inlineStr">
        <is>
          <t>no</t>
        </is>
      </c>
      <c r="AV80" s="2" t="inlineStr">
        <is>
          <t>C</t>
        </is>
      </c>
      <c r="AW80" s="2" t="n"/>
      <c r="AX80" s="2" t="inlineStr">
        <is>
          <t>no</t>
        </is>
      </c>
      <c r="AY80" s="2" t="inlineStr">
        <is>
          <t>no</t>
        </is>
      </c>
      <c r="AZ80" s="2" t="inlineStr">
        <is>
          <t>COMMON.COLOR_RED</t>
        </is>
      </c>
      <c r="BA80" s="2" t="inlineStr">
        <is>
          <t>rojo</t>
        </is>
      </c>
      <c r="BB80" s="3" t="n">
        <v>2</v>
      </c>
      <c r="BC80" s="3" t="inlineStr">
        <is>
          <t>(por segmento)</t>
        </is>
      </c>
      <c r="BD80" s="2" t="n"/>
      <c r="BE80" s="2" t="n"/>
      <c r="BF80" s="2" t="n"/>
      <c r="BG80" s="2" t="n"/>
      <c r="BH80" s="2" t="n"/>
      <c r="BI80" s="2" t="n"/>
      <c r="BJ80" s="2" t="n"/>
      <c r="BK80" s="2" t="n">
        <v>5</v>
      </c>
      <c r="BL80" s="2" t="n"/>
      <c r="BM80" s="2" t="n">
        <v>125</v>
      </c>
      <c r="BN80" s="2" t="n"/>
      <c r="BO80" s="2" t="n">
        <v>0</v>
      </c>
      <c r="BP80" s="2" t="n">
        <v>3650</v>
      </c>
      <c r="BQ80" s="2" t="n">
        <v>28</v>
      </c>
      <c r="BR80" s="2" t="inlineStr">
        <is>
          <t>modelo+año+km</t>
        </is>
      </c>
      <c r="BS80" s="2" t="n"/>
      <c r="BT80" s="2" t="inlineStr">
        <is>
          <t>año a confirmar: la URL/título dice 2008; vendedor profesional: sin ITP (operación con IVA/REBU, confirmar en factura); gastos de gestión del vendedor no indicados: se suma la tasa DGT; preguntar el precio final; revisar: detalles «detalles»; fiabilidad del modelo PENDIENTE de fuente (puntuación neutra)</t>
        </is>
      </c>
      <c r="BU80" s="2" t="inlineStr">
        <is>
          <t>ITV HASTA OCTUBRE 2027 RECIEN PASADA 
* KILOMETROS CERTIFICADOS. 
* KIT DE DISTRIBUCION NUEVA, CORREA DE SERVICIO NUEVA 
* ACEITE NUEVO Y FILTRO NUEVO . 
* MOTOR TOTALMENTE REVISADO Y GARANTIZADO, EMBRAGUE REVISADO , AIRE ACONDICIONADO ENFRIA MUY BIEN, CALEFECCION FUNCIONA MUY BIEN. 
* NEUMATICOS DELANTEROS Y TRASEROS 90% DE VIDA
RADIO NUEVA CON BLUETOOTH 
*COCHE LISTO Y REVISADO PARA HACER KILOMETROS 
TODO DEMOSTRABLE !!!!
GARANTIA 1 AÑO
CONTAMOS CON TALLER PROPIO EXCLUSIVO PARA PREPARAR NUESTROS COCHES PARA LA VENTA, Y SERVICIO POST VENTA LO QUE GARANTIZA LA ATENCIÓN RÁPIDA Y PERSONALIZADA EN TODO EL PERIODO DE GARANTÍA OFRECIDO. 
COCHE CONFIABLE CON AIRBAGS BUEN MOTOR Y TODO REVISADO
ACEPTAMOS VEHICULO EN PARTE DE PAGO
ATENDEMOS SOLO CON CITA PREVIA.
Atención en Tienda Lunes A Viernes 10:00-18.30 Sábados 10:00-14:00.
CONCERTAR CITA PREVIA PARA SU MUESTRA, ACEPTAMOS TU COCHE COMO PARTE DE PAGO, 
*IMPORTANTE: POR FAVOR CONSULTAR DETALLES Y CONDICIONES Y CONCERTAR CITA PREVIA</t>
        </is>
      </c>
      <c r="BV80" s="2" t="inlineStr">
        <is>
          <t>https://www.coches.net/peugeot-207-confort-14-vti-16v-95-5p-gasolina-2008-en-valencia-71858806-covo.aspx (window.__INITIAL_PROPS__.ad) /home/user/Alopecia/buscador-coches/raw/cochesnet/af75c6dc563ab5a6.json</t>
        </is>
      </c>
      <c r="BW80" s="3">
        <f>MAX(ANIO_ACTUAL-M80,0)</f>
        <v/>
      </c>
      <c r="BX80" s="4">
        <f>N80/MAX(BW80,0.5)</f>
        <v/>
      </c>
      <c r="BY80" s="4">
        <f>F80</f>
        <v/>
      </c>
      <c r="BZ80" s="3">
        <f>BY80&amp;"|"&amp;INT(M80/SEG_ANIO)*SEG_ANIO</f>
        <v/>
      </c>
      <c r="CA80" s="3">
        <f>BZ80&amp;"|"&amp;INT(N80/SEG_KM)*SEG_KM</f>
        <v/>
      </c>
      <c r="CB80" s="4">
        <f>COUNTIF($BY$2:$BY$209,BY80)</f>
        <v/>
      </c>
      <c r="CC80" s="4">
        <f>COUNTIF($BZ$2:$BZ$209,BZ80)</f>
        <v/>
      </c>
      <c r="CD80" s="4">
        <f>COUNTIF($CA$2:$CA$209,CA80)</f>
        <v/>
      </c>
      <c r="CE80" s="3">
        <f t="array" ref="CE80">IF(N(BQ80)&gt;=MIN_N,BP80,IF(CD80&gt;=MIN_N,MEDIAN(IF($CA$2:$CA$209=CA80,$O$2:$O$209)),IF(CC80&gt;=MIN_N,MEDIAN(IF($BZ$2:$BZ$209=BZ80,$O$2:$O$209)),MEDIAN(IF($BY$2:$BY$209=BY80,$O$2:$O$209)))))</f>
        <v/>
      </c>
      <c r="CF80" s="3">
        <f>IF(N(BQ80)&gt;=MIN_N,"mercado "&amp;BR80,IF(CD80&gt;=MIN_N,"modelo+año+km",IF(CC80&gt;=MIN_N,"modelo+año","modelo")))</f>
        <v/>
      </c>
      <c r="CG80" s="4">
        <f>(CE80-O80)/CE80</f>
        <v/>
      </c>
      <c r="CH80" s="3">
        <f>IF(COUNTIFS(FR_FUEL,K80,FR_YEAR,AP80)&gt;0,1,0)</f>
        <v/>
      </c>
      <c r="CI80" s="3">
        <f>IF(COUNTIFS(FR_FUEL,K80,FR_YEAR,AP80-1)&gt;0,1,0)</f>
        <v/>
      </c>
      <c r="CJ80" s="4">
        <f>IF(N(AQ80)&gt;0,AP80*100+AQ80,IF(AND(CH80=1,CI80=1),(AP80-1)*100+1,AP80*100+1))</f>
        <v/>
      </c>
      <c r="CK80" s="3">
        <f>IF(OR(K80="hibrido",K80="glp",K80="gnc",K80="phev"),"ECO",IF(K80="electrico","CERO",IF(K80="gasolina",IF(CJ80&gt;=GAS_C_YM,"C",IF(CJ80&gt;=GAS_B_YM,"B","A")),IF(K80="diesel",IF(CJ80&gt;=DIE_C_YM,"C",IF(CJ80&gt;=DIE_B_YM,"B","A")),""))))</f>
        <v/>
      </c>
      <c r="CL80" s="2" t="inlineStr">
        <is>
          <t>C</t>
        </is>
      </c>
      <c r="CM80" s="4">
        <f>IF(AU80="sí","sí",IF(AS80="regla",IF(AND(N(AQ80)=0,CH80=1),"sí","no"),"no"))</f>
        <v/>
      </c>
      <c r="CN80" s="3">
        <f>IFERROR(VLOOKUP(F80,MOD_TBL,16,0),IFERROR(VLOOKUP(E80,OCU_TBL,2,0),NEUTRO))</f>
        <v/>
      </c>
      <c r="CO80" s="3">
        <f>SUMIFS(MOT_AJUSTE,MOT_MOTOR,G80,MOT_MARCA,E80,MOT_DESDE,"&lt;="&amp;M80,MOT_HASTA,"&gt;="&amp;M80)+SUMIFS(MOT_AJUSTE,MOT_MOTOR,G80,MOT_MARCA,"(todas)",MOT_DESDE,"&lt;="&amp;M80,MOT_HASTA,"&gt;="&amp;M80)+SUMIFS(MOT_AJUSTE,MOT_MOTOR,"(cualquiera)",MOT_MARCA,E80,MOT_DESDE,"&lt;="&amp;M80,MOT_HASTA,"&gt;="&amp;M80)</f>
        <v/>
      </c>
      <c r="CP80" s="3">
        <f>SUMIFS(COMB_AJUSTE,COMB_COMB,K80)</f>
        <v/>
      </c>
      <c r="CQ80" s="3">
        <f>COUNTIFS(MOT_MOTOR,G80,MOT_MARCA,E80,MOT_DESDE,"&lt;="&amp;M80,MOT_HASTA,"&gt;="&amp;M80)+COUNTIFS(MOT_MOTOR,G80,MOT_MARCA,"(todas)",MOT_DESDE,"&lt;="&amp;M80,MOT_HASTA,"&gt;="&amp;M80)+COUNTIFS(MOT_MOTOR,"(cualquiera)",MOT_MARCA,E80,MOT_DESDE,"&lt;="&amp;M80,MOT_HASTA,"&gt;="&amp;M80)</f>
        <v/>
      </c>
      <c r="CR80" s="3">
        <f>IF(AND(K80="diesel",CQ80=0),MIN(CN80,NEUTRO),CN80)</f>
        <v/>
      </c>
      <c r="CS80" s="3">
        <f>MAX(0,MIN(100,CR80+CO80+CP80-IF(AX80="sí",ROB_PEN,0)))</f>
        <v/>
      </c>
      <c r="CT80" s="3">
        <f>100-MAX(0,N80-KM_TOPE_DESDE)/1000*KM_TOPE_PTS</f>
        <v/>
      </c>
      <c r="CU80" s="3">
        <f>MAX(0,MIN(100,50+CG80*PRECIO_PEND,CT80))</f>
        <v/>
      </c>
      <c r="CV80" s="3">
        <f>MAX(0,100*(1-N80/KM_MAX))</f>
        <v/>
      </c>
      <c r="CW80" s="3">
        <f>IF(BX80&lt;KMA_SOSP,IF(AA80="sí",100,KMA_PEN),IF(BX80&lt;=KMA_IDEAL_MAX,100,MAX(0,100*(KMA_CERO-BX80)/(KMA_CERO-KMA_IDEAL_MAX))))</f>
        <v/>
      </c>
      <c r="CX80" s="3">
        <f>MAX(0,MIN(100,100*(M80-ANIO_MIN)/(ANIO_ACTUAL-ANIO_MIN)))</f>
        <v/>
      </c>
      <c r="CY80" s="3">
        <f>W_KMT*CV80+W_KMA*CW80+W_EDAD*CX80</f>
        <v/>
      </c>
      <c r="CZ80" s="4">
        <f>E80&amp;"|"&amp;G80</f>
        <v/>
      </c>
      <c r="DA80" s="3">
        <f>IFERROR(VLOOKUP(CZ80,DIST_TBL,2,0),"")</f>
        <v/>
      </c>
      <c r="DB80" s="3">
        <f>E_ITV*(V80="sí")+E_LIBRO*(W80="sí")+E_PROP*IF(Y80=1,1,IF(Y80=2,0.5,0))+E_CORREA*IF(OR(DA80="cadena",AND(X80="sí",BH80="sí")),1,IF(X80="sí",0.5,0))+E_FACT*(BI80="sí")</f>
        <v/>
      </c>
      <c r="DC80" s="3">
        <f>MAX(0,MIN(100,IFERROR(VLOOKUP(CL80,ETQ_TBL,2,0),0)-IF(CM80="sí",ETQ_PEN_DUD,IF(AS80="regla",ETQ_PEN_REGLA,0))))</f>
        <v/>
      </c>
      <c r="DD80" s="3">
        <f>IF(K80&lt;&gt;"gasolina","",IFERROR(VLOOKUP(F80,CONS_MOD_TBL,2,0),IFERROR(VLOOKUP(L80,CONS_SEG_TBL,2,0),"")))</f>
        <v/>
      </c>
      <c r="DE80" s="3">
        <f>IF(DD80="",NEUTRO,MAX(0,MIN(100,100*(CONS_REF_MAX-DD80)/(CONS_REF_MAX-CONS_REF_MIN))))</f>
        <v/>
      </c>
      <c r="DF80" s="3">
        <f>IFERROR(VLOOKUP(L80,SEGURO_TBL,3,0),"")</f>
        <v/>
      </c>
      <c r="DG80" s="3">
        <f>IF(DF80="",NEUTRO,MAX(0,MIN(100,100*(SEG_REF_MAX-DF80)/(SEG_REF_MAX-SEG_REF_MIN))))</f>
        <v/>
      </c>
      <c r="DH80" s="3">
        <f>IFERROR(VLOOKUP(E80,MANT_MARCA_TBL,2,0)+0,NEUTRO)</f>
        <v/>
      </c>
      <c r="DI80" s="3">
        <f>IF(DA80="",NEUTRO,IFERROR(VLOOKUP(DA80,DIST_PTS_TBL,2,0)+0,NEUTRO))</f>
        <v/>
      </c>
      <c r="DJ80" s="4">
        <f>(DH80+DI80)/2</f>
        <v/>
      </c>
      <c r="DK80" s="3">
        <f>W_CONS*DE80+W_SEG*DG80+W_MANT*DJ80</f>
        <v/>
      </c>
      <c r="DL80" s="3">
        <f>IF(N(AB80)&gt;0,AB80,IF(AND(R80="profesional",SG_LEGAL_ON=1),GAR_LEGAL,0))</f>
        <v/>
      </c>
      <c r="DM80" s="3">
        <f>MAX(0,MIN(100,SG_GAR*MIN(1,DL80/SG_GAR_FULL)+SG_AMPL*(AC80="sí")+SG_KMC*(AF80="sí")+SG_REV*(N(AE80)&gt;0)+SG_DEV*MIN(1,N(AG80)/SG_DEV_FULL)+SG_HIST*(W80="sí")-IF(AND(R80="particular",DL80=0),SG_PART_PEN,0)))</f>
        <v/>
      </c>
      <c r="DN80" s="3">
        <f>IF(BK80="",NEUTRO,MAX(0,MIN(100,BK80/5*100)))</f>
        <v/>
      </c>
      <c r="DO80" s="3">
        <f>IF(BL80="sí",100,IF(BL80="no",0,NEUTRO))</f>
        <v/>
      </c>
      <c r="DP80" s="3">
        <f>SV_W_NCAP*DN80+SV_W_ESP*DO80</f>
        <v/>
      </c>
      <c r="DQ80" s="3">
        <f>MAX(0,MIN(100,ATR_BASE+ATR_ACAB*(BD80&lt;&gt;"")+IF(BE80="16+",ATR_LL16,IF(BE80="sí",ATR_LL,0))+ATR_FAROS*(BF80="sí")+ATR_TINT*(BG80="sí")-ATR_CHAPA*(BE80="chapa")))</f>
        <v/>
      </c>
      <c r="DR80" s="3">
        <f>EST_W_MOD*(BB80-1)/4*100+EST_W_ATR*DQ80</f>
        <v/>
      </c>
      <c r="DS80" s="3">
        <f>IF(BA80="",NEUTRO,IFERROR(VLOOKUP(BA80,COLOR_TBL,2,0)+0,NEUTRO))</f>
        <v/>
      </c>
      <c r="DT80" s="3">
        <f>MAX(0,MIN(100,100*N(BM80)/RV_N_FULL))</f>
        <v/>
      </c>
      <c r="DU80" s="3">
        <f>IF(OR(BN80="",N(BO80)&lt;RV_DIAS_MIN),NEUTRO,MAX(0,MIN(100,100*(RV_DIAS_CERO-BN80)/(RV_DIAS_CERO-RV_DIAS_FULL))))</f>
        <v/>
      </c>
      <c r="DV80" s="3">
        <f>RV_W_LIQ*DT80+RV_W_DIAS*DU80+RV_W_ETQ*DC80</f>
        <v/>
      </c>
      <c r="DW80" s="3">
        <f>IFERROR(VLOOKUP(L80,CARR_PEN_TBL,2,0),0)</f>
        <v/>
      </c>
      <c r="DX80" s="3">
        <f>W_FIAB*CS80+W_PRECIO*CU80+W_KMEDAD*CY80+W_ESTADO*DB80+W_USO*DK80+W_SEGURIDAD*DM80+W_SEGVIAL*DP80+W_ESTETICA*DR80+W_COLOR*DS80+W_REVENTA*DV80-DW80-EG80</f>
        <v/>
      </c>
      <c r="DY80" s="4">
        <f>IF(N(I80)&gt;0,I80,IFERROR(ROUND(_xlfn.NUMBERVALUE(LEFT(G80,FIND(" ",G80&amp;" ")-1),".")*1000,0),99999))</f>
        <v/>
      </c>
      <c r="DZ80" s="3">
        <f>IF(R80="profesional",0,IF(O80&lt;CUOTA_VALOR_MAX,IF(BW80&gt;ITP_TRAMO_ALTO,SUMIFS(CF_CUOTA,CF_MAS,ITP_TRAMO_ALTO,CF_CCMIN,"&lt;="&amp;DY80,CF_CCMAX,"&gt;="&amp;DY80),IF(BW80&gt;ITP_TRAMO_BAJO,SUMIFS(CF_CUOTA,CF_MAS,ITP_TRAMO_BAJO,CF_CCMIN,"&lt;="&amp;DY80,CF_CCMAX,"&gt;="&amp;DY80),O80*ITP_TIPO)),O80*ITP_TIPO))</f>
        <v/>
      </c>
      <c r="EA80" s="4">
        <f>IF(R80="profesional",N(AK80),0)</f>
        <v/>
      </c>
      <c r="EB80" s="3">
        <f>IF(AND(R80="profesional",ISNUMBER(AK80),AL80="sí"),0,TASA_DGT)</f>
        <v/>
      </c>
      <c r="EC80" s="3">
        <f>INFORME_DGT</f>
        <v/>
      </c>
      <c r="ED80" s="4">
        <f>O80+EA80+DZ80+EB80+EC80</f>
        <v/>
      </c>
      <c r="EE80" s="4">
        <f>ED80+N(DF80)</f>
        <v/>
      </c>
      <c r="EF80" s="3">
        <f>MAX(0,ED80-TOTAL_MAX)</f>
        <v/>
      </c>
      <c r="EG80" s="3">
        <f>EF80/100*PEN_100</f>
        <v/>
      </c>
      <c r="EH80" s="3">
        <f>IF(R80="particular",ED80+IF(AND(DA80&lt;&gt;"cadena",X80&lt;&gt;"sí"),RES_CORREA,0)+IF(AND(BJ80&lt;&gt;"sí",BW80&gt;=RES_NEUM_EDAD),RES_NEUM,0),"")</f>
        <v/>
      </c>
      <c r="EI80" s="3">
        <f>IF(ED80&lt;=TOTAL_MAX,"sí",IF(ED80&lt;=TECHO,"negociar","no"))</f>
        <v/>
      </c>
      <c r="EJ80" s="4">
        <f>ROUND(DX80,9)</f>
        <v/>
      </c>
      <c r="EK80" s="4">
        <f>IF(EI80&lt;&gt;"no",SUMPRODUCT(($EI$2:$EI$209&lt;&gt;"no")*($EJ$2:$EJ$209&gt;EJ80))+SUMPRODUCT(($EI$2:EI80&lt;&gt;"no")*($EJ$2:EJ80=EJ80)),"")</f>
        <v/>
      </c>
    </row>
    <row r="81">
      <c r="A81" s="2" t="inlineStr">
        <is>
          <t>cochesnet:71828437</t>
        </is>
      </c>
      <c r="B81" s="2" t="inlineStr">
        <is>
          <t>cochesnet</t>
        </is>
      </c>
      <c r="C81" s="2" t="inlineStr">
        <is>
          <t>https://www.coches.net/peugeot-207-14-16v-xt-5p-gasolina-2006-en-valencia-71828437-covo.aspx</t>
        </is>
      </c>
      <c r="D81" s="2" t="inlineStr">
        <is>
          <t>PEUGEOT 207 1.4 16v XT</t>
        </is>
      </c>
      <c r="E81" s="2" t="inlineStr">
        <is>
          <t>Peugeot</t>
        </is>
      </c>
      <c r="F81" s="2" t="inlineStr">
        <is>
          <t>Peugeot 207</t>
        </is>
      </c>
      <c r="G81" s="2" t="inlineStr">
        <is>
          <t>1.4</t>
        </is>
      </c>
      <c r="H81" s="2" t="inlineStr">
        <is>
          <t>1.4 16v XT</t>
        </is>
      </c>
      <c r="I81" s="2" t="n"/>
      <c r="J81" s="2" t="n"/>
      <c r="K81" s="2" t="inlineStr">
        <is>
          <t>gasolina</t>
        </is>
      </c>
      <c r="L81" s="2" t="inlineStr">
        <is>
          <t>utilitario</t>
        </is>
      </c>
      <c r="M81" s="2" t="n">
        <v>2007</v>
      </c>
      <c r="N81" s="2" t="n">
        <v>76600</v>
      </c>
      <c r="O81" s="2" t="n">
        <v>3700</v>
      </c>
      <c r="P81" s="2" t="inlineStr">
        <is>
          <t>manual</t>
        </is>
      </c>
      <c r="Q81" s="2" t="inlineStr">
        <is>
          <t>no</t>
        </is>
      </c>
      <c r="R81" s="2" t="inlineStr">
        <is>
          <t>profesional</t>
        </is>
      </c>
      <c r="S81" s="2" t="inlineStr">
        <is>
          <t>Pepe Cars Valencia</t>
        </is>
      </c>
      <c r="T81" s="2" t="inlineStr">
        <is>
          <t>2026-10-25T15:39:29Z</t>
        </is>
      </c>
      <c r="U81" s="2" t="n">
        <v>10</v>
      </c>
      <c r="V81" s="2" t="n"/>
      <c r="W81" s="2" t="n"/>
      <c r="X81" s="2" t="n"/>
      <c r="Y81" s="2" t="n"/>
      <c r="Z81" s="2" t="inlineStr">
        <is>
          <t>sí</t>
        </is>
      </c>
      <c r="AA81" s="2" t="n"/>
      <c r="AB81" s="2" t="n">
        <v>12</v>
      </c>
      <c r="AC81" s="2" t="n"/>
      <c r="AD81" s="2" t="n"/>
      <c r="AE81" s="2" t="n"/>
      <c r="AF81" s="2" t="n"/>
      <c r="AG81" s="2" t="n"/>
      <c r="AH81" s="2" t="n">
        <v>3700</v>
      </c>
      <c r="AI81" s="2" t="n"/>
      <c r="AJ81" s="2" t="n"/>
      <c r="AK81" s="2" t="n"/>
      <c r="AL81" s="2" t="n"/>
      <c r="AM81" s="2" t="n">
        <v>0.1</v>
      </c>
      <c r="AN81" s="2" t="n"/>
      <c r="AO81" s="2" t="inlineStr">
        <is>
          <t>2007</t>
        </is>
      </c>
      <c r="AP81" s="2" t="n">
        <v>2007</v>
      </c>
      <c r="AQ81" s="2" t="n"/>
      <c r="AR81" s="2" t="inlineStr">
        <is>
          <t>C</t>
        </is>
      </c>
      <c r="AS81" s="2" t="inlineStr">
        <is>
          <t>anuncio</t>
        </is>
      </c>
      <c r="AT81" s="2" t="n">
        <v>2006</v>
      </c>
      <c r="AU81" s="2" t="inlineStr">
        <is>
          <t>no</t>
        </is>
      </c>
      <c r="AV81" s="2" t="inlineStr">
        <is>
          <t>C</t>
        </is>
      </c>
      <c r="AW81" s="2" t="n"/>
      <c r="AX81" s="2" t="inlineStr">
        <is>
          <t>no</t>
        </is>
      </c>
      <c r="AY81" s="2" t="inlineStr">
        <is>
          <t>no</t>
        </is>
      </c>
      <c r="AZ81" s="2" t="inlineStr">
        <is>
          <t>COMMON.COLOR_GRAY</t>
        </is>
      </c>
      <c r="BA81" s="2" t="inlineStr">
        <is>
          <t>gris_medio</t>
        </is>
      </c>
      <c r="BB81" s="3" t="n">
        <v>2</v>
      </c>
      <c r="BC81" s="3" t="inlineStr">
        <is>
          <t>(por segmento)</t>
        </is>
      </c>
      <c r="BD81" s="2" t="n"/>
      <c r="BE81" s="2" t="n"/>
      <c r="BF81" s="2" t="n"/>
      <c r="BG81" s="2" t="inlineStr">
        <is>
          <t>sí</t>
        </is>
      </c>
      <c r="BH81" s="2" t="n"/>
      <c r="BI81" s="2" t="n"/>
      <c r="BJ81" s="2" t="n"/>
      <c r="BK81" s="2" t="n">
        <v>5</v>
      </c>
      <c r="BL81" s="2" t="n"/>
      <c r="BM81" s="2" t="n">
        <v>125</v>
      </c>
      <c r="BN81" s="2" t="n"/>
      <c r="BO81" s="2" t="n">
        <v>0</v>
      </c>
      <c r="BP81" s="2" t="n">
        <v>4750</v>
      </c>
      <c r="BQ81" s="2" t="n">
        <v>13</v>
      </c>
      <c r="BR81" s="2" t="inlineStr">
        <is>
          <t>modelo+año+km</t>
        </is>
      </c>
      <c r="BS81" s="2" t="n"/>
      <c r="BT81" s="2" t="inlineStr">
        <is>
          <t>año a confirmar: la URL/título dice 2006; vendedor profesional: sin ITP (operación con IVA/REBU, confirmar en factura); gastos de gestión del vendedor no indicados: se suma la tasa DGT; preguntar el precio final; revisar: no menciona la ITV; fiabilidad del modelo PENDIENTE de fuente (puntuación neutra)</t>
        </is>
      </c>
      <c r="BU81" s="2" t="inlineStr">
        <is>
          <t>Este Peugeot 207 1.4 16v XT combina funcionalidad y confort con equipamiento multimedia completo: sistema de audio de seis altavoces con radio AM/FM, reproductor de CD y control remoto en volante. Destaca por su climatización bizona automática, dirección asistida eléctrica progresiva y volante de cuero ajustable en altura y profundidad. Dispone de elevalunas eléctricos delanteros, cierre centralizado con mando a distancia, ordenador de viaje con datos de consumo y autonomía, y cristales tintados en toda la cabina. Asientos individuales delanteros con reposacabezas ajustables, apoyabrazos central y banqueta trasera partida abatible. Inmovilizador de serie, luces antiniebla delanteras y faros dobles con regulación de altura. Etiqueta medioambiental C.</t>
        </is>
      </c>
      <c r="BV81" s="2" t="inlineStr">
        <is>
          <t>https://www.coches.net/peugeot-207-14-16v-xt-5p-gasolina-2006-en-valencia-71828437-covo.aspx (window.__INITIAL_PROPS__.ad) /home/user/Alopecia/buscador-coches/raw/cochesnet/1cd765507ac734a9.json</t>
        </is>
      </c>
      <c r="BW81" s="3">
        <f>MAX(ANIO_ACTUAL-M81,0)</f>
        <v/>
      </c>
      <c r="BX81" s="4">
        <f>N81/MAX(BW81,0.5)</f>
        <v/>
      </c>
      <c r="BY81" s="4">
        <f>F81</f>
        <v/>
      </c>
      <c r="BZ81" s="3">
        <f>BY81&amp;"|"&amp;INT(M81/SEG_ANIO)*SEG_ANIO</f>
        <v/>
      </c>
      <c r="CA81" s="3">
        <f>BZ81&amp;"|"&amp;INT(N81/SEG_KM)*SEG_KM</f>
        <v/>
      </c>
      <c r="CB81" s="4">
        <f>COUNTIF($BY$2:$BY$209,BY81)</f>
        <v/>
      </c>
      <c r="CC81" s="4">
        <f>COUNTIF($BZ$2:$BZ$209,BZ81)</f>
        <v/>
      </c>
      <c r="CD81" s="4">
        <f>COUNTIF($CA$2:$CA$209,CA81)</f>
        <v/>
      </c>
      <c r="CE81" s="3">
        <f t="array" ref="CE81">IF(N(BQ81)&gt;=MIN_N,BP81,IF(CD81&gt;=MIN_N,MEDIAN(IF($CA$2:$CA$209=CA81,$O$2:$O$209)),IF(CC81&gt;=MIN_N,MEDIAN(IF($BZ$2:$BZ$209=BZ81,$O$2:$O$209)),MEDIAN(IF($BY$2:$BY$209=BY81,$O$2:$O$209)))))</f>
        <v/>
      </c>
      <c r="CF81" s="3">
        <f>IF(N(BQ81)&gt;=MIN_N,"mercado "&amp;BR81,IF(CD81&gt;=MIN_N,"modelo+año+km",IF(CC81&gt;=MIN_N,"modelo+año","modelo")))</f>
        <v/>
      </c>
      <c r="CG81" s="4">
        <f>(CE81-O81)/CE81</f>
        <v/>
      </c>
      <c r="CH81" s="3">
        <f>IF(COUNTIFS(FR_FUEL,K81,FR_YEAR,AP81)&gt;0,1,0)</f>
        <v/>
      </c>
      <c r="CI81" s="3">
        <f>IF(COUNTIFS(FR_FUEL,K81,FR_YEAR,AP81-1)&gt;0,1,0)</f>
        <v/>
      </c>
      <c r="CJ81" s="4">
        <f>IF(N(AQ81)&gt;0,AP81*100+AQ81,IF(AND(CH81=1,CI81=1),(AP81-1)*100+1,AP81*100+1))</f>
        <v/>
      </c>
      <c r="CK81" s="3">
        <f>IF(OR(K81="hibrido",K81="glp",K81="gnc",K81="phev"),"ECO",IF(K81="electrico","CERO",IF(K81="gasolina",IF(CJ81&gt;=GAS_C_YM,"C",IF(CJ81&gt;=GAS_B_YM,"B","A")),IF(K81="diesel",IF(CJ81&gt;=DIE_C_YM,"C",IF(CJ81&gt;=DIE_B_YM,"B","A")),""))))</f>
        <v/>
      </c>
      <c r="CL81" s="2" t="inlineStr">
        <is>
          <t>C</t>
        </is>
      </c>
      <c r="CM81" s="4">
        <f>IF(AU81="sí","sí",IF(AS81="regla",IF(AND(N(AQ81)=0,CH81=1),"sí","no"),"no"))</f>
        <v/>
      </c>
      <c r="CN81" s="3">
        <f>IFERROR(VLOOKUP(F81,MOD_TBL,16,0),IFERROR(VLOOKUP(E81,OCU_TBL,2,0),NEUTRO))</f>
        <v/>
      </c>
      <c r="CO81" s="3">
        <f>SUMIFS(MOT_AJUSTE,MOT_MOTOR,G81,MOT_MARCA,E81,MOT_DESDE,"&lt;="&amp;M81,MOT_HASTA,"&gt;="&amp;M81)+SUMIFS(MOT_AJUSTE,MOT_MOTOR,G81,MOT_MARCA,"(todas)",MOT_DESDE,"&lt;="&amp;M81,MOT_HASTA,"&gt;="&amp;M81)+SUMIFS(MOT_AJUSTE,MOT_MOTOR,"(cualquiera)",MOT_MARCA,E81,MOT_DESDE,"&lt;="&amp;M81,MOT_HASTA,"&gt;="&amp;M81)</f>
        <v/>
      </c>
      <c r="CP81" s="3">
        <f>SUMIFS(COMB_AJUSTE,COMB_COMB,K81)</f>
        <v/>
      </c>
      <c r="CQ81" s="3">
        <f>COUNTIFS(MOT_MOTOR,G81,MOT_MARCA,E81,MOT_DESDE,"&lt;="&amp;M81,MOT_HASTA,"&gt;="&amp;M81)+COUNTIFS(MOT_MOTOR,G81,MOT_MARCA,"(todas)",MOT_DESDE,"&lt;="&amp;M81,MOT_HASTA,"&gt;="&amp;M81)+COUNTIFS(MOT_MOTOR,"(cualquiera)",MOT_MARCA,E81,MOT_DESDE,"&lt;="&amp;M81,MOT_HASTA,"&gt;="&amp;M81)</f>
        <v/>
      </c>
      <c r="CR81" s="3">
        <f>IF(AND(K81="diesel",CQ81=0),MIN(CN81,NEUTRO),CN81)</f>
        <v/>
      </c>
      <c r="CS81" s="3">
        <f>MAX(0,MIN(100,CR81+CO81+CP81-IF(AX81="sí",ROB_PEN,0)))</f>
        <v/>
      </c>
      <c r="CT81" s="3">
        <f>100-MAX(0,N81-KM_TOPE_DESDE)/1000*KM_TOPE_PTS</f>
        <v/>
      </c>
      <c r="CU81" s="3">
        <f>MAX(0,MIN(100,50+CG81*PRECIO_PEND,CT81))</f>
        <v/>
      </c>
      <c r="CV81" s="3">
        <f>MAX(0,100*(1-N81/KM_MAX))</f>
        <v/>
      </c>
      <c r="CW81" s="3">
        <f>IF(BX81&lt;KMA_SOSP,IF(AA81="sí",100,KMA_PEN),IF(BX81&lt;=KMA_IDEAL_MAX,100,MAX(0,100*(KMA_CERO-BX81)/(KMA_CERO-KMA_IDEAL_MAX))))</f>
        <v/>
      </c>
      <c r="CX81" s="3">
        <f>MAX(0,MIN(100,100*(M81-ANIO_MIN)/(ANIO_ACTUAL-ANIO_MIN)))</f>
        <v/>
      </c>
      <c r="CY81" s="3">
        <f>W_KMT*CV81+W_KMA*CW81+W_EDAD*CX81</f>
        <v/>
      </c>
      <c r="CZ81" s="4">
        <f>E81&amp;"|"&amp;G81</f>
        <v/>
      </c>
      <c r="DA81" s="3">
        <f>IFERROR(VLOOKUP(CZ81,DIST_TBL,2,0),"")</f>
        <v/>
      </c>
      <c r="DB81" s="3">
        <f>E_ITV*(V81="sí")+E_LIBRO*(W81="sí")+E_PROP*IF(Y81=1,1,IF(Y81=2,0.5,0))+E_CORREA*IF(OR(DA81="cadena",AND(X81="sí",BH81="sí")),1,IF(X81="sí",0.5,0))+E_FACT*(BI81="sí")</f>
        <v/>
      </c>
      <c r="DC81" s="3">
        <f>MAX(0,MIN(100,IFERROR(VLOOKUP(CL81,ETQ_TBL,2,0),0)-IF(CM81="sí",ETQ_PEN_DUD,IF(AS81="regla",ETQ_PEN_REGLA,0))))</f>
        <v/>
      </c>
      <c r="DD81" s="3">
        <f>IF(K81&lt;&gt;"gasolina","",IFERROR(VLOOKUP(F81,CONS_MOD_TBL,2,0),IFERROR(VLOOKUP(L81,CONS_SEG_TBL,2,0),"")))</f>
        <v/>
      </c>
      <c r="DE81" s="3">
        <f>IF(DD81="",NEUTRO,MAX(0,MIN(100,100*(CONS_REF_MAX-DD81)/(CONS_REF_MAX-CONS_REF_MIN))))</f>
        <v/>
      </c>
      <c r="DF81" s="3">
        <f>IFERROR(VLOOKUP(L81,SEGURO_TBL,3,0),"")</f>
        <v/>
      </c>
      <c r="DG81" s="3">
        <f>IF(DF81="",NEUTRO,MAX(0,MIN(100,100*(SEG_REF_MAX-DF81)/(SEG_REF_MAX-SEG_REF_MIN))))</f>
        <v/>
      </c>
      <c r="DH81" s="3">
        <f>IFERROR(VLOOKUP(E81,MANT_MARCA_TBL,2,0)+0,NEUTRO)</f>
        <v/>
      </c>
      <c r="DI81" s="3">
        <f>IF(DA81="",NEUTRO,IFERROR(VLOOKUP(DA81,DIST_PTS_TBL,2,0)+0,NEUTRO))</f>
        <v/>
      </c>
      <c r="DJ81" s="4">
        <f>(DH81+DI81)/2</f>
        <v/>
      </c>
      <c r="DK81" s="3">
        <f>W_CONS*DE81+W_SEG*DG81+W_MANT*DJ81</f>
        <v/>
      </c>
      <c r="DL81" s="3">
        <f>IF(N(AB81)&gt;0,AB81,IF(AND(R81="profesional",SG_LEGAL_ON=1),GAR_LEGAL,0))</f>
        <v/>
      </c>
      <c r="DM81" s="3">
        <f>MAX(0,MIN(100,SG_GAR*MIN(1,DL81/SG_GAR_FULL)+SG_AMPL*(AC81="sí")+SG_KMC*(AF81="sí")+SG_REV*(N(AE81)&gt;0)+SG_DEV*MIN(1,N(AG81)/SG_DEV_FULL)+SG_HIST*(W81="sí")-IF(AND(R81="particular",DL81=0),SG_PART_PEN,0)))</f>
        <v/>
      </c>
      <c r="DN81" s="3">
        <f>IF(BK81="",NEUTRO,MAX(0,MIN(100,BK81/5*100)))</f>
        <v/>
      </c>
      <c r="DO81" s="3">
        <f>IF(BL81="sí",100,IF(BL81="no",0,NEUTRO))</f>
        <v/>
      </c>
      <c r="DP81" s="3">
        <f>SV_W_NCAP*DN81+SV_W_ESP*DO81</f>
        <v/>
      </c>
      <c r="DQ81" s="3">
        <f>MAX(0,MIN(100,ATR_BASE+ATR_ACAB*(BD81&lt;&gt;"")+IF(BE81="16+",ATR_LL16,IF(BE81="sí",ATR_LL,0))+ATR_FAROS*(BF81="sí")+ATR_TINT*(BG81="sí")-ATR_CHAPA*(BE81="chapa")))</f>
        <v/>
      </c>
      <c r="DR81" s="3">
        <f>EST_W_MOD*(BB81-1)/4*100+EST_W_ATR*DQ81</f>
        <v/>
      </c>
      <c r="DS81" s="3">
        <f>IF(BA81="",NEUTRO,IFERROR(VLOOKUP(BA81,COLOR_TBL,2,0)+0,NEUTRO))</f>
        <v/>
      </c>
      <c r="DT81" s="3">
        <f>MAX(0,MIN(100,100*N(BM81)/RV_N_FULL))</f>
        <v/>
      </c>
      <c r="DU81" s="3">
        <f>IF(OR(BN81="",N(BO81)&lt;RV_DIAS_MIN),NEUTRO,MAX(0,MIN(100,100*(RV_DIAS_CERO-BN81)/(RV_DIAS_CERO-RV_DIAS_FULL))))</f>
        <v/>
      </c>
      <c r="DV81" s="3">
        <f>RV_W_LIQ*DT81+RV_W_DIAS*DU81+RV_W_ETQ*DC81</f>
        <v/>
      </c>
      <c r="DW81" s="3">
        <f>IFERROR(VLOOKUP(L81,CARR_PEN_TBL,2,0),0)</f>
        <v/>
      </c>
      <c r="DX81" s="3">
        <f>W_FIAB*CS81+W_PRECIO*CU81+W_KMEDAD*CY81+W_ESTADO*DB81+W_USO*DK81+W_SEGURIDAD*DM81+W_SEGVIAL*DP81+W_ESTETICA*DR81+W_COLOR*DS81+W_REVENTA*DV81-DW81-EG81</f>
        <v/>
      </c>
      <c r="DY81" s="4">
        <f>IF(N(I81)&gt;0,I81,IFERROR(ROUND(_xlfn.NUMBERVALUE(LEFT(G81,FIND(" ",G81&amp;" ")-1),".")*1000,0),99999))</f>
        <v/>
      </c>
      <c r="DZ81" s="3">
        <f>IF(R81="profesional",0,IF(O81&lt;CUOTA_VALOR_MAX,IF(BW81&gt;ITP_TRAMO_ALTO,SUMIFS(CF_CUOTA,CF_MAS,ITP_TRAMO_ALTO,CF_CCMIN,"&lt;="&amp;DY81,CF_CCMAX,"&gt;="&amp;DY81),IF(BW81&gt;ITP_TRAMO_BAJO,SUMIFS(CF_CUOTA,CF_MAS,ITP_TRAMO_BAJO,CF_CCMIN,"&lt;="&amp;DY81,CF_CCMAX,"&gt;="&amp;DY81),O81*ITP_TIPO)),O81*ITP_TIPO))</f>
        <v/>
      </c>
      <c r="EA81" s="4">
        <f>IF(R81="profesional",N(AK81),0)</f>
        <v/>
      </c>
      <c r="EB81" s="3">
        <f>IF(AND(R81="profesional",ISNUMBER(AK81),AL81="sí"),0,TASA_DGT)</f>
        <v/>
      </c>
      <c r="EC81" s="3">
        <f>INFORME_DGT</f>
        <v/>
      </c>
      <c r="ED81" s="4">
        <f>O81+EA81+DZ81+EB81+EC81</f>
        <v/>
      </c>
      <c r="EE81" s="4">
        <f>ED81+N(DF81)</f>
        <v/>
      </c>
      <c r="EF81" s="3">
        <f>MAX(0,ED81-TOTAL_MAX)</f>
        <v/>
      </c>
      <c r="EG81" s="3">
        <f>EF81/100*PEN_100</f>
        <v/>
      </c>
      <c r="EH81" s="3">
        <f>IF(R81="particular",ED81+IF(AND(DA81&lt;&gt;"cadena",X81&lt;&gt;"sí"),RES_CORREA,0)+IF(AND(BJ81&lt;&gt;"sí",BW81&gt;=RES_NEUM_EDAD),RES_NEUM,0),"")</f>
        <v/>
      </c>
      <c r="EI81" s="3">
        <f>IF(ED81&lt;=TOTAL_MAX,"sí",IF(ED81&lt;=TECHO,"negociar","no"))</f>
        <v/>
      </c>
      <c r="EJ81" s="4">
        <f>ROUND(DX81,9)</f>
        <v/>
      </c>
      <c r="EK81" s="4">
        <f>IF(EI81&lt;&gt;"no",SUMPRODUCT(($EI$2:$EI$209&lt;&gt;"no")*($EJ$2:$EJ$209&gt;EJ81))+SUMPRODUCT(($EI$2:EI81&lt;&gt;"no")*($EJ$2:EJ81=EJ81)),"")</f>
        <v/>
      </c>
    </row>
    <row r="82">
      <c r="A82" s="2" t="inlineStr">
        <is>
          <t>cochesnet:71764589</t>
        </is>
      </c>
      <c r="B82" s="2" t="inlineStr">
        <is>
          <t>cochesnet</t>
        </is>
      </c>
      <c r="C82" s="2" t="inlineStr">
        <is>
          <t>https://www.coches.net/peugeot-207-sw-confort-14-vti-16v-95-5p-gasolina-2009-en-valencia-71764589-covo.aspx</t>
        </is>
      </c>
      <c r="D82" s="2" t="inlineStr">
        <is>
          <t>PEUGEOT 207 SW Confort 1.4 VTi 16v 95</t>
        </is>
      </c>
      <c r="E82" s="2" t="inlineStr">
        <is>
          <t>Peugeot</t>
        </is>
      </c>
      <c r="F82" s="2" t="inlineStr">
        <is>
          <t>Peugeot 207</t>
        </is>
      </c>
      <c r="G82" s="2" t="inlineStr">
        <is>
          <t>1.4 VTi</t>
        </is>
      </c>
      <c r="H82" s="2" t="inlineStr">
        <is>
          <t>SW Confort 1.4 VTi 16v 95</t>
        </is>
      </c>
      <c r="I82" s="2" t="n"/>
      <c r="J82" s="2" t="n"/>
      <c r="K82" s="2" t="inlineStr">
        <is>
          <t>gasolina</t>
        </is>
      </c>
      <c r="L82" s="2" t="inlineStr">
        <is>
          <t>familiar</t>
        </is>
      </c>
      <c r="M82" s="2" t="n">
        <v>2009</v>
      </c>
      <c r="N82" s="2" t="n">
        <v>59000</v>
      </c>
      <c r="O82" s="2" t="n">
        <v>4990</v>
      </c>
      <c r="P82" s="2" t="inlineStr">
        <is>
          <t>manual</t>
        </is>
      </c>
      <c r="Q82" s="2" t="inlineStr">
        <is>
          <t>no</t>
        </is>
      </c>
      <c r="R82" s="2" t="inlineStr">
        <is>
          <t>profesional</t>
        </is>
      </c>
      <c r="S82" s="2" t="inlineStr">
        <is>
          <t>Bonrepòs i Mirambell</t>
        </is>
      </c>
      <c r="T82" s="2" t="inlineStr">
        <is>
          <t>2026-10-16T17:40:18Z</t>
        </is>
      </c>
      <c r="U82" s="2" t="n">
        <v>25</v>
      </c>
      <c r="V82" s="2" t="inlineStr">
        <is>
          <t>sí</t>
        </is>
      </c>
      <c r="W82" s="2" t="n"/>
      <c r="X82" s="2" t="n"/>
      <c r="Y82" s="2" t="n"/>
      <c r="Z82" s="2" t="inlineStr">
        <is>
          <t>sí</t>
        </is>
      </c>
      <c r="AA82" s="2" t="n"/>
      <c r="AB82" s="2" t="n">
        <v>12</v>
      </c>
      <c r="AC82" s="2" t="n"/>
      <c r="AD82" s="2" t="n"/>
      <c r="AE82" s="2" t="n"/>
      <c r="AF82" s="2" t="inlineStr">
        <is>
          <t>sí</t>
        </is>
      </c>
      <c r="AG82" s="2" t="n"/>
      <c r="AH82" s="2" t="n">
        <v>4990</v>
      </c>
      <c r="AI82" s="2" t="n"/>
      <c r="AJ82" s="2" t="n"/>
      <c r="AK82" s="2" t="n"/>
      <c r="AL82" s="2" t="n"/>
      <c r="AM82" s="2" t="n">
        <v>5.3</v>
      </c>
      <c r="AN82" s="2" t="n"/>
      <c r="AO82" s="2" t="inlineStr">
        <is>
          <t>2009</t>
        </is>
      </c>
      <c r="AP82" s="2" t="n">
        <v>2009</v>
      </c>
      <c r="AQ82" s="2" t="n"/>
      <c r="AR82" s="2" t="n"/>
      <c r="AS82" s="2" t="inlineStr">
        <is>
          <t>regla</t>
        </is>
      </c>
      <c r="AT82" s="2" t="n"/>
      <c r="AU82" s="2" t="inlineStr">
        <is>
          <t>no</t>
        </is>
      </c>
      <c r="AV82" s="2" t="inlineStr">
        <is>
          <t>C</t>
        </is>
      </c>
      <c r="AW82" s="2" t="n"/>
      <c r="AX82" s="2" t="inlineStr">
        <is>
          <t>no</t>
        </is>
      </c>
      <c r="AY82" s="2" t="inlineStr">
        <is>
          <t>no</t>
        </is>
      </c>
      <c r="AZ82" s="2" t="inlineStr">
        <is>
          <t>COMMON.COLOR_GRAY</t>
        </is>
      </c>
      <c r="BA82" s="2" t="inlineStr">
        <is>
          <t>gris_medio</t>
        </is>
      </c>
      <c r="BB82" s="3" t="n">
        <v>3</v>
      </c>
      <c r="BC82" s="3" t="inlineStr">
        <is>
          <t>(por segmento)</t>
        </is>
      </c>
      <c r="BD82" s="2" t="n"/>
      <c r="BE82" s="2" t="inlineStr">
        <is>
          <t>sí</t>
        </is>
      </c>
      <c r="BF82" s="2" t="n"/>
      <c r="BG82" s="2" t="n"/>
      <c r="BH82" s="2" t="n"/>
      <c r="BI82" s="2" t="n"/>
      <c r="BJ82" s="2" t="n"/>
      <c r="BK82" s="2" t="n">
        <v>5</v>
      </c>
      <c r="BL82" s="2" t="n"/>
      <c r="BM82" s="2" t="n">
        <v>125</v>
      </c>
      <c r="BN82" s="2" t="n"/>
      <c r="BO82" s="2" t="n">
        <v>0</v>
      </c>
      <c r="BP82" s="2" t="n">
        <v>4750</v>
      </c>
      <c r="BQ82" s="2" t="n">
        <v>13</v>
      </c>
      <c r="BR82" s="2" t="inlineStr">
        <is>
          <t>modelo+año+km</t>
        </is>
      </c>
      <c r="BS82" s="2" t="n"/>
      <c r="BT82" s="2" t="inlineStr">
        <is>
          <t>por encima del presupuesto: negociar 54 € (coste 5054 €; -1.1 puntos); vendedor profesional: sin ITP (operación con IVA/REBU, confirmar en factura); gastos de gestión del vendedor no indicados: se suma la tasa DGT; preguntar el precio final; carrocería familiar: -3 puntos; etiqueta C deducida por fecha (sin matrícula ni dato del anuncio); fiabilidad del modelo PENDIENTE de fuente (puntuación neutra)</t>
        </is>
      </c>
      <c r="BU82" s="2" t="inlineStr">
        <is>
          <t>ELEGANZA AUTOMÓVILES
Peugeot 207 SW 2009. Vehículo nacional, en excelente estado, con ITV en vigor, kilómetros certificados y en perfecto estado de conservación.
Equipamiento:
- Aire acondicionado bizona
- Techo panorámico
- Radio CD 
- Elevalunas eléctricos
- Retrovisores ajustables eléctricamente 
- Cierre centralizado
- Dirección asistida
- Ordenador de a bordo
- Barras de techo
- Llantas de aleación
- Volante multifuncional
- Tapicería en muy buen estado
- Sistema de audio
Vehículo familiar compacto, práctico y con amplio maletero, ideal para el día a día y escapadas.
Incluye 1 año de garantía en motor.
Posibilidad de recoger vehículo como parte de pago.
Solicita más información sin compromiso.
Abrimos los 365 días del año.</t>
        </is>
      </c>
      <c r="BV82" s="2" t="inlineStr">
        <is>
          <t>https://www.coches.net/peugeot-207-sw-confort-14-vti-16v-95-5p-gasolina-2009-en-valencia-71764589-covo.aspx (window.__INITIAL_PROPS__.ad) /home/user/Alopecia/buscador-coches/raw/cochesnet/edf888509d6254ce.json</t>
        </is>
      </c>
      <c r="BW82" s="3">
        <f>MAX(ANIO_ACTUAL-M82,0)</f>
        <v/>
      </c>
      <c r="BX82" s="4">
        <f>N82/MAX(BW82,0.5)</f>
        <v/>
      </c>
      <c r="BY82" s="4">
        <f>F82</f>
        <v/>
      </c>
      <c r="BZ82" s="3">
        <f>BY82&amp;"|"&amp;INT(M82/SEG_ANIO)*SEG_ANIO</f>
        <v/>
      </c>
      <c r="CA82" s="3">
        <f>BZ82&amp;"|"&amp;INT(N82/SEG_KM)*SEG_KM</f>
        <v/>
      </c>
      <c r="CB82" s="4">
        <f>COUNTIF($BY$2:$BY$209,BY82)</f>
        <v/>
      </c>
      <c r="CC82" s="4">
        <f>COUNTIF($BZ$2:$BZ$209,BZ82)</f>
        <v/>
      </c>
      <c r="CD82" s="4">
        <f>COUNTIF($CA$2:$CA$209,CA82)</f>
        <v/>
      </c>
      <c r="CE82" s="3">
        <f t="array" ref="CE82">IF(N(BQ82)&gt;=MIN_N,BP82,IF(CD82&gt;=MIN_N,MEDIAN(IF($CA$2:$CA$209=CA82,$O$2:$O$209)),IF(CC82&gt;=MIN_N,MEDIAN(IF($BZ$2:$BZ$209=BZ82,$O$2:$O$209)),MEDIAN(IF($BY$2:$BY$209=BY82,$O$2:$O$209)))))</f>
        <v/>
      </c>
      <c r="CF82" s="3">
        <f>IF(N(BQ82)&gt;=MIN_N,"mercado "&amp;BR82,IF(CD82&gt;=MIN_N,"modelo+año+km",IF(CC82&gt;=MIN_N,"modelo+año","modelo")))</f>
        <v/>
      </c>
      <c r="CG82" s="4">
        <f>(CE82-O82)/CE82</f>
        <v/>
      </c>
      <c r="CH82" s="3">
        <f>IF(COUNTIFS(FR_FUEL,K82,FR_YEAR,AP82)&gt;0,1,0)</f>
        <v/>
      </c>
      <c r="CI82" s="3">
        <f>IF(COUNTIFS(FR_FUEL,K82,FR_YEAR,AP82-1)&gt;0,1,0)</f>
        <v/>
      </c>
      <c r="CJ82" s="4">
        <f>IF(N(AQ82)&gt;0,AP82*100+AQ82,IF(AND(CH82=1,CI82=1),(AP82-1)*100+1,AP82*100+1))</f>
        <v/>
      </c>
      <c r="CK82" s="3">
        <f>IF(OR(K82="hibrido",K82="glp",K82="gnc",K82="phev"),"ECO",IF(K82="electrico","CERO",IF(K82="gasolina",IF(CJ82&gt;=GAS_C_YM,"C",IF(CJ82&gt;=GAS_B_YM,"B","A")),IF(K82="diesel",IF(CJ82&gt;=DIE_C_YM,"C",IF(CJ82&gt;=DIE_B_YM,"B","A")),""))))</f>
        <v/>
      </c>
      <c r="CL82" s="4">
        <f>CK82</f>
        <v/>
      </c>
      <c r="CM82" s="4">
        <f>IF(AU82="sí","sí",IF(AS82="regla",IF(AND(N(AQ82)=0,CH82=1),"sí","no"),"no"))</f>
        <v/>
      </c>
      <c r="CN82" s="3">
        <f>IFERROR(VLOOKUP(F82,MOD_TBL,16,0),IFERROR(VLOOKUP(E82,OCU_TBL,2,0),NEUTRO))</f>
        <v/>
      </c>
      <c r="CO82" s="3">
        <f>SUMIFS(MOT_AJUSTE,MOT_MOTOR,G82,MOT_MARCA,E82,MOT_DESDE,"&lt;="&amp;M82,MOT_HASTA,"&gt;="&amp;M82)+SUMIFS(MOT_AJUSTE,MOT_MOTOR,G82,MOT_MARCA,"(todas)",MOT_DESDE,"&lt;="&amp;M82,MOT_HASTA,"&gt;="&amp;M82)+SUMIFS(MOT_AJUSTE,MOT_MOTOR,"(cualquiera)",MOT_MARCA,E82,MOT_DESDE,"&lt;="&amp;M82,MOT_HASTA,"&gt;="&amp;M82)</f>
        <v/>
      </c>
      <c r="CP82" s="3">
        <f>SUMIFS(COMB_AJUSTE,COMB_COMB,K82)</f>
        <v/>
      </c>
      <c r="CQ82" s="3">
        <f>COUNTIFS(MOT_MOTOR,G82,MOT_MARCA,E82,MOT_DESDE,"&lt;="&amp;M82,MOT_HASTA,"&gt;="&amp;M82)+COUNTIFS(MOT_MOTOR,G82,MOT_MARCA,"(todas)",MOT_DESDE,"&lt;="&amp;M82,MOT_HASTA,"&gt;="&amp;M82)+COUNTIFS(MOT_MOTOR,"(cualquiera)",MOT_MARCA,E82,MOT_DESDE,"&lt;="&amp;M82,MOT_HASTA,"&gt;="&amp;M82)</f>
        <v/>
      </c>
      <c r="CR82" s="3">
        <f>IF(AND(K82="diesel",CQ82=0),MIN(CN82,NEUTRO),CN82)</f>
        <v/>
      </c>
      <c r="CS82" s="3">
        <f>MAX(0,MIN(100,CR82+CO82+CP82-IF(AX82="sí",ROB_PEN,0)))</f>
        <v/>
      </c>
      <c r="CT82" s="3">
        <f>100-MAX(0,N82-KM_TOPE_DESDE)/1000*KM_TOPE_PTS</f>
        <v/>
      </c>
      <c r="CU82" s="3">
        <f>MAX(0,MIN(100,50+CG82*PRECIO_PEND,CT82))</f>
        <v/>
      </c>
      <c r="CV82" s="3">
        <f>MAX(0,100*(1-N82/KM_MAX))</f>
        <v/>
      </c>
      <c r="CW82" s="3">
        <f>IF(BX82&lt;KMA_SOSP,IF(AA82="sí",100,KMA_PEN),IF(BX82&lt;=KMA_IDEAL_MAX,100,MAX(0,100*(KMA_CERO-BX82)/(KMA_CERO-KMA_IDEAL_MAX))))</f>
        <v/>
      </c>
      <c r="CX82" s="3">
        <f>MAX(0,MIN(100,100*(M82-ANIO_MIN)/(ANIO_ACTUAL-ANIO_MIN)))</f>
        <v/>
      </c>
      <c r="CY82" s="3">
        <f>W_KMT*CV82+W_KMA*CW82+W_EDAD*CX82</f>
        <v/>
      </c>
      <c r="CZ82" s="4">
        <f>E82&amp;"|"&amp;G82</f>
        <v/>
      </c>
      <c r="DA82" s="3">
        <f>IFERROR(VLOOKUP(CZ82,DIST_TBL,2,0),"")</f>
        <v/>
      </c>
      <c r="DB82" s="3">
        <f>E_ITV*(V82="sí")+E_LIBRO*(W82="sí")+E_PROP*IF(Y82=1,1,IF(Y82=2,0.5,0))+E_CORREA*IF(OR(DA82="cadena",AND(X82="sí",BH82="sí")),1,IF(X82="sí",0.5,0))+E_FACT*(BI82="sí")</f>
        <v/>
      </c>
      <c r="DC82" s="3">
        <f>MAX(0,MIN(100,IFERROR(VLOOKUP(CL82,ETQ_TBL,2,0),0)-IF(CM82="sí",ETQ_PEN_DUD,IF(AS82="regla",ETQ_PEN_REGLA,0))))</f>
        <v/>
      </c>
      <c r="DD82" s="3">
        <f>IF(K82&lt;&gt;"gasolina","",IFERROR(VLOOKUP(F82,CONS_MOD_TBL,2,0),IFERROR(VLOOKUP(L82,CONS_SEG_TBL,2,0),"")))</f>
        <v/>
      </c>
      <c r="DE82" s="3">
        <f>IF(DD82="",NEUTRO,MAX(0,MIN(100,100*(CONS_REF_MAX-DD82)/(CONS_REF_MAX-CONS_REF_MIN))))</f>
        <v/>
      </c>
      <c r="DF82" s="3">
        <f>IFERROR(VLOOKUP(L82,SEGURO_TBL,3,0),"")</f>
        <v/>
      </c>
      <c r="DG82" s="3">
        <f>IF(DF82="",NEUTRO,MAX(0,MIN(100,100*(SEG_REF_MAX-DF82)/(SEG_REF_MAX-SEG_REF_MIN))))</f>
        <v/>
      </c>
      <c r="DH82" s="3">
        <f>IFERROR(VLOOKUP(E82,MANT_MARCA_TBL,2,0)+0,NEUTRO)</f>
        <v/>
      </c>
      <c r="DI82" s="3">
        <f>IF(DA82="",NEUTRO,IFERROR(VLOOKUP(DA82,DIST_PTS_TBL,2,0)+0,NEUTRO))</f>
        <v/>
      </c>
      <c r="DJ82" s="4">
        <f>(DH82+DI82)/2</f>
        <v/>
      </c>
      <c r="DK82" s="3">
        <f>W_CONS*DE82+W_SEG*DG82+W_MANT*DJ82</f>
        <v/>
      </c>
      <c r="DL82" s="3">
        <f>IF(N(AB82)&gt;0,AB82,IF(AND(R82="profesional",SG_LEGAL_ON=1),GAR_LEGAL,0))</f>
        <v/>
      </c>
      <c r="DM82" s="3">
        <f>MAX(0,MIN(100,SG_GAR*MIN(1,DL82/SG_GAR_FULL)+SG_AMPL*(AC82="sí")+SG_KMC*(AF82="sí")+SG_REV*(N(AE82)&gt;0)+SG_DEV*MIN(1,N(AG82)/SG_DEV_FULL)+SG_HIST*(W82="sí")-IF(AND(R82="particular",DL82=0),SG_PART_PEN,0)))</f>
        <v/>
      </c>
      <c r="DN82" s="3">
        <f>IF(BK82="",NEUTRO,MAX(0,MIN(100,BK82/5*100)))</f>
        <v/>
      </c>
      <c r="DO82" s="3">
        <f>IF(BL82="sí",100,IF(BL82="no",0,NEUTRO))</f>
        <v/>
      </c>
      <c r="DP82" s="3">
        <f>SV_W_NCAP*DN82+SV_W_ESP*DO82</f>
        <v/>
      </c>
      <c r="DQ82" s="3">
        <f>MAX(0,MIN(100,ATR_BASE+ATR_ACAB*(BD82&lt;&gt;"")+IF(BE82="16+",ATR_LL16,IF(BE82="sí",ATR_LL,0))+ATR_FAROS*(BF82="sí")+ATR_TINT*(BG82="sí")-ATR_CHAPA*(BE82="chapa")))</f>
        <v/>
      </c>
      <c r="DR82" s="3">
        <f>EST_W_MOD*(BB82-1)/4*100+EST_W_ATR*DQ82</f>
        <v/>
      </c>
      <c r="DS82" s="3">
        <f>IF(BA82="",NEUTRO,IFERROR(VLOOKUP(BA82,COLOR_TBL,2,0)+0,NEUTRO))</f>
        <v/>
      </c>
      <c r="DT82" s="3">
        <f>MAX(0,MIN(100,100*N(BM82)/RV_N_FULL))</f>
        <v/>
      </c>
      <c r="DU82" s="3">
        <f>IF(OR(BN82="",N(BO82)&lt;RV_DIAS_MIN),NEUTRO,MAX(0,MIN(100,100*(RV_DIAS_CERO-BN82)/(RV_DIAS_CERO-RV_DIAS_FULL))))</f>
        <v/>
      </c>
      <c r="DV82" s="3">
        <f>RV_W_LIQ*DT82+RV_W_DIAS*DU82+RV_W_ETQ*DC82</f>
        <v/>
      </c>
      <c r="DW82" s="3">
        <f>IFERROR(VLOOKUP(L82,CARR_PEN_TBL,2,0),0)</f>
        <v/>
      </c>
      <c r="DX82" s="3">
        <f>W_FIAB*CS82+W_PRECIO*CU82+W_KMEDAD*CY82+W_ESTADO*DB82+W_USO*DK82+W_SEGURIDAD*DM82+W_SEGVIAL*DP82+W_ESTETICA*DR82+W_COLOR*DS82+W_REVENTA*DV82-DW82-EG82</f>
        <v/>
      </c>
      <c r="DY82" s="4">
        <f>IF(N(I82)&gt;0,I82,IFERROR(ROUND(_xlfn.NUMBERVALUE(LEFT(G82,FIND(" ",G82&amp;" ")-1),".")*1000,0),99999))</f>
        <v/>
      </c>
      <c r="DZ82" s="3">
        <f>IF(R82="profesional",0,IF(O82&lt;CUOTA_VALOR_MAX,IF(BW82&gt;ITP_TRAMO_ALTO,SUMIFS(CF_CUOTA,CF_MAS,ITP_TRAMO_ALTO,CF_CCMIN,"&lt;="&amp;DY82,CF_CCMAX,"&gt;="&amp;DY82),IF(BW82&gt;ITP_TRAMO_BAJO,SUMIFS(CF_CUOTA,CF_MAS,ITP_TRAMO_BAJO,CF_CCMIN,"&lt;="&amp;DY82,CF_CCMAX,"&gt;="&amp;DY82),O82*ITP_TIPO)),O82*ITP_TIPO))</f>
        <v/>
      </c>
      <c r="EA82" s="4">
        <f>IF(R82="profesional",N(AK82),0)</f>
        <v/>
      </c>
      <c r="EB82" s="3">
        <f>IF(AND(R82="profesional",ISNUMBER(AK82),AL82="sí"),0,TASA_DGT)</f>
        <v/>
      </c>
      <c r="EC82" s="3">
        <f>INFORME_DGT</f>
        <v/>
      </c>
      <c r="ED82" s="4">
        <f>O82+EA82+DZ82+EB82+EC82</f>
        <v/>
      </c>
      <c r="EE82" s="4">
        <f>ED82+N(DF82)</f>
        <v/>
      </c>
      <c r="EF82" s="3">
        <f>MAX(0,ED82-TOTAL_MAX)</f>
        <v/>
      </c>
      <c r="EG82" s="3">
        <f>EF82/100*PEN_100</f>
        <v/>
      </c>
      <c r="EH82" s="3">
        <f>IF(R82="particular",ED82+IF(AND(DA82&lt;&gt;"cadena",X82&lt;&gt;"sí"),RES_CORREA,0)+IF(AND(BJ82&lt;&gt;"sí",BW82&gt;=RES_NEUM_EDAD),RES_NEUM,0),"")</f>
        <v/>
      </c>
      <c r="EI82" s="3">
        <f>IF(ED82&lt;=TOTAL_MAX,"sí",IF(ED82&lt;=TECHO,"negociar","no"))</f>
        <v/>
      </c>
      <c r="EJ82" s="4">
        <f>ROUND(DX82,9)</f>
        <v/>
      </c>
      <c r="EK82" s="4">
        <f>IF(EI82&lt;&gt;"no",SUMPRODUCT(($EI$2:$EI$209&lt;&gt;"no")*($EJ$2:$EJ$209&gt;EJ82))+SUMPRODUCT(($EI$2:EI82&lt;&gt;"no")*($EJ$2:EJ82=EJ82)),"")</f>
        <v/>
      </c>
    </row>
    <row r="83">
      <c r="A83" s="2" t="inlineStr">
        <is>
          <t>cochesnet:71618681</t>
        </is>
      </c>
      <c r="B83" s="2" t="inlineStr">
        <is>
          <t>cochesnet</t>
        </is>
      </c>
      <c r="C83" s="2" t="inlineStr">
        <is>
          <t>https://www.coches.net/peugeot-207-confort-14-vti-16v-95-5p-gasolina-2008-en-valencia-71618681-covo.aspx</t>
        </is>
      </c>
      <c r="D83" s="2" t="inlineStr">
        <is>
          <t>PEUGEOT 207 Confort 1.4 VTi 16v 95</t>
        </is>
      </c>
      <c r="E83" s="2" t="inlineStr">
        <is>
          <t>Peugeot</t>
        </is>
      </c>
      <c r="F83" s="2" t="inlineStr">
        <is>
          <t>Peugeot 207</t>
        </is>
      </c>
      <c r="G83" s="2" t="inlineStr">
        <is>
          <t>1.4 VTi</t>
        </is>
      </c>
      <c r="H83" s="2" t="inlineStr">
        <is>
          <t>Confort 1.4 VTi 16v 95</t>
        </is>
      </c>
      <c r="I83" s="2" t="n"/>
      <c r="J83" s="2" t="n"/>
      <c r="K83" s="2" t="inlineStr">
        <is>
          <t>gasolina</t>
        </is>
      </c>
      <c r="L83" s="2" t="inlineStr">
        <is>
          <t>utilitario</t>
        </is>
      </c>
      <c r="M83" s="2" t="n">
        <v>2008</v>
      </c>
      <c r="N83" s="2" t="n">
        <v>80000</v>
      </c>
      <c r="O83" s="2" t="n">
        <v>4990</v>
      </c>
      <c r="P83" s="2" t="inlineStr">
        <is>
          <t>manual</t>
        </is>
      </c>
      <c r="Q83" s="2" t="inlineStr">
        <is>
          <t>no</t>
        </is>
      </c>
      <c r="R83" s="2" t="inlineStr">
        <is>
          <t>profesional</t>
        </is>
      </c>
      <c r="S83" s="2" t="inlineStr">
        <is>
          <t>Cullera</t>
        </is>
      </c>
      <c r="T83" s="2" t="inlineStr">
        <is>
          <t>2026-09-28T19:59:29Z</t>
        </is>
      </c>
      <c r="U83" s="2" t="n">
        <v>9</v>
      </c>
      <c r="V83" s="2" t="n"/>
      <c r="W83" s="2" t="n"/>
      <c r="X83" s="2" t="n"/>
      <c r="Y83" s="2" t="n"/>
      <c r="Z83" s="2" t="inlineStr">
        <is>
          <t>sí</t>
        </is>
      </c>
      <c r="AA83" s="2" t="n"/>
      <c r="AB83" s="2" t="n">
        <v>12</v>
      </c>
      <c r="AC83" s="2" t="n"/>
      <c r="AD83" s="2" t="n"/>
      <c r="AE83" s="2" t="n"/>
      <c r="AF83" s="2" t="n"/>
      <c r="AG83" s="2" t="n"/>
      <c r="AH83" s="2" t="n">
        <v>4990</v>
      </c>
      <c r="AI83" s="2" t="n"/>
      <c r="AJ83" s="2" t="n"/>
      <c r="AK83" s="2" t="n"/>
      <c r="AL83" s="2" t="n"/>
      <c r="AM83" s="2" t="n">
        <v>35.4</v>
      </c>
      <c r="AN83" s="2" t="n"/>
      <c r="AO83" s="2" t="inlineStr">
        <is>
          <t>2008</t>
        </is>
      </c>
      <c r="AP83" s="2" t="n">
        <v>2008</v>
      </c>
      <c r="AQ83" s="2" t="n"/>
      <c r="AR83" s="2" t="inlineStr">
        <is>
          <t>C</t>
        </is>
      </c>
      <c r="AS83" s="2" t="inlineStr">
        <is>
          <t>anuncio</t>
        </is>
      </c>
      <c r="AT83" s="2" t="n"/>
      <c r="AU83" s="2" t="inlineStr">
        <is>
          <t>no</t>
        </is>
      </c>
      <c r="AV83" s="2" t="inlineStr">
        <is>
          <t>C</t>
        </is>
      </c>
      <c r="AW83" s="2" t="n"/>
      <c r="AX83" s="2" t="inlineStr">
        <is>
          <t>no</t>
        </is>
      </c>
      <c r="AY83" s="2" t="inlineStr">
        <is>
          <t>no</t>
        </is>
      </c>
      <c r="AZ83" s="2" t="inlineStr">
        <is>
          <t>COMMON.COLOR_BLUE</t>
        </is>
      </c>
      <c r="BA83" s="2" t="inlineStr">
        <is>
          <t>azul</t>
        </is>
      </c>
      <c r="BB83" s="3" t="n">
        <v>2</v>
      </c>
      <c r="BC83" s="3" t="inlineStr">
        <is>
          <t>(por segmento)</t>
        </is>
      </c>
      <c r="BD83" s="2" t="n"/>
      <c r="BE83" s="2" t="n"/>
      <c r="BF83" s="2" t="n"/>
      <c r="BG83" s="2" t="n"/>
      <c r="BH83" s="2" t="n"/>
      <c r="BI83" s="2" t="n"/>
      <c r="BJ83" s="2" t="n"/>
      <c r="BK83" s="2" t="n">
        <v>5</v>
      </c>
      <c r="BL83" s="2" t="n"/>
      <c r="BM83" s="2" t="n">
        <v>125</v>
      </c>
      <c r="BN83" s="2" t="n"/>
      <c r="BO83" s="2" t="n">
        <v>0</v>
      </c>
      <c r="BP83" s="2" t="n">
        <v>4750</v>
      </c>
      <c r="BQ83" s="2" t="n">
        <v>13</v>
      </c>
      <c r="BR83" s="2" t="inlineStr">
        <is>
          <t>modelo+año+km</t>
        </is>
      </c>
      <c r="BS83" s="2" t="n"/>
      <c r="BT83" s="2" t="inlineStr">
        <is>
          <t>por encima del presupuesto: negociar 54 € (coste 5054 €; -1.1 puntos); vendedor profesional: sin ITP (operación con IVA/REBU, confirmar en factura); gastos de gestión del vendedor no indicados: se suma la tasa DGT; preguntar el precio final; revisar: no menciona la ITV; fiabilidad del modelo PENDIENTE de fuente (puntuación neutra)</t>
        </is>
      </c>
      <c r="BU83" s="2" t="inlineStr">
        <is>
          <t>?MOTOR 1.4VTI CON CADENA DE DISTRIBUCIÓN, NO ES PURETECH ?VEHÍCULO NACIONAL, KMS Y AUSENCIA DE ACCIDENTES ESTRUCTURALES CERTIFICADOS.  ?1 AÑO DE GARANTÍA INCLUIDO EN EL PRECIO, POSIBILIDAD DE AMPLIAR A 2 AÑOS -ENVÍO A TODA ESPAÑA DESDE 150€, POSIBILIDAD DE COMPRA ONLINE O EN NUESTRA TIENDA FISICA -MOTOR MUY FIABLE Y CON UN CONSUMO MUY BAJO -AIRE ACONDICIONADO, ELEVALUNAS ELECTRICOS, DIRECCIÓN ASISTIDA, ETC...</t>
        </is>
      </c>
      <c r="BV83" s="2" t="inlineStr">
        <is>
          <t>https://www.coches.net/peugeot-207-confort-14-vti-16v-95-5p-gasolina-2008-en-valencia-71618681-covo.aspx (window.__INITIAL_PROPS__.ad) /home/user/Alopecia/buscador-coches/raw/cochesnet/543fe930cfd5068a.json</t>
        </is>
      </c>
      <c r="BW83" s="3">
        <f>MAX(ANIO_ACTUAL-M83,0)</f>
        <v/>
      </c>
      <c r="BX83" s="4">
        <f>N83/MAX(BW83,0.5)</f>
        <v/>
      </c>
      <c r="BY83" s="4">
        <f>F83</f>
        <v/>
      </c>
      <c r="BZ83" s="3">
        <f>BY83&amp;"|"&amp;INT(M83/SEG_ANIO)*SEG_ANIO</f>
        <v/>
      </c>
      <c r="CA83" s="3">
        <f>BZ83&amp;"|"&amp;INT(N83/SEG_KM)*SEG_KM</f>
        <v/>
      </c>
      <c r="CB83" s="4">
        <f>COUNTIF($BY$2:$BY$209,BY83)</f>
        <v/>
      </c>
      <c r="CC83" s="4">
        <f>COUNTIF($BZ$2:$BZ$209,BZ83)</f>
        <v/>
      </c>
      <c r="CD83" s="4">
        <f>COUNTIF($CA$2:$CA$209,CA83)</f>
        <v/>
      </c>
      <c r="CE83" s="3">
        <f t="array" ref="CE83">IF(N(BQ83)&gt;=MIN_N,BP83,IF(CD83&gt;=MIN_N,MEDIAN(IF($CA$2:$CA$209=CA83,$O$2:$O$209)),IF(CC83&gt;=MIN_N,MEDIAN(IF($BZ$2:$BZ$209=BZ83,$O$2:$O$209)),MEDIAN(IF($BY$2:$BY$209=BY83,$O$2:$O$209)))))</f>
        <v/>
      </c>
      <c r="CF83" s="3">
        <f>IF(N(BQ83)&gt;=MIN_N,"mercado "&amp;BR83,IF(CD83&gt;=MIN_N,"modelo+año+km",IF(CC83&gt;=MIN_N,"modelo+año","modelo")))</f>
        <v/>
      </c>
      <c r="CG83" s="4">
        <f>(CE83-O83)/CE83</f>
        <v/>
      </c>
      <c r="CH83" s="3">
        <f>IF(COUNTIFS(FR_FUEL,K83,FR_YEAR,AP83)&gt;0,1,0)</f>
        <v/>
      </c>
      <c r="CI83" s="3">
        <f>IF(COUNTIFS(FR_FUEL,K83,FR_YEAR,AP83-1)&gt;0,1,0)</f>
        <v/>
      </c>
      <c r="CJ83" s="4">
        <f>IF(N(AQ83)&gt;0,AP83*100+AQ83,IF(AND(CH83=1,CI83=1),(AP83-1)*100+1,AP83*100+1))</f>
        <v/>
      </c>
      <c r="CK83" s="3">
        <f>IF(OR(K83="hibrido",K83="glp",K83="gnc",K83="phev"),"ECO",IF(K83="electrico","CERO",IF(K83="gasolina",IF(CJ83&gt;=GAS_C_YM,"C",IF(CJ83&gt;=GAS_B_YM,"B","A")),IF(K83="diesel",IF(CJ83&gt;=DIE_C_YM,"C",IF(CJ83&gt;=DIE_B_YM,"B","A")),""))))</f>
        <v/>
      </c>
      <c r="CL83" s="2" t="inlineStr">
        <is>
          <t>C</t>
        </is>
      </c>
      <c r="CM83" s="4">
        <f>IF(AU83="sí","sí",IF(AS83="regla",IF(AND(N(AQ83)=0,CH83=1),"sí","no"),"no"))</f>
        <v/>
      </c>
      <c r="CN83" s="3">
        <f>IFERROR(VLOOKUP(F83,MOD_TBL,16,0),IFERROR(VLOOKUP(E83,OCU_TBL,2,0),NEUTRO))</f>
        <v/>
      </c>
      <c r="CO83" s="3">
        <f>SUMIFS(MOT_AJUSTE,MOT_MOTOR,G83,MOT_MARCA,E83,MOT_DESDE,"&lt;="&amp;M83,MOT_HASTA,"&gt;="&amp;M83)+SUMIFS(MOT_AJUSTE,MOT_MOTOR,G83,MOT_MARCA,"(todas)",MOT_DESDE,"&lt;="&amp;M83,MOT_HASTA,"&gt;="&amp;M83)+SUMIFS(MOT_AJUSTE,MOT_MOTOR,"(cualquiera)",MOT_MARCA,E83,MOT_DESDE,"&lt;="&amp;M83,MOT_HASTA,"&gt;="&amp;M83)</f>
        <v/>
      </c>
      <c r="CP83" s="3">
        <f>SUMIFS(COMB_AJUSTE,COMB_COMB,K83)</f>
        <v/>
      </c>
      <c r="CQ83" s="3">
        <f>COUNTIFS(MOT_MOTOR,G83,MOT_MARCA,E83,MOT_DESDE,"&lt;="&amp;M83,MOT_HASTA,"&gt;="&amp;M83)+COUNTIFS(MOT_MOTOR,G83,MOT_MARCA,"(todas)",MOT_DESDE,"&lt;="&amp;M83,MOT_HASTA,"&gt;="&amp;M83)+COUNTIFS(MOT_MOTOR,"(cualquiera)",MOT_MARCA,E83,MOT_DESDE,"&lt;="&amp;M83,MOT_HASTA,"&gt;="&amp;M83)</f>
        <v/>
      </c>
      <c r="CR83" s="3">
        <f>IF(AND(K83="diesel",CQ83=0),MIN(CN83,NEUTRO),CN83)</f>
        <v/>
      </c>
      <c r="CS83" s="3">
        <f>MAX(0,MIN(100,CR83+CO83+CP83-IF(AX83="sí",ROB_PEN,0)))</f>
        <v/>
      </c>
      <c r="CT83" s="3">
        <f>100-MAX(0,N83-KM_TOPE_DESDE)/1000*KM_TOPE_PTS</f>
        <v/>
      </c>
      <c r="CU83" s="3">
        <f>MAX(0,MIN(100,50+CG83*PRECIO_PEND,CT83))</f>
        <v/>
      </c>
      <c r="CV83" s="3">
        <f>MAX(0,100*(1-N83/KM_MAX))</f>
        <v/>
      </c>
      <c r="CW83" s="3">
        <f>IF(BX83&lt;KMA_SOSP,IF(AA83="sí",100,KMA_PEN),IF(BX83&lt;=KMA_IDEAL_MAX,100,MAX(0,100*(KMA_CERO-BX83)/(KMA_CERO-KMA_IDEAL_MAX))))</f>
        <v/>
      </c>
      <c r="CX83" s="3">
        <f>MAX(0,MIN(100,100*(M83-ANIO_MIN)/(ANIO_ACTUAL-ANIO_MIN)))</f>
        <v/>
      </c>
      <c r="CY83" s="3">
        <f>W_KMT*CV83+W_KMA*CW83+W_EDAD*CX83</f>
        <v/>
      </c>
      <c r="CZ83" s="4">
        <f>E83&amp;"|"&amp;G83</f>
        <v/>
      </c>
      <c r="DA83" s="3">
        <f>IFERROR(VLOOKUP(CZ83,DIST_TBL,2,0),"")</f>
        <v/>
      </c>
      <c r="DB83" s="3">
        <f>E_ITV*(V83="sí")+E_LIBRO*(W83="sí")+E_PROP*IF(Y83=1,1,IF(Y83=2,0.5,0))+E_CORREA*IF(OR(DA83="cadena",AND(X83="sí",BH83="sí")),1,IF(X83="sí",0.5,0))+E_FACT*(BI83="sí")</f>
        <v/>
      </c>
      <c r="DC83" s="3">
        <f>MAX(0,MIN(100,IFERROR(VLOOKUP(CL83,ETQ_TBL,2,0),0)-IF(CM83="sí",ETQ_PEN_DUD,IF(AS83="regla",ETQ_PEN_REGLA,0))))</f>
        <v/>
      </c>
      <c r="DD83" s="3">
        <f>IF(K83&lt;&gt;"gasolina","",IFERROR(VLOOKUP(F83,CONS_MOD_TBL,2,0),IFERROR(VLOOKUP(L83,CONS_SEG_TBL,2,0),"")))</f>
        <v/>
      </c>
      <c r="DE83" s="3">
        <f>IF(DD83="",NEUTRO,MAX(0,MIN(100,100*(CONS_REF_MAX-DD83)/(CONS_REF_MAX-CONS_REF_MIN))))</f>
        <v/>
      </c>
      <c r="DF83" s="3">
        <f>IFERROR(VLOOKUP(L83,SEGURO_TBL,3,0),"")</f>
        <v/>
      </c>
      <c r="DG83" s="3">
        <f>IF(DF83="",NEUTRO,MAX(0,MIN(100,100*(SEG_REF_MAX-DF83)/(SEG_REF_MAX-SEG_REF_MIN))))</f>
        <v/>
      </c>
      <c r="DH83" s="3">
        <f>IFERROR(VLOOKUP(E83,MANT_MARCA_TBL,2,0)+0,NEUTRO)</f>
        <v/>
      </c>
      <c r="DI83" s="3">
        <f>IF(DA83="",NEUTRO,IFERROR(VLOOKUP(DA83,DIST_PTS_TBL,2,0)+0,NEUTRO))</f>
        <v/>
      </c>
      <c r="DJ83" s="4">
        <f>(DH83+DI83)/2</f>
        <v/>
      </c>
      <c r="DK83" s="3">
        <f>W_CONS*DE83+W_SEG*DG83+W_MANT*DJ83</f>
        <v/>
      </c>
      <c r="DL83" s="3">
        <f>IF(N(AB83)&gt;0,AB83,IF(AND(R83="profesional",SG_LEGAL_ON=1),GAR_LEGAL,0))</f>
        <v/>
      </c>
      <c r="DM83" s="3">
        <f>MAX(0,MIN(100,SG_GAR*MIN(1,DL83/SG_GAR_FULL)+SG_AMPL*(AC83="sí")+SG_KMC*(AF83="sí")+SG_REV*(N(AE83)&gt;0)+SG_DEV*MIN(1,N(AG83)/SG_DEV_FULL)+SG_HIST*(W83="sí")-IF(AND(R83="particular",DL83=0),SG_PART_PEN,0)))</f>
        <v/>
      </c>
      <c r="DN83" s="3">
        <f>IF(BK83="",NEUTRO,MAX(0,MIN(100,BK83/5*100)))</f>
        <v/>
      </c>
      <c r="DO83" s="3">
        <f>IF(BL83="sí",100,IF(BL83="no",0,NEUTRO))</f>
        <v/>
      </c>
      <c r="DP83" s="3">
        <f>SV_W_NCAP*DN83+SV_W_ESP*DO83</f>
        <v/>
      </c>
      <c r="DQ83" s="3">
        <f>MAX(0,MIN(100,ATR_BASE+ATR_ACAB*(BD83&lt;&gt;"")+IF(BE83="16+",ATR_LL16,IF(BE83="sí",ATR_LL,0))+ATR_FAROS*(BF83="sí")+ATR_TINT*(BG83="sí")-ATR_CHAPA*(BE83="chapa")))</f>
        <v/>
      </c>
      <c r="DR83" s="3">
        <f>EST_W_MOD*(BB83-1)/4*100+EST_W_ATR*DQ83</f>
        <v/>
      </c>
      <c r="DS83" s="3">
        <f>IF(BA83="",NEUTRO,IFERROR(VLOOKUP(BA83,COLOR_TBL,2,0)+0,NEUTRO))</f>
        <v/>
      </c>
      <c r="DT83" s="3">
        <f>MAX(0,MIN(100,100*N(BM83)/RV_N_FULL))</f>
        <v/>
      </c>
      <c r="DU83" s="3">
        <f>IF(OR(BN83="",N(BO83)&lt;RV_DIAS_MIN),NEUTRO,MAX(0,MIN(100,100*(RV_DIAS_CERO-BN83)/(RV_DIAS_CERO-RV_DIAS_FULL))))</f>
        <v/>
      </c>
      <c r="DV83" s="3">
        <f>RV_W_LIQ*DT83+RV_W_DIAS*DU83+RV_W_ETQ*DC83</f>
        <v/>
      </c>
      <c r="DW83" s="3">
        <f>IFERROR(VLOOKUP(L83,CARR_PEN_TBL,2,0),0)</f>
        <v/>
      </c>
      <c r="DX83" s="3">
        <f>W_FIAB*CS83+W_PRECIO*CU83+W_KMEDAD*CY83+W_ESTADO*DB83+W_USO*DK83+W_SEGURIDAD*DM83+W_SEGVIAL*DP83+W_ESTETICA*DR83+W_COLOR*DS83+W_REVENTA*DV83-DW83-EG83</f>
        <v/>
      </c>
      <c r="DY83" s="4">
        <f>IF(N(I83)&gt;0,I83,IFERROR(ROUND(_xlfn.NUMBERVALUE(LEFT(G83,FIND(" ",G83&amp;" ")-1),".")*1000,0),99999))</f>
        <v/>
      </c>
      <c r="DZ83" s="3">
        <f>IF(R83="profesional",0,IF(O83&lt;CUOTA_VALOR_MAX,IF(BW83&gt;ITP_TRAMO_ALTO,SUMIFS(CF_CUOTA,CF_MAS,ITP_TRAMO_ALTO,CF_CCMIN,"&lt;="&amp;DY83,CF_CCMAX,"&gt;="&amp;DY83),IF(BW83&gt;ITP_TRAMO_BAJO,SUMIFS(CF_CUOTA,CF_MAS,ITP_TRAMO_BAJO,CF_CCMIN,"&lt;="&amp;DY83,CF_CCMAX,"&gt;="&amp;DY83),O83*ITP_TIPO)),O83*ITP_TIPO))</f>
        <v/>
      </c>
      <c r="EA83" s="4">
        <f>IF(R83="profesional",N(AK83),0)</f>
        <v/>
      </c>
      <c r="EB83" s="3">
        <f>IF(AND(R83="profesional",ISNUMBER(AK83),AL83="sí"),0,TASA_DGT)</f>
        <v/>
      </c>
      <c r="EC83" s="3">
        <f>INFORME_DGT</f>
        <v/>
      </c>
      <c r="ED83" s="4">
        <f>O83+EA83+DZ83+EB83+EC83</f>
        <v/>
      </c>
      <c r="EE83" s="4">
        <f>ED83+N(DF83)</f>
        <v/>
      </c>
      <c r="EF83" s="3">
        <f>MAX(0,ED83-TOTAL_MAX)</f>
        <v/>
      </c>
      <c r="EG83" s="3">
        <f>EF83/100*PEN_100</f>
        <v/>
      </c>
      <c r="EH83" s="3">
        <f>IF(R83="particular",ED83+IF(AND(DA83&lt;&gt;"cadena",X83&lt;&gt;"sí"),RES_CORREA,0)+IF(AND(BJ83&lt;&gt;"sí",BW83&gt;=RES_NEUM_EDAD),RES_NEUM,0),"")</f>
        <v/>
      </c>
      <c r="EI83" s="3">
        <f>IF(ED83&lt;=TOTAL_MAX,"sí",IF(ED83&lt;=TECHO,"negociar","no"))</f>
        <v/>
      </c>
      <c r="EJ83" s="4">
        <f>ROUND(DX83,9)</f>
        <v/>
      </c>
      <c r="EK83" s="4">
        <f>IF(EI83&lt;&gt;"no",SUMPRODUCT(($EI$2:$EI$209&lt;&gt;"no")*($EJ$2:$EJ$209&gt;EJ83))+SUMPRODUCT(($EI$2:EI83&lt;&gt;"no")*($EJ$2:EJ83=EJ83)),"")</f>
        <v/>
      </c>
    </row>
    <row r="84">
      <c r="A84" s="2" t="inlineStr">
        <is>
          <t>cochesnet:71733143</t>
        </is>
      </c>
      <c r="B84" s="2" t="inlineStr">
        <is>
          <t>cochesnet</t>
        </is>
      </c>
      <c r="C84" s="2" t="inlineStr">
        <is>
          <t>https://www.coches.net/citroen-c3-picasso-hdi-110cv-fap-airdream-exclusive-5p-diesel-2009-en-valencia-71733143-covo.aspx</t>
        </is>
      </c>
      <c r="D84" s="2" t="inlineStr">
        <is>
          <t>CITROEN C3 Picasso HDI FAP Airdream Exclusive</t>
        </is>
      </c>
      <c r="E84" s="2" t="inlineStr">
        <is>
          <t>Citroën</t>
        </is>
      </c>
      <c r="F84" s="2" t="inlineStr">
        <is>
          <t>Citroën C3 Picasso</t>
        </is>
      </c>
      <c r="G84" s="2" t="inlineStr">
        <is>
          <t>? HDi</t>
        </is>
      </c>
      <c r="H84" s="2" t="inlineStr">
        <is>
          <t>HDI 110cv FAP Airdream Exclusive</t>
        </is>
      </c>
      <c r="I84" s="2" t="n"/>
      <c r="J84" s="2" t="n">
        <v>110</v>
      </c>
      <c r="K84" s="2" t="inlineStr">
        <is>
          <t>diesel</t>
        </is>
      </c>
      <c r="L84" s="2" t="inlineStr">
        <is>
          <t>monovolumen_pequeno</t>
        </is>
      </c>
      <c r="M84" s="2" t="n">
        <v>2009</v>
      </c>
      <c r="N84" s="2" t="n">
        <v>160000</v>
      </c>
      <c r="O84" s="2" t="n">
        <v>4990</v>
      </c>
      <c r="P84" s="2" t="inlineStr">
        <is>
          <t>manual</t>
        </is>
      </c>
      <c r="Q84" s="2" t="inlineStr">
        <is>
          <t>no</t>
        </is>
      </c>
      <c r="R84" s="2" t="inlineStr">
        <is>
          <t>profesional</t>
        </is>
      </c>
      <c r="S84" s="2" t="inlineStr">
        <is>
          <t>Alboraya</t>
        </is>
      </c>
      <c r="T84" s="2" t="inlineStr">
        <is>
          <t>2026-10-13T13:11:21Z</t>
        </is>
      </c>
      <c r="U84" s="2" t="n">
        <v>14</v>
      </c>
      <c r="V84" s="2" t="inlineStr">
        <is>
          <t>sí</t>
        </is>
      </c>
      <c r="W84" s="2" t="inlineStr">
        <is>
          <t>sí</t>
        </is>
      </c>
      <c r="X84" s="2" t="n"/>
      <c r="Y84" s="2" t="n"/>
      <c r="Z84" s="2" t="inlineStr">
        <is>
          <t>sí</t>
        </is>
      </c>
      <c r="AA84" s="2" t="n"/>
      <c r="AB84" s="2" t="n">
        <v>12</v>
      </c>
      <c r="AC84" s="2" t="n"/>
      <c r="AD84" s="2" t="n"/>
      <c r="AE84" s="2" t="n"/>
      <c r="AF84" s="2" t="n"/>
      <c r="AG84" s="2" t="n"/>
      <c r="AH84" s="2" t="n">
        <v>4990</v>
      </c>
      <c r="AI84" s="2" t="n">
        <v>4990</v>
      </c>
      <c r="AJ84" s="2" t="n"/>
      <c r="AK84" s="2" t="n"/>
      <c r="AL84" s="2" t="n"/>
      <c r="AM84" s="2" t="n">
        <v>4</v>
      </c>
      <c r="AN84" s="2" t="n"/>
      <c r="AO84" s="2" t="inlineStr">
        <is>
          <t>2009</t>
        </is>
      </c>
      <c r="AP84" s="2" t="n">
        <v>2009</v>
      </c>
      <c r="AQ84" s="2" t="n"/>
      <c r="AR84" s="2" t="inlineStr">
        <is>
          <t>B</t>
        </is>
      </c>
      <c r="AS84" s="2" t="inlineStr">
        <is>
          <t>anuncio</t>
        </is>
      </c>
      <c r="AT84" s="2" t="n"/>
      <c r="AU84" s="2" t="inlineStr">
        <is>
          <t>no</t>
        </is>
      </c>
      <c r="AV84" s="2" t="inlineStr">
        <is>
          <t>B</t>
        </is>
      </c>
      <c r="AW84" s="2" t="n"/>
      <c r="AX84" s="2" t="inlineStr">
        <is>
          <t>no</t>
        </is>
      </c>
      <c r="AY84" s="2" t="inlineStr">
        <is>
          <t>no</t>
        </is>
      </c>
      <c r="AZ84" s="2" t="inlineStr">
        <is>
          <t>COMMON.COLOR_BEIGE</t>
        </is>
      </c>
      <c r="BA84" s="2" t="inlineStr">
        <is>
          <t>beige</t>
        </is>
      </c>
      <c r="BB84" s="3" t="n">
        <v>2</v>
      </c>
      <c r="BC84" s="3" t="inlineStr">
        <is>
          <t>(por segmento)</t>
        </is>
      </c>
      <c r="BD84" s="2" t="inlineStr">
        <is>
          <t>exclusive</t>
        </is>
      </c>
      <c r="BE84" s="2" t="n"/>
      <c r="BF84" s="2" t="n"/>
      <c r="BG84" s="2" t="n"/>
      <c r="BH84" s="2" t="n"/>
      <c r="BI84" s="2" t="n"/>
      <c r="BJ84" s="2" t="n"/>
      <c r="BK84" s="2" t="n"/>
      <c r="BL84" s="2" t="n"/>
      <c r="BM84" s="2" t="n">
        <v>8</v>
      </c>
      <c r="BN84" s="2" t="n"/>
      <c r="BO84" s="2" t="n">
        <v>0</v>
      </c>
      <c r="BP84" s="2" t="n"/>
      <c r="BQ84" s="2" t="n"/>
      <c r="BR84" s="2" t="n"/>
      <c r="BS84" s="2" t="n"/>
      <c r="BT84" s="2" t="inlineStr">
        <is>
          <t>por encima del presupuesto: negociar 54 € (coste 5054 €; -1.1 puntos); vendedor profesional: sin ITP (operación con IVA/REBU, confirmar en factura); gastos de gestión del vendedor no indicados: se suma la tasa DGT; preguntar el precio final; Euro NCAP de la generación PENDIENTE (seguridad neutra); diésel: motor sin fuente de fiabilidad (fiabilidad limitada a neutra); carrocería monovolumen_pequeno: -6 puntos; fiabilidad del modelo PENDIENTE de fuente (puntuación neutra); mediana con solo 1 anuncio(s)</t>
        </is>
      </c>
      <c r="BU84" s="2" t="inlineStr">
        <is>
          <t>CITROEN C3 PICASSO 1.6 HDi 110 CV DIÉSEL · 2009 · 160.000 KM
¡Espacio, comodidad y versatilidad en un monovolumen compacto! Este Citroen C3 Picasso destaca por su motor diésel 1.6 HDi de 110 CV, su consumo contenido y su amplio habitáculo. Un vehículo práctico y funcional, con techo solar y un completo equipamiento, ideal para familias y para quienes buscan comodidad tanto en ciudad como en carretera.
??? Estado y mantenimiento:
?? Vehículo nacional.
?? 160.000 km.
?? ITV en vigor.
?? Revisiones y mantenimiento al día.
?? Equipamiento destacado:
?? Confort y conducción: Motor 1.6 HDi de 110 CV, dirección asistida Servotronic, control de crucero y volante multifunción revestido en piel.
?? Diseño y comodidad: Techo solar, asientos confort, aire acondicionado, elevalunas eléctricos y retrovisores eléctricos.
?? Tecnología y multimedia: Ordenador de a bordo y equipo de música MP3 con 6 altavoces.
?? Seguridad y aparcamiento: Sensores de aparcamiento Parktronic, anclajes ISOFIX para sillas infantiles y cierre centralizado.
?? Espacio y funcionalidad: Carrocería monovolumen de 5 puertas, posición de conducción elevada y habitáculo espacioso con gran aprovechamiento interior, ideal para el uso familiar y los viajes.
? Ventajas exclusivas Lunusa Cars
?? Financiación de hasta el 100% con tu nómina.
?? Garantía de 1 año en motor incluida.
?? Compra 100% online, fácil y segura.
?? Envíos y entrega a domicilio en toda España.
?? ¿Hablamos? Te enviamos más vídeos, fotog</t>
        </is>
      </c>
      <c r="BV84" s="2" t="inlineStr">
        <is>
          <t>https://www.coches.net/citroen-c3-picasso-hdi-110cv-fap-airdream-exclusive-5p-diesel-2009-en-valencia-71733143-covo.aspx (window.__INITIAL_PROPS__.ad) /home/user/Alopecia/buscador-coches/raw/cochesnet/d1048337a6adebf4.json</t>
        </is>
      </c>
      <c r="BW84" s="3">
        <f>MAX(ANIO_ACTUAL-M84,0)</f>
        <v/>
      </c>
      <c r="BX84" s="4">
        <f>N84/MAX(BW84,0.5)</f>
        <v/>
      </c>
      <c r="BY84" s="4">
        <f>F84</f>
        <v/>
      </c>
      <c r="BZ84" s="3">
        <f>BY84&amp;"|"&amp;INT(M84/SEG_ANIO)*SEG_ANIO</f>
        <v/>
      </c>
      <c r="CA84" s="3">
        <f>BZ84&amp;"|"&amp;INT(N84/SEG_KM)*SEG_KM</f>
        <v/>
      </c>
      <c r="CB84" s="4">
        <f>COUNTIF($BY$2:$BY$209,BY84)</f>
        <v/>
      </c>
      <c r="CC84" s="4">
        <f>COUNTIF($BZ$2:$BZ$209,BZ84)</f>
        <v/>
      </c>
      <c r="CD84" s="4">
        <f>COUNTIF($CA$2:$CA$209,CA84)</f>
        <v/>
      </c>
      <c r="CE84" s="3">
        <f t="array" ref="CE84">IF(N(BQ84)&gt;=MIN_N,BP84,IF(CD84&gt;=MIN_N,MEDIAN(IF($CA$2:$CA$209=CA84,$O$2:$O$209)),IF(CC84&gt;=MIN_N,MEDIAN(IF($BZ$2:$BZ$209=BZ84,$O$2:$O$209)),MEDIAN(IF($BY$2:$BY$209=BY84,$O$2:$O$209)))))</f>
        <v/>
      </c>
      <c r="CF84" s="3">
        <f>IF(N(BQ84)&gt;=MIN_N,"mercado "&amp;BR84,IF(CD84&gt;=MIN_N,"modelo+año+km",IF(CC84&gt;=MIN_N,"modelo+año","modelo")))</f>
        <v/>
      </c>
      <c r="CG84" s="4">
        <f>(CE84-O84)/CE84</f>
        <v/>
      </c>
      <c r="CH84" s="3">
        <f>IF(COUNTIFS(FR_FUEL,K84,FR_YEAR,AP84)&gt;0,1,0)</f>
        <v/>
      </c>
      <c r="CI84" s="3">
        <f>IF(COUNTIFS(FR_FUEL,K84,FR_YEAR,AP84-1)&gt;0,1,0)</f>
        <v/>
      </c>
      <c r="CJ84" s="4">
        <f>IF(N(AQ84)&gt;0,AP84*100+AQ84,IF(AND(CH84=1,CI84=1),(AP84-1)*100+1,AP84*100+1))</f>
        <v/>
      </c>
      <c r="CK84" s="3">
        <f>IF(OR(K84="hibrido",K84="glp",K84="gnc",K84="phev"),"ECO",IF(K84="electrico","CERO",IF(K84="gasolina",IF(CJ84&gt;=GAS_C_YM,"C",IF(CJ84&gt;=GAS_B_YM,"B","A")),IF(K84="diesel",IF(CJ84&gt;=DIE_C_YM,"C",IF(CJ84&gt;=DIE_B_YM,"B","A")),""))))</f>
        <v/>
      </c>
      <c r="CL84" s="2" t="inlineStr">
        <is>
          <t>B</t>
        </is>
      </c>
      <c r="CM84" s="4">
        <f>IF(AU84="sí","sí",IF(AS84="regla",IF(AND(N(AQ84)=0,CH84=1),"sí","no"),"no"))</f>
        <v/>
      </c>
      <c r="CN84" s="3">
        <f>IFERROR(VLOOKUP(F84,MOD_TBL,16,0),IFERROR(VLOOKUP(E84,OCU_TBL,2,0),NEUTRO))</f>
        <v/>
      </c>
      <c r="CO84" s="3">
        <f>SUMIFS(MOT_AJUSTE,MOT_MOTOR,G84,MOT_MARCA,E84,MOT_DESDE,"&lt;="&amp;M84,MOT_HASTA,"&gt;="&amp;M84)+SUMIFS(MOT_AJUSTE,MOT_MOTOR,G84,MOT_MARCA,"(todas)",MOT_DESDE,"&lt;="&amp;M84,MOT_HASTA,"&gt;="&amp;M84)+SUMIFS(MOT_AJUSTE,MOT_MOTOR,"(cualquiera)",MOT_MARCA,E84,MOT_DESDE,"&lt;="&amp;M84,MOT_HASTA,"&gt;="&amp;M84)</f>
        <v/>
      </c>
      <c r="CP84" s="3">
        <f>SUMIFS(COMB_AJUSTE,COMB_COMB,K84)</f>
        <v/>
      </c>
      <c r="CQ84" s="3">
        <f>COUNTIFS(MOT_MOTOR,G84,MOT_MARCA,E84,MOT_DESDE,"&lt;="&amp;M84,MOT_HASTA,"&gt;="&amp;M84)+COUNTIFS(MOT_MOTOR,G84,MOT_MARCA,"(todas)",MOT_DESDE,"&lt;="&amp;M84,MOT_HASTA,"&gt;="&amp;M84)+COUNTIFS(MOT_MOTOR,"(cualquiera)",MOT_MARCA,E84,MOT_DESDE,"&lt;="&amp;M84,MOT_HASTA,"&gt;="&amp;M84)</f>
        <v/>
      </c>
      <c r="CR84" s="3">
        <f>IF(AND(K84="diesel",CQ84=0),MIN(CN84,NEUTRO),CN84)</f>
        <v/>
      </c>
      <c r="CS84" s="3">
        <f>MAX(0,MIN(100,CR84+CO84+CP84-IF(AX84="sí",ROB_PEN,0)))</f>
        <v/>
      </c>
      <c r="CT84" s="3">
        <f>100-MAX(0,N84-KM_TOPE_DESDE)/1000*KM_TOPE_PTS</f>
        <v/>
      </c>
      <c r="CU84" s="3">
        <f>MAX(0,MIN(100,50+CG84*PRECIO_PEND,CT84))</f>
        <v/>
      </c>
      <c r="CV84" s="3">
        <f>MAX(0,100*(1-N84/KM_MAX))</f>
        <v/>
      </c>
      <c r="CW84" s="3">
        <f>IF(BX84&lt;KMA_SOSP,IF(AA84="sí",100,KMA_PEN),IF(BX84&lt;=KMA_IDEAL_MAX,100,MAX(0,100*(KMA_CERO-BX84)/(KMA_CERO-KMA_IDEAL_MAX))))</f>
        <v/>
      </c>
      <c r="CX84" s="3">
        <f>MAX(0,MIN(100,100*(M84-ANIO_MIN)/(ANIO_ACTUAL-ANIO_MIN)))</f>
        <v/>
      </c>
      <c r="CY84" s="3">
        <f>W_KMT*CV84+W_KMA*CW84+W_EDAD*CX84</f>
        <v/>
      </c>
      <c r="CZ84" s="4">
        <f>E84&amp;"|"&amp;G84</f>
        <v/>
      </c>
      <c r="DA84" s="3">
        <f>IFERROR(VLOOKUP(CZ84,DIST_TBL,2,0),"")</f>
        <v/>
      </c>
      <c r="DB84" s="3">
        <f>E_ITV*(V84="sí")+E_LIBRO*(W84="sí")+E_PROP*IF(Y84=1,1,IF(Y84=2,0.5,0))+E_CORREA*IF(OR(DA84="cadena",AND(X84="sí",BH84="sí")),1,IF(X84="sí",0.5,0))+E_FACT*(BI84="sí")</f>
        <v/>
      </c>
      <c r="DC84" s="3">
        <f>MAX(0,MIN(100,IFERROR(VLOOKUP(CL84,ETQ_TBL,2,0),0)-IF(CM84="sí",ETQ_PEN_DUD,IF(AS84="regla",ETQ_PEN_REGLA,0))))</f>
        <v/>
      </c>
      <c r="DD84" s="3">
        <f>IF(K84&lt;&gt;"gasolina","",IFERROR(VLOOKUP(F84,CONS_MOD_TBL,2,0),IFERROR(VLOOKUP(L84,CONS_SEG_TBL,2,0),"")))</f>
        <v/>
      </c>
      <c r="DE84" s="3">
        <f>IF(DD84="",NEUTRO,MAX(0,MIN(100,100*(CONS_REF_MAX-DD84)/(CONS_REF_MAX-CONS_REF_MIN))))</f>
        <v/>
      </c>
      <c r="DF84" s="3">
        <f>IFERROR(VLOOKUP(L84,SEGURO_TBL,3,0),"")</f>
        <v/>
      </c>
      <c r="DG84" s="3">
        <f>IF(DF84="",NEUTRO,MAX(0,MIN(100,100*(SEG_REF_MAX-DF84)/(SEG_REF_MAX-SEG_REF_MIN))))</f>
        <v/>
      </c>
      <c r="DH84" s="3">
        <f>IFERROR(VLOOKUP(E84,MANT_MARCA_TBL,2,0)+0,NEUTRO)</f>
        <v/>
      </c>
      <c r="DI84" s="3">
        <f>IF(DA84="",NEUTRO,IFERROR(VLOOKUP(DA84,DIST_PTS_TBL,2,0)+0,NEUTRO))</f>
        <v/>
      </c>
      <c r="DJ84" s="4">
        <f>(DH84+DI84)/2</f>
        <v/>
      </c>
      <c r="DK84" s="3">
        <f>W_CONS*DE84+W_SEG*DG84+W_MANT*DJ84</f>
        <v/>
      </c>
      <c r="DL84" s="3">
        <f>IF(N(AB84)&gt;0,AB84,IF(AND(R84="profesional",SG_LEGAL_ON=1),GAR_LEGAL,0))</f>
        <v/>
      </c>
      <c r="DM84" s="3">
        <f>MAX(0,MIN(100,SG_GAR*MIN(1,DL84/SG_GAR_FULL)+SG_AMPL*(AC84="sí")+SG_KMC*(AF84="sí")+SG_REV*(N(AE84)&gt;0)+SG_DEV*MIN(1,N(AG84)/SG_DEV_FULL)+SG_HIST*(W84="sí")-IF(AND(R84="particular",DL84=0),SG_PART_PEN,0)))</f>
        <v/>
      </c>
      <c r="DN84" s="3">
        <f>IF(BK84="",NEUTRO,MAX(0,MIN(100,BK84/5*100)))</f>
        <v/>
      </c>
      <c r="DO84" s="3">
        <f>IF(BL84="sí",100,IF(BL84="no",0,NEUTRO))</f>
        <v/>
      </c>
      <c r="DP84" s="3">
        <f>SV_W_NCAP*DN84+SV_W_ESP*DO84</f>
        <v/>
      </c>
      <c r="DQ84" s="3">
        <f>MAX(0,MIN(100,ATR_BASE+ATR_ACAB*(BD84&lt;&gt;"")+IF(BE84="16+",ATR_LL16,IF(BE84="sí",ATR_LL,0))+ATR_FAROS*(BF84="sí")+ATR_TINT*(BG84="sí")-ATR_CHAPA*(BE84="chapa")))</f>
        <v/>
      </c>
      <c r="DR84" s="3">
        <f>EST_W_MOD*(BB84-1)/4*100+EST_W_ATR*DQ84</f>
        <v/>
      </c>
      <c r="DS84" s="3">
        <f>IF(BA84="",NEUTRO,IFERROR(VLOOKUP(BA84,COLOR_TBL,2,0)+0,NEUTRO))</f>
        <v/>
      </c>
      <c r="DT84" s="3">
        <f>MAX(0,MIN(100,100*N(BM84)/RV_N_FULL))</f>
        <v/>
      </c>
      <c r="DU84" s="3">
        <f>IF(OR(BN84="",N(BO84)&lt;RV_DIAS_MIN),NEUTRO,MAX(0,MIN(100,100*(RV_DIAS_CERO-BN84)/(RV_DIAS_CERO-RV_DIAS_FULL))))</f>
        <v/>
      </c>
      <c r="DV84" s="3">
        <f>RV_W_LIQ*DT84+RV_W_DIAS*DU84+RV_W_ETQ*DC84</f>
        <v/>
      </c>
      <c r="DW84" s="3">
        <f>IFERROR(VLOOKUP(L84,CARR_PEN_TBL,2,0),0)</f>
        <v/>
      </c>
      <c r="DX84" s="3">
        <f>W_FIAB*CS84+W_PRECIO*CU84+W_KMEDAD*CY84+W_ESTADO*DB84+W_USO*DK84+W_SEGURIDAD*DM84+W_SEGVIAL*DP84+W_ESTETICA*DR84+W_COLOR*DS84+W_REVENTA*DV84-DW84-EG84</f>
        <v/>
      </c>
      <c r="DY84" s="4">
        <f>IF(N(I84)&gt;0,I84,IFERROR(ROUND(_xlfn.NUMBERVALUE(LEFT(G84,FIND(" ",G84&amp;" ")-1),".")*1000,0),99999))</f>
        <v/>
      </c>
      <c r="DZ84" s="3">
        <f>IF(R84="profesional",0,IF(O84&lt;CUOTA_VALOR_MAX,IF(BW84&gt;ITP_TRAMO_ALTO,SUMIFS(CF_CUOTA,CF_MAS,ITP_TRAMO_ALTO,CF_CCMIN,"&lt;="&amp;DY84,CF_CCMAX,"&gt;="&amp;DY84),IF(BW84&gt;ITP_TRAMO_BAJO,SUMIFS(CF_CUOTA,CF_MAS,ITP_TRAMO_BAJO,CF_CCMIN,"&lt;="&amp;DY84,CF_CCMAX,"&gt;="&amp;DY84),O84*ITP_TIPO)),O84*ITP_TIPO))</f>
        <v/>
      </c>
      <c r="EA84" s="4">
        <f>IF(R84="profesional",N(AK84),0)</f>
        <v/>
      </c>
      <c r="EB84" s="3">
        <f>IF(AND(R84="profesional",ISNUMBER(AK84),AL84="sí"),0,TASA_DGT)</f>
        <v/>
      </c>
      <c r="EC84" s="3">
        <f>INFORME_DGT</f>
        <v/>
      </c>
      <c r="ED84" s="4">
        <f>O84+EA84+DZ84+EB84+EC84</f>
        <v/>
      </c>
      <c r="EE84" s="4">
        <f>ED84+N(DF84)</f>
        <v/>
      </c>
      <c r="EF84" s="3">
        <f>MAX(0,ED84-TOTAL_MAX)</f>
        <v/>
      </c>
      <c r="EG84" s="3">
        <f>EF84/100*PEN_100</f>
        <v/>
      </c>
      <c r="EH84" s="3">
        <f>IF(R84="particular",ED84+IF(AND(DA84&lt;&gt;"cadena",X84&lt;&gt;"sí"),RES_CORREA,0)+IF(AND(BJ84&lt;&gt;"sí",BW84&gt;=RES_NEUM_EDAD),RES_NEUM,0),"")</f>
        <v/>
      </c>
      <c r="EI84" s="3">
        <f>IF(ED84&lt;=TOTAL_MAX,"sí",IF(ED84&lt;=TECHO,"negociar","no"))</f>
        <v/>
      </c>
      <c r="EJ84" s="4">
        <f>ROUND(DX84,9)</f>
        <v/>
      </c>
      <c r="EK84" s="4">
        <f>IF(EI84&lt;&gt;"no",SUMPRODUCT(($EI$2:$EI$209&lt;&gt;"no")*($EJ$2:$EJ$209&gt;EJ84))+SUMPRODUCT(($EI$2:EI84&lt;&gt;"no")*($EJ$2:EJ84=EJ84)),"")</f>
        <v/>
      </c>
    </row>
    <row r="85">
      <c r="A85" s="2" t="inlineStr">
        <is>
          <t>cochesnet:71492958</t>
        </is>
      </c>
      <c r="B85" s="2" t="inlineStr">
        <is>
          <t>cochesnet</t>
        </is>
      </c>
      <c r="C85" s="2" t="inlineStr">
        <is>
          <t>https://www.coches.net/citroen-c3-11i-furio-5p-gasolina-2005-en-valencia-71492958-covo.aspx</t>
        </is>
      </c>
      <c r="D85" s="2" t="inlineStr">
        <is>
          <t>CITROEN C3 1.1i Furio</t>
        </is>
      </c>
      <c r="E85" s="2" t="inlineStr">
        <is>
          <t>Citroën</t>
        </is>
      </c>
      <c r="F85" s="2" t="inlineStr">
        <is>
          <t>Citroën C3</t>
        </is>
      </c>
      <c r="G85" s="2" t="inlineStr">
        <is>
          <t>1.1</t>
        </is>
      </c>
      <c r="H85" s="2" t="inlineStr">
        <is>
          <t>1.1i Furio</t>
        </is>
      </c>
      <c r="I85" s="2" t="n"/>
      <c r="J85" s="2" t="n"/>
      <c r="K85" s="2" t="inlineStr">
        <is>
          <t>gasolina</t>
        </is>
      </c>
      <c r="L85" s="2" t="inlineStr">
        <is>
          <t>utilitario</t>
        </is>
      </c>
      <c r="M85" s="2" t="n">
        <v>2006</v>
      </c>
      <c r="N85" s="2" t="n">
        <v>120000</v>
      </c>
      <c r="O85" s="2" t="n">
        <v>3490</v>
      </c>
      <c r="P85" s="2" t="inlineStr">
        <is>
          <t>manual</t>
        </is>
      </c>
      <c r="Q85" s="2" t="inlineStr">
        <is>
          <t>no</t>
        </is>
      </c>
      <c r="R85" s="2" t="inlineStr">
        <is>
          <t>profesional</t>
        </is>
      </c>
      <c r="S85" s="2" t="inlineStr">
        <is>
          <t>Cullera</t>
        </is>
      </c>
      <c r="T85" s="2" t="inlineStr">
        <is>
          <t>2026-09-11T13:35:18Z</t>
        </is>
      </c>
      <c r="U85" s="2" t="n">
        <v>10</v>
      </c>
      <c r="V85" s="2" t="n"/>
      <c r="W85" s="2" t="n"/>
      <c r="X85" s="2" t="n"/>
      <c r="Y85" s="2" t="n"/>
      <c r="Z85" s="2" t="inlineStr">
        <is>
          <t>sí</t>
        </is>
      </c>
      <c r="AA85" s="2" t="n"/>
      <c r="AB85" s="2" t="n">
        <v>12</v>
      </c>
      <c r="AC85" s="2" t="n"/>
      <c r="AD85" s="2" t="n"/>
      <c r="AE85" s="2" t="n"/>
      <c r="AF85" s="2" t="n"/>
      <c r="AG85" s="2" t="n"/>
      <c r="AH85" s="2" t="n">
        <v>3490</v>
      </c>
      <c r="AI85" s="2" t="n"/>
      <c r="AJ85" s="2" t="n"/>
      <c r="AK85" s="2" t="n"/>
      <c r="AL85" s="2" t="n"/>
      <c r="AM85" s="2" t="n">
        <v>35.4</v>
      </c>
      <c r="AN85" s="2" t="n"/>
      <c r="AO85" s="2" t="inlineStr">
        <is>
          <t>2006</t>
        </is>
      </c>
      <c r="AP85" s="2" t="n">
        <v>2006</v>
      </c>
      <c r="AQ85" s="2" t="n"/>
      <c r="AR85" s="2" t="inlineStr">
        <is>
          <t>B</t>
        </is>
      </c>
      <c r="AS85" s="2" t="inlineStr">
        <is>
          <t>anuncio</t>
        </is>
      </c>
      <c r="AT85" s="2" t="n">
        <v>2005</v>
      </c>
      <c r="AU85" s="2" t="inlineStr">
        <is>
          <t>sí</t>
        </is>
      </c>
      <c r="AV85" s="2" t="inlineStr">
        <is>
          <t>B/C</t>
        </is>
      </c>
      <c r="AW85" s="2" t="n"/>
      <c r="AX85" s="2" t="inlineStr">
        <is>
          <t>no</t>
        </is>
      </c>
      <c r="AY85" s="2" t="inlineStr">
        <is>
          <t>no</t>
        </is>
      </c>
      <c r="AZ85" s="2" t="inlineStr">
        <is>
          <t>COMMON.COLOR_RED</t>
        </is>
      </c>
      <c r="BA85" s="2" t="inlineStr">
        <is>
          <t>rojo</t>
        </is>
      </c>
      <c r="BB85" s="3" t="n">
        <v>2</v>
      </c>
      <c r="BC85" s="3" t="inlineStr">
        <is>
          <t>(por segmento)</t>
        </is>
      </c>
      <c r="BD85" s="2" t="n"/>
      <c r="BE85" s="2" t="n"/>
      <c r="BF85" s="2" t="n"/>
      <c r="BG85" s="2" t="n"/>
      <c r="BH85" s="2" t="n"/>
      <c r="BI85" s="2" t="n"/>
      <c r="BJ85" s="2" t="n"/>
      <c r="BK85" s="2" t="n">
        <v>4</v>
      </c>
      <c r="BL85" s="2" t="inlineStr">
        <is>
          <t>no</t>
        </is>
      </c>
      <c r="BM85" s="2" t="n">
        <v>405</v>
      </c>
      <c r="BN85" s="2" t="n">
        <v>0</v>
      </c>
      <c r="BO85" s="2" t="n">
        <v>3</v>
      </c>
      <c r="BP85" s="2" t="n">
        <v>3495</v>
      </c>
      <c r="BQ85" s="2" t="n">
        <v>6</v>
      </c>
      <c r="BR85" s="2" t="inlineStr">
        <is>
          <t>modelo+año+km</t>
        </is>
      </c>
      <c r="BS85" s="2" t="n"/>
      <c r="BT85" s="2" t="inlineStr">
        <is>
          <t>etiqueta dudosa (B/C): se puntúa la peor (B); confirmar con la DGT antes de comprar; año a confirmar: la URL/título dice 2005; vendedor profesional: sin ITP (operación con IVA/REBU, confirmar en factura); gastos de gestión del vendedor no indicados: se suma la tasa DGT; preguntar el precio final; revisar: no menciona la ITV</t>
        </is>
      </c>
      <c r="BU85" s="2" t="inlineStr">
        <is>
          <t>?VEHÍCULO NACIONAL, 121.000KMS CERTIFICADOS, LIBRE DE ACCIDENTES ESTRUCTURALES  -1 AÑO DE GARANTÍA INCLUIDO EN EL PRECIO, POSIBILIDAD DE AMPLIAR A 2 AÑOS -MOTOR MUY FIABLE Y CON UN CONSUMO MUY BAJO -ENVÍO A TODA ESPAÑA DESDE 150€, POSIBILIDAD DE COMPRA ONLINE O EN NUESTRA TIENDA FISICA -AIRE ACONDICIONADO, DIRECCIÓN ASISTIDA, ELEVALUNAS ELECTRICOS, ETC.. ETIQUETA MEDIOAMBIENTAL C VERDE</t>
        </is>
      </c>
      <c r="BV85" s="2" t="inlineStr">
        <is>
          <t>https://www.coches.net/citroen-c3-11i-furio-5p-gasolina-2005-en-valencia-71492958-covo.aspx (window.__INITIAL_PROPS__.ad) /home/user/Alopecia/buscador-coches/raw/cochesnet/6c34c6d9676e1860.json</t>
        </is>
      </c>
      <c r="BW85" s="3">
        <f>MAX(ANIO_ACTUAL-M85,0)</f>
        <v/>
      </c>
      <c r="BX85" s="4">
        <f>N85/MAX(BW85,0.5)</f>
        <v/>
      </c>
      <c r="BY85" s="4">
        <f>F85</f>
        <v/>
      </c>
      <c r="BZ85" s="3">
        <f>BY85&amp;"|"&amp;INT(M85/SEG_ANIO)*SEG_ANIO</f>
        <v/>
      </c>
      <c r="CA85" s="3">
        <f>BZ85&amp;"|"&amp;INT(N85/SEG_KM)*SEG_KM</f>
        <v/>
      </c>
      <c r="CB85" s="4">
        <f>COUNTIF($BY$2:$BY$209,BY85)</f>
        <v/>
      </c>
      <c r="CC85" s="4">
        <f>COUNTIF($BZ$2:$BZ$209,BZ85)</f>
        <v/>
      </c>
      <c r="CD85" s="4">
        <f>COUNTIF($CA$2:$CA$209,CA85)</f>
        <v/>
      </c>
      <c r="CE85" s="3">
        <f t="array" ref="CE85">IF(N(BQ85)&gt;=MIN_N,BP85,IF(CD85&gt;=MIN_N,MEDIAN(IF($CA$2:$CA$209=CA85,$O$2:$O$209)),IF(CC85&gt;=MIN_N,MEDIAN(IF($BZ$2:$BZ$209=BZ85,$O$2:$O$209)),MEDIAN(IF($BY$2:$BY$209=BY85,$O$2:$O$209)))))</f>
        <v/>
      </c>
      <c r="CF85" s="3">
        <f>IF(N(BQ85)&gt;=MIN_N,"mercado "&amp;BR85,IF(CD85&gt;=MIN_N,"modelo+año+km",IF(CC85&gt;=MIN_N,"modelo+año","modelo")))</f>
        <v/>
      </c>
      <c r="CG85" s="4">
        <f>(CE85-O85)/CE85</f>
        <v/>
      </c>
      <c r="CH85" s="3">
        <f>IF(COUNTIFS(FR_FUEL,K85,FR_YEAR,AP85)&gt;0,1,0)</f>
        <v/>
      </c>
      <c r="CI85" s="3">
        <f>IF(COUNTIFS(FR_FUEL,K85,FR_YEAR,AP85-1)&gt;0,1,0)</f>
        <v/>
      </c>
      <c r="CJ85" s="4">
        <f>IF(N(AQ85)&gt;0,AP85*100+AQ85,IF(AND(CH85=1,CI85=1),(AP85-1)*100+1,AP85*100+1))</f>
        <v/>
      </c>
      <c r="CK85" s="3">
        <f>IF(OR(K85="hibrido",K85="glp",K85="gnc",K85="phev"),"ECO",IF(K85="electrico","CERO",IF(K85="gasolina",IF(CJ85&gt;=GAS_C_YM,"C",IF(CJ85&gt;=GAS_B_YM,"B","A")),IF(K85="diesel",IF(CJ85&gt;=DIE_C_YM,"C",IF(CJ85&gt;=DIE_B_YM,"B","A")),""))))</f>
        <v/>
      </c>
      <c r="CL85" s="2" t="inlineStr">
        <is>
          <t>B</t>
        </is>
      </c>
      <c r="CM85" s="4">
        <f>IF(AU85="sí","sí",IF(AS85="regla",IF(AND(N(AQ85)=0,CH85=1),"sí","no"),"no"))</f>
        <v/>
      </c>
      <c r="CN85" s="3">
        <f>IFERROR(VLOOKUP(F85,MOD_TBL,16,0),IFERROR(VLOOKUP(E85,OCU_TBL,2,0),NEUTRO))</f>
        <v/>
      </c>
      <c r="CO85" s="3">
        <f>SUMIFS(MOT_AJUSTE,MOT_MOTOR,G85,MOT_MARCA,E85,MOT_DESDE,"&lt;="&amp;M85,MOT_HASTA,"&gt;="&amp;M85)+SUMIFS(MOT_AJUSTE,MOT_MOTOR,G85,MOT_MARCA,"(todas)",MOT_DESDE,"&lt;="&amp;M85,MOT_HASTA,"&gt;="&amp;M85)+SUMIFS(MOT_AJUSTE,MOT_MOTOR,"(cualquiera)",MOT_MARCA,E85,MOT_DESDE,"&lt;="&amp;M85,MOT_HASTA,"&gt;="&amp;M85)</f>
        <v/>
      </c>
      <c r="CP85" s="3">
        <f>SUMIFS(COMB_AJUSTE,COMB_COMB,K85)</f>
        <v/>
      </c>
      <c r="CQ85" s="3">
        <f>COUNTIFS(MOT_MOTOR,G85,MOT_MARCA,E85,MOT_DESDE,"&lt;="&amp;M85,MOT_HASTA,"&gt;="&amp;M85)+COUNTIFS(MOT_MOTOR,G85,MOT_MARCA,"(todas)",MOT_DESDE,"&lt;="&amp;M85,MOT_HASTA,"&gt;="&amp;M85)+COUNTIFS(MOT_MOTOR,"(cualquiera)",MOT_MARCA,E85,MOT_DESDE,"&lt;="&amp;M85,MOT_HASTA,"&gt;="&amp;M85)</f>
        <v/>
      </c>
      <c r="CR85" s="3">
        <f>IF(AND(K85="diesel",CQ85=0),MIN(CN85,NEUTRO),CN85)</f>
        <v/>
      </c>
      <c r="CS85" s="3">
        <f>MAX(0,MIN(100,CR85+CO85+CP85-IF(AX85="sí",ROB_PEN,0)))</f>
        <v/>
      </c>
      <c r="CT85" s="3">
        <f>100-MAX(0,N85-KM_TOPE_DESDE)/1000*KM_TOPE_PTS</f>
        <v/>
      </c>
      <c r="CU85" s="3">
        <f>MAX(0,MIN(100,50+CG85*PRECIO_PEND,CT85))</f>
        <v/>
      </c>
      <c r="CV85" s="3">
        <f>MAX(0,100*(1-N85/KM_MAX))</f>
        <v/>
      </c>
      <c r="CW85" s="3">
        <f>IF(BX85&lt;KMA_SOSP,IF(AA85="sí",100,KMA_PEN),IF(BX85&lt;=KMA_IDEAL_MAX,100,MAX(0,100*(KMA_CERO-BX85)/(KMA_CERO-KMA_IDEAL_MAX))))</f>
        <v/>
      </c>
      <c r="CX85" s="3">
        <f>MAX(0,MIN(100,100*(M85-ANIO_MIN)/(ANIO_ACTUAL-ANIO_MIN)))</f>
        <v/>
      </c>
      <c r="CY85" s="3">
        <f>W_KMT*CV85+W_KMA*CW85+W_EDAD*CX85</f>
        <v/>
      </c>
      <c r="CZ85" s="4">
        <f>E85&amp;"|"&amp;G85</f>
        <v/>
      </c>
      <c r="DA85" s="3">
        <f>IFERROR(VLOOKUP(CZ85,DIST_TBL,2,0),"")</f>
        <v/>
      </c>
      <c r="DB85" s="3">
        <f>E_ITV*(V85="sí")+E_LIBRO*(W85="sí")+E_PROP*IF(Y85=1,1,IF(Y85=2,0.5,0))+E_CORREA*IF(OR(DA85="cadena",AND(X85="sí",BH85="sí")),1,IF(X85="sí",0.5,0))+E_FACT*(BI85="sí")</f>
        <v/>
      </c>
      <c r="DC85" s="3">
        <f>MAX(0,MIN(100,IFERROR(VLOOKUP(CL85,ETQ_TBL,2,0),0)-IF(CM85="sí",ETQ_PEN_DUD,IF(AS85="regla",ETQ_PEN_REGLA,0))))</f>
        <v/>
      </c>
      <c r="DD85" s="3">
        <f>IF(K85&lt;&gt;"gasolina","",IFERROR(VLOOKUP(F85,CONS_MOD_TBL,2,0),IFERROR(VLOOKUP(L85,CONS_SEG_TBL,2,0),"")))</f>
        <v/>
      </c>
      <c r="DE85" s="3">
        <f>IF(DD85="",NEUTRO,MAX(0,MIN(100,100*(CONS_REF_MAX-DD85)/(CONS_REF_MAX-CONS_REF_MIN))))</f>
        <v/>
      </c>
      <c r="DF85" s="3">
        <f>IFERROR(VLOOKUP(L85,SEGURO_TBL,3,0),"")</f>
        <v/>
      </c>
      <c r="DG85" s="3">
        <f>IF(DF85="",NEUTRO,MAX(0,MIN(100,100*(SEG_REF_MAX-DF85)/(SEG_REF_MAX-SEG_REF_MIN))))</f>
        <v/>
      </c>
      <c r="DH85" s="3">
        <f>IFERROR(VLOOKUP(E85,MANT_MARCA_TBL,2,0)+0,NEUTRO)</f>
        <v/>
      </c>
      <c r="DI85" s="3">
        <f>IF(DA85="",NEUTRO,IFERROR(VLOOKUP(DA85,DIST_PTS_TBL,2,0)+0,NEUTRO))</f>
        <v/>
      </c>
      <c r="DJ85" s="4">
        <f>(DH85+DI85)/2</f>
        <v/>
      </c>
      <c r="DK85" s="3">
        <f>W_CONS*DE85+W_SEG*DG85+W_MANT*DJ85</f>
        <v/>
      </c>
      <c r="DL85" s="3">
        <f>IF(N(AB85)&gt;0,AB85,IF(AND(R85="profesional",SG_LEGAL_ON=1),GAR_LEGAL,0))</f>
        <v/>
      </c>
      <c r="DM85" s="3">
        <f>MAX(0,MIN(100,SG_GAR*MIN(1,DL85/SG_GAR_FULL)+SG_AMPL*(AC85="sí")+SG_KMC*(AF85="sí")+SG_REV*(N(AE85)&gt;0)+SG_DEV*MIN(1,N(AG85)/SG_DEV_FULL)+SG_HIST*(W85="sí")-IF(AND(R85="particular",DL85=0),SG_PART_PEN,0)))</f>
        <v/>
      </c>
      <c r="DN85" s="3">
        <f>IF(BK85="",NEUTRO,MAX(0,MIN(100,BK85/5*100)))</f>
        <v/>
      </c>
      <c r="DO85" s="3">
        <f>IF(BL85="sí",100,IF(BL85="no",0,NEUTRO))</f>
        <v/>
      </c>
      <c r="DP85" s="3">
        <f>SV_W_NCAP*DN85+SV_W_ESP*DO85</f>
        <v/>
      </c>
      <c r="DQ85" s="3">
        <f>MAX(0,MIN(100,ATR_BASE+ATR_ACAB*(BD85&lt;&gt;"")+IF(BE85="16+",ATR_LL16,IF(BE85="sí",ATR_LL,0))+ATR_FAROS*(BF85="sí")+ATR_TINT*(BG85="sí")-ATR_CHAPA*(BE85="chapa")))</f>
        <v/>
      </c>
      <c r="DR85" s="3">
        <f>EST_W_MOD*(BB85-1)/4*100+EST_W_ATR*DQ85</f>
        <v/>
      </c>
      <c r="DS85" s="3">
        <f>IF(BA85="",NEUTRO,IFERROR(VLOOKUP(BA85,COLOR_TBL,2,0)+0,NEUTRO))</f>
        <v/>
      </c>
      <c r="DT85" s="3">
        <f>MAX(0,MIN(100,100*N(BM85)/RV_N_FULL))</f>
        <v/>
      </c>
      <c r="DU85" s="3">
        <f>IF(OR(BN85="",N(BO85)&lt;RV_DIAS_MIN),NEUTRO,MAX(0,MIN(100,100*(RV_DIAS_CERO-BN85)/(RV_DIAS_CERO-RV_DIAS_FULL))))</f>
        <v/>
      </c>
      <c r="DV85" s="3">
        <f>RV_W_LIQ*DT85+RV_W_DIAS*DU85+RV_W_ETQ*DC85</f>
        <v/>
      </c>
      <c r="DW85" s="3">
        <f>IFERROR(VLOOKUP(L85,CARR_PEN_TBL,2,0),0)</f>
        <v/>
      </c>
      <c r="DX85" s="3">
        <f>W_FIAB*CS85+W_PRECIO*CU85+W_KMEDAD*CY85+W_ESTADO*DB85+W_USO*DK85+W_SEGURIDAD*DM85+W_SEGVIAL*DP85+W_ESTETICA*DR85+W_COLOR*DS85+W_REVENTA*DV85-DW85-EG85</f>
        <v/>
      </c>
      <c r="DY85" s="4">
        <f>IF(N(I85)&gt;0,I85,IFERROR(ROUND(_xlfn.NUMBERVALUE(LEFT(G85,FIND(" ",G85&amp;" ")-1),".")*1000,0),99999))</f>
        <v/>
      </c>
      <c r="DZ85" s="3">
        <f>IF(R85="profesional",0,IF(O85&lt;CUOTA_VALOR_MAX,IF(BW85&gt;ITP_TRAMO_ALTO,SUMIFS(CF_CUOTA,CF_MAS,ITP_TRAMO_ALTO,CF_CCMIN,"&lt;="&amp;DY85,CF_CCMAX,"&gt;="&amp;DY85),IF(BW85&gt;ITP_TRAMO_BAJO,SUMIFS(CF_CUOTA,CF_MAS,ITP_TRAMO_BAJO,CF_CCMIN,"&lt;="&amp;DY85,CF_CCMAX,"&gt;="&amp;DY85),O85*ITP_TIPO)),O85*ITP_TIPO))</f>
        <v/>
      </c>
      <c r="EA85" s="4">
        <f>IF(R85="profesional",N(AK85),0)</f>
        <v/>
      </c>
      <c r="EB85" s="3">
        <f>IF(AND(R85="profesional",ISNUMBER(AK85),AL85="sí"),0,TASA_DGT)</f>
        <v/>
      </c>
      <c r="EC85" s="3">
        <f>INFORME_DGT</f>
        <v/>
      </c>
      <c r="ED85" s="4">
        <f>O85+EA85+DZ85+EB85+EC85</f>
        <v/>
      </c>
      <c r="EE85" s="4">
        <f>ED85+N(DF85)</f>
        <v/>
      </c>
      <c r="EF85" s="3">
        <f>MAX(0,ED85-TOTAL_MAX)</f>
        <v/>
      </c>
      <c r="EG85" s="3">
        <f>EF85/100*PEN_100</f>
        <v/>
      </c>
      <c r="EH85" s="3">
        <f>IF(R85="particular",ED85+IF(AND(DA85&lt;&gt;"cadena",X85&lt;&gt;"sí"),RES_CORREA,0)+IF(AND(BJ85&lt;&gt;"sí",BW85&gt;=RES_NEUM_EDAD),RES_NEUM,0),"")</f>
        <v/>
      </c>
      <c r="EI85" s="3">
        <f>IF(ED85&lt;=TOTAL_MAX,"sí",IF(ED85&lt;=TECHO,"negociar","no"))</f>
        <v/>
      </c>
      <c r="EJ85" s="4">
        <f>ROUND(DX85,9)</f>
        <v/>
      </c>
      <c r="EK85" s="4">
        <f>IF(EI85&lt;&gt;"no",SUMPRODUCT(($EI$2:$EI$209&lt;&gt;"no")*($EJ$2:$EJ$209&gt;EJ85))+SUMPRODUCT(($EI$2:EI85&lt;&gt;"no")*($EJ$2:EJ85=EJ85)),"")</f>
        <v/>
      </c>
    </row>
    <row r="86">
      <c r="A86" s="2" t="inlineStr">
        <is>
          <t>cochesnet:71041894</t>
        </is>
      </c>
      <c r="B86" s="2" t="inlineStr">
        <is>
          <t>cochesnet</t>
        </is>
      </c>
      <c r="C86" s="2" t="inlineStr">
        <is>
          <t>https://www.coches.net/citroen-c3-hdi-70-attraction-5p-diesel-2011-en-valencia-71041894-covo.aspx</t>
        </is>
      </c>
      <c r="D86" s="2" t="inlineStr">
        <is>
          <t>CITROEN C3 HDi 70 Attraction</t>
        </is>
      </c>
      <c r="E86" s="2" t="inlineStr">
        <is>
          <t>Citroën</t>
        </is>
      </c>
      <c r="F86" s="2" t="inlineStr">
        <is>
          <t>Citroën C3</t>
        </is>
      </c>
      <c r="G86" s="2" t="inlineStr">
        <is>
          <t>? HDi</t>
        </is>
      </c>
      <c r="H86" s="2" t="inlineStr">
        <is>
          <t>HDi 70 Attraction</t>
        </is>
      </c>
      <c r="I86" s="2" t="n"/>
      <c r="J86" s="2" t="n"/>
      <c r="K86" s="2" t="inlineStr">
        <is>
          <t>diesel</t>
        </is>
      </c>
      <c r="L86" s="2" t="inlineStr">
        <is>
          <t>utilitario</t>
        </is>
      </c>
      <c r="M86" s="2" t="n">
        <v>2011</v>
      </c>
      <c r="N86" s="2" t="n">
        <v>187000</v>
      </c>
      <c r="O86" s="2" t="n">
        <v>4750</v>
      </c>
      <c r="P86" s="2" t="inlineStr">
        <is>
          <t>manual</t>
        </is>
      </c>
      <c r="Q86" s="2" t="inlineStr">
        <is>
          <t>no</t>
        </is>
      </c>
      <c r="R86" s="2" t="inlineStr">
        <is>
          <t>profesional</t>
        </is>
      </c>
      <c r="S86" s="2" t="inlineStr">
        <is>
          <t>Albal</t>
        </is>
      </c>
      <c r="T86" s="2" t="inlineStr">
        <is>
          <t>2026-10-07T14:11:13Z</t>
        </is>
      </c>
      <c r="U86" s="2" t="n">
        <v>10</v>
      </c>
      <c r="V86" s="2" t="n"/>
      <c r="W86" s="2" t="n"/>
      <c r="X86" s="2" t="n"/>
      <c r="Y86" s="2" t="n"/>
      <c r="Z86" s="2" t="inlineStr">
        <is>
          <t>sí</t>
        </is>
      </c>
      <c r="AA86" s="2" t="n"/>
      <c r="AB86" s="2" t="n">
        <v>12</v>
      </c>
      <c r="AC86" s="2" t="n"/>
      <c r="AD86" s="2" t="n"/>
      <c r="AE86" s="2" t="n"/>
      <c r="AF86" s="2" t="n"/>
      <c r="AG86" s="2" t="n"/>
      <c r="AH86" s="2" t="n">
        <v>4750</v>
      </c>
      <c r="AI86" s="2" t="n">
        <v>4750</v>
      </c>
      <c r="AJ86" s="2" t="n"/>
      <c r="AK86" s="2" t="n"/>
      <c r="AL86" s="2" t="n"/>
      <c r="AM86" s="2" t="n">
        <v>8.699999999999999</v>
      </c>
      <c r="AN86" s="2" t="n"/>
      <c r="AO86" s="2" t="inlineStr">
        <is>
          <t>2011</t>
        </is>
      </c>
      <c r="AP86" s="2" t="n">
        <v>2011</v>
      </c>
      <c r="AQ86" s="2" t="n"/>
      <c r="AR86" s="2" t="inlineStr">
        <is>
          <t>B</t>
        </is>
      </c>
      <c r="AS86" s="2" t="inlineStr">
        <is>
          <t>anuncio</t>
        </is>
      </c>
      <c r="AT86" s="2" t="n"/>
      <c r="AU86" s="2" t="inlineStr">
        <is>
          <t>no</t>
        </is>
      </c>
      <c r="AV86" s="2" t="inlineStr">
        <is>
          <t>B</t>
        </is>
      </c>
      <c r="AW86" s="2" t="n"/>
      <c r="AX86" s="2" t="inlineStr">
        <is>
          <t>no</t>
        </is>
      </c>
      <c r="AY86" s="2" t="inlineStr">
        <is>
          <t>no</t>
        </is>
      </c>
      <c r="AZ86" s="2" t="inlineStr">
        <is>
          <t>COMMON.COLOR_WHITE</t>
        </is>
      </c>
      <c r="BA86" s="2" t="inlineStr">
        <is>
          <t>blanco</t>
        </is>
      </c>
      <c r="BB86" s="3" t="n">
        <v>2</v>
      </c>
      <c r="BC86" s="3" t="inlineStr">
        <is>
          <t>(por segmento)</t>
        </is>
      </c>
      <c r="BD86" s="2" t="n"/>
      <c r="BE86" s="2" t="n"/>
      <c r="BF86" s="2" t="n"/>
      <c r="BG86" s="2" t="n"/>
      <c r="BH86" s="2" t="n"/>
      <c r="BI86" s="2" t="n"/>
      <c r="BJ86" s="2" t="n"/>
      <c r="BK86" s="2" t="n">
        <v>4</v>
      </c>
      <c r="BL86" s="2" t="n"/>
      <c r="BM86" s="2" t="n">
        <v>405</v>
      </c>
      <c r="BN86" s="2" t="n">
        <v>0</v>
      </c>
      <c r="BO86" s="2" t="n">
        <v>3</v>
      </c>
      <c r="BP86" s="2" t="n">
        <v>5600</v>
      </c>
      <c r="BQ86" s="2" t="n">
        <v>4</v>
      </c>
      <c r="BR86" s="2" t="inlineStr">
        <is>
          <t>modelo+año+km</t>
        </is>
      </c>
      <c r="BS86" s="2" t="n"/>
      <c r="BT86" s="2" t="inlineStr">
        <is>
          <t>vendedor profesional: sin ITP (operación con IVA/REBU, confirmar en factura); gastos de gestión del vendedor no indicados: se suma la tasa DGT; preguntar el precio final; diésel: motor sin fuente de fiabilidad (fiabilidad limitada a neutra)</t>
        </is>
      </c>
      <c r="BU86" s="2" t="inlineStr">
        <is>
          <t>CItroën C3 Attraction 1.4 HDi 2011 Diésel
Equipamiento:
Elevalunas eléctricos
Bluetooth
Motor 1.4 HDi
Muy bajo consumo
Kilometraje: 187.000 km
Mantenimiento reciente:
Cambio de aceite y filtros
Embrague nuevo
ITV vigente hasta 07/2027
4 neumáticos en excelente estado
Utilitario económico, cómodo y de muy bajo consumo, ideal para ciudad y uso diario.
Precio: 5.250 €
Entrega inmediata en Valencia / Catarroja
Garantía 12 meses en mecánica
Financiación disponible
Recibimos vehículo a cambio, incluso de menor valor
Citroën C3 Attraction en Valencia
Citroën C3 en Catarroja
Citroen C3 en Catarroja</t>
        </is>
      </c>
      <c r="BV86" s="2" t="inlineStr">
        <is>
          <t>https://www.coches.net/citroen-c3-hdi-70-attraction-5p-diesel-2011-en-valencia-71041894-covo.aspx (window.__INITIAL_PROPS__.ad) /home/user/Alopecia/buscador-coches/raw/cochesnet/b94d1dae5572bd11.json</t>
        </is>
      </c>
      <c r="BW86" s="3">
        <f>MAX(ANIO_ACTUAL-M86,0)</f>
        <v/>
      </c>
      <c r="BX86" s="4">
        <f>N86/MAX(BW86,0.5)</f>
        <v/>
      </c>
      <c r="BY86" s="4">
        <f>F86</f>
        <v/>
      </c>
      <c r="BZ86" s="3">
        <f>BY86&amp;"|"&amp;INT(M86/SEG_ANIO)*SEG_ANIO</f>
        <v/>
      </c>
      <c r="CA86" s="3">
        <f>BZ86&amp;"|"&amp;INT(N86/SEG_KM)*SEG_KM</f>
        <v/>
      </c>
      <c r="CB86" s="4">
        <f>COUNTIF($BY$2:$BY$209,BY86)</f>
        <v/>
      </c>
      <c r="CC86" s="4">
        <f>COUNTIF($BZ$2:$BZ$209,BZ86)</f>
        <v/>
      </c>
      <c r="CD86" s="4">
        <f>COUNTIF($CA$2:$CA$209,CA86)</f>
        <v/>
      </c>
      <c r="CE86" s="3">
        <f t="array" ref="CE86">IF(N(BQ86)&gt;=MIN_N,BP86,IF(CD86&gt;=MIN_N,MEDIAN(IF($CA$2:$CA$209=CA86,$O$2:$O$209)),IF(CC86&gt;=MIN_N,MEDIAN(IF($BZ$2:$BZ$209=BZ86,$O$2:$O$209)),MEDIAN(IF($BY$2:$BY$209=BY86,$O$2:$O$209)))))</f>
        <v/>
      </c>
      <c r="CF86" s="3">
        <f>IF(N(BQ86)&gt;=MIN_N,"mercado "&amp;BR86,IF(CD86&gt;=MIN_N,"modelo+año+km",IF(CC86&gt;=MIN_N,"modelo+año","modelo")))</f>
        <v/>
      </c>
      <c r="CG86" s="4">
        <f>(CE86-O86)/CE86</f>
        <v/>
      </c>
      <c r="CH86" s="3">
        <f>IF(COUNTIFS(FR_FUEL,K86,FR_YEAR,AP86)&gt;0,1,0)</f>
        <v/>
      </c>
      <c r="CI86" s="3">
        <f>IF(COUNTIFS(FR_FUEL,K86,FR_YEAR,AP86-1)&gt;0,1,0)</f>
        <v/>
      </c>
      <c r="CJ86" s="4">
        <f>IF(N(AQ86)&gt;0,AP86*100+AQ86,IF(AND(CH86=1,CI86=1),(AP86-1)*100+1,AP86*100+1))</f>
        <v/>
      </c>
      <c r="CK86" s="3">
        <f>IF(OR(K86="hibrido",K86="glp",K86="gnc",K86="phev"),"ECO",IF(K86="electrico","CERO",IF(K86="gasolina",IF(CJ86&gt;=GAS_C_YM,"C",IF(CJ86&gt;=GAS_B_YM,"B","A")),IF(K86="diesel",IF(CJ86&gt;=DIE_C_YM,"C",IF(CJ86&gt;=DIE_B_YM,"B","A")),""))))</f>
        <v/>
      </c>
      <c r="CL86" s="2" t="inlineStr">
        <is>
          <t>B</t>
        </is>
      </c>
      <c r="CM86" s="4">
        <f>IF(AU86="sí","sí",IF(AS86="regla",IF(AND(N(AQ86)=0,CH86=1),"sí","no"),"no"))</f>
        <v/>
      </c>
      <c r="CN86" s="3">
        <f>IFERROR(VLOOKUP(F86,MOD_TBL,16,0),IFERROR(VLOOKUP(E86,OCU_TBL,2,0),NEUTRO))</f>
        <v/>
      </c>
      <c r="CO86" s="3">
        <f>SUMIFS(MOT_AJUSTE,MOT_MOTOR,G86,MOT_MARCA,E86,MOT_DESDE,"&lt;="&amp;M86,MOT_HASTA,"&gt;="&amp;M86)+SUMIFS(MOT_AJUSTE,MOT_MOTOR,G86,MOT_MARCA,"(todas)",MOT_DESDE,"&lt;="&amp;M86,MOT_HASTA,"&gt;="&amp;M86)+SUMIFS(MOT_AJUSTE,MOT_MOTOR,"(cualquiera)",MOT_MARCA,E86,MOT_DESDE,"&lt;="&amp;M86,MOT_HASTA,"&gt;="&amp;M86)</f>
        <v/>
      </c>
      <c r="CP86" s="3">
        <f>SUMIFS(COMB_AJUSTE,COMB_COMB,K86)</f>
        <v/>
      </c>
      <c r="CQ86" s="3">
        <f>COUNTIFS(MOT_MOTOR,G86,MOT_MARCA,E86,MOT_DESDE,"&lt;="&amp;M86,MOT_HASTA,"&gt;="&amp;M86)+COUNTIFS(MOT_MOTOR,G86,MOT_MARCA,"(todas)",MOT_DESDE,"&lt;="&amp;M86,MOT_HASTA,"&gt;="&amp;M86)+COUNTIFS(MOT_MOTOR,"(cualquiera)",MOT_MARCA,E86,MOT_DESDE,"&lt;="&amp;M86,MOT_HASTA,"&gt;="&amp;M86)</f>
        <v/>
      </c>
      <c r="CR86" s="3">
        <f>IF(AND(K86="diesel",CQ86=0),MIN(CN86,NEUTRO),CN86)</f>
        <v/>
      </c>
      <c r="CS86" s="3">
        <f>MAX(0,MIN(100,CR86+CO86+CP86-IF(AX86="sí",ROB_PEN,0)))</f>
        <v/>
      </c>
      <c r="CT86" s="3">
        <f>100-MAX(0,N86-KM_TOPE_DESDE)/1000*KM_TOPE_PTS</f>
        <v/>
      </c>
      <c r="CU86" s="3">
        <f>MAX(0,MIN(100,50+CG86*PRECIO_PEND,CT86))</f>
        <v/>
      </c>
      <c r="CV86" s="3">
        <f>MAX(0,100*(1-N86/KM_MAX))</f>
        <v/>
      </c>
      <c r="CW86" s="3">
        <f>IF(BX86&lt;KMA_SOSP,IF(AA86="sí",100,KMA_PEN),IF(BX86&lt;=KMA_IDEAL_MAX,100,MAX(0,100*(KMA_CERO-BX86)/(KMA_CERO-KMA_IDEAL_MAX))))</f>
        <v/>
      </c>
      <c r="CX86" s="3">
        <f>MAX(0,MIN(100,100*(M86-ANIO_MIN)/(ANIO_ACTUAL-ANIO_MIN)))</f>
        <v/>
      </c>
      <c r="CY86" s="3">
        <f>W_KMT*CV86+W_KMA*CW86+W_EDAD*CX86</f>
        <v/>
      </c>
      <c r="CZ86" s="4">
        <f>E86&amp;"|"&amp;G86</f>
        <v/>
      </c>
      <c r="DA86" s="3">
        <f>IFERROR(VLOOKUP(CZ86,DIST_TBL,2,0),"")</f>
        <v/>
      </c>
      <c r="DB86" s="3">
        <f>E_ITV*(V86="sí")+E_LIBRO*(W86="sí")+E_PROP*IF(Y86=1,1,IF(Y86=2,0.5,0))+E_CORREA*IF(OR(DA86="cadena",AND(X86="sí",BH86="sí")),1,IF(X86="sí",0.5,0))+E_FACT*(BI86="sí")</f>
        <v/>
      </c>
      <c r="DC86" s="3">
        <f>MAX(0,MIN(100,IFERROR(VLOOKUP(CL86,ETQ_TBL,2,0),0)-IF(CM86="sí",ETQ_PEN_DUD,IF(AS86="regla",ETQ_PEN_REGLA,0))))</f>
        <v/>
      </c>
      <c r="DD86" s="3">
        <f>IF(K86&lt;&gt;"gasolina","",IFERROR(VLOOKUP(F86,CONS_MOD_TBL,2,0),IFERROR(VLOOKUP(L86,CONS_SEG_TBL,2,0),"")))</f>
        <v/>
      </c>
      <c r="DE86" s="3">
        <f>IF(DD86="",NEUTRO,MAX(0,MIN(100,100*(CONS_REF_MAX-DD86)/(CONS_REF_MAX-CONS_REF_MIN))))</f>
        <v/>
      </c>
      <c r="DF86" s="3">
        <f>IFERROR(VLOOKUP(L86,SEGURO_TBL,3,0),"")</f>
        <v/>
      </c>
      <c r="DG86" s="3">
        <f>IF(DF86="",NEUTRO,MAX(0,MIN(100,100*(SEG_REF_MAX-DF86)/(SEG_REF_MAX-SEG_REF_MIN))))</f>
        <v/>
      </c>
      <c r="DH86" s="3">
        <f>IFERROR(VLOOKUP(E86,MANT_MARCA_TBL,2,0)+0,NEUTRO)</f>
        <v/>
      </c>
      <c r="DI86" s="3">
        <f>IF(DA86="",NEUTRO,IFERROR(VLOOKUP(DA86,DIST_PTS_TBL,2,0)+0,NEUTRO))</f>
        <v/>
      </c>
      <c r="DJ86" s="4">
        <f>(DH86+DI86)/2</f>
        <v/>
      </c>
      <c r="DK86" s="3">
        <f>W_CONS*DE86+W_SEG*DG86+W_MANT*DJ86</f>
        <v/>
      </c>
      <c r="DL86" s="3">
        <f>IF(N(AB86)&gt;0,AB86,IF(AND(R86="profesional",SG_LEGAL_ON=1),GAR_LEGAL,0))</f>
        <v/>
      </c>
      <c r="DM86" s="3">
        <f>MAX(0,MIN(100,SG_GAR*MIN(1,DL86/SG_GAR_FULL)+SG_AMPL*(AC86="sí")+SG_KMC*(AF86="sí")+SG_REV*(N(AE86)&gt;0)+SG_DEV*MIN(1,N(AG86)/SG_DEV_FULL)+SG_HIST*(W86="sí")-IF(AND(R86="particular",DL86=0),SG_PART_PEN,0)))</f>
        <v/>
      </c>
      <c r="DN86" s="3">
        <f>IF(BK86="",NEUTRO,MAX(0,MIN(100,BK86/5*100)))</f>
        <v/>
      </c>
      <c r="DO86" s="3">
        <f>IF(BL86="sí",100,IF(BL86="no",0,NEUTRO))</f>
        <v/>
      </c>
      <c r="DP86" s="3">
        <f>SV_W_NCAP*DN86+SV_W_ESP*DO86</f>
        <v/>
      </c>
      <c r="DQ86" s="3">
        <f>MAX(0,MIN(100,ATR_BASE+ATR_ACAB*(BD86&lt;&gt;"")+IF(BE86="16+",ATR_LL16,IF(BE86="sí",ATR_LL,0))+ATR_FAROS*(BF86="sí")+ATR_TINT*(BG86="sí")-ATR_CHAPA*(BE86="chapa")))</f>
        <v/>
      </c>
      <c r="DR86" s="3">
        <f>EST_W_MOD*(BB86-1)/4*100+EST_W_ATR*DQ86</f>
        <v/>
      </c>
      <c r="DS86" s="3">
        <f>IF(BA86="",NEUTRO,IFERROR(VLOOKUP(BA86,COLOR_TBL,2,0)+0,NEUTRO))</f>
        <v/>
      </c>
      <c r="DT86" s="3">
        <f>MAX(0,MIN(100,100*N(BM86)/RV_N_FULL))</f>
        <v/>
      </c>
      <c r="DU86" s="3">
        <f>IF(OR(BN86="",N(BO86)&lt;RV_DIAS_MIN),NEUTRO,MAX(0,MIN(100,100*(RV_DIAS_CERO-BN86)/(RV_DIAS_CERO-RV_DIAS_FULL))))</f>
        <v/>
      </c>
      <c r="DV86" s="3">
        <f>RV_W_LIQ*DT86+RV_W_DIAS*DU86+RV_W_ETQ*DC86</f>
        <v/>
      </c>
      <c r="DW86" s="3">
        <f>IFERROR(VLOOKUP(L86,CARR_PEN_TBL,2,0),0)</f>
        <v/>
      </c>
      <c r="DX86" s="3">
        <f>W_FIAB*CS86+W_PRECIO*CU86+W_KMEDAD*CY86+W_ESTADO*DB86+W_USO*DK86+W_SEGURIDAD*DM86+W_SEGVIAL*DP86+W_ESTETICA*DR86+W_COLOR*DS86+W_REVENTA*DV86-DW86-EG86</f>
        <v/>
      </c>
      <c r="DY86" s="4">
        <f>IF(N(I86)&gt;0,I86,IFERROR(ROUND(_xlfn.NUMBERVALUE(LEFT(G86,FIND(" ",G86&amp;" ")-1),".")*1000,0),99999))</f>
        <v/>
      </c>
      <c r="DZ86" s="3">
        <f>IF(R86="profesional",0,IF(O86&lt;CUOTA_VALOR_MAX,IF(BW86&gt;ITP_TRAMO_ALTO,SUMIFS(CF_CUOTA,CF_MAS,ITP_TRAMO_ALTO,CF_CCMIN,"&lt;="&amp;DY86,CF_CCMAX,"&gt;="&amp;DY86),IF(BW86&gt;ITP_TRAMO_BAJO,SUMIFS(CF_CUOTA,CF_MAS,ITP_TRAMO_BAJO,CF_CCMIN,"&lt;="&amp;DY86,CF_CCMAX,"&gt;="&amp;DY86),O86*ITP_TIPO)),O86*ITP_TIPO))</f>
        <v/>
      </c>
      <c r="EA86" s="4">
        <f>IF(R86="profesional",N(AK86),0)</f>
        <v/>
      </c>
      <c r="EB86" s="3">
        <f>IF(AND(R86="profesional",ISNUMBER(AK86),AL86="sí"),0,TASA_DGT)</f>
        <v/>
      </c>
      <c r="EC86" s="3">
        <f>INFORME_DGT</f>
        <v/>
      </c>
      <c r="ED86" s="4">
        <f>O86+EA86+DZ86+EB86+EC86</f>
        <v/>
      </c>
      <c r="EE86" s="4">
        <f>ED86+N(DF86)</f>
        <v/>
      </c>
      <c r="EF86" s="3">
        <f>MAX(0,ED86-TOTAL_MAX)</f>
        <v/>
      </c>
      <c r="EG86" s="3">
        <f>EF86/100*PEN_100</f>
        <v/>
      </c>
      <c r="EH86" s="3">
        <f>IF(R86="particular",ED86+IF(AND(DA86&lt;&gt;"cadena",X86&lt;&gt;"sí"),RES_CORREA,0)+IF(AND(BJ86&lt;&gt;"sí",BW86&gt;=RES_NEUM_EDAD),RES_NEUM,0),"")</f>
        <v/>
      </c>
      <c r="EI86" s="3">
        <f>IF(ED86&lt;=TOTAL_MAX,"sí",IF(ED86&lt;=TECHO,"negociar","no"))</f>
        <v/>
      </c>
      <c r="EJ86" s="4">
        <f>ROUND(DX86,9)</f>
        <v/>
      </c>
      <c r="EK86" s="4">
        <f>IF(EI86&lt;&gt;"no",SUMPRODUCT(($EI$2:$EI$209&lt;&gt;"no")*($EJ$2:$EJ$209&gt;EJ86))+SUMPRODUCT(($EI$2:EI86&lt;&gt;"no")*($EJ$2:EJ86=EJ86)),"")</f>
        <v/>
      </c>
    </row>
    <row r="87">
      <c r="A87" s="2" t="inlineStr">
        <is>
          <t>cochesnet:71039872</t>
        </is>
      </c>
      <c r="B87" s="2" t="inlineStr">
        <is>
          <t>cochesnet</t>
        </is>
      </c>
      <c r="C87" s="2" t="inlineStr">
        <is>
          <t>https://www.coches.net/citroen-c3-ehdi-115-exclusive-5p-diesel-2013-en-valencia-71039872-covo.aspx</t>
        </is>
      </c>
      <c r="D87" s="2" t="inlineStr">
        <is>
          <t>CITROEN C3 EHDI 115 Exclusive</t>
        </is>
      </c>
      <c r="E87" s="2" t="inlineStr">
        <is>
          <t>Citroën</t>
        </is>
      </c>
      <c r="F87" s="2" t="inlineStr">
        <is>
          <t>Citroën C3</t>
        </is>
      </c>
      <c r="G87" s="2" t="inlineStr">
        <is>
          <t>? HDi</t>
        </is>
      </c>
      <c r="H87" s="2" t="inlineStr">
        <is>
          <t>EHDI 115 Exclusive</t>
        </is>
      </c>
      <c r="I87" s="2" t="n"/>
      <c r="J87" s="2" t="n"/>
      <c r="K87" s="2" t="inlineStr">
        <is>
          <t>diesel</t>
        </is>
      </c>
      <c r="L87" s="2" t="inlineStr">
        <is>
          <t>utilitario</t>
        </is>
      </c>
      <c r="M87" s="2" t="n">
        <v>2013</v>
      </c>
      <c r="N87" s="2" t="n">
        <v>180000</v>
      </c>
      <c r="O87" s="2" t="n">
        <v>4990</v>
      </c>
      <c r="P87" s="2" t="inlineStr">
        <is>
          <t>manual</t>
        </is>
      </c>
      <c r="Q87" s="2" t="inlineStr">
        <is>
          <t>no</t>
        </is>
      </c>
      <c r="R87" s="2" t="inlineStr">
        <is>
          <t>profesional</t>
        </is>
      </c>
      <c r="S87" s="2" t="inlineStr">
        <is>
          <t>Foios</t>
        </is>
      </c>
      <c r="T87" s="2" t="inlineStr">
        <is>
          <t>2026-10-07T11:07:16Z</t>
        </is>
      </c>
      <c r="U87" s="2" t="n">
        <v>13</v>
      </c>
      <c r="V87" s="2" t="n"/>
      <c r="W87" s="2" t="n"/>
      <c r="X87" s="2" t="n"/>
      <c r="Y87" s="2" t="n"/>
      <c r="Z87" s="2" t="inlineStr">
        <is>
          <t>sí</t>
        </is>
      </c>
      <c r="AA87" s="2" t="n"/>
      <c r="AB87" s="2" t="n">
        <v>12</v>
      </c>
      <c r="AC87" s="2" t="n"/>
      <c r="AD87" s="2" t="n"/>
      <c r="AE87" s="2" t="n"/>
      <c r="AF87" s="2" t="n"/>
      <c r="AG87" s="2" t="n"/>
      <c r="AH87" s="2" t="n">
        <v>4990</v>
      </c>
      <c r="AI87" s="2" t="n">
        <v>4990</v>
      </c>
      <c r="AJ87" s="2" t="n"/>
      <c r="AK87" s="2" t="n"/>
      <c r="AL87" s="2" t="n"/>
      <c r="AM87" s="2" t="n">
        <v>7.7</v>
      </c>
      <c r="AN87" s="2" t="n"/>
      <c r="AO87" s="2" t="inlineStr">
        <is>
          <t>2013</t>
        </is>
      </c>
      <c r="AP87" s="2" t="n">
        <v>2013</v>
      </c>
      <c r="AQ87" s="2" t="n"/>
      <c r="AR87" s="2" t="n"/>
      <c r="AS87" s="2" t="inlineStr">
        <is>
          <t>regla</t>
        </is>
      </c>
      <c r="AT87" s="2" t="n"/>
      <c r="AU87" s="2" t="inlineStr">
        <is>
          <t>no</t>
        </is>
      </c>
      <c r="AV87" s="2" t="inlineStr">
        <is>
          <t>B</t>
        </is>
      </c>
      <c r="AW87" s="2" t="inlineStr">
        <is>
          <t>C</t>
        </is>
      </c>
      <c r="AX87" s="2" t="inlineStr">
        <is>
          <t>no</t>
        </is>
      </c>
      <c r="AY87" s="2" t="inlineStr">
        <is>
          <t>no</t>
        </is>
      </c>
      <c r="AZ87" s="2" t="inlineStr">
        <is>
          <t>COMMON.COLOR_GRAY</t>
        </is>
      </c>
      <c r="BA87" s="2" t="inlineStr">
        <is>
          <t>gris_medio</t>
        </is>
      </c>
      <c r="BB87" s="3" t="n">
        <v>2</v>
      </c>
      <c r="BC87" s="3" t="inlineStr">
        <is>
          <t>(por segmento)</t>
        </is>
      </c>
      <c r="BD87" s="2" t="inlineStr">
        <is>
          <t>exclusive</t>
        </is>
      </c>
      <c r="BE87" s="2" t="n"/>
      <c r="BF87" s="2" t="n"/>
      <c r="BG87" s="2" t="n"/>
      <c r="BH87" s="2" t="n"/>
      <c r="BI87" s="2" t="n"/>
      <c r="BJ87" s="2" t="n"/>
      <c r="BK87" s="2" t="n">
        <v>4</v>
      </c>
      <c r="BL87" s="2" t="n"/>
      <c r="BM87" s="2" t="n">
        <v>405</v>
      </c>
      <c r="BN87" s="2" t="n">
        <v>0</v>
      </c>
      <c r="BO87" s="2" t="n">
        <v>3</v>
      </c>
      <c r="BP87" s="2" t="n">
        <v>5500</v>
      </c>
      <c r="BQ87" s="2" t="n">
        <v>17</v>
      </c>
      <c r="BR87" s="2" t="inlineStr">
        <is>
          <t>modelo+año</t>
        </is>
      </c>
      <c r="BS87" s="2" t="n"/>
      <c r="BT87" s="2" t="inlineStr">
        <is>
          <t>anuncio incoherente: dice etiqueta C y por fecha corresponde B; se usa la regla; por encima del presupuesto: negociar 54 € (coste 5054 €; -1.1 puntos); vendedor profesional: sin ITP (operación con IVA/REBU, confirmar en factura); gastos de gestión del vendedor no indicados: se suma la tasa DGT; preguntar el precio final; diésel: motor sin fuente de fiabilidad (fiabilidad limitada a neutra); etiqueta B deducida por fecha (sin matrícula ni dato del anuncio); revisar: no menciona la ITV</t>
        </is>
      </c>
      <c r="BU87" s="2" t="inlineStr"/>
      <c r="BV87" s="2" t="inlineStr">
        <is>
          <t>https://www.coches.net/citroen-c3-ehdi-115-exclusive-5p-diesel-2013-en-valencia-71039872-covo.aspx (window.__INITIAL_PROPS__.ad) /home/user/Alopecia/buscador-coches/raw/cochesnet/860d9c5e45d2dc6a.json</t>
        </is>
      </c>
      <c r="BW87" s="3">
        <f>MAX(ANIO_ACTUAL-M87,0)</f>
        <v/>
      </c>
      <c r="BX87" s="4">
        <f>N87/MAX(BW87,0.5)</f>
        <v/>
      </c>
      <c r="BY87" s="4">
        <f>F87</f>
        <v/>
      </c>
      <c r="BZ87" s="3">
        <f>BY87&amp;"|"&amp;INT(M87/SEG_ANIO)*SEG_ANIO</f>
        <v/>
      </c>
      <c r="CA87" s="3">
        <f>BZ87&amp;"|"&amp;INT(N87/SEG_KM)*SEG_KM</f>
        <v/>
      </c>
      <c r="CB87" s="4">
        <f>COUNTIF($BY$2:$BY$209,BY87)</f>
        <v/>
      </c>
      <c r="CC87" s="4">
        <f>COUNTIF($BZ$2:$BZ$209,BZ87)</f>
        <v/>
      </c>
      <c r="CD87" s="4">
        <f>COUNTIF($CA$2:$CA$209,CA87)</f>
        <v/>
      </c>
      <c r="CE87" s="3">
        <f t="array" ref="CE87">IF(N(BQ87)&gt;=MIN_N,BP87,IF(CD87&gt;=MIN_N,MEDIAN(IF($CA$2:$CA$209=CA87,$O$2:$O$209)),IF(CC87&gt;=MIN_N,MEDIAN(IF($BZ$2:$BZ$209=BZ87,$O$2:$O$209)),MEDIAN(IF($BY$2:$BY$209=BY87,$O$2:$O$209)))))</f>
        <v/>
      </c>
      <c r="CF87" s="3">
        <f>IF(N(BQ87)&gt;=MIN_N,"mercado "&amp;BR87,IF(CD87&gt;=MIN_N,"modelo+año+km",IF(CC87&gt;=MIN_N,"modelo+año","modelo")))</f>
        <v/>
      </c>
      <c r="CG87" s="4">
        <f>(CE87-O87)/CE87</f>
        <v/>
      </c>
      <c r="CH87" s="3">
        <f>IF(COUNTIFS(FR_FUEL,K87,FR_YEAR,AP87)&gt;0,1,0)</f>
        <v/>
      </c>
      <c r="CI87" s="3">
        <f>IF(COUNTIFS(FR_FUEL,K87,FR_YEAR,AP87-1)&gt;0,1,0)</f>
        <v/>
      </c>
      <c r="CJ87" s="4">
        <f>IF(N(AQ87)&gt;0,AP87*100+AQ87,IF(AND(CH87=1,CI87=1),(AP87-1)*100+1,AP87*100+1))</f>
        <v/>
      </c>
      <c r="CK87" s="3">
        <f>IF(OR(K87="hibrido",K87="glp",K87="gnc",K87="phev"),"ECO",IF(K87="electrico","CERO",IF(K87="gasolina",IF(CJ87&gt;=GAS_C_YM,"C",IF(CJ87&gt;=GAS_B_YM,"B","A")),IF(K87="diesel",IF(CJ87&gt;=DIE_C_YM,"C",IF(CJ87&gt;=DIE_B_YM,"B","A")),""))))</f>
        <v/>
      </c>
      <c r="CL87" s="4">
        <f>CK87</f>
        <v/>
      </c>
      <c r="CM87" s="4">
        <f>IF(AU87="sí","sí",IF(AS87="regla",IF(AND(N(AQ87)=0,CH87=1),"sí","no"),"no"))</f>
        <v/>
      </c>
      <c r="CN87" s="3">
        <f>IFERROR(VLOOKUP(F87,MOD_TBL,16,0),IFERROR(VLOOKUP(E87,OCU_TBL,2,0),NEUTRO))</f>
        <v/>
      </c>
      <c r="CO87" s="3">
        <f>SUMIFS(MOT_AJUSTE,MOT_MOTOR,G87,MOT_MARCA,E87,MOT_DESDE,"&lt;="&amp;M87,MOT_HASTA,"&gt;="&amp;M87)+SUMIFS(MOT_AJUSTE,MOT_MOTOR,G87,MOT_MARCA,"(todas)",MOT_DESDE,"&lt;="&amp;M87,MOT_HASTA,"&gt;="&amp;M87)+SUMIFS(MOT_AJUSTE,MOT_MOTOR,"(cualquiera)",MOT_MARCA,E87,MOT_DESDE,"&lt;="&amp;M87,MOT_HASTA,"&gt;="&amp;M87)</f>
        <v/>
      </c>
      <c r="CP87" s="3">
        <f>SUMIFS(COMB_AJUSTE,COMB_COMB,K87)</f>
        <v/>
      </c>
      <c r="CQ87" s="3">
        <f>COUNTIFS(MOT_MOTOR,G87,MOT_MARCA,E87,MOT_DESDE,"&lt;="&amp;M87,MOT_HASTA,"&gt;="&amp;M87)+COUNTIFS(MOT_MOTOR,G87,MOT_MARCA,"(todas)",MOT_DESDE,"&lt;="&amp;M87,MOT_HASTA,"&gt;="&amp;M87)+COUNTIFS(MOT_MOTOR,"(cualquiera)",MOT_MARCA,E87,MOT_DESDE,"&lt;="&amp;M87,MOT_HASTA,"&gt;="&amp;M87)</f>
        <v/>
      </c>
      <c r="CR87" s="3">
        <f>IF(AND(K87="diesel",CQ87=0),MIN(CN87,NEUTRO),CN87)</f>
        <v/>
      </c>
      <c r="CS87" s="3">
        <f>MAX(0,MIN(100,CR87+CO87+CP87-IF(AX87="sí",ROB_PEN,0)))</f>
        <v/>
      </c>
      <c r="CT87" s="3">
        <f>100-MAX(0,N87-KM_TOPE_DESDE)/1000*KM_TOPE_PTS</f>
        <v/>
      </c>
      <c r="CU87" s="3">
        <f>MAX(0,MIN(100,50+CG87*PRECIO_PEND,CT87))</f>
        <v/>
      </c>
      <c r="CV87" s="3">
        <f>MAX(0,100*(1-N87/KM_MAX))</f>
        <v/>
      </c>
      <c r="CW87" s="3">
        <f>IF(BX87&lt;KMA_SOSP,IF(AA87="sí",100,KMA_PEN),IF(BX87&lt;=KMA_IDEAL_MAX,100,MAX(0,100*(KMA_CERO-BX87)/(KMA_CERO-KMA_IDEAL_MAX))))</f>
        <v/>
      </c>
      <c r="CX87" s="3">
        <f>MAX(0,MIN(100,100*(M87-ANIO_MIN)/(ANIO_ACTUAL-ANIO_MIN)))</f>
        <v/>
      </c>
      <c r="CY87" s="3">
        <f>W_KMT*CV87+W_KMA*CW87+W_EDAD*CX87</f>
        <v/>
      </c>
      <c r="CZ87" s="4">
        <f>E87&amp;"|"&amp;G87</f>
        <v/>
      </c>
      <c r="DA87" s="3">
        <f>IFERROR(VLOOKUP(CZ87,DIST_TBL,2,0),"")</f>
        <v/>
      </c>
      <c r="DB87" s="3">
        <f>E_ITV*(V87="sí")+E_LIBRO*(W87="sí")+E_PROP*IF(Y87=1,1,IF(Y87=2,0.5,0))+E_CORREA*IF(OR(DA87="cadena",AND(X87="sí",BH87="sí")),1,IF(X87="sí",0.5,0))+E_FACT*(BI87="sí")</f>
        <v/>
      </c>
      <c r="DC87" s="3">
        <f>MAX(0,MIN(100,IFERROR(VLOOKUP(CL87,ETQ_TBL,2,0),0)-IF(CM87="sí",ETQ_PEN_DUD,IF(AS87="regla",ETQ_PEN_REGLA,0))))</f>
        <v/>
      </c>
      <c r="DD87" s="3">
        <f>IF(K87&lt;&gt;"gasolina","",IFERROR(VLOOKUP(F87,CONS_MOD_TBL,2,0),IFERROR(VLOOKUP(L87,CONS_SEG_TBL,2,0),"")))</f>
        <v/>
      </c>
      <c r="DE87" s="3">
        <f>IF(DD87="",NEUTRO,MAX(0,MIN(100,100*(CONS_REF_MAX-DD87)/(CONS_REF_MAX-CONS_REF_MIN))))</f>
        <v/>
      </c>
      <c r="DF87" s="3">
        <f>IFERROR(VLOOKUP(L87,SEGURO_TBL,3,0),"")</f>
        <v/>
      </c>
      <c r="DG87" s="3">
        <f>IF(DF87="",NEUTRO,MAX(0,MIN(100,100*(SEG_REF_MAX-DF87)/(SEG_REF_MAX-SEG_REF_MIN))))</f>
        <v/>
      </c>
      <c r="DH87" s="3">
        <f>IFERROR(VLOOKUP(E87,MANT_MARCA_TBL,2,0)+0,NEUTRO)</f>
        <v/>
      </c>
      <c r="DI87" s="3">
        <f>IF(DA87="",NEUTRO,IFERROR(VLOOKUP(DA87,DIST_PTS_TBL,2,0)+0,NEUTRO))</f>
        <v/>
      </c>
      <c r="DJ87" s="4">
        <f>(DH87+DI87)/2</f>
        <v/>
      </c>
      <c r="DK87" s="3">
        <f>W_CONS*DE87+W_SEG*DG87+W_MANT*DJ87</f>
        <v/>
      </c>
      <c r="DL87" s="3">
        <f>IF(N(AB87)&gt;0,AB87,IF(AND(R87="profesional",SG_LEGAL_ON=1),GAR_LEGAL,0))</f>
        <v/>
      </c>
      <c r="DM87" s="3">
        <f>MAX(0,MIN(100,SG_GAR*MIN(1,DL87/SG_GAR_FULL)+SG_AMPL*(AC87="sí")+SG_KMC*(AF87="sí")+SG_REV*(N(AE87)&gt;0)+SG_DEV*MIN(1,N(AG87)/SG_DEV_FULL)+SG_HIST*(W87="sí")-IF(AND(R87="particular",DL87=0),SG_PART_PEN,0)))</f>
        <v/>
      </c>
      <c r="DN87" s="3">
        <f>IF(BK87="",NEUTRO,MAX(0,MIN(100,BK87/5*100)))</f>
        <v/>
      </c>
      <c r="DO87" s="3">
        <f>IF(BL87="sí",100,IF(BL87="no",0,NEUTRO))</f>
        <v/>
      </c>
      <c r="DP87" s="3">
        <f>SV_W_NCAP*DN87+SV_W_ESP*DO87</f>
        <v/>
      </c>
      <c r="DQ87" s="3">
        <f>MAX(0,MIN(100,ATR_BASE+ATR_ACAB*(BD87&lt;&gt;"")+IF(BE87="16+",ATR_LL16,IF(BE87="sí",ATR_LL,0))+ATR_FAROS*(BF87="sí")+ATR_TINT*(BG87="sí")-ATR_CHAPA*(BE87="chapa")))</f>
        <v/>
      </c>
      <c r="DR87" s="3">
        <f>EST_W_MOD*(BB87-1)/4*100+EST_W_ATR*DQ87</f>
        <v/>
      </c>
      <c r="DS87" s="3">
        <f>IF(BA87="",NEUTRO,IFERROR(VLOOKUP(BA87,COLOR_TBL,2,0)+0,NEUTRO))</f>
        <v/>
      </c>
      <c r="DT87" s="3">
        <f>MAX(0,MIN(100,100*N(BM87)/RV_N_FULL))</f>
        <v/>
      </c>
      <c r="DU87" s="3">
        <f>IF(OR(BN87="",N(BO87)&lt;RV_DIAS_MIN),NEUTRO,MAX(0,MIN(100,100*(RV_DIAS_CERO-BN87)/(RV_DIAS_CERO-RV_DIAS_FULL))))</f>
        <v/>
      </c>
      <c r="DV87" s="3">
        <f>RV_W_LIQ*DT87+RV_W_DIAS*DU87+RV_W_ETQ*DC87</f>
        <v/>
      </c>
      <c r="DW87" s="3">
        <f>IFERROR(VLOOKUP(L87,CARR_PEN_TBL,2,0),0)</f>
        <v/>
      </c>
      <c r="DX87" s="3">
        <f>W_FIAB*CS87+W_PRECIO*CU87+W_KMEDAD*CY87+W_ESTADO*DB87+W_USO*DK87+W_SEGURIDAD*DM87+W_SEGVIAL*DP87+W_ESTETICA*DR87+W_COLOR*DS87+W_REVENTA*DV87-DW87-EG87</f>
        <v/>
      </c>
      <c r="DY87" s="4">
        <f>IF(N(I87)&gt;0,I87,IFERROR(ROUND(_xlfn.NUMBERVALUE(LEFT(G87,FIND(" ",G87&amp;" ")-1),".")*1000,0),99999))</f>
        <v/>
      </c>
      <c r="DZ87" s="3">
        <f>IF(R87="profesional",0,IF(O87&lt;CUOTA_VALOR_MAX,IF(BW87&gt;ITP_TRAMO_ALTO,SUMIFS(CF_CUOTA,CF_MAS,ITP_TRAMO_ALTO,CF_CCMIN,"&lt;="&amp;DY87,CF_CCMAX,"&gt;="&amp;DY87),IF(BW87&gt;ITP_TRAMO_BAJO,SUMIFS(CF_CUOTA,CF_MAS,ITP_TRAMO_BAJO,CF_CCMIN,"&lt;="&amp;DY87,CF_CCMAX,"&gt;="&amp;DY87),O87*ITP_TIPO)),O87*ITP_TIPO))</f>
        <v/>
      </c>
      <c r="EA87" s="4">
        <f>IF(R87="profesional",N(AK87),0)</f>
        <v/>
      </c>
      <c r="EB87" s="3">
        <f>IF(AND(R87="profesional",ISNUMBER(AK87),AL87="sí"),0,TASA_DGT)</f>
        <v/>
      </c>
      <c r="EC87" s="3">
        <f>INFORME_DGT</f>
        <v/>
      </c>
      <c r="ED87" s="4">
        <f>O87+EA87+DZ87+EB87+EC87</f>
        <v/>
      </c>
      <c r="EE87" s="4">
        <f>ED87+N(DF87)</f>
        <v/>
      </c>
      <c r="EF87" s="3">
        <f>MAX(0,ED87-TOTAL_MAX)</f>
        <v/>
      </c>
      <c r="EG87" s="3">
        <f>EF87/100*PEN_100</f>
        <v/>
      </c>
      <c r="EH87" s="3">
        <f>IF(R87="particular",ED87+IF(AND(DA87&lt;&gt;"cadena",X87&lt;&gt;"sí"),RES_CORREA,0)+IF(AND(BJ87&lt;&gt;"sí",BW87&gt;=RES_NEUM_EDAD),RES_NEUM,0),"")</f>
        <v/>
      </c>
      <c r="EI87" s="3">
        <f>IF(ED87&lt;=TOTAL_MAX,"sí",IF(ED87&lt;=TECHO,"negociar","no"))</f>
        <v/>
      </c>
      <c r="EJ87" s="4">
        <f>ROUND(DX87,9)</f>
        <v/>
      </c>
      <c r="EK87" s="4">
        <f>IF(EI87&lt;&gt;"no",SUMPRODUCT(($EI$2:$EI$209&lt;&gt;"no")*($EJ$2:$EJ$209&gt;EJ87))+SUMPRODUCT(($EI$2:EI87&lt;&gt;"no")*($EJ$2:EJ87=EJ87)),"")</f>
        <v/>
      </c>
    </row>
    <row r="88">
      <c r="A88" s="2" t="inlineStr">
        <is>
          <t>cochesnet:71679274</t>
        </is>
      </c>
      <c r="B88" s="2" t="inlineStr">
        <is>
          <t>cochesnet</t>
        </is>
      </c>
      <c r="C88" s="2" t="inlineStr">
        <is>
          <t>https://www.coches.net/citroen-c4-14-16v-lx-5p-gasolina-2004-en-valencia-71679274-covo.aspx</t>
        </is>
      </c>
      <c r="D88" s="2" t="inlineStr">
        <is>
          <t>CITROEN C4 1.4 16v LX</t>
        </is>
      </c>
      <c r="E88" s="2" t="inlineStr">
        <is>
          <t>Citroën</t>
        </is>
      </c>
      <c r="F88" s="2" t="inlineStr">
        <is>
          <t>Citroën C4</t>
        </is>
      </c>
      <c r="G88" s="2" t="inlineStr">
        <is>
          <t>1.4</t>
        </is>
      </c>
      <c r="H88" s="2" t="n"/>
      <c r="I88" s="2" t="n"/>
      <c r="J88" s="2" t="n"/>
      <c r="K88" s="2" t="inlineStr">
        <is>
          <t>gasolina</t>
        </is>
      </c>
      <c r="L88" s="2" t="inlineStr">
        <is>
          <t>compacto</t>
        </is>
      </c>
      <c r="M88" s="2" t="n">
        <v>2007</v>
      </c>
      <c r="N88" s="2" t="n">
        <v>144000</v>
      </c>
      <c r="O88" s="2" t="n">
        <v>3790</v>
      </c>
      <c r="P88" s="2" t="n"/>
      <c r="Q88" s="2" t="n"/>
      <c r="R88" s="2" t="inlineStr">
        <is>
          <t>profesional</t>
        </is>
      </c>
      <c r="S88" s="2" t="inlineStr">
        <is>
          <t>Torrent</t>
        </is>
      </c>
      <c r="T88" s="2" t="inlineStr">
        <is>
          <t>2026-10-05T19:17:25Z</t>
        </is>
      </c>
      <c r="U88" s="2" t="n">
        <v>11</v>
      </c>
      <c r="V88" s="2" t="n"/>
      <c r="W88" s="2" t="n"/>
      <c r="X88" s="2" t="n"/>
      <c r="Y88" s="2" t="n"/>
      <c r="Z88" s="2" t="inlineStr">
        <is>
          <t>sí</t>
        </is>
      </c>
      <c r="AA88" s="2" t="n"/>
      <c r="AB88" s="2" t="n">
        <v>12</v>
      </c>
      <c r="AC88" s="2" t="n"/>
      <c r="AD88" s="2" t="n"/>
      <c r="AE88" s="2" t="n"/>
      <c r="AF88" s="2" t="n"/>
      <c r="AG88" s="2" t="n"/>
      <c r="AH88" s="2" t="n">
        <v>3790</v>
      </c>
      <c r="AI88" s="2" t="n"/>
      <c r="AJ88" s="2" t="n"/>
      <c r="AK88" s="2" t="n"/>
      <c r="AL88" s="2" t="n"/>
      <c r="AM88" s="2" t="n"/>
      <c r="AN88" s="2" t="n"/>
      <c r="AO88" s="2" t="inlineStr">
        <is>
          <t>2007</t>
        </is>
      </c>
      <c r="AP88" s="2" t="n">
        <v>2007</v>
      </c>
      <c r="AQ88" s="2" t="n"/>
      <c r="AR88" s="2" t="inlineStr">
        <is>
          <t>B</t>
        </is>
      </c>
      <c r="AS88" s="2" t="inlineStr">
        <is>
          <t>anuncio</t>
        </is>
      </c>
      <c r="AT88" s="2" t="n">
        <v>2004</v>
      </c>
      <c r="AU88" s="2" t="inlineStr">
        <is>
          <t>sí</t>
        </is>
      </c>
      <c r="AV88" s="2" t="inlineStr">
        <is>
          <t>B/C</t>
        </is>
      </c>
      <c r="AW88" s="2" t="n"/>
      <c r="AX88" s="2" t="inlineStr">
        <is>
          <t>no</t>
        </is>
      </c>
      <c r="AY88" s="2" t="inlineStr">
        <is>
          <t>no</t>
        </is>
      </c>
      <c r="AZ88" s="2" t="n"/>
      <c r="BA88" s="2" t="n"/>
      <c r="BB88" s="3" t="n">
        <v>3</v>
      </c>
      <c r="BC88" s="3" t="inlineStr">
        <is>
          <t>(por segmento)</t>
        </is>
      </c>
      <c r="BD88" s="2" t="n"/>
      <c r="BE88" s="2" t="n"/>
      <c r="BF88" s="2" t="n"/>
      <c r="BG88" s="2" t="n"/>
      <c r="BH88" s="2" t="n"/>
      <c r="BI88" s="2" t="n"/>
      <c r="BJ88" s="2" t="n"/>
      <c r="BK88" s="2" t="n">
        <v>5</v>
      </c>
      <c r="BL88" s="2" t="n"/>
      <c r="BM88" s="2" t="n">
        <v>345</v>
      </c>
      <c r="BN88" s="2" t="n">
        <v>0.05126157402992249</v>
      </c>
      <c r="BO88" s="2" t="n">
        <v>4</v>
      </c>
      <c r="BP88" s="2" t="n">
        <v>3790</v>
      </c>
      <c r="BQ88" s="2" t="n">
        <v>7</v>
      </c>
      <c r="BR88" s="2" t="inlineStr">
        <is>
          <t>modelo+año+km</t>
        </is>
      </c>
      <c r="BS88" s="2" t="n"/>
      <c r="BT88" s="2" t="inlineStr">
        <is>
          <t>etiqueta dudosa (B/C): se puntúa la peor (B); confirmar con la DGT antes de comprar; año a confirmar: la URL/título dice 2004; vendedor profesional: sin ITP (operación con IVA/REBU, confirmar en factura); gastos de gestión del vendedor no indicados: se suma la tasa DGT; preguntar el precio final; revisar: no menciona la ITV; distancia no verificable (el anuncio solo indica la provincia): confirmar que está a &lt;= 70 km; fiabilidad del modelo PENDIENTE de fuente (puntuación neutra)</t>
        </is>
      </c>
      <c r="BU88" s="2" t="inlineStr"/>
      <c r="BV88" s="2" t="inlineStr">
        <is>
          <t>https://www.coches.net/citroen/c4/segunda-mano/valencia/?pg=2 /home/user/Alopecia/buscador-coches/raw/cochesnet/7735a7ce7f2bdd1e.json</t>
        </is>
      </c>
      <c r="BW88" s="3">
        <f>MAX(ANIO_ACTUAL-M88,0)</f>
        <v/>
      </c>
      <c r="BX88" s="4">
        <f>N88/MAX(BW88,0.5)</f>
        <v/>
      </c>
      <c r="BY88" s="4">
        <f>F88</f>
        <v/>
      </c>
      <c r="BZ88" s="3">
        <f>BY88&amp;"|"&amp;INT(M88/SEG_ANIO)*SEG_ANIO</f>
        <v/>
      </c>
      <c r="CA88" s="3">
        <f>BZ88&amp;"|"&amp;INT(N88/SEG_KM)*SEG_KM</f>
        <v/>
      </c>
      <c r="CB88" s="4">
        <f>COUNTIF($BY$2:$BY$209,BY88)</f>
        <v/>
      </c>
      <c r="CC88" s="4">
        <f>COUNTIF($BZ$2:$BZ$209,BZ88)</f>
        <v/>
      </c>
      <c r="CD88" s="4">
        <f>COUNTIF($CA$2:$CA$209,CA88)</f>
        <v/>
      </c>
      <c r="CE88" s="3">
        <f t="array" ref="CE88">IF(N(BQ88)&gt;=MIN_N,BP88,IF(CD88&gt;=MIN_N,MEDIAN(IF($CA$2:$CA$209=CA88,$O$2:$O$209)),IF(CC88&gt;=MIN_N,MEDIAN(IF($BZ$2:$BZ$209=BZ88,$O$2:$O$209)),MEDIAN(IF($BY$2:$BY$209=BY88,$O$2:$O$209)))))</f>
        <v/>
      </c>
      <c r="CF88" s="3">
        <f>IF(N(BQ88)&gt;=MIN_N,"mercado "&amp;BR88,IF(CD88&gt;=MIN_N,"modelo+año+km",IF(CC88&gt;=MIN_N,"modelo+año","modelo")))</f>
        <v/>
      </c>
      <c r="CG88" s="4">
        <f>(CE88-O88)/CE88</f>
        <v/>
      </c>
      <c r="CH88" s="3">
        <f>IF(COUNTIFS(FR_FUEL,K88,FR_YEAR,AP88)&gt;0,1,0)</f>
        <v/>
      </c>
      <c r="CI88" s="3">
        <f>IF(COUNTIFS(FR_FUEL,K88,FR_YEAR,AP88-1)&gt;0,1,0)</f>
        <v/>
      </c>
      <c r="CJ88" s="4">
        <f>IF(N(AQ88)&gt;0,AP88*100+AQ88,IF(AND(CH88=1,CI88=1),(AP88-1)*100+1,AP88*100+1))</f>
        <v/>
      </c>
      <c r="CK88" s="3">
        <f>IF(OR(K88="hibrido",K88="glp",K88="gnc",K88="phev"),"ECO",IF(K88="electrico","CERO",IF(K88="gasolina",IF(CJ88&gt;=GAS_C_YM,"C",IF(CJ88&gt;=GAS_B_YM,"B","A")),IF(K88="diesel",IF(CJ88&gt;=DIE_C_YM,"C",IF(CJ88&gt;=DIE_B_YM,"B","A")),""))))</f>
        <v/>
      </c>
      <c r="CL88" s="2" t="inlineStr">
        <is>
          <t>B</t>
        </is>
      </c>
      <c r="CM88" s="4">
        <f>IF(AU88="sí","sí",IF(AS88="regla",IF(AND(N(AQ88)=0,CH88=1),"sí","no"),"no"))</f>
        <v/>
      </c>
      <c r="CN88" s="3">
        <f>IFERROR(VLOOKUP(F88,MOD_TBL,16,0),IFERROR(VLOOKUP(E88,OCU_TBL,2,0),NEUTRO))</f>
        <v/>
      </c>
      <c r="CO88" s="3">
        <f>SUMIFS(MOT_AJUSTE,MOT_MOTOR,G88,MOT_MARCA,E88,MOT_DESDE,"&lt;="&amp;M88,MOT_HASTA,"&gt;="&amp;M88)+SUMIFS(MOT_AJUSTE,MOT_MOTOR,G88,MOT_MARCA,"(todas)",MOT_DESDE,"&lt;="&amp;M88,MOT_HASTA,"&gt;="&amp;M88)+SUMIFS(MOT_AJUSTE,MOT_MOTOR,"(cualquiera)",MOT_MARCA,E88,MOT_DESDE,"&lt;="&amp;M88,MOT_HASTA,"&gt;="&amp;M88)</f>
        <v/>
      </c>
      <c r="CP88" s="3">
        <f>SUMIFS(COMB_AJUSTE,COMB_COMB,K88)</f>
        <v/>
      </c>
      <c r="CQ88" s="3">
        <f>COUNTIFS(MOT_MOTOR,G88,MOT_MARCA,E88,MOT_DESDE,"&lt;="&amp;M88,MOT_HASTA,"&gt;="&amp;M88)+COUNTIFS(MOT_MOTOR,G88,MOT_MARCA,"(todas)",MOT_DESDE,"&lt;="&amp;M88,MOT_HASTA,"&gt;="&amp;M88)+COUNTIFS(MOT_MOTOR,"(cualquiera)",MOT_MARCA,E88,MOT_DESDE,"&lt;="&amp;M88,MOT_HASTA,"&gt;="&amp;M88)</f>
        <v/>
      </c>
      <c r="CR88" s="3">
        <f>IF(AND(K88="diesel",CQ88=0),MIN(CN88,NEUTRO),CN88)</f>
        <v/>
      </c>
      <c r="CS88" s="3">
        <f>MAX(0,MIN(100,CR88+CO88+CP88-IF(AX88="sí",ROB_PEN,0)))</f>
        <v/>
      </c>
      <c r="CT88" s="3">
        <f>100-MAX(0,N88-KM_TOPE_DESDE)/1000*KM_TOPE_PTS</f>
        <v/>
      </c>
      <c r="CU88" s="3">
        <f>MAX(0,MIN(100,50+CG88*PRECIO_PEND,CT88))</f>
        <v/>
      </c>
      <c r="CV88" s="3">
        <f>MAX(0,100*(1-N88/KM_MAX))</f>
        <v/>
      </c>
      <c r="CW88" s="3">
        <f>IF(BX88&lt;KMA_SOSP,IF(AA88="sí",100,KMA_PEN),IF(BX88&lt;=KMA_IDEAL_MAX,100,MAX(0,100*(KMA_CERO-BX88)/(KMA_CERO-KMA_IDEAL_MAX))))</f>
        <v/>
      </c>
      <c r="CX88" s="3">
        <f>MAX(0,MIN(100,100*(M88-ANIO_MIN)/(ANIO_ACTUAL-ANIO_MIN)))</f>
        <v/>
      </c>
      <c r="CY88" s="3">
        <f>W_KMT*CV88+W_KMA*CW88+W_EDAD*CX88</f>
        <v/>
      </c>
      <c r="CZ88" s="4">
        <f>E88&amp;"|"&amp;G88</f>
        <v/>
      </c>
      <c r="DA88" s="3">
        <f>IFERROR(VLOOKUP(CZ88,DIST_TBL,2,0),"")</f>
        <v/>
      </c>
      <c r="DB88" s="3">
        <f>E_ITV*(V88="sí")+E_LIBRO*(W88="sí")+E_PROP*IF(Y88=1,1,IF(Y88=2,0.5,0))+E_CORREA*IF(OR(DA88="cadena",AND(X88="sí",BH88="sí")),1,IF(X88="sí",0.5,0))+E_FACT*(BI88="sí")</f>
        <v/>
      </c>
      <c r="DC88" s="3">
        <f>MAX(0,MIN(100,IFERROR(VLOOKUP(CL88,ETQ_TBL,2,0),0)-IF(CM88="sí",ETQ_PEN_DUD,IF(AS88="regla",ETQ_PEN_REGLA,0))))</f>
        <v/>
      </c>
      <c r="DD88" s="3">
        <f>IF(K88&lt;&gt;"gasolina","",IFERROR(VLOOKUP(F88,CONS_MOD_TBL,2,0),IFERROR(VLOOKUP(L88,CONS_SEG_TBL,2,0),"")))</f>
        <v/>
      </c>
      <c r="DE88" s="3">
        <f>IF(DD88="",NEUTRO,MAX(0,MIN(100,100*(CONS_REF_MAX-DD88)/(CONS_REF_MAX-CONS_REF_MIN))))</f>
        <v/>
      </c>
      <c r="DF88" s="3">
        <f>IFERROR(VLOOKUP(L88,SEGURO_TBL,3,0),"")</f>
        <v/>
      </c>
      <c r="DG88" s="3">
        <f>IF(DF88="",NEUTRO,MAX(0,MIN(100,100*(SEG_REF_MAX-DF88)/(SEG_REF_MAX-SEG_REF_MIN))))</f>
        <v/>
      </c>
      <c r="DH88" s="3">
        <f>IFERROR(VLOOKUP(E88,MANT_MARCA_TBL,2,0)+0,NEUTRO)</f>
        <v/>
      </c>
      <c r="DI88" s="3">
        <f>IF(DA88="",NEUTRO,IFERROR(VLOOKUP(DA88,DIST_PTS_TBL,2,0)+0,NEUTRO))</f>
        <v/>
      </c>
      <c r="DJ88" s="4">
        <f>(DH88+DI88)/2</f>
        <v/>
      </c>
      <c r="DK88" s="3">
        <f>W_CONS*DE88+W_SEG*DG88+W_MANT*DJ88</f>
        <v/>
      </c>
      <c r="DL88" s="3">
        <f>IF(N(AB88)&gt;0,AB88,IF(AND(R88="profesional",SG_LEGAL_ON=1),GAR_LEGAL,0))</f>
        <v/>
      </c>
      <c r="DM88" s="3">
        <f>MAX(0,MIN(100,SG_GAR*MIN(1,DL88/SG_GAR_FULL)+SG_AMPL*(AC88="sí")+SG_KMC*(AF88="sí")+SG_REV*(N(AE88)&gt;0)+SG_DEV*MIN(1,N(AG88)/SG_DEV_FULL)+SG_HIST*(W88="sí")-IF(AND(R88="particular",DL88=0),SG_PART_PEN,0)))</f>
        <v/>
      </c>
      <c r="DN88" s="3">
        <f>IF(BK88="",NEUTRO,MAX(0,MIN(100,BK88/5*100)))</f>
        <v/>
      </c>
      <c r="DO88" s="3">
        <f>IF(BL88="sí",100,IF(BL88="no",0,NEUTRO))</f>
        <v/>
      </c>
      <c r="DP88" s="3">
        <f>SV_W_NCAP*DN88+SV_W_ESP*DO88</f>
        <v/>
      </c>
      <c r="DQ88" s="3">
        <f>MAX(0,MIN(100,ATR_BASE+ATR_ACAB*(BD88&lt;&gt;"")+IF(BE88="16+",ATR_LL16,IF(BE88="sí",ATR_LL,0))+ATR_FAROS*(BF88="sí")+ATR_TINT*(BG88="sí")-ATR_CHAPA*(BE88="chapa")))</f>
        <v/>
      </c>
      <c r="DR88" s="3">
        <f>EST_W_MOD*(BB88-1)/4*100+EST_W_ATR*DQ88</f>
        <v/>
      </c>
      <c r="DS88" s="3">
        <f>IF(BA88="",NEUTRO,IFERROR(VLOOKUP(BA88,COLOR_TBL,2,0)+0,NEUTRO))</f>
        <v/>
      </c>
      <c r="DT88" s="3">
        <f>MAX(0,MIN(100,100*N(BM88)/RV_N_FULL))</f>
        <v/>
      </c>
      <c r="DU88" s="3">
        <f>IF(OR(BN88="",N(BO88)&lt;RV_DIAS_MIN),NEUTRO,MAX(0,MIN(100,100*(RV_DIAS_CERO-BN88)/(RV_DIAS_CERO-RV_DIAS_FULL))))</f>
        <v/>
      </c>
      <c r="DV88" s="3">
        <f>RV_W_LIQ*DT88+RV_W_DIAS*DU88+RV_W_ETQ*DC88</f>
        <v/>
      </c>
      <c r="DW88" s="3">
        <f>IFERROR(VLOOKUP(L88,CARR_PEN_TBL,2,0),0)</f>
        <v/>
      </c>
      <c r="DX88" s="3">
        <f>W_FIAB*CS88+W_PRECIO*CU88+W_KMEDAD*CY88+W_ESTADO*DB88+W_USO*DK88+W_SEGURIDAD*DM88+W_SEGVIAL*DP88+W_ESTETICA*DR88+W_COLOR*DS88+W_REVENTA*DV88-DW88-EG88</f>
        <v/>
      </c>
      <c r="DY88" s="4">
        <f>IF(N(I88)&gt;0,I88,IFERROR(ROUND(_xlfn.NUMBERVALUE(LEFT(G88,FIND(" ",G88&amp;" ")-1),".")*1000,0),99999))</f>
        <v/>
      </c>
      <c r="DZ88" s="3">
        <f>IF(R88="profesional",0,IF(O88&lt;CUOTA_VALOR_MAX,IF(BW88&gt;ITP_TRAMO_ALTO,SUMIFS(CF_CUOTA,CF_MAS,ITP_TRAMO_ALTO,CF_CCMIN,"&lt;="&amp;DY88,CF_CCMAX,"&gt;="&amp;DY88),IF(BW88&gt;ITP_TRAMO_BAJO,SUMIFS(CF_CUOTA,CF_MAS,ITP_TRAMO_BAJO,CF_CCMIN,"&lt;="&amp;DY88,CF_CCMAX,"&gt;="&amp;DY88),O88*ITP_TIPO)),O88*ITP_TIPO))</f>
        <v/>
      </c>
      <c r="EA88" s="4">
        <f>IF(R88="profesional",N(AK88),0)</f>
        <v/>
      </c>
      <c r="EB88" s="3">
        <f>IF(AND(R88="profesional",ISNUMBER(AK88),AL88="sí"),0,TASA_DGT)</f>
        <v/>
      </c>
      <c r="EC88" s="3">
        <f>INFORME_DGT</f>
        <v/>
      </c>
      <c r="ED88" s="4">
        <f>O88+EA88+DZ88+EB88+EC88</f>
        <v/>
      </c>
      <c r="EE88" s="4">
        <f>ED88+N(DF88)</f>
        <v/>
      </c>
      <c r="EF88" s="3">
        <f>MAX(0,ED88-TOTAL_MAX)</f>
        <v/>
      </c>
      <c r="EG88" s="3">
        <f>EF88/100*PEN_100</f>
        <v/>
      </c>
      <c r="EH88" s="3">
        <f>IF(R88="particular",ED88+IF(AND(DA88&lt;&gt;"cadena",X88&lt;&gt;"sí"),RES_CORREA,0)+IF(AND(BJ88&lt;&gt;"sí",BW88&gt;=RES_NEUM_EDAD),RES_NEUM,0),"")</f>
        <v/>
      </c>
      <c r="EI88" s="3">
        <f>IF(ED88&lt;=TOTAL_MAX,"sí",IF(ED88&lt;=TECHO,"negociar","no"))</f>
        <v/>
      </c>
      <c r="EJ88" s="4">
        <f>ROUND(DX88,9)</f>
        <v/>
      </c>
      <c r="EK88" s="4">
        <f>IF(EI88&lt;&gt;"no",SUMPRODUCT(($EI$2:$EI$209&lt;&gt;"no")*($EJ$2:$EJ$209&gt;EJ88))+SUMPRODUCT(($EI$2:EI88&lt;&gt;"no")*($EJ$2:EJ88=EJ88)),"")</f>
        <v/>
      </c>
    </row>
    <row r="89">
      <c r="A89" s="2" t="inlineStr">
        <is>
          <t>cochesnet:71777076</t>
        </is>
      </c>
      <c r="B89" s="2" t="inlineStr">
        <is>
          <t>cochesnet</t>
        </is>
      </c>
      <c r="C89" s="2" t="inlineStr">
        <is>
          <t>https://www.coches.net/citroen-c4-14-16v-cool-5p-gasolina-2005-en-valencia-71777076-covo.aspx</t>
        </is>
      </c>
      <c r="D89" s="2" t="inlineStr">
        <is>
          <t>CITROEN C4 1.4 16v Cool</t>
        </is>
      </c>
      <c r="E89" s="2" t="inlineStr">
        <is>
          <t>Citroën</t>
        </is>
      </c>
      <c r="F89" s="2" t="inlineStr">
        <is>
          <t>Citroën C4</t>
        </is>
      </c>
      <c r="G89" s="2" t="inlineStr">
        <is>
          <t>1.4</t>
        </is>
      </c>
      <c r="H89" s="2" t="inlineStr">
        <is>
          <t>1.4 16v Cool</t>
        </is>
      </c>
      <c r="I89" s="2" t="n"/>
      <c r="J89" s="2" t="n"/>
      <c r="K89" s="2" t="inlineStr">
        <is>
          <t>gasolina</t>
        </is>
      </c>
      <c r="L89" s="2" t="inlineStr">
        <is>
          <t>compacto</t>
        </is>
      </c>
      <c r="M89" s="2" t="n">
        <v>2009</v>
      </c>
      <c r="N89" s="2" t="n">
        <v>90000</v>
      </c>
      <c r="O89" s="2" t="n">
        <v>4990</v>
      </c>
      <c r="P89" s="2" t="inlineStr">
        <is>
          <t>manual</t>
        </is>
      </c>
      <c r="Q89" s="2" t="inlineStr">
        <is>
          <t>no</t>
        </is>
      </c>
      <c r="R89" s="2" t="inlineStr">
        <is>
          <t>profesional</t>
        </is>
      </c>
      <c r="S89" s="2" t="inlineStr">
        <is>
          <t>Garageng Foios Foios</t>
        </is>
      </c>
      <c r="T89" s="2" t="inlineStr">
        <is>
          <t>2026-10-19T00:49:28Z</t>
        </is>
      </c>
      <c r="U89" s="2" t="n">
        <v>28</v>
      </c>
      <c r="V89" s="2" t="inlineStr">
        <is>
          <t>sí</t>
        </is>
      </c>
      <c r="W89" s="2" t="n"/>
      <c r="X89" s="2" t="n"/>
      <c r="Y89" s="2" t="n">
        <v>1</v>
      </c>
      <c r="Z89" s="2" t="inlineStr">
        <is>
          <t>sí</t>
        </is>
      </c>
      <c r="AA89" s="2" t="n"/>
      <c r="AB89" s="2" t="n">
        <v>12</v>
      </c>
      <c r="AC89" s="2" t="n"/>
      <c r="AD89" s="2" t="n"/>
      <c r="AE89" s="2" t="n"/>
      <c r="AF89" s="2" t="n"/>
      <c r="AG89" s="2" t="n"/>
      <c r="AH89" s="2" t="n">
        <v>4990</v>
      </c>
      <c r="AI89" s="2" t="n"/>
      <c r="AJ89" s="2" t="n"/>
      <c r="AK89" s="2" t="n"/>
      <c r="AL89" s="2" t="n"/>
      <c r="AM89" s="2" t="n">
        <v>7.7</v>
      </c>
      <c r="AN89" s="2" t="n"/>
      <c r="AO89" s="2" t="inlineStr">
        <is>
          <t>2009</t>
        </is>
      </c>
      <c r="AP89" s="2" t="n">
        <v>2009</v>
      </c>
      <c r="AQ89" s="2" t="n"/>
      <c r="AR89" s="2" t="n"/>
      <c r="AS89" s="2" t="inlineStr">
        <is>
          <t>regla</t>
        </is>
      </c>
      <c r="AT89" s="2" t="n">
        <v>2005</v>
      </c>
      <c r="AU89" s="2" t="inlineStr">
        <is>
          <t>sí</t>
        </is>
      </c>
      <c r="AV89" s="2" t="inlineStr">
        <is>
          <t>B/C</t>
        </is>
      </c>
      <c r="AW89" s="2" t="n"/>
      <c r="AX89" s="2" t="inlineStr">
        <is>
          <t>no</t>
        </is>
      </c>
      <c r="AY89" s="2" t="inlineStr">
        <is>
          <t>no</t>
        </is>
      </c>
      <c r="AZ89" s="2" t="inlineStr">
        <is>
          <t>COMMON.COLOR_WHITE</t>
        </is>
      </c>
      <c r="BA89" s="2" t="inlineStr">
        <is>
          <t>blanco</t>
        </is>
      </c>
      <c r="BB89" s="3" t="n">
        <v>3</v>
      </c>
      <c r="BC89" s="3" t="inlineStr">
        <is>
          <t>(por segmento)</t>
        </is>
      </c>
      <c r="BD89" s="2" t="n"/>
      <c r="BE89" s="2" t="n"/>
      <c r="BF89" s="2" t="n"/>
      <c r="BG89" s="2" t="n"/>
      <c r="BH89" s="2" t="n"/>
      <c r="BI89" s="2" t="n"/>
      <c r="BJ89" s="2" t="n"/>
      <c r="BK89" s="2" t="n">
        <v>5</v>
      </c>
      <c r="BL89" s="2" t="n"/>
      <c r="BM89" s="2" t="n">
        <v>345</v>
      </c>
      <c r="BN89" s="2" t="n">
        <v>0.05126157402992249</v>
      </c>
      <c r="BO89" s="2" t="n">
        <v>4</v>
      </c>
      <c r="BP89" s="2" t="n">
        <v>3250</v>
      </c>
      <c r="BQ89" s="2" t="n">
        <v>44</v>
      </c>
      <c r="BR89" s="2" t="inlineStr">
        <is>
          <t>modelo+año</t>
        </is>
      </c>
      <c r="BS89" s="2" t="n"/>
      <c r="BT89" s="2" t="inlineStr">
        <is>
          <t>etiqueta dudosa (B/C): se puntúa la peor (B); confirmar con la DGT antes de comprar; año a confirmar: la URL/título dice 2005; por encima del presupuesto: negociar 54 € (coste 5054 €; -1.1 puntos); vendedor profesional: sin ITP (operación con IVA/REBU, confirmar en factura); gastos de gestión del vendedor no indicados: se suma la tasa DGT; preguntar el precio final; fiabilidad del modelo PENDIENTE de fuente (puntuación neutra)</t>
        </is>
      </c>
      <c r="BU89" s="2" t="inlineStr">
        <is>
          <t>CITROEN MODELO C4 MOTOR 1.4I CON 90 CV DE POTENCIA Y CONSUMO REDUCIDO.
VEHÍCULO NACIONAL PROCEDENTE DE UNICO PROPIETARIO CON KILOMETRAJE REAL Y CERTIFICADO.
SE ENTREGA CON MANTENIMIENTO RECIEN HECHO E ITV EN VIGOR.
DESTACADOS:
- CIERRE CENTRALIZADO CON MANDO Y DOS LLAVES 
- VELOCIDAD DE CRUCERO CON LIMITADOR
- CLIMATIZADOR A/C
- RADIO ORIGINAL CITROEN CON PUERTO USB Y AUX
- ELEVALUNAS ELÉCTRICOS
- RETROVISORES ELÉCTRICOS 
- TAPICERÍA DE TELA MIXTA MUY BIEN CONSERVADA
- ISOFIX
- POSA-VASOS 
- VEHÍCULO SUJETO A IVA/REBU. 
- ESTE ANUNCIO PUEDE CONTENER ALGÚN ERROR SE MUESTRA A TITULO INFORMATIVO Y NO CONTRACTUAL, PARA MAS INFORMACIÓN CONTACTE CON NOSOTROS.
- ACEPTAMOS COCHES COMO PARTE DE PAGO, TASACION MAXIMA Y PAGO INMEDIATO.
- CARRER DE LA HORTA 14, FOIOS, POLIGONO INDUSTRIAL EL MOLI, CAMPA AMARILLA.</t>
        </is>
      </c>
      <c r="BV89" s="2" t="inlineStr">
        <is>
          <t>https://www.coches.net/citroen-c4-14-16v-cool-5p-gasolina-2005-en-valencia-71777076-covo.aspx (window.__INITIAL_PROPS__.ad) /home/user/Alopecia/buscador-coches/raw/cochesnet/87de5887997e6596.json</t>
        </is>
      </c>
      <c r="BW89" s="3">
        <f>MAX(ANIO_ACTUAL-M89,0)</f>
        <v/>
      </c>
      <c r="BX89" s="4">
        <f>N89/MAX(BW89,0.5)</f>
        <v/>
      </c>
      <c r="BY89" s="4">
        <f>F89</f>
        <v/>
      </c>
      <c r="BZ89" s="3">
        <f>BY89&amp;"|"&amp;INT(M89/SEG_ANIO)*SEG_ANIO</f>
        <v/>
      </c>
      <c r="CA89" s="3">
        <f>BZ89&amp;"|"&amp;INT(N89/SEG_KM)*SEG_KM</f>
        <v/>
      </c>
      <c r="CB89" s="4">
        <f>COUNTIF($BY$2:$BY$209,BY89)</f>
        <v/>
      </c>
      <c r="CC89" s="4">
        <f>COUNTIF($BZ$2:$BZ$209,BZ89)</f>
        <v/>
      </c>
      <c r="CD89" s="4">
        <f>COUNTIF($CA$2:$CA$209,CA89)</f>
        <v/>
      </c>
      <c r="CE89" s="3">
        <f t="array" ref="CE89">IF(N(BQ89)&gt;=MIN_N,BP89,IF(CD89&gt;=MIN_N,MEDIAN(IF($CA$2:$CA$209=CA89,$O$2:$O$209)),IF(CC89&gt;=MIN_N,MEDIAN(IF($BZ$2:$BZ$209=BZ89,$O$2:$O$209)),MEDIAN(IF($BY$2:$BY$209=BY89,$O$2:$O$209)))))</f>
        <v/>
      </c>
      <c r="CF89" s="3">
        <f>IF(N(BQ89)&gt;=MIN_N,"mercado "&amp;BR89,IF(CD89&gt;=MIN_N,"modelo+año+km",IF(CC89&gt;=MIN_N,"modelo+año","modelo")))</f>
        <v/>
      </c>
      <c r="CG89" s="4">
        <f>(CE89-O89)/CE89</f>
        <v/>
      </c>
      <c r="CH89" s="3">
        <f>IF(COUNTIFS(FR_FUEL,K89,FR_YEAR,AP89)&gt;0,1,0)</f>
        <v/>
      </c>
      <c r="CI89" s="3">
        <f>IF(COUNTIFS(FR_FUEL,K89,FR_YEAR,AP89-1)&gt;0,1,0)</f>
        <v/>
      </c>
      <c r="CJ89" s="4">
        <f>IF(N(AQ89)&gt;0,AP89*100+AQ89,IF(AND(CH89=1,CI89=1),(AP89-1)*100+1,AP89*100+1))</f>
        <v/>
      </c>
      <c r="CK89" s="3">
        <f>IF(OR(K89="hibrido",K89="glp",K89="gnc",K89="phev"),"ECO",IF(K89="electrico","CERO",IF(K89="gasolina",IF(CJ89&gt;=GAS_C_YM,"C",IF(CJ89&gt;=GAS_B_YM,"B","A")),IF(K89="diesel",IF(CJ89&gt;=DIE_C_YM,"C",IF(CJ89&gt;=DIE_B_YM,"B","A")),""))))</f>
        <v/>
      </c>
      <c r="CL89" s="2" t="inlineStr">
        <is>
          <t>B</t>
        </is>
      </c>
      <c r="CM89" s="4">
        <f>IF(AU89="sí","sí",IF(AS89="regla",IF(AND(N(AQ89)=0,CH89=1),"sí","no"),"no"))</f>
        <v/>
      </c>
      <c r="CN89" s="3">
        <f>IFERROR(VLOOKUP(F89,MOD_TBL,16,0),IFERROR(VLOOKUP(E89,OCU_TBL,2,0),NEUTRO))</f>
        <v/>
      </c>
      <c r="CO89" s="3">
        <f>SUMIFS(MOT_AJUSTE,MOT_MOTOR,G89,MOT_MARCA,E89,MOT_DESDE,"&lt;="&amp;M89,MOT_HASTA,"&gt;="&amp;M89)+SUMIFS(MOT_AJUSTE,MOT_MOTOR,G89,MOT_MARCA,"(todas)",MOT_DESDE,"&lt;="&amp;M89,MOT_HASTA,"&gt;="&amp;M89)+SUMIFS(MOT_AJUSTE,MOT_MOTOR,"(cualquiera)",MOT_MARCA,E89,MOT_DESDE,"&lt;="&amp;M89,MOT_HASTA,"&gt;="&amp;M89)</f>
        <v/>
      </c>
      <c r="CP89" s="3">
        <f>SUMIFS(COMB_AJUSTE,COMB_COMB,K89)</f>
        <v/>
      </c>
      <c r="CQ89" s="3">
        <f>COUNTIFS(MOT_MOTOR,G89,MOT_MARCA,E89,MOT_DESDE,"&lt;="&amp;M89,MOT_HASTA,"&gt;="&amp;M89)+COUNTIFS(MOT_MOTOR,G89,MOT_MARCA,"(todas)",MOT_DESDE,"&lt;="&amp;M89,MOT_HASTA,"&gt;="&amp;M89)+COUNTIFS(MOT_MOTOR,"(cualquiera)",MOT_MARCA,E89,MOT_DESDE,"&lt;="&amp;M89,MOT_HASTA,"&gt;="&amp;M89)</f>
        <v/>
      </c>
      <c r="CR89" s="3">
        <f>IF(AND(K89="diesel",CQ89=0),MIN(CN89,NEUTRO),CN89)</f>
        <v/>
      </c>
      <c r="CS89" s="3">
        <f>MAX(0,MIN(100,CR89+CO89+CP89-IF(AX89="sí",ROB_PEN,0)))</f>
        <v/>
      </c>
      <c r="CT89" s="3">
        <f>100-MAX(0,N89-KM_TOPE_DESDE)/1000*KM_TOPE_PTS</f>
        <v/>
      </c>
      <c r="CU89" s="3">
        <f>MAX(0,MIN(100,50+CG89*PRECIO_PEND,CT89))</f>
        <v/>
      </c>
      <c r="CV89" s="3">
        <f>MAX(0,100*(1-N89/KM_MAX))</f>
        <v/>
      </c>
      <c r="CW89" s="3">
        <f>IF(BX89&lt;KMA_SOSP,IF(AA89="sí",100,KMA_PEN),IF(BX89&lt;=KMA_IDEAL_MAX,100,MAX(0,100*(KMA_CERO-BX89)/(KMA_CERO-KMA_IDEAL_MAX))))</f>
        <v/>
      </c>
      <c r="CX89" s="3">
        <f>MAX(0,MIN(100,100*(M89-ANIO_MIN)/(ANIO_ACTUAL-ANIO_MIN)))</f>
        <v/>
      </c>
      <c r="CY89" s="3">
        <f>W_KMT*CV89+W_KMA*CW89+W_EDAD*CX89</f>
        <v/>
      </c>
      <c r="CZ89" s="4">
        <f>E89&amp;"|"&amp;G89</f>
        <v/>
      </c>
      <c r="DA89" s="3">
        <f>IFERROR(VLOOKUP(CZ89,DIST_TBL,2,0),"")</f>
        <v/>
      </c>
      <c r="DB89" s="3">
        <f>E_ITV*(V89="sí")+E_LIBRO*(W89="sí")+E_PROP*IF(Y89=1,1,IF(Y89=2,0.5,0))+E_CORREA*IF(OR(DA89="cadena",AND(X89="sí",BH89="sí")),1,IF(X89="sí",0.5,0))+E_FACT*(BI89="sí")</f>
        <v/>
      </c>
      <c r="DC89" s="3">
        <f>MAX(0,MIN(100,IFERROR(VLOOKUP(CL89,ETQ_TBL,2,0),0)-IF(CM89="sí",ETQ_PEN_DUD,IF(AS89="regla",ETQ_PEN_REGLA,0))))</f>
        <v/>
      </c>
      <c r="DD89" s="3">
        <f>IF(K89&lt;&gt;"gasolina","",IFERROR(VLOOKUP(F89,CONS_MOD_TBL,2,0),IFERROR(VLOOKUP(L89,CONS_SEG_TBL,2,0),"")))</f>
        <v/>
      </c>
      <c r="DE89" s="3">
        <f>IF(DD89="",NEUTRO,MAX(0,MIN(100,100*(CONS_REF_MAX-DD89)/(CONS_REF_MAX-CONS_REF_MIN))))</f>
        <v/>
      </c>
      <c r="DF89" s="3">
        <f>IFERROR(VLOOKUP(L89,SEGURO_TBL,3,0),"")</f>
        <v/>
      </c>
      <c r="DG89" s="3">
        <f>IF(DF89="",NEUTRO,MAX(0,MIN(100,100*(SEG_REF_MAX-DF89)/(SEG_REF_MAX-SEG_REF_MIN))))</f>
        <v/>
      </c>
      <c r="DH89" s="3">
        <f>IFERROR(VLOOKUP(E89,MANT_MARCA_TBL,2,0)+0,NEUTRO)</f>
        <v/>
      </c>
      <c r="DI89" s="3">
        <f>IF(DA89="",NEUTRO,IFERROR(VLOOKUP(DA89,DIST_PTS_TBL,2,0)+0,NEUTRO))</f>
        <v/>
      </c>
      <c r="DJ89" s="4">
        <f>(DH89+DI89)/2</f>
        <v/>
      </c>
      <c r="DK89" s="3">
        <f>W_CONS*DE89+W_SEG*DG89+W_MANT*DJ89</f>
        <v/>
      </c>
      <c r="DL89" s="3">
        <f>IF(N(AB89)&gt;0,AB89,IF(AND(R89="profesional",SG_LEGAL_ON=1),GAR_LEGAL,0))</f>
        <v/>
      </c>
      <c r="DM89" s="3">
        <f>MAX(0,MIN(100,SG_GAR*MIN(1,DL89/SG_GAR_FULL)+SG_AMPL*(AC89="sí")+SG_KMC*(AF89="sí")+SG_REV*(N(AE89)&gt;0)+SG_DEV*MIN(1,N(AG89)/SG_DEV_FULL)+SG_HIST*(W89="sí")-IF(AND(R89="particular",DL89=0),SG_PART_PEN,0)))</f>
        <v/>
      </c>
      <c r="DN89" s="3">
        <f>IF(BK89="",NEUTRO,MAX(0,MIN(100,BK89/5*100)))</f>
        <v/>
      </c>
      <c r="DO89" s="3">
        <f>IF(BL89="sí",100,IF(BL89="no",0,NEUTRO))</f>
        <v/>
      </c>
      <c r="DP89" s="3">
        <f>SV_W_NCAP*DN89+SV_W_ESP*DO89</f>
        <v/>
      </c>
      <c r="DQ89" s="3">
        <f>MAX(0,MIN(100,ATR_BASE+ATR_ACAB*(BD89&lt;&gt;"")+IF(BE89="16+",ATR_LL16,IF(BE89="sí",ATR_LL,0))+ATR_FAROS*(BF89="sí")+ATR_TINT*(BG89="sí")-ATR_CHAPA*(BE89="chapa")))</f>
        <v/>
      </c>
      <c r="DR89" s="3">
        <f>EST_W_MOD*(BB89-1)/4*100+EST_W_ATR*DQ89</f>
        <v/>
      </c>
      <c r="DS89" s="3">
        <f>IF(BA89="",NEUTRO,IFERROR(VLOOKUP(BA89,COLOR_TBL,2,0)+0,NEUTRO))</f>
        <v/>
      </c>
      <c r="DT89" s="3">
        <f>MAX(0,MIN(100,100*N(BM89)/RV_N_FULL))</f>
        <v/>
      </c>
      <c r="DU89" s="3">
        <f>IF(OR(BN89="",N(BO89)&lt;RV_DIAS_MIN),NEUTRO,MAX(0,MIN(100,100*(RV_DIAS_CERO-BN89)/(RV_DIAS_CERO-RV_DIAS_FULL))))</f>
        <v/>
      </c>
      <c r="DV89" s="3">
        <f>RV_W_LIQ*DT89+RV_W_DIAS*DU89+RV_W_ETQ*DC89</f>
        <v/>
      </c>
      <c r="DW89" s="3">
        <f>IFERROR(VLOOKUP(L89,CARR_PEN_TBL,2,0),0)</f>
        <v/>
      </c>
      <c r="DX89" s="3">
        <f>W_FIAB*CS89+W_PRECIO*CU89+W_KMEDAD*CY89+W_ESTADO*DB89+W_USO*DK89+W_SEGURIDAD*DM89+W_SEGVIAL*DP89+W_ESTETICA*DR89+W_COLOR*DS89+W_REVENTA*DV89-DW89-EG89</f>
        <v/>
      </c>
      <c r="DY89" s="4">
        <f>IF(N(I89)&gt;0,I89,IFERROR(ROUND(_xlfn.NUMBERVALUE(LEFT(G89,FIND(" ",G89&amp;" ")-1),".")*1000,0),99999))</f>
        <v/>
      </c>
      <c r="DZ89" s="3">
        <f>IF(R89="profesional",0,IF(O89&lt;CUOTA_VALOR_MAX,IF(BW89&gt;ITP_TRAMO_ALTO,SUMIFS(CF_CUOTA,CF_MAS,ITP_TRAMO_ALTO,CF_CCMIN,"&lt;="&amp;DY89,CF_CCMAX,"&gt;="&amp;DY89),IF(BW89&gt;ITP_TRAMO_BAJO,SUMIFS(CF_CUOTA,CF_MAS,ITP_TRAMO_BAJO,CF_CCMIN,"&lt;="&amp;DY89,CF_CCMAX,"&gt;="&amp;DY89),O89*ITP_TIPO)),O89*ITP_TIPO))</f>
        <v/>
      </c>
      <c r="EA89" s="4">
        <f>IF(R89="profesional",N(AK89),0)</f>
        <v/>
      </c>
      <c r="EB89" s="3">
        <f>IF(AND(R89="profesional",ISNUMBER(AK89),AL89="sí"),0,TASA_DGT)</f>
        <v/>
      </c>
      <c r="EC89" s="3">
        <f>INFORME_DGT</f>
        <v/>
      </c>
      <c r="ED89" s="4">
        <f>O89+EA89+DZ89+EB89+EC89</f>
        <v/>
      </c>
      <c r="EE89" s="4">
        <f>ED89+N(DF89)</f>
        <v/>
      </c>
      <c r="EF89" s="3">
        <f>MAX(0,ED89-TOTAL_MAX)</f>
        <v/>
      </c>
      <c r="EG89" s="3">
        <f>EF89/100*PEN_100</f>
        <v/>
      </c>
      <c r="EH89" s="3">
        <f>IF(R89="particular",ED89+IF(AND(DA89&lt;&gt;"cadena",X89&lt;&gt;"sí"),RES_CORREA,0)+IF(AND(BJ89&lt;&gt;"sí",BW89&gt;=RES_NEUM_EDAD),RES_NEUM,0),"")</f>
        <v/>
      </c>
      <c r="EI89" s="3">
        <f>IF(ED89&lt;=TOTAL_MAX,"sí",IF(ED89&lt;=TECHO,"negociar","no"))</f>
        <v/>
      </c>
      <c r="EJ89" s="4">
        <f>ROUND(DX89,9)</f>
        <v/>
      </c>
      <c r="EK89" s="4">
        <f>IF(EI89&lt;&gt;"no",SUMPRODUCT(($EI$2:$EI$209&lt;&gt;"no")*($EJ$2:$EJ$209&gt;EJ89))+SUMPRODUCT(($EI$2:EI89&lt;&gt;"no")*($EJ$2:EJ89=EJ89)),"")</f>
        <v/>
      </c>
    </row>
    <row r="90">
      <c r="A90" s="2" t="inlineStr">
        <is>
          <t>cochesnet:71618923</t>
        </is>
      </c>
      <c r="B90" s="2" t="inlineStr">
        <is>
          <t>cochesnet</t>
        </is>
      </c>
      <c r="C90" s="2" t="inlineStr">
        <is>
          <t>https://www.coches.net/ford-fiesta-14-tdci-trend-5p-diesel-2010-en-valencia-71618923-covo.aspx</t>
        </is>
      </c>
      <c r="D90" s="2" t="inlineStr">
        <is>
          <t>FORD Fiesta 1.4 TDCi Trend</t>
        </is>
      </c>
      <c r="E90" s="2" t="inlineStr">
        <is>
          <t>Ford</t>
        </is>
      </c>
      <c r="F90" s="2" t="inlineStr">
        <is>
          <t>Ford Fiesta</t>
        </is>
      </c>
      <c r="G90" s="2" t="inlineStr">
        <is>
          <t>1.4 TDCi</t>
        </is>
      </c>
      <c r="H90" s="2" t="inlineStr">
        <is>
          <t>1.4 TDCi Trend</t>
        </is>
      </c>
      <c r="I90" s="2" t="n"/>
      <c r="J90" s="2" t="n"/>
      <c r="K90" s="2" t="inlineStr">
        <is>
          <t>diesel</t>
        </is>
      </c>
      <c r="L90" s="2" t="inlineStr">
        <is>
          <t>utilitario</t>
        </is>
      </c>
      <c r="M90" s="2" t="n">
        <v>2010</v>
      </c>
      <c r="N90" s="2" t="n">
        <v>160000</v>
      </c>
      <c r="O90" s="2" t="n">
        <v>4990</v>
      </c>
      <c r="P90" s="2" t="inlineStr">
        <is>
          <t>manual</t>
        </is>
      </c>
      <c r="Q90" s="2" t="inlineStr">
        <is>
          <t>no</t>
        </is>
      </c>
      <c r="R90" s="2" t="inlineStr">
        <is>
          <t>profesional</t>
        </is>
      </c>
      <c r="S90" s="2" t="inlineStr">
        <is>
          <t>San Antonio de Benagéber</t>
        </is>
      </c>
      <c r="T90" s="2" t="inlineStr">
        <is>
          <t>2026-09-28T20:14:06Z</t>
        </is>
      </c>
      <c r="U90" s="2" t="n">
        <v>18</v>
      </c>
      <c r="V90" s="2" t="n"/>
      <c r="W90" s="2" t="n"/>
      <c r="X90" s="2" t="n"/>
      <c r="Y90" s="2" t="n">
        <v>1</v>
      </c>
      <c r="Z90" s="2" t="inlineStr">
        <is>
          <t>sí</t>
        </is>
      </c>
      <c r="AA90" s="2" t="n"/>
      <c r="AB90" s="2" t="n">
        <v>12</v>
      </c>
      <c r="AC90" s="2" t="n"/>
      <c r="AD90" s="2" t="n"/>
      <c r="AE90" s="2" t="n"/>
      <c r="AF90" s="2" t="inlineStr">
        <is>
          <t>sí</t>
        </is>
      </c>
      <c r="AG90" s="2" t="n"/>
      <c r="AH90" s="2" t="n">
        <v>4990</v>
      </c>
      <c r="AI90" s="2" t="n">
        <v>4990</v>
      </c>
      <c r="AJ90" s="2" t="n"/>
      <c r="AK90" s="2" t="n"/>
      <c r="AL90" s="2" t="n"/>
      <c r="AM90" s="2" t="n">
        <v>19.1</v>
      </c>
      <c r="AN90" s="2" t="n"/>
      <c r="AO90" s="2" t="inlineStr">
        <is>
          <t>2010</t>
        </is>
      </c>
      <c r="AP90" s="2" t="n">
        <v>2010</v>
      </c>
      <c r="AQ90" s="2" t="n"/>
      <c r="AR90" s="2" t="inlineStr">
        <is>
          <t>B</t>
        </is>
      </c>
      <c r="AS90" s="2" t="inlineStr">
        <is>
          <t>anuncio</t>
        </is>
      </c>
      <c r="AT90" s="2" t="n"/>
      <c r="AU90" s="2" t="inlineStr">
        <is>
          <t>no</t>
        </is>
      </c>
      <c r="AV90" s="2" t="inlineStr">
        <is>
          <t>B</t>
        </is>
      </c>
      <c r="AW90" s="2" t="n"/>
      <c r="AX90" s="2" t="inlineStr">
        <is>
          <t>no</t>
        </is>
      </c>
      <c r="AY90" s="2" t="inlineStr">
        <is>
          <t>no</t>
        </is>
      </c>
      <c r="AZ90" s="2" t="inlineStr">
        <is>
          <t>COMMON.COLOR_WHITE</t>
        </is>
      </c>
      <c r="BA90" s="2" t="inlineStr">
        <is>
          <t>blanco</t>
        </is>
      </c>
      <c r="BB90" s="3" t="n">
        <v>2</v>
      </c>
      <c r="BC90" s="3" t="inlineStr">
        <is>
          <t>(por segmento)</t>
        </is>
      </c>
      <c r="BD90" s="2" t="n"/>
      <c r="BE90" s="2" t="n"/>
      <c r="BF90" s="2" t="n"/>
      <c r="BG90" s="2" t="n"/>
      <c r="BH90" s="2" t="n"/>
      <c r="BI90" s="2" t="n"/>
      <c r="BJ90" s="2" t="n"/>
      <c r="BK90" s="2" t="n">
        <v>5</v>
      </c>
      <c r="BL90" s="2" t="n"/>
      <c r="BM90" s="2" t="n">
        <v>302</v>
      </c>
      <c r="BN90" s="2" t="n">
        <v>0.07434027781710029</v>
      </c>
      <c r="BO90" s="2" t="n">
        <v>3</v>
      </c>
      <c r="BP90" s="2" t="n">
        <v>4490</v>
      </c>
      <c r="BQ90" s="2" t="n">
        <v>19</v>
      </c>
      <c r="BR90" s="2" t="inlineStr">
        <is>
          <t>modelo+año+km</t>
        </is>
      </c>
      <c r="BS90" s="2" t="n"/>
      <c r="BT90" s="2" t="inlineStr">
        <is>
          <t>por encima del presupuesto: negociar 54 € (coste 5054 €; -1.1 puntos); vendedor profesional: sin ITP (operación con IVA/REBU, confirmar en factura); gastos de gestión del vendedor no indicados: se suma la tasa DGT; preguntar el precio final; diésel: motor sin fuente de fiabilidad (fiabilidad limitada a neutra); revisar: no menciona la ITV</t>
        </is>
      </c>
      <c r="BU90" s="2" t="inlineStr">
        <is>
          <t>CITA PREVIA
(GARANTIA EN TALLER OFICIAL OPCIONAL)
VEHÍCULO NACIONAL
ÚNICO PROPIETARIO
ASIENTOS DEPORTIVOS TELA
SENSORES DE APARCAMIENTO 
CONTROL POR VOZ
ORDENADOR DE ABORDO
SENSOR DE LUZ Y LLUVIA
BLUETOOTH, AUX, USB...
VOLANTE MULTIFUNCIÓN 
CLIMATIZADOR
ASISTENTES A LA CONDUCCIÓN
ACTUALMENTE 163.000KM
..............
POSIBILIDAD DE TRANSPORTAR A CULAQUIER PARTE DE ESPAÑA(CONSULTAR PRECIOS)
KILOMETROS CERTIFICADOS
CAMBIO DE TITULARIDAD 190€
Este anuncio no es vinculante, se muestra a titulo informativo y no contractual.</t>
        </is>
      </c>
      <c r="BV90" s="2" t="inlineStr">
        <is>
          <t>https://www.coches.net/ford-fiesta-14-tdci-trend-5p-diesel-2010-en-valencia-71618923-covo.aspx (window.__INITIAL_PROPS__.ad) /home/user/Alopecia/buscador-coches/raw/cochesnet/feda380071489907.json</t>
        </is>
      </c>
      <c r="BW90" s="3">
        <f>MAX(ANIO_ACTUAL-M90,0)</f>
        <v/>
      </c>
      <c r="BX90" s="4">
        <f>N90/MAX(BW90,0.5)</f>
        <v/>
      </c>
      <c r="BY90" s="4">
        <f>F90</f>
        <v/>
      </c>
      <c r="BZ90" s="3">
        <f>BY90&amp;"|"&amp;INT(M90/SEG_ANIO)*SEG_ANIO</f>
        <v/>
      </c>
      <c r="CA90" s="3">
        <f>BZ90&amp;"|"&amp;INT(N90/SEG_KM)*SEG_KM</f>
        <v/>
      </c>
      <c r="CB90" s="4">
        <f>COUNTIF($BY$2:$BY$209,BY90)</f>
        <v/>
      </c>
      <c r="CC90" s="4">
        <f>COUNTIF($BZ$2:$BZ$209,BZ90)</f>
        <v/>
      </c>
      <c r="CD90" s="4">
        <f>COUNTIF($CA$2:$CA$209,CA90)</f>
        <v/>
      </c>
      <c r="CE90" s="3">
        <f t="array" ref="CE90">IF(N(BQ90)&gt;=MIN_N,BP90,IF(CD90&gt;=MIN_N,MEDIAN(IF($CA$2:$CA$209=CA90,$O$2:$O$209)),IF(CC90&gt;=MIN_N,MEDIAN(IF($BZ$2:$BZ$209=BZ90,$O$2:$O$209)),MEDIAN(IF($BY$2:$BY$209=BY90,$O$2:$O$209)))))</f>
        <v/>
      </c>
      <c r="CF90" s="3">
        <f>IF(N(BQ90)&gt;=MIN_N,"mercado "&amp;BR90,IF(CD90&gt;=MIN_N,"modelo+año+km",IF(CC90&gt;=MIN_N,"modelo+año","modelo")))</f>
        <v/>
      </c>
      <c r="CG90" s="4">
        <f>(CE90-O90)/CE90</f>
        <v/>
      </c>
      <c r="CH90" s="3">
        <f>IF(COUNTIFS(FR_FUEL,K90,FR_YEAR,AP90)&gt;0,1,0)</f>
        <v/>
      </c>
      <c r="CI90" s="3">
        <f>IF(COUNTIFS(FR_FUEL,K90,FR_YEAR,AP90-1)&gt;0,1,0)</f>
        <v/>
      </c>
      <c r="CJ90" s="4">
        <f>IF(N(AQ90)&gt;0,AP90*100+AQ90,IF(AND(CH90=1,CI90=1),(AP90-1)*100+1,AP90*100+1))</f>
        <v/>
      </c>
      <c r="CK90" s="3">
        <f>IF(OR(K90="hibrido",K90="glp",K90="gnc",K90="phev"),"ECO",IF(K90="electrico","CERO",IF(K90="gasolina",IF(CJ90&gt;=GAS_C_YM,"C",IF(CJ90&gt;=GAS_B_YM,"B","A")),IF(K90="diesel",IF(CJ90&gt;=DIE_C_YM,"C",IF(CJ90&gt;=DIE_B_YM,"B","A")),""))))</f>
        <v/>
      </c>
      <c r="CL90" s="2" t="inlineStr">
        <is>
          <t>B</t>
        </is>
      </c>
      <c r="CM90" s="4">
        <f>IF(AU90="sí","sí",IF(AS90="regla",IF(AND(N(AQ90)=0,CH90=1),"sí","no"),"no"))</f>
        <v/>
      </c>
      <c r="CN90" s="3">
        <f>IFERROR(VLOOKUP(F90,MOD_TBL,16,0),IFERROR(VLOOKUP(E90,OCU_TBL,2,0),NEUTRO))</f>
        <v/>
      </c>
      <c r="CO90" s="3">
        <f>SUMIFS(MOT_AJUSTE,MOT_MOTOR,G90,MOT_MARCA,E90,MOT_DESDE,"&lt;="&amp;M90,MOT_HASTA,"&gt;="&amp;M90)+SUMIFS(MOT_AJUSTE,MOT_MOTOR,G90,MOT_MARCA,"(todas)",MOT_DESDE,"&lt;="&amp;M90,MOT_HASTA,"&gt;="&amp;M90)+SUMIFS(MOT_AJUSTE,MOT_MOTOR,"(cualquiera)",MOT_MARCA,E90,MOT_DESDE,"&lt;="&amp;M90,MOT_HASTA,"&gt;="&amp;M90)</f>
        <v/>
      </c>
      <c r="CP90" s="3">
        <f>SUMIFS(COMB_AJUSTE,COMB_COMB,K90)</f>
        <v/>
      </c>
      <c r="CQ90" s="3">
        <f>COUNTIFS(MOT_MOTOR,G90,MOT_MARCA,E90,MOT_DESDE,"&lt;="&amp;M90,MOT_HASTA,"&gt;="&amp;M90)+COUNTIFS(MOT_MOTOR,G90,MOT_MARCA,"(todas)",MOT_DESDE,"&lt;="&amp;M90,MOT_HASTA,"&gt;="&amp;M90)+COUNTIFS(MOT_MOTOR,"(cualquiera)",MOT_MARCA,E90,MOT_DESDE,"&lt;="&amp;M90,MOT_HASTA,"&gt;="&amp;M90)</f>
        <v/>
      </c>
      <c r="CR90" s="3">
        <f>IF(AND(K90="diesel",CQ90=0),MIN(CN90,NEUTRO),CN90)</f>
        <v/>
      </c>
      <c r="CS90" s="3">
        <f>MAX(0,MIN(100,CR90+CO90+CP90-IF(AX90="sí",ROB_PEN,0)))</f>
        <v/>
      </c>
      <c r="CT90" s="3">
        <f>100-MAX(0,N90-KM_TOPE_DESDE)/1000*KM_TOPE_PTS</f>
        <v/>
      </c>
      <c r="CU90" s="3">
        <f>MAX(0,MIN(100,50+CG90*PRECIO_PEND,CT90))</f>
        <v/>
      </c>
      <c r="CV90" s="3">
        <f>MAX(0,100*(1-N90/KM_MAX))</f>
        <v/>
      </c>
      <c r="CW90" s="3">
        <f>IF(BX90&lt;KMA_SOSP,IF(AA90="sí",100,KMA_PEN),IF(BX90&lt;=KMA_IDEAL_MAX,100,MAX(0,100*(KMA_CERO-BX90)/(KMA_CERO-KMA_IDEAL_MAX))))</f>
        <v/>
      </c>
      <c r="CX90" s="3">
        <f>MAX(0,MIN(100,100*(M90-ANIO_MIN)/(ANIO_ACTUAL-ANIO_MIN)))</f>
        <v/>
      </c>
      <c r="CY90" s="3">
        <f>W_KMT*CV90+W_KMA*CW90+W_EDAD*CX90</f>
        <v/>
      </c>
      <c r="CZ90" s="4">
        <f>E90&amp;"|"&amp;G90</f>
        <v/>
      </c>
      <c r="DA90" s="3">
        <f>IFERROR(VLOOKUP(CZ90,DIST_TBL,2,0),"")</f>
        <v/>
      </c>
      <c r="DB90" s="3">
        <f>E_ITV*(V90="sí")+E_LIBRO*(W90="sí")+E_PROP*IF(Y90=1,1,IF(Y90=2,0.5,0))+E_CORREA*IF(OR(DA90="cadena",AND(X90="sí",BH90="sí")),1,IF(X90="sí",0.5,0))+E_FACT*(BI90="sí")</f>
        <v/>
      </c>
      <c r="DC90" s="3">
        <f>MAX(0,MIN(100,IFERROR(VLOOKUP(CL90,ETQ_TBL,2,0),0)-IF(CM90="sí",ETQ_PEN_DUD,IF(AS90="regla",ETQ_PEN_REGLA,0))))</f>
        <v/>
      </c>
      <c r="DD90" s="3">
        <f>IF(K90&lt;&gt;"gasolina","",IFERROR(VLOOKUP(F90,CONS_MOD_TBL,2,0),IFERROR(VLOOKUP(L90,CONS_SEG_TBL,2,0),"")))</f>
        <v/>
      </c>
      <c r="DE90" s="3">
        <f>IF(DD90="",NEUTRO,MAX(0,MIN(100,100*(CONS_REF_MAX-DD90)/(CONS_REF_MAX-CONS_REF_MIN))))</f>
        <v/>
      </c>
      <c r="DF90" s="3">
        <f>IFERROR(VLOOKUP(L90,SEGURO_TBL,3,0),"")</f>
        <v/>
      </c>
      <c r="DG90" s="3">
        <f>IF(DF90="",NEUTRO,MAX(0,MIN(100,100*(SEG_REF_MAX-DF90)/(SEG_REF_MAX-SEG_REF_MIN))))</f>
        <v/>
      </c>
      <c r="DH90" s="3">
        <f>IFERROR(VLOOKUP(E90,MANT_MARCA_TBL,2,0)+0,NEUTRO)</f>
        <v/>
      </c>
      <c r="DI90" s="3">
        <f>IF(DA90="",NEUTRO,IFERROR(VLOOKUP(DA90,DIST_PTS_TBL,2,0)+0,NEUTRO))</f>
        <v/>
      </c>
      <c r="DJ90" s="4">
        <f>(DH90+DI90)/2</f>
        <v/>
      </c>
      <c r="DK90" s="3">
        <f>W_CONS*DE90+W_SEG*DG90+W_MANT*DJ90</f>
        <v/>
      </c>
      <c r="DL90" s="3">
        <f>IF(N(AB90)&gt;0,AB90,IF(AND(R90="profesional",SG_LEGAL_ON=1),GAR_LEGAL,0))</f>
        <v/>
      </c>
      <c r="DM90" s="3">
        <f>MAX(0,MIN(100,SG_GAR*MIN(1,DL90/SG_GAR_FULL)+SG_AMPL*(AC90="sí")+SG_KMC*(AF90="sí")+SG_REV*(N(AE90)&gt;0)+SG_DEV*MIN(1,N(AG90)/SG_DEV_FULL)+SG_HIST*(W90="sí")-IF(AND(R90="particular",DL90=0),SG_PART_PEN,0)))</f>
        <v/>
      </c>
      <c r="DN90" s="3">
        <f>IF(BK90="",NEUTRO,MAX(0,MIN(100,BK90/5*100)))</f>
        <v/>
      </c>
      <c r="DO90" s="3">
        <f>IF(BL90="sí",100,IF(BL90="no",0,NEUTRO))</f>
        <v/>
      </c>
      <c r="DP90" s="3">
        <f>SV_W_NCAP*DN90+SV_W_ESP*DO90</f>
        <v/>
      </c>
      <c r="DQ90" s="3">
        <f>MAX(0,MIN(100,ATR_BASE+ATR_ACAB*(BD90&lt;&gt;"")+IF(BE90="16+",ATR_LL16,IF(BE90="sí",ATR_LL,0))+ATR_FAROS*(BF90="sí")+ATR_TINT*(BG90="sí")-ATR_CHAPA*(BE90="chapa")))</f>
        <v/>
      </c>
      <c r="DR90" s="3">
        <f>EST_W_MOD*(BB90-1)/4*100+EST_W_ATR*DQ90</f>
        <v/>
      </c>
      <c r="DS90" s="3">
        <f>IF(BA90="",NEUTRO,IFERROR(VLOOKUP(BA90,COLOR_TBL,2,0)+0,NEUTRO))</f>
        <v/>
      </c>
      <c r="DT90" s="3">
        <f>MAX(0,MIN(100,100*N(BM90)/RV_N_FULL))</f>
        <v/>
      </c>
      <c r="DU90" s="3">
        <f>IF(OR(BN90="",N(BO90)&lt;RV_DIAS_MIN),NEUTRO,MAX(0,MIN(100,100*(RV_DIAS_CERO-BN90)/(RV_DIAS_CERO-RV_DIAS_FULL))))</f>
        <v/>
      </c>
      <c r="DV90" s="3">
        <f>RV_W_LIQ*DT90+RV_W_DIAS*DU90+RV_W_ETQ*DC90</f>
        <v/>
      </c>
      <c r="DW90" s="3">
        <f>IFERROR(VLOOKUP(L90,CARR_PEN_TBL,2,0),0)</f>
        <v/>
      </c>
      <c r="DX90" s="3">
        <f>W_FIAB*CS90+W_PRECIO*CU90+W_KMEDAD*CY90+W_ESTADO*DB90+W_USO*DK90+W_SEGURIDAD*DM90+W_SEGVIAL*DP90+W_ESTETICA*DR90+W_COLOR*DS90+W_REVENTA*DV90-DW90-EG90</f>
        <v/>
      </c>
      <c r="DY90" s="4">
        <f>IF(N(I90)&gt;0,I90,IFERROR(ROUND(_xlfn.NUMBERVALUE(LEFT(G90,FIND(" ",G90&amp;" ")-1),".")*1000,0),99999))</f>
        <v/>
      </c>
      <c r="DZ90" s="3">
        <f>IF(R90="profesional",0,IF(O90&lt;CUOTA_VALOR_MAX,IF(BW90&gt;ITP_TRAMO_ALTO,SUMIFS(CF_CUOTA,CF_MAS,ITP_TRAMO_ALTO,CF_CCMIN,"&lt;="&amp;DY90,CF_CCMAX,"&gt;="&amp;DY90),IF(BW90&gt;ITP_TRAMO_BAJO,SUMIFS(CF_CUOTA,CF_MAS,ITP_TRAMO_BAJO,CF_CCMIN,"&lt;="&amp;DY90,CF_CCMAX,"&gt;="&amp;DY90),O90*ITP_TIPO)),O90*ITP_TIPO))</f>
        <v/>
      </c>
      <c r="EA90" s="4">
        <f>IF(R90="profesional",N(AK90),0)</f>
        <v/>
      </c>
      <c r="EB90" s="3">
        <f>IF(AND(R90="profesional",ISNUMBER(AK90),AL90="sí"),0,TASA_DGT)</f>
        <v/>
      </c>
      <c r="EC90" s="3">
        <f>INFORME_DGT</f>
        <v/>
      </c>
      <c r="ED90" s="4">
        <f>O90+EA90+DZ90+EB90+EC90</f>
        <v/>
      </c>
      <c r="EE90" s="4">
        <f>ED90+N(DF90)</f>
        <v/>
      </c>
      <c r="EF90" s="3">
        <f>MAX(0,ED90-TOTAL_MAX)</f>
        <v/>
      </c>
      <c r="EG90" s="3">
        <f>EF90/100*PEN_100</f>
        <v/>
      </c>
      <c r="EH90" s="3">
        <f>IF(R90="particular",ED90+IF(AND(DA90&lt;&gt;"cadena",X90&lt;&gt;"sí"),RES_CORREA,0)+IF(AND(BJ90&lt;&gt;"sí",BW90&gt;=RES_NEUM_EDAD),RES_NEUM,0),"")</f>
        <v/>
      </c>
      <c r="EI90" s="3">
        <f>IF(ED90&lt;=TOTAL_MAX,"sí",IF(ED90&lt;=TECHO,"negociar","no"))</f>
        <v/>
      </c>
      <c r="EJ90" s="4">
        <f>ROUND(DX90,9)</f>
        <v/>
      </c>
      <c r="EK90" s="4">
        <f>IF(EI90&lt;&gt;"no",SUMPRODUCT(($EI$2:$EI$209&lt;&gt;"no")*($EJ$2:$EJ$209&gt;EJ90))+SUMPRODUCT(($EI$2:EI90&lt;&gt;"no")*($EJ$2:EJ90=EJ90)),"")</f>
        <v/>
      </c>
    </row>
    <row r="91">
      <c r="A91" s="2" t="inlineStr">
        <is>
          <t>cochesnet:71863788</t>
        </is>
      </c>
      <c r="B91" s="2" t="inlineStr">
        <is>
          <t>cochesnet</t>
        </is>
      </c>
      <c r="C91" s="2" t="inlineStr">
        <is>
          <t>https://www.coches.net/ford-focus-18-tdci-trend-5p-diesel-2007-en-valencia-71863788-covo.aspx</t>
        </is>
      </c>
      <c r="D91" s="2" t="inlineStr">
        <is>
          <t>FORD Focus 1.8 TDCi Trend</t>
        </is>
      </c>
      <c r="E91" s="2" t="inlineStr">
        <is>
          <t>Ford</t>
        </is>
      </c>
      <c r="F91" s="2" t="inlineStr">
        <is>
          <t>Ford Focus</t>
        </is>
      </c>
      <c r="G91" s="2" t="inlineStr">
        <is>
          <t>1.8 TDCi</t>
        </is>
      </c>
      <c r="H91" s="2" t="inlineStr">
        <is>
          <t>1.8 TDCi Trend</t>
        </is>
      </c>
      <c r="I91" s="2" t="n"/>
      <c r="J91" s="2" t="n"/>
      <c r="K91" s="2" t="inlineStr">
        <is>
          <t>diesel</t>
        </is>
      </c>
      <c r="L91" s="2" t="inlineStr">
        <is>
          <t>compacto</t>
        </is>
      </c>
      <c r="M91" s="2" t="n">
        <v>2007</v>
      </c>
      <c r="N91" s="2" t="n">
        <v>151000</v>
      </c>
      <c r="O91" s="2" t="n">
        <v>3750</v>
      </c>
      <c r="P91" s="2" t="inlineStr">
        <is>
          <t>manual</t>
        </is>
      </c>
      <c r="Q91" s="2" t="inlineStr">
        <is>
          <t>no</t>
        </is>
      </c>
      <c r="R91" s="2" t="inlineStr">
        <is>
          <t>profesional</t>
        </is>
      </c>
      <c r="S91" s="2" t="inlineStr">
        <is>
          <t>Beniparrell</t>
        </is>
      </c>
      <c r="T91" s="2" t="inlineStr">
        <is>
          <t>2026-10-29T17:13:19Z</t>
        </is>
      </c>
      <c r="U91" s="2" t="n">
        <v>13</v>
      </c>
      <c r="V91" s="2" t="n"/>
      <c r="W91" s="2" t="n"/>
      <c r="X91" s="2" t="n"/>
      <c r="Y91" s="2" t="n"/>
      <c r="Z91" s="2" t="inlineStr">
        <is>
          <t>sí</t>
        </is>
      </c>
      <c r="AA91" s="2" t="n"/>
      <c r="AB91" s="2" t="n">
        <v>12</v>
      </c>
      <c r="AC91" s="2" t="n"/>
      <c r="AD91" s="2" t="n"/>
      <c r="AE91" s="2" t="n"/>
      <c r="AF91" s="2" t="n"/>
      <c r="AG91" s="2" t="n"/>
      <c r="AH91" s="2" t="n">
        <v>3750</v>
      </c>
      <c r="AI91" s="2" t="n"/>
      <c r="AJ91" s="2" t="n"/>
      <c r="AK91" s="2" t="n"/>
      <c r="AL91" s="2" t="n"/>
      <c r="AM91" s="2" t="n">
        <v>10.2</v>
      </c>
      <c r="AN91" s="2" t="n"/>
      <c r="AO91" s="2" t="inlineStr">
        <is>
          <t>2007</t>
        </is>
      </c>
      <c r="AP91" s="2" t="n">
        <v>2007</v>
      </c>
      <c r="AQ91" s="2" t="n"/>
      <c r="AR91" s="2" t="inlineStr">
        <is>
          <t>B</t>
        </is>
      </c>
      <c r="AS91" s="2" t="inlineStr">
        <is>
          <t>anuncio</t>
        </is>
      </c>
      <c r="AT91" s="2" t="n"/>
      <c r="AU91" s="2" t="inlineStr">
        <is>
          <t>no</t>
        </is>
      </c>
      <c r="AV91" s="2" t="inlineStr">
        <is>
          <t>B</t>
        </is>
      </c>
      <c r="AW91" s="2" t="n"/>
      <c r="AX91" s="2" t="inlineStr">
        <is>
          <t>no</t>
        </is>
      </c>
      <c r="AY91" s="2" t="inlineStr">
        <is>
          <t>no</t>
        </is>
      </c>
      <c r="AZ91" s="2" t="inlineStr">
        <is>
          <t>COMMON.COLOR_BLUE</t>
        </is>
      </c>
      <c r="BA91" s="2" t="inlineStr">
        <is>
          <t>azul</t>
        </is>
      </c>
      <c r="BB91" s="3" t="n">
        <v>3</v>
      </c>
      <c r="BC91" s="3" t="inlineStr">
        <is>
          <t>(por segmento)</t>
        </is>
      </c>
      <c r="BD91" s="2" t="n"/>
      <c r="BE91" s="2" t="n"/>
      <c r="BF91" s="2" t="n"/>
      <c r="BG91" s="2" t="inlineStr">
        <is>
          <t>sí</t>
        </is>
      </c>
      <c r="BH91" s="2" t="n"/>
      <c r="BI91" s="2" t="n"/>
      <c r="BJ91" s="2" t="n"/>
      <c r="BK91" s="2" t="n">
        <v>5</v>
      </c>
      <c r="BL91" s="2" t="n"/>
      <c r="BM91" s="2" t="n">
        <v>421</v>
      </c>
      <c r="BN91" s="2" t="n">
        <v>0.05126157402992249</v>
      </c>
      <c r="BO91" s="2" t="n">
        <v>7</v>
      </c>
      <c r="BP91" s="2" t="n">
        <v>3870</v>
      </c>
      <c r="BQ91" s="2" t="n">
        <v>10</v>
      </c>
      <c r="BR91" s="2" t="inlineStr">
        <is>
          <t>modelo+año+km</t>
        </is>
      </c>
      <c r="BS91" s="2" t="n"/>
      <c r="BT91" s="2" t="inlineStr">
        <is>
          <t>vendedor profesional: sin ITP (operación con IVA/REBU, confirmar en factura); gastos de gestión del vendedor no indicados: se suma la tasa DGT; preguntar el precio final; diésel: motor sin fuente de fiabilidad (fiabilidad limitada a neutra); revisar: no menciona la ITV</t>
        </is>
      </c>
      <c r="BU91" s="2" t="inlineStr">
        <is>
          <t>Este Focus destaca por su equipo de audio con reproductor de CD, RDS y mando en el volante, además de apertura del maletero a distancia. Incorpora climatización con filtro de partículas y carbón activo, faros antiniebla delanteros y cristales tintados en toda la cabina. Equipa también cierre centralizado con mando a distancia, elevalunas eléctricos delanteros y ordenador de viaje.GARANTÍA 12 meses (cobertura de 25 componentes del vehículo )cobertura de reparación hasta 2.000e en cualquier taller)</t>
        </is>
      </c>
      <c r="BV91" s="2" t="inlineStr">
        <is>
          <t>https://www.coches.net/ford-focus-18-tdci-trend-5p-diesel-2007-en-valencia-71863788-covo.aspx (window.__INITIAL_PROPS__.ad) /home/user/Alopecia/buscador-coches/raw/cochesnet/b2ca64512f7ef089.json</t>
        </is>
      </c>
      <c r="BW91" s="3">
        <f>MAX(ANIO_ACTUAL-M91,0)</f>
        <v/>
      </c>
      <c r="BX91" s="4">
        <f>N91/MAX(BW91,0.5)</f>
        <v/>
      </c>
      <c r="BY91" s="4">
        <f>F91</f>
        <v/>
      </c>
      <c r="BZ91" s="3">
        <f>BY91&amp;"|"&amp;INT(M91/SEG_ANIO)*SEG_ANIO</f>
        <v/>
      </c>
      <c r="CA91" s="3">
        <f>BZ91&amp;"|"&amp;INT(N91/SEG_KM)*SEG_KM</f>
        <v/>
      </c>
      <c r="CB91" s="4">
        <f>COUNTIF($BY$2:$BY$209,BY91)</f>
        <v/>
      </c>
      <c r="CC91" s="4">
        <f>COUNTIF($BZ$2:$BZ$209,BZ91)</f>
        <v/>
      </c>
      <c r="CD91" s="4">
        <f>COUNTIF($CA$2:$CA$209,CA91)</f>
        <v/>
      </c>
      <c r="CE91" s="3">
        <f t="array" ref="CE91">IF(N(BQ91)&gt;=MIN_N,BP91,IF(CD91&gt;=MIN_N,MEDIAN(IF($CA$2:$CA$209=CA91,$O$2:$O$209)),IF(CC91&gt;=MIN_N,MEDIAN(IF($BZ$2:$BZ$209=BZ91,$O$2:$O$209)),MEDIAN(IF($BY$2:$BY$209=BY91,$O$2:$O$209)))))</f>
        <v/>
      </c>
      <c r="CF91" s="3">
        <f>IF(N(BQ91)&gt;=MIN_N,"mercado "&amp;BR91,IF(CD91&gt;=MIN_N,"modelo+año+km",IF(CC91&gt;=MIN_N,"modelo+año","modelo")))</f>
        <v/>
      </c>
      <c r="CG91" s="4">
        <f>(CE91-O91)/CE91</f>
        <v/>
      </c>
      <c r="CH91" s="3">
        <f>IF(COUNTIFS(FR_FUEL,K91,FR_YEAR,AP91)&gt;0,1,0)</f>
        <v/>
      </c>
      <c r="CI91" s="3">
        <f>IF(COUNTIFS(FR_FUEL,K91,FR_YEAR,AP91-1)&gt;0,1,0)</f>
        <v/>
      </c>
      <c r="CJ91" s="4">
        <f>IF(N(AQ91)&gt;0,AP91*100+AQ91,IF(AND(CH91=1,CI91=1),(AP91-1)*100+1,AP91*100+1))</f>
        <v/>
      </c>
      <c r="CK91" s="3">
        <f>IF(OR(K91="hibrido",K91="glp",K91="gnc",K91="phev"),"ECO",IF(K91="electrico","CERO",IF(K91="gasolina",IF(CJ91&gt;=GAS_C_YM,"C",IF(CJ91&gt;=GAS_B_YM,"B","A")),IF(K91="diesel",IF(CJ91&gt;=DIE_C_YM,"C",IF(CJ91&gt;=DIE_B_YM,"B","A")),""))))</f>
        <v/>
      </c>
      <c r="CL91" s="2" t="inlineStr">
        <is>
          <t>B</t>
        </is>
      </c>
      <c r="CM91" s="4">
        <f>IF(AU91="sí","sí",IF(AS91="regla",IF(AND(N(AQ91)=0,CH91=1),"sí","no"),"no"))</f>
        <v/>
      </c>
      <c r="CN91" s="3">
        <f>IFERROR(VLOOKUP(F91,MOD_TBL,16,0),IFERROR(VLOOKUP(E91,OCU_TBL,2,0),NEUTRO))</f>
        <v/>
      </c>
      <c r="CO91" s="3">
        <f>SUMIFS(MOT_AJUSTE,MOT_MOTOR,G91,MOT_MARCA,E91,MOT_DESDE,"&lt;="&amp;M91,MOT_HASTA,"&gt;="&amp;M91)+SUMIFS(MOT_AJUSTE,MOT_MOTOR,G91,MOT_MARCA,"(todas)",MOT_DESDE,"&lt;="&amp;M91,MOT_HASTA,"&gt;="&amp;M91)+SUMIFS(MOT_AJUSTE,MOT_MOTOR,"(cualquiera)",MOT_MARCA,E91,MOT_DESDE,"&lt;="&amp;M91,MOT_HASTA,"&gt;="&amp;M91)</f>
        <v/>
      </c>
      <c r="CP91" s="3">
        <f>SUMIFS(COMB_AJUSTE,COMB_COMB,K91)</f>
        <v/>
      </c>
      <c r="CQ91" s="3">
        <f>COUNTIFS(MOT_MOTOR,G91,MOT_MARCA,E91,MOT_DESDE,"&lt;="&amp;M91,MOT_HASTA,"&gt;="&amp;M91)+COUNTIFS(MOT_MOTOR,G91,MOT_MARCA,"(todas)",MOT_DESDE,"&lt;="&amp;M91,MOT_HASTA,"&gt;="&amp;M91)+COUNTIFS(MOT_MOTOR,"(cualquiera)",MOT_MARCA,E91,MOT_DESDE,"&lt;="&amp;M91,MOT_HASTA,"&gt;="&amp;M91)</f>
        <v/>
      </c>
      <c r="CR91" s="3">
        <f>IF(AND(K91="diesel",CQ91=0),MIN(CN91,NEUTRO),CN91)</f>
        <v/>
      </c>
      <c r="CS91" s="3">
        <f>MAX(0,MIN(100,CR91+CO91+CP91-IF(AX91="sí",ROB_PEN,0)))</f>
        <v/>
      </c>
      <c r="CT91" s="3">
        <f>100-MAX(0,N91-KM_TOPE_DESDE)/1000*KM_TOPE_PTS</f>
        <v/>
      </c>
      <c r="CU91" s="3">
        <f>MAX(0,MIN(100,50+CG91*PRECIO_PEND,CT91))</f>
        <v/>
      </c>
      <c r="CV91" s="3">
        <f>MAX(0,100*(1-N91/KM_MAX))</f>
        <v/>
      </c>
      <c r="CW91" s="3">
        <f>IF(BX91&lt;KMA_SOSP,IF(AA91="sí",100,KMA_PEN),IF(BX91&lt;=KMA_IDEAL_MAX,100,MAX(0,100*(KMA_CERO-BX91)/(KMA_CERO-KMA_IDEAL_MAX))))</f>
        <v/>
      </c>
      <c r="CX91" s="3">
        <f>MAX(0,MIN(100,100*(M91-ANIO_MIN)/(ANIO_ACTUAL-ANIO_MIN)))</f>
        <v/>
      </c>
      <c r="CY91" s="3">
        <f>W_KMT*CV91+W_KMA*CW91+W_EDAD*CX91</f>
        <v/>
      </c>
      <c r="CZ91" s="4">
        <f>E91&amp;"|"&amp;G91</f>
        <v/>
      </c>
      <c r="DA91" s="3">
        <f>IFERROR(VLOOKUP(CZ91,DIST_TBL,2,0),"")</f>
        <v/>
      </c>
      <c r="DB91" s="3">
        <f>E_ITV*(V91="sí")+E_LIBRO*(W91="sí")+E_PROP*IF(Y91=1,1,IF(Y91=2,0.5,0))+E_CORREA*IF(OR(DA91="cadena",AND(X91="sí",BH91="sí")),1,IF(X91="sí",0.5,0))+E_FACT*(BI91="sí")</f>
        <v/>
      </c>
      <c r="DC91" s="3">
        <f>MAX(0,MIN(100,IFERROR(VLOOKUP(CL91,ETQ_TBL,2,0),0)-IF(CM91="sí",ETQ_PEN_DUD,IF(AS91="regla",ETQ_PEN_REGLA,0))))</f>
        <v/>
      </c>
      <c r="DD91" s="3">
        <f>IF(K91&lt;&gt;"gasolina","",IFERROR(VLOOKUP(F91,CONS_MOD_TBL,2,0),IFERROR(VLOOKUP(L91,CONS_SEG_TBL,2,0),"")))</f>
        <v/>
      </c>
      <c r="DE91" s="3">
        <f>IF(DD91="",NEUTRO,MAX(0,MIN(100,100*(CONS_REF_MAX-DD91)/(CONS_REF_MAX-CONS_REF_MIN))))</f>
        <v/>
      </c>
      <c r="DF91" s="3">
        <f>IFERROR(VLOOKUP(L91,SEGURO_TBL,3,0),"")</f>
        <v/>
      </c>
      <c r="DG91" s="3">
        <f>IF(DF91="",NEUTRO,MAX(0,MIN(100,100*(SEG_REF_MAX-DF91)/(SEG_REF_MAX-SEG_REF_MIN))))</f>
        <v/>
      </c>
      <c r="DH91" s="3">
        <f>IFERROR(VLOOKUP(E91,MANT_MARCA_TBL,2,0)+0,NEUTRO)</f>
        <v/>
      </c>
      <c r="DI91" s="3">
        <f>IF(DA91="",NEUTRO,IFERROR(VLOOKUP(DA91,DIST_PTS_TBL,2,0)+0,NEUTRO))</f>
        <v/>
      </c>
      <c r="DJ91" s="4">
        <f>(DH91+DI91)/2</f>
        <v/>
      </c>
      <c r="DK91" s="3">
        <f>W_CONS*DE91+W_SEG*DG91+W_MANT*DJ91</f>
        <v/>
      </c>
      <c r="DL91" s="3">
        <f>IF(N(AB91)&gt;0,AB91,IF(AND(R91="profesional",SG_LEGAL_ON=1),GAR_LEGAL,0))</f>
        <v/>
      </c>
      <c r="DM91" s="3">
        <f>MAX(0,MIN(100,SG_GAR*MIN(1,DL91/SG_GAR_FULL)+SG_AMPL*(AC91="sí")+SG_KMC*(AF91="sí")+SG_REV*(N(AE91)&gt;0)+SG_DEV*MIN(1,N(AG91)/SG_DEV_FULL)+SG_HIST*(W91="sí")-IF(AND(R91="particular",DL91=0),SG_PART_PEN,0)))</f>
        <v/>
      </c>
      <c r="DN91" s="3">
        <f>IF(BK91="",NEUTRO,MAX(0,MIN(100,BK91/5*100)))</f>
        <v/>
      </c>
      <c r="DO91" s="3">
        <f>IF(BL91="sí",100,IF(BL91="no",0,NEUTRO))</f>
        <v/>
      </c>
      <c r="DP91" s="3">
        <f>SV_W_NCAP*DN91+SV_W_ESP*DO91</f>
        <v/>
      </c>
      <c r="DQ91" s="3">
        <f>MAX(0,MIN(100,ATR_BASE+ATR_ACAB*(BD91&lt;&gt;"")+IF(BE91="16+",ATR_LL16,IF(BE91="sí",ATR_LL,0))+ATR_FAROS*(BF91="sí")+ATR_TINT*(BG91="sí")-ATR_CHAPA*(BE91="chapa")))</f>
        <v/>
      </c>
      <c r="DR91" s="3">
        <f>EST_W_MOD*(BB91-1)/4*100+EST_W_ATR*DQ91</f>
        <v/>
      </c>
      <c r="DS91" s="3">
        <f>IF(BA91="",NEUTRO,IFERROR(VLOOKUP(BA91,COLOR_TBL,2,0)+0,NEUTRO))</f>
        <v/>
      </c>
      <c r="DT91" s="3">
        <f>MAX(0,MIN(100,100*N(BM91)/RV_N_FULL))</f>
        <v/>
      </c>
      <c r="DU91" s="3">
        <f>IF(OR(BN91="",N(BO91)&lt;RV_DIAS_MIN),NEUTRO,MAX(0,MIN(100,100*(RV_DIAS_CERO-BN91)/(RV_DIAS_CERO-RV_DIAS_FULL))))</f>
        <v/>
      </c>
      <c r="DV91" s="3">
        <f>RV_W_LIQ*DT91+RV_W_DIAS*DU91+RV_W_ETQ*DC91</f>
        <v/>
      </c>
      <c r="DW91" s="3">
        <f>IFERROR(VLOOKUP(L91,CARR_PEN_TBL,2,0),0)</f>
        <v/>
      </c>
      <c r="DX91" s="3">
        <f>W_FIAB*CS91+W_PRECIO*CU91+W_KMEDAD*CY91+W_ESTADO*DB91+W_USO*DK91+W_SEGURIDAD*DM91+W_SEGVIAL*DP91+W_ESTETICA*DR91+W_COLOR*DS91+W_REVENTA*DV91-DW91-EG91</f>
        <v/>
      </c>
      <c r="DY91" s="4">
        <f>IF(N(I91)&gt;0,I91,IFERROR(ROUND(_xlfn.NUMBERVALUE(LEFT(G91,FIND(" ",G91&amp;" ")-1),".")*1000,0),99999))</f>
        <v/>
      </c>
      <c r="DZ91" s="3">
        <f>IF(R91="profesional",0,IF(O91&lt;CUOTA_VALOR_MAX,IF(BW91&gt;ITP_TRAMO_ALTO,SUMIFS(CF_CUOTA,CF_MAS,ITP_TRAMO_ALTO,CF_CCMIN,"&lt;="&amp;DY91,CF_CCMAX,"&gt;="&amp;DY91),IF(BW91&gt;ITP_TRAMO_BAJO,SUMIFS(CF_CUOTA,CF_MAS,ITP_TRAMO_BAJO,CF_CCMIN,"&lt;="&amp;DY91,CF_CCMAX,"&gt;="&amp;DY91),O91*ITP_TIPO)),O91*ITP_TIPO))</f>
        <v/>
      </c>
      <c r="EA91" s="4">
        <f>IF(R91="profesional",N(AK91),0)</f>
        <v/>
      </c>
      <c r="EB91" s="3">
        <f>IF(AND(R91="profesional",ISNUMBER(AK91),AL91="sí"),0,TASA_DGT)</f>
        <v/>
      </c>
      <c r="EC91" s="3">
        <f>INFORME_DGT</f>
        <v/>
      </c>
      <c r="ED91" s="4">
        <f>O91+EA91+DZ91+EB91+EC91</f>
        <v/>
      </c>
      <c r="EE91" s="4">
        <f>ED91+N(DF91)</f>
        <v/>
      </c>
      <c r="EF91" s="3">
        <f>MAX(0,ED91-TOTAL_MAX)</f>
        <v/>
      </c>
      <c r="EG91" s="3">
        <f>EF91/100*PEN_100</f>
        <v/>
      </c>
      <c r="EH91" s="3">
        <f>IF(R91="particular",ED91+IF(AND(DA91&lt;&gt;"cadena",X91&lt;&gt;"sí"),RES_CORREA,0)+IF(AND(BJ91&lt;&gt;"sí",BW91&gt;=RES_NEUM_EDAD),RES_NEUM,0),"")</f>
        <v/>
      </c>
      <c r="EI91" s="3">
        <f>IF(ED91&lt;=TOTAL_MAX,"sí",IF(ED91&lt;=TECHO,"negociar","no"))</f>
        <v/>
      </c>
      <c r="EJ91" s="4">
        <f>ROUND(DX91,9)</f>
        <v/>
      </c>
      <c r="EK91" s="4">
        <f>IF(EI91&lt;&gt;"no",SUMPRODUCT(($EI$2:$EI$209&lt;&gt;"no")*($EJ$2:$EJ$209&gt;EJ91))+SUMPRODUCT(($EI$2:EI91&lt;&gt;"no")*($EJ$2:EJ91=EJ91)),"")</f>
        <v/>
      </c>
    </row>
    <row r="92">
      <c r="A92" s="2" t="inlineStr">
        <is>
          <t>cochesnet:71253044</t>
        </is>
      </c>
      <c r="B92" s="2" t="inlineStr">
        <is>
          <t>cochesnet</t>
        </is>
      </c>
      <c r="C92" s="2" t="inlineStr">
        <is>
          <t>https://www.coches.net/ford-ka-16i-sportka-3p-gasolina-2005-en-valencia-71253044-covo.aspx</t>
        </is>
      </c>
      <c r="D92" s="2" t="inlineStr">
        <is>
          <t>FORD Ka 1.6i SportKa</t>
        </is>
      </c>
      <c r="E92" s="2" t="inlineStr">
        <is>
          <t>Ford</t>
        </is>
      </c>
      <c r="F92" s="2" t="inlineStr">
        <is>
          <t>Ford Ka</t>
        </is>
      </c>
      <c r="G92" s="2" t="inlineStr">
        <is>
          <t>1.6</t>
        </is>
      </c>
      <c r="H92" s="2" t="inlineStr">
        <is>
          <t>1.6i SportKa</t>
        </is>
      </c>
      <c r="I92" s="2" t="n"/>
      <c r="J92" s="2" t="n"/>
      <c r="K92" s="2" t="inlineStr">
        <is>
          <t>gasolina</t>
        </is>
      </c>
      <c r="L92" s="2" t="inlineStr">
        <is>
          <t>utilitario</t>
        </is>
      </c>
      <c r="M92" s="2" t="n">
        <v>2007</v>
      </c>
      <c r="N92" s="2" t="n">
        <v>80000</v>
      </c>
      <c r="O92" s="2" t="n">
        <v>2990</v>
      </c>
      <c r="P92" s="2" t="inlineStr">
        <is>
          <t>manual</t>
        </is>
      </c>
      <c r="Q92" s="2" t="inlineStr">
        <is>
          <t>no</t>
        </is>
      </c>
      <c r="R92" s="2" t="inlineStr">
        <is>
          <t>profesional</t>
        </is>
      </c>
      <c r="S92" s="2" t="inlineStr">
        <is>
          <t>Foios</t>
        </is>
      </c>
      <c r="T92" s="2" t="inlineStr">
        <is>
          <t>2026-08-07T19:43:11Z</t>
        </is>
      </c>
      <c r="U92" s="2" t="n">
        <v>10</v>
      </c>
      <c r="V92" s="2" t="n"/>
      <c r="W92" s="2" t="n"/>
      <c r="X92" s="2" t="n"/>
      <c r="Y92" s="2" t="n"/>
      <c r="Z92" s="2" t="inlineStr">
        <is>
          <t>sí</t>
        </is>
      </c>
      <c r="AA92" s="2" t="n"/>
      <c r="AB92" s="2" t="n">
        <v>12</v>
      </c>
      <c r="AC92" s="2" t="n"/>
      <c r="AD92" s="2" t="n"/>
      <c r="AE92" s="2" t="n"/>
      <c r="AF92" s="2" t="n"/>
      <c r="AG92" s="2" t="n"/>
      <c r="AH92" s="2" t="n">
        <v>2990</v>
      </c>
      <c r="AI92" s="2" t="n">
        <v>2990</v>
      </c>
      <c r="AJ92" s="2" t="n"/>
      <c r="AK92" s="2" t="n"/>
      <c r="AL92" s="2" t="n"/>
      <c r="AM92" s="2" t="n">
        <v>7.7</v>
      </c>
      <c r="AN92" s="2" t="n"/>
      <c r="AO92" s="2" t="inlineStr">
        <is>
          <t>2007</t>
        </is>
      </c>
      <c r="AP92" s="2" t="n">
        <v>2007</v>
      </c>
      <c r="AQ92" s="2" t="n"/>
      <c r="AR92" s="2" t="inlineStr">
        <is>
          <t>B</t>
        </is>
      </c>
      <c r="AS92" s="2" t="inlineStr">
        <is>
          <t>anuncio</t>
        </is>
      </c>
      <c r="AT92" s="2" t="n">
        <v>2005</v>
      </c>
      <c r="AU92" s="2" t="inlineStr">
        <is>
          <t>sí</t>
        </is>
      </c>
      <c r="AV92" s="2" t="inlineStr">
        <is>
          <t>B/C</t>
        </is>
      </c>
      <c r="AW92" s="2" t="n"/>
      <c r="AX92" s="2" t="inlineStr">
        <is>
          <t>no</t>
        </is>
      </c>
      <c r="AY92" s="2" t="inlineStr">
        <is>
          <t>no</t>
        </is>
      </c>
      <c r="AZ92" s="2" t="inlineStr">
        <is>
          <t>COMMON.COLOR_YELLOW</t>
        </is>
      </c>
      <c r="BA92" s="2" t="inlineStr">
        <is>
          <t>chillon</t>
        </is>
      </c>
      <c r="BB92" s="3" t="n">
        <v>2</v>
      </c>
      <c r="BC92" s="3" t="inlineStr">
        <is>
          <t>(por segmento)</t>
        </is>
      </c>
      <c r="BD92" s="2" t="n"/>
      <c r="BE92" s="2" t="n"/>
      <c r="BF92" s="2" t="n"/>
      <c r="BG92" s="2" t="n"/>
      <c r="BH92" s="2" t="n"/>
      <c r="BI92" s="2" t="n"/>
      <c r="BJ92" s="2" t="n"/>
      <c r="BK92" s="2" t="n"/>
      <c r="BL92" s="2" t="n"/>
      <c r="BM92" s="2" t="n">
        <v>50</v>
      </c>
      <c r="BN92" s="2" t="n"/>
      <c r="BO92" s="2" t="n">
        <v>0</v>
      </c>
      <c r="BP92" s="2" t="n"/>
      <c r="BQ92" s="2" t="n"/>
      <c r="BR92" s="2" t="n"/>
      <c r="BS92" s="2" t="n"/>
      <c r="BT92" s="2" t="inlineStr">
        <is>
          <t>etiqueta dudosa (B/C): se puntúa la peor (B); confirmar con la DGT antes de comprar; año a confirmar: la URL/título dice 2005; vendedor profesional: sin ITP (operación con IVA/REBU, confirmar en factura); gastos de gestión del vendedor no indicados: se suma la tasa DGT; preguntar el precio final; Euro NCAP de la generación PENDIENTE (seguridad neutra); revisar: no menciona la ITV; fiabilidad del modelo PENDIENTE de fuente (puntuación neutra)</t>
        </is>
      </c>
      <c r="BU92" s="2" t="inlineStr">
        <is>
          <t>Automóviles Jabe Precio solamente hasta final de mes Quien primero venga primero se lo lleva ¿Cambio de nombre incluido</t>
        </is>
      </c>
      <c r="BV92" s="2" t="inlineStr">
        <is>
          <t>https://www.coches.net/ford-ka-16i-sportka-3p-gasolina-2005-en-valencia-71253044-covo.aspx (window.__INITIAL_PROPS__.ad) /home/user/Alopecia/buscador-coches/raw/cochesnet/fb59e16675e2ae2f.json</t>
        </is>
      </c>
      <c r="BW92" s="3">
        <f>MAX(ANIO_ACTUAL-M92,0)</f>
        <v/>
      </c>
      <c r="BX92" s="4">
        <f>N92/MAX(BW92,0.5)</f>
        <v/>
      </c>
      <c r="BY92" s="4">
        <f>F92</f>
        <v/>
      </c>
      <c r="BZ92" s="3">
        <f>BY92&amp;"|"&amp;INT(M92/SEG_ANIO)*SEG_ANIO</f>
        <v/>
      </c>
      <c r="CA92" s="3">
        <f>BZ92&amp;"|"&amp;INT(N92/SEG_KM)*SEG_KM</f>
        <v/>
      </c>
      <c r="CB92" s="4">
        <f>COUNTIF($BY$2:$BY$209,BY92)</f>
        <v/>
      </c>
      <c r="CC92" s="4">
        <f>COUNTIF($BZ$2:$BZ$209,BZ92)</f>
        <v/>
      </c>
      <c r="CD92" s="4">
        <f>COUNTIF($CA$2:$CA$209,CA92)</f>
        <v/>
      </c>
      <c r="CE92" s="3">
        <f t="array" ref="CE92">IF(N(BQ92)&gt;=MIN_N,BP92,IF(CD92&gt;=MIN_N,MEDIAN(IF($CA$2:$CA$209=CA92,$O$2:$O$209)),IF(CC92&gt;=MIN_N,MEDIAN(IF($BZ$2:$BZ$209=BZ92,$O$2:$O$209)),MEDIAN(IF($BY$2:$BY$209=BY92,$O$2:$O$209)))))</f>
        <v/>
      </c>
      <c r="CF92" s="3">
        <f>IF(N(BQ92)&gt;=MIN_N,"mercado "&amp;BR92,IF(CD92&gt;=MIN_N,"modelo+año+km",IF(CC92&gt;=MIN_N,"modelo+año","modelo")))</f>
        <v/>
      </c>
      <c r="CG92" s="4">
        <f>(CE92-O92)/CE92</f>
        <v/>
      </c>
      <c r="CH92" s="3">
        <f>IF(COUNTIFS(FR_FUEL,K92,FR_YEAR,AP92)&gt;0,1,0)</f>
        <v/>
      </c>
      <c r="CI92" s="3">
        <f>IF(COUNTIFS(FR_FUEL,K92,FR_YEAR,AP92-1)&gt;0,1,0)</f>
        <v/>
      </c>
      <c r="CJ92" s="4">
        <f>IF(N(AQ92)&gt;0,AP92*100+AQ92,IF(AND(CH92=1,CI92=1),(AP92-1)*100+1,AP92*100+1))</f>
        <v/>
      </c>
      <c r="CK92" s="3">
        <f>IF(OR(K92="hibrido",K92="glp",K92="gnc",K92="phev"),"ECO",IF(K92="electrico","CERO",IF(K92="gasolina",IF(CJ92&gt;=GAS_C_YM,"C",IF(CJ92&gt;=GAS_B_YM,"B","A")),IF(K92="diesel",IF(CJ92&gt;=DIE_C_YM,"C",IF(CJ92&gt;=DIE_B_YM,"B","A")),""))))</f>
        <v/>
      </c>
      <c r="CL92" s="2" t="inlineStr">
        <is>
          <t>B</t>
        </is>
      </c>
      <c r="CM92" s="4">
        <f>IF(AU92="sí","sí",IF(AS92="regla",IF(AND(N(AQ92)=0,CH92=1),"sí","no"),"no"))</f>
        <v/>
      </c>
      <c r="CN92" s="3">
        <f>IFERROR(VLOOKUP(F92,MOD_TBL,16,0),IFERROR(VLOOKUP(E92,OCU_TBL,2,0),NEUTRO))</f>
        <v/>
      </c>
      <c r="CO92" s="3">
        <f>SUMIFS(MOT_AJUSTE,MOT_MOTOR,G92,MOT_MARCA,E92,MOT_DESDE,"&lt;="&amp;M92,MOT_HASTA,"&gt;="&amp;M92)+SUMIFS(MOT_AJUSTE,MOT_MOTOR,G92,MOT_MARCA,"(todas)",MOT_DESDE,"&lt;="&amp;M92,MOT_HASTA,"&gt;="&amp;M92)+SUMIFS(MOT_AJUSTE,MOT_MOTOR,"(cualquiera)",MOT_MARCA,E92,MOT_DESDE,"&lt;="&amp;M92,MOT_HASTA,"&gt;="&amp;M92)</f>
        <v/>
      </c>
      <c r="CP92" s="3">
        <f>SUMIFS(COMB_AJUSTE,COMB_COMB,K92)</f>
        <v/>
      </c>
      <c r="CQ92" s="3">
        <f>COUNTIFS(MOT_MOTOR,G92,MOT_MARCA,E92,MOT_DESDE,"&lt;="&amp;M92,MOT_HASTA,"&gt;="&amp;M92)+COUNTIFS(MOT_MOTOR,G92,MOT_MARCA,"(todas)",MOT_DESDE,"&lt;="&amp;M92,MOT_HASTA,"&gt;="&amp;M92)+COUNTIFS(MOT_MOTOR,"(cualquiera)",MOT_MARCA,E92,MOT_DESDE,"&lt;="&amp;M92,MOT_HASTA,"&gt;="&amp;M92)</f>
        <v/>
      </c>
      <c r="CR92" s="3">
        <f>IF(AND(K92="diesel",CQ92=0),MIN(CN92,NEUTRO),CN92)</f>
        <v/>
      </c>
      <c r="CS92" s="3">
        <f>MAX(0,MIN(100,CR92+CO92+CP92-IF(AX92="sí",ROB_PEN,0)))</f>
        <v/>
      </c>
      <c r="CT92" s="3">
        <f>100-MAX(0,N92-KM_TOPE_DESDE)/1000*KM_TOPE_PTS</f>
        <v/>
      </c>
      <c r="CU92" s="3">
        <f>MAX(0,MIN(100,50+CG92*PRECIO_PEND,CT92))</f>
        <v/>
      </c>
      <c r="CV92" s="3">
        <f>MAX(0,100*(1-N92/KM_MAX))</f>
        <v/>
      </c>
      <c r="CW92" s="3">
        <f>IF(BX92&lt;KMA_SOSP,IF(AA92="sí",100,KMA_PEN),IF(BX92&lt;=KMA_IDEAL_MAX,100,MAX(0,100*(KMA_CERO-BX92)/(KMA_CERO-KMA_IDEAL_MAX))))</f>
        <v/>
      </c>
      <c r="CX92" s="3">
        <f>MAX(0,MIN(100,100*(M92-ANIO_MIN)/(ANIO_ACTUAL-ANIO_MIN)))</f>
        <v/>
      </c>
      <c r="CY92" s="3">
        <f>W_KMT*CV92+W_KMA*CW92+W_EDAD*CX92</f>
        <v/>
      </c>
      <c r="CZ92" s="4">
        <f>E92&amp;"|"&amp;G92</f>
        <v/>
      </c>
      <c r="DA92" s="3">
        <f>IFERROR(VLOOKUP(CZ92,DIST_TBL,2,0),"")</f>
        <v/>
      </c>
      <c r="DB92" s="3">
        <f>E_ITV*(V92="sí")+E_LIBRO*(W92="sí")+E_PROP*IF(Y92=1,1,IF(Y92=2,0.5,0))+E_CORREA*IF(OR(DA92="cadena",AND(X92="sí",BH92="sí")),1,IF(X92="sí",0.5,0))+E_FACT*(BI92="sí")</f>
        <v/>
      </c>
      <c r="DC92" s="3">
        <f>MAX(0,MIN(100,IFERROR(VLOOKUP(CL92,ETQ_TBL,2,0),0)-IF(CM92="sí",ETQ_PEN_DUD,IF(AS92="regla",ETQ_PEN_REGLA,0))))</f>
        <v/>
      </c>
      <c r="DD92" s="3">
        <f>IF(K92&lt;&gt;"gasolina","",IFERROR(VLOOKUP(F92,CONS_MOD_TBL,2,0),IFERROR(VLOOKUP(L92,CONS_SEG_TBL,2,0),"")))</f>
        <v/>
      </c>
      <c r="DE92" s="3">
        <f>IF(DD92="",NEUTRO,MAX(0,MIN(100,100*(CONS_REF_MAX-DD92)/(CONS_REF_MAX-CONS_REF_MIN))))</f>
        <v/>
      </c>
      <c r="DF92" s="3">
        <f>IFERROR(VLOOKUP(L92,SEGURO_TBL,3,0),"")</f>
        <v/>
      </c>
      <c r="DG92" s="3">
        <f>IF(DF92="",NEUTRO,MAX(0,MIN(100,100*(SEG_REF_MAX-DF92)/(SEG_REF_MAX-SEG_REF_MIN))))</f>
        <v/>
      </c>
      <c r="DH92" s="3">
        <f>IFERROR(VLOOKUP(E92,MANT_MARCA_TBL,2,0)+0,NEUTRO)</f>
        <v/>
      </c>
      <c r="DI92" s="3">
        <f>IF(DA92="",NEUTRO,IFERROR(VLOOKUP(DA92,DIST_PTS_TBL,2,0)+0,NEUTRO))</f>
        <v/>
      </c>
      <c r="DJ92" s="4">
        <f>(DH92+DI92)/2</f>
        <v/>
      </c>
      <c r="DK92" s="3">
        <f>W_CONS*DE92+W_SEG*DG92+W_MANT*DJ92</f>
        <v/>
      </c>
      <c r="DL92" s="3">
        <f>IF(N(AB92)&gt;0,AB92,IF(AND(R92="profesional",SG_LEGAL_ON=1),GAR_LEGAL,0))</f>
        <v/>
      </c>
      <c r="DM92" s="3">
        <f>MAX(0,MIN(100,SG_GAR*MIN(1,DL92/SG_GAR_FULL)+SG_AMPL*(AC92="sí")+SG_KMC*(AF92="sí")+SG_REV*(N(AE92)&gt;0)+SG_DEV*MIN(1,N(AG92)/SG_DEV_FULL)+SG_HIST*(W92="sí")-IF(AND(R92="particular",DL92=0),SG_PART_PEN,0)))</f>
        <v/>
      </c>
      <c r="DN92" s="3">
        <f>IF(BK92="",NEUTRO,MAX(0,MIN(100,BK92/5*100)))</f>
        <v/>
      </c>
      <c r="DO92" s="3">
        <f>IF(BL92="sí",100,IF(BL92="no",0,NEUTRO))</f>
        <v/>
      </c>
      <c r="DP92" s="3">
        <f>SV_W_NCAP*DN92+SV_W_ESP*DO92</f>
        <v/>
      </c>
      <c r="DQ92" s="3">
        <f>MAX(0,MIN(100,ATR_BASE+ATR_ACAB*(BD92&lt;&gt;"")+IF(BE92="16+",ATR_LL16,IF(BE92="sí",ATR_LL,0))+ATR_FAROS*(BF92="sí")+ATR_TINT*(BG92="sí")-ATR_CHAPA*(BE92="chapa")))</f>
        <v/>
      </c>
      <c r="DR92" s="3">
        <f>EST_W_MOD*(BB92-1)/4*100+EST_W_ATR*DQ92</f>
        <v/>
      </c>
      <c r="DS92" s="3">
        <f>IF(BA92="",NEUTRO,IFERROR(VLOOKUP(BA92,COLOR_TBL,2,0)+0,NEUTRO))</f>
        <v/>
      </c>
      <c r="DT92" s="3">
        <f>MAX(0,MIN(100,100*N(BM92)/RV_N_FULL))</f>
        <v/>
      </c>
      <c r="DU92" s="3">
        <f>IF(OR(BN92="",N(BO92)&lt;RV_DIAS_MIN),NEUTRO,MAX(0,MIN(100,100*(RV_DIAS_CERO-BN92)/(RV_DIAS_CERO-RV_DIAS_FULL))))</f>
        <v/>
      </c>
      <c r="DV92" s="3">
        <f>RV_W_LIQ*DT92+RV_W_DIAS*DU92+RV_W_ETQ*DC92</f>
        <v/>
      </c>
      <c r="DW92" s="3">
        <f>IFERROR(VLOOKUP(L92,CARR_PEN_TBL,2,0),0)</f>
        <v/>
      </c>
      <c r="DX92" s="3">
        <f>W_FIAB*CS92+W_PRECIO*CU92+W_KMEDAD*CY92+W_ESTADO*DB92+W_USO*DK92+W_SEGURIDAD*DM92+W_SEGVIAL*DP92+W_ESTETICA*DR92+W_COLOR*DS92+W_REVENTA*DV92-DW92-EG92</f>
        <v/>
      </c>
      <c r="DY92" s="4">
        <f>IF(N(I92)&gt;0,I92,IFERROR(ROUND(_xlfn.NUMBERVALUE(LEFT(G92,FIND(" ",G92&amp;" ")-1),".")*1000,0),99999))</f>
        <v/>
      </c>
      <c r="DZ92" s="3">
        <f>IF(R92="profesional",0,IF(O92&lt;CUOTA_VALOR_MAX,IF(BW92&gt;ITP_TRAMO_ALTO,SUMIFS(CF_CUOTA,CF_MAS,ITP_TRAMO_ALTO,CF_CCMIN,"&lt;="&amp;DY92,CF_CCMAX,"&gt;="&amp;DY92),IF(BW92&gt;ITP_TRAMO_BAJO,SUMIFS(CF_CUOTA,CF_MAS,ITP_TRAMO_BAJO,CF_CCMIN,"&lt;="&amp;DY92,CF_CCMAX,"&gt;="&amp;DY92),O92*ITP_TIPO)),O92*ITP_TIPO))</f>
        <v/>
      </c>
      <c r="EA92" s="4">
        <f>IF(R92="profesional",N(AK92),0)</f>
        <v/>
      </c>
      <c r="EB92" s="3">
        <f>IF(AND(R92="profesional",ISNUMBER(AK92),AL92="sí"),0,TASA_DGT)</f>
        <v/>
      </c>
      <c r="EC92" s="3">
        <f>INFORME_DGT</f>
        <v/>
      </c>
      <c r="ED92" s="4">
        <f>O92+EA92+DZ92+EB92+EC92</f>
        <v/>
      </c>
      <c r="EE92" s="4">
        <f>ED92+N(DF92)</f>
        <v/>
      </c>
      <c r="EF92" s="3">
        <f>MAX(0,ED92-TOTAL_MAX)</f>
        <v/>
      </c>
      <c r="EG92" s="3">
        <f>EF92/100*PEN_100</f>
        <v/>
      </c>
      <c r="EH92" s="3">
        <f>IF(R92="particular",ED92+IF(AND(DA92&lt;&gt;"cadena",X92&lt;&gt;"sí"),RES_CORREA,0)+IF(AND(BJ92&lt;&gt;"sí",BW92&gt;=RES_NEUM_EDAD),RES_NEUM,0),"")</f>
        <v/>
      </c>
      <c r="EI92" s="3">
        <f>IF(ED92&lt;=TOTAL_MAX,"sí",IF(ED92&lt;=TECHO,"negociar","no"))</f>
        <v/>
      </c>
      <c r="EJ92" s="4">
        <f>ROUND(DX92,9)</f>
        <v/>
      </c>
      <c r="EK92" s="4">
        <f>IF(EI92&lt;&gt;"no",SUMPRODUCT(($EI$2:$EI$209&lt;&gt;"no")*($EJ$2:$EJ$209&gt;EJ92))+SUMPRODUCT(($EI$2:EI92&lt;&gt;"no")*($EJ$2:EJ92=EJ92)),"")</f>
        <v/>
      </c>
    </row>
    <row r="93">
      <c r="A93" s="2" t="inlineStr">
        <is>
          <t>cochesnet:71841456</t>
        </is>
      </c>
      <c r="B93" s="2" t="inlineStr">
        <is>
          <t>cochesnet</t>
        </is>
      </c>
      <c r="C93" s="2" t="inlineStr">
        <is>
          <t>https://www.coches.net/ford-fiesta-13-newport-5p-gasolina-2006-en-valencia-71841456-covo.aspx</t>
        </is>
      </c>
      <c r="D93" s="2" t="inlineStr">
        <is>
          <t>FORD Fiesta 1.3 Newport</t>
        </is>
      </c>
      <c r="E93" s="2" t="inlineStr">
        <is>
          <t>Ford</t>
        </is>
      </c>
      <c r="F93" s="2" t="inlineStr">
        <is>
          <t>Ford Fiesta</t>
        </is>
      </c>
      <c r="G93" s="2" t="inlineStr">
        <is>
          <t>1.3</t>
        </is>
      </c>
      <c r="H93" s="2" t="inlineStr">
        <is>
          <t>1.3 Newport</t>
        </is>
      </c>
      <c r="I93" s="2" t="n"/>
      <c r="J93" s="2" t="n"/>
      <c r="K93" s="2" t="inlineStr">
        <is>
          <t>gasolina</t>
        </is>
      </c>
      <c r="L93" s="2" t="inlineStr">
        <is>
          <t>utilitario</t>
        </is>
      </c>
      <c r="M93" s="2" t="n">
        <v>2007</v>
      </c>
      <c r="N93" s="2" t="n">
        <v>108000</v>
      </c>
      <c r="O93" s="2" t="n">
        <v>3750</v>
      </c>
      <c r="P93" s="2" t="inlineStr">
        <is>
          <t>manual</t>
        </is>
      </c>
      <c r="Q93" s="2" t="inlineStr">
        <is>
          <t>no</t>
        </is>
      </c>
      <c r="R93" s="2" t="inlineStr">
        <is>
          <t>profesional</t>
        </is>
      </c>
      <c r="S93" s="2" t="inlineStr">
        <is>
          <t>Beniparrell</t>
        </is>
      </c>
      <c r="T93" s="2" t="inlineStr">
        <is>
          <t>2026-10-27T10:35:28Z</t>
        </is>
      </c>
      <c r="U93" s="2" t="n">
        <v>13</v>
      </c>
      <c r="V93" s="2" t="n"/>
      <c r="W93" s="2" t="n"/>
      <c r="X93" s="2" t="n"/>
      <c r="Y93" s="2" t="n"/>
      <c r="Z93" s="2" t="inlineStr">
        <is>
          <t>sí</t>
        </is>
      </c>
      <c r="AA93" s="2" t="n"/>
      <c r="AB93" s="2" t="n">
        <v>12</v>
      </c>
      <c r="AC93" s="2" t="n"/>
      <c r="AD93" s="2" t="n"/>
      <c r="AE93" s="2" t="n"/>
      <c r="AF93" s="2" t="n"/>
      <c r="AG93" s="2" t="n"/>
      <c r="AH93" s="2" t="n">
        <v>3750</v>
      </c>
      <c r="AI93" s="2" t="n"/>
      <c r="AJ93" s="2" t="n"/>
      <c r="AK93" s="2" t="n"/>
      <c r="AL93" s="2" t="n"/>
      <c r="AM93" s="2" t="n">
        <v>10.2</v>
      </c>
      <c r="AN93" s="2" t="n"/>
      <c r="AO93" s="2" t="inlineStr">
        <is>
          <t>2007</t>
        </is>
      </c>
      <c r="AP93" s="2" t="n">
        <v>2007</v>
      </c>
      <c r="AQ93" s="2" t="n"/>
      <c r="AR93" s="2" t="inlineStr">
        <is>
          <t>C</t>
        </is>
      </c>
      <c r="AS93" s="2" t="inlineStr">
        <is>
          <t>anuncio</t>
        </is>
      </c>
      <c r="AT93" s="2" t="n">
        <v>2006</v>
      </c>
      <c r="AU93" s="2" t="inlineStr">
        <is>
          <t>no</t>
        </is>
      </c>
      <c r="AV93" s="2" t="inlineStr">
        <is>
          <t>C</t>
        </is>
      </c>
      <c r="AW93" s="2" t="n"/>
      <c r="AX93" s="2" t="inlineStr">
        <is>
          <t>no</t>
        </is>
      </c>
      <c r="AY93" s="2" t="inlineStr">
        <is>
          <t>no</t>
        </is>
      </c>
      <c r="AZ93" s="2" t="inlineStr">
        <is>
          <t>COMMON.COLOR_RED</t>
        </is>
      </c>
      <c r="BA93" s="2" t="inlineStr">
        <is>
          <t>rojo</t>
        </is>
      </c>
      <c r="BB93" s="3" t="n">
        <v>2</v>
      </c>
      <c r="BC93" s="3" t="inlineStr">
        <is>
          <t>(por segmento)</t>
        </is>
      </c>
      <c r="BD93" s="2" t="n"/>
      <c r="BE93" s="2" t="n"/>
      <c r="BF93" s="2" t="n"/>
      <c r="BG93" s="2" t="inlineStr">
        <is>
          <t>sí</t>
        </is>
      </c>
      <c r="BH93" s="2" t="n"/>
      <c r="BI93" s="2" t="n"/>
      <c r="BJ93" s="2" t="n"/>
      <c r="BK93" s="2" t="n">
        <v>4</v>
      </c>
      <c r="BL93" s="2" t="inlineStr">
        <is>
          <t>no</t>
        </is>
      </c>
      <c r="BM93" s="2" t="n">
        <v>302</v>
      </c>
      <c r="BN93" s="2" t="n">
        <v>0.07434027781710029</v>
      </c>
      <c r="BO93" s="2" t="n">
        <v>3</v>
      </c>
      <c r="BP93" s="2" t="n">
        <v>4990</v>
      </c>
      <c r="BQ93" s="2" t="n">
        <v>9</v>
      </c>
      <c r="BR93" s="2" t="inlineStr">
        <is>
          <t>modelo+año+km</t>
        </is>
      </c>
      <c r="BS93" s="2" t="n"/>
      <c r="BT93" s="2" t="inlineStr">
        <is>
          <t>año a confirmar: la URL/título dice 2006; vendedor profesional: sin ITP (operación con IVA/REBU, confirmar en factura); gastos de gestión del vendedor no indicados: se suma la tasa DGT; preguntar el precio final; revisar: no menciona la ITV</t>
        </is>
      </c>
      <c r="BU93" s="2" t="inlineStr">
        <is>
          <t>Este Fiesta Newport incorpora apertura del maletero a distancia con funcionamiento eléctrico y climatizador automático con controles digitales. Cuenta también con equipo de audio con radio, reproductor de CD y mandos en el volante, cristales tintados en toda la cabina y volante revestido de cuero ajustable en altura. Su etiqueta medioambiental C facilita el acceso a zonas ZBE.GARANTÍA 12 meses (cobertura de 25 componentes del vehículo )cobertura de reparación hasta 2.000e en cualquier taller)</t>
        </is>
      </c>
      <c r="BV93" s="2" t="inlineStr">
        <is>
          <t>https://www.coches.net/ford-fiesta-13-newport-5p-gasolina-2006-en-valencia-71841456-covo.aspx (window.__INITIAL_PROPS__.ad) /home/user/Alopecia/buscador-coches/raw/cochesnet/0f64c41ace196125.json</t>
        </is>
      </c>
      <c r="BW93" s="3">
        <f>MAX(ANIO_ACTUAL-M93,0)</f>
        <v/>
      </c>
      <c r="BX93" s="4">
        <f>N93/MAX(BW93,0.5)</f>
        <v/>
      </c>
      <c r="BY93" s="4">
        <f>F93</f>
        <v/>
      </c>
      <c r="BZ93" s="3">
        <f>BY93&amp;"|"&amp;INT(M93/SEG_ANIO)*SEG_ANIO</f>
        <v/>
      </c>
      <c r="CA93" s="3">
        <f>BZ93&amp;"|"&amp;INT(N93/SEG_KM)*SEG_KM</f>
        <v/>
      </c>
      <c r="CB93" s="4">
        <f>COUNTIF($BY$2:$BY$209,BY93)</f>
        <v/>
      </c>
      <c r="CC93" s="4">
        <f>COUNTIF($BZ$2:$BZ$209,BZ93)</f>
        <v/>
      </c>
      <c r="CD93" s="4">
        <f>COUNTIF($CA$2:$CA$209,CA93)</f>
        <v/>
      </c>
      <c r="CE93" s="3">
        <f t="array" ref="CE93">IF(N(BQ93)&gt;=MIN_N,BP93,IF(CD93&gt;=MIN_N,MEDIAN(IF($CA$2:$CA$209=CA93,$O$2:$O$209)),IF(CC93&gt;=MIN_N,MEDIAN(IF($BZ$2:$BZ$209=BZ93,$O$2:$O$209)),MEDIAN(IF($BY$2:$BY$209=BY93,$O$2:$O$209)))))</f>
        <v/>
      </c>
      <c r="CF93" s="3">
        <f>IF(N(BQ93)&gt;=MIN_N,"mercado "&amp;BR93,IF(CD93&gt;=MIN_N,"modelo+año+km",IF(CC93&gt;=MIN_N,"modelo+año","modelo")))</f>
        <v/>
      </c>
      <c r="CG93" s="4">
        <f>(CE93-O93)/CE93</f>
        <v/>
      </c>
      <c r="CH93" s="3">
        <f>IF(COUNTIFS(FR_FUEL,K93,FR_YEAR,AP93)&gt;0,1,0)</f>
        <v/>
      </c>
      <c r="CI93" s="3">
        <f>IF(COUNTIFS(FR_FUEL,K93,FR_YEAR,AP93-1)&gt;0,1,0)</f>
        <v/>
      </c>
      <c r="CJ93" s="4">
        <f>IF(N(AQ93)&gt;0,AP93*100+AQ93,IF(AND(CH93=1,CI93=1),(AP93-1)*100+1,AP93*100+1))</f>
        <v/>
      </c>
      <c r="CK93" s="3">
        <f>IF(OR(K93="hibrido",K93="glp",K93="gnc",K93="phev"),"ECO",IF(K93="electrico","CERO",IF(K93="gasolina",IF(CJ93&gt;=GAS_C_YM,"C",IF(CJ93&gt;=GAS_B_YM,"B","A")),IF(K93="diesel",IF(CJ93&gt;=DIE_C_YM,"C",IF(CJ93&gt;=DIE_B_YM,"B","A")),""))))</f>
        <v/>
      </c>
      <c r="CL93" s="2" t="inlineStr">
        <is>
          <t>C</t>
        </is>
      </c>
      <c r="CM93" s="4">
        <f>IF(AU93="sí","sí",IF(AS93="regla",IF(AND(N(AQ93)=0,CH93=1),"sí","no"),"no"))</f>
        <v/>
      </c>
      <c r="CN93" s="3">
        <f>IFERROR(VLOOKUP(F93,MOD_TBL,16,0),IFERROR(VLOOKUP(E93,OCU_TBL,2,0),NEUTRO))</f>
        <v/>
      </c>
      <c r="CO93" s="3">
        <f>SUMIFS(MOT_AJUSTE,MOT_MOTOR,G93,MOT_MARCA,E93,MOT_DESDE,"&lt;="&amp;M93,MOT_HASTA,"&gt;="&amp;M93)+SUMIFS(MOT_AJUSTE,MOT_MOTOR,G93,MOT_MARCA,"(todas)",MOT_DESDE,"&lt;="&amp;M93,MOT_HASTA,"&gt;="&amp;M93)+SUMIFS(MOT_AJUSTE,MOT_MOTOR,"(cualquiera)",MOT_MARCA,E93,MOT_DESDE,"&lt;="&amp;M93,MOT_HASTA,"&gt;="&amp;M93)</f>
        <v/>
      </c>
      <c r="CP93" s="3">
        <f>SUMIFS(COMB_AJUSTE,COMB_COMB,K93)</f>
        <v/>
      </c>
      <c r="CQ93" s="3">
        <f>COUNTIFS(MOT_MOTOR,G93,MOT_MARCA,E93,MOT_DESDE,"&lt;="&amp;M93,MOT_HASTA,"&gt;="&amp;M93)+COUNTIFS(MOT_MOTOR,G93,MOT_MARCA,"(todas)",MOT_DESDE,"&lt;="&amp;M93,MOT_HASTA,"&gt;="&amp;M93)+COUNTIFS(MOT_MOTOR,"(cualquiera)",MOT_MARCA,E93,MOT_DESDE,"&lt;="&amp;M93,MOT_HASTA,"&gt;="&amp;M93)</f>
        <v/>
      </c>
      <c r="CR93" s="3">
        <f>IF(AND(K93="diesel",CQ93=0),MIN(CN93,NEUTRO),CN93)</f>
        <v/>
      </c>
      <c r="CS93" s="3">
        <f>MAX(0,MIN(100,CR93+CO93+CP93-IF(AX93="sí",ROB_PEN,0)))</f>
        <v/>
      </c>
      <c r="CT93" s="3">
        <f>100-MAX(0,N93-KM_TOPE_DESDE)/1000*KM_TOPE_PTS</f>
        <v/>
      </c>
      <c r="CU93" s="3">
        <f>MAX(0,MIN(100,50+CG93*PRECIO_PEND,CT93))</f>
        <v/>
      </c>
      <c r="CV93" s="3">
        <f>MAX(0,100*(1-N93/KM_MAX))</f>
        <v/>
      </c>
      <c r="CW93" s="3">
        <f>IF(BX93&lt;KMA_SOSP,IF(AA93="sí",100,KMA_PEN),IF(BX93&lt;=KMA_IDEAL_MAX,100,MAX(0,100*(KMA_CERO-BX93)/(KMA_CERO-KMA_IDEAL_MAX))))</f>
        <v/>
      </c>
      <c r="CX93" s="3">
        <f>MAX(0,MIN(100,100*(M93-ANIO_MIN)/(ANIO_ACTUAL-ANIO_MIN)))</f>
        <v/>
      </c>
      <c r="CY93" s="3">
        <f>W_KMT*CV93+W_KMA*CW93+W_EDAD*CX93</f>
        <v/>
      </c>
      <c r="CZ93" s="4">
        <f>E93&amp;"|"&amp;G93</f>
        <v/>
      </c>
      <c r="DA93" s="3">
        <f>IFERROR(VLOOKUP(CZ93,DIST_TBL,2,0),"")</f>
        <v/>
      </c>
      <c r="DB93" s="3">
        <f>E_ITV*(V93="sí")+E_LIBRO*(W93="sí")+E_PROP*IF(Y93=1,1,IF(Y93=2,0.5,0))+E_CORREA*IF(OR(DA93="cadena",AND(X93="sí",BH93="sí")),1,IF(X93="sí",0.5,0))+E_FACT*(BI93="sí")</f>
        <v/>
      </c>
      <c r="DC93" s="3">
        <f>MAX(0,MIN(100,IFERROR(VLOOKUP(CL93,ETQ_TBL,2,0),0)-IF(CM93="sí",ETQ_PEN_DUD,IF(AS93="regla",ETQ_PEN_REGLA,0))))</f>
        <v/>
      </c>
      <c r="DD93" s="3">
        <f>IF(K93&lt;&gt;"gasolina","",IFERROR(VLOOKUP(F93,CONS_MOD_TBL,2,0),IFERROR(VLOOKUP(L93,CONS_SEG_TBL,2,0),"")))</f>
        <v/>
      </c>
      <c r="DE93" s="3">
        <f>IF(DD93="",NEUTRO,MAX(0,MIN(100,100*(CONS_REF_MAX-DD93)/(CONS_REF_MAX-CONS_REF_MIN))))</f>
        <v/>
      </c>
      <c r="DF93" s="3">
        <f>IFERROR(VLOOKUP(L93,SEGURO_TBL,3,0),"")</f>
        <v/>
      </c>
      <c r="DG93" s="3">
        <f>IF(DF93="",NEUTRO,MAX(0,MIN(100,100*(SEG_REF_MAX-DF93)/(SEG_REF_MAX-SEG_REF_MIN))))</f>
        <v/>
      </c>
      <c r="DH93" s="3">
        <f>IFERROR(VLOOKUP(E93,MANT_MARCA_TBL,2,0)+0,NEUTRO)</f>
        <v/>
      </c>
      <c r="DI93" s="3">
        <f>IF(DA93="",NEUTRO,IFERROR(VLOOKUP(DA93,DIST_PTS_TBL,2,0)+0,NEUTRO))</f>
        <v/>
      </c>
      <c r="DJ93" s="4">
        <f>(DH93+DI93)/2</f>
        <v/>
      </c>
      <c r="DK93" s="3">
        <f>W_CONS*DE93+W_SEG*DG93+W_MANT*DJ93</f>
        <v/>
      </c>
      <c r="DL93" s="3">
        <f>IF(N(AB93)&gt;0,AB93,IF(AND(R93="profesional",SG_LEGAL_ON=1),GAR_LEGAL,0))</f>
        <v/>
      </c>
      <c r="DM93" s="3">
        <f>MAX(0,MIN(100,SG_GAR*MIN(1,DL93/SG_GAR_FULL)+SG_AMPL*(AC93="sí")+SG_KMC*(AF93="sí")+SG_REV*(N(AE93)&gt;0)+SG_DEV*MIN(1,N(AG93)/SG_DEV_FULL)+SG_HIST*(W93="sí")-IF(AND(R93="particular",DL93=0),SG_PART_PEN,0)))</f>
        <v/>
      </c>
      <c r="DN93" s="3">
        <f>IF(BK93="",NEUTRO,MAX(0,MIN(100,BK93/5*100)))</f>
        <v/>
      </c>
      <c r="DO93" s="3">
        <f>IF(BL93="sí",100,IF(BL93="no",0,NEUTRO))</f>
        <v/>
      </c>
      <c r="DP93" s="3">
        <f>SV_W_NCAP*DN93+SV_W_ESP*DO93</f>
        <v/>
      </c>
      <c r="DQ93" s="3">
        <f>MAX(0,MIN(100,ATR_BASE+ATR_ACAB*(BD93&lt;&gt;"")+IF(BE93="16+",ATR_LL16,IF(BE93="sí",ATR_LL,0))+ATR_FAROS*(BF93="sí")+ATR_TINT*(BG93="sí")-ATR_CHAPA*(BE93="chapa")))</f>
        <v/>
      </c>
      <c r="DR93" s="3">
        <f>EST_W_MOD*(BB93-1)/4*100+EST_W_ATR*DQ93</f>
        <v/>
      </c>
      <c r="DS93" s="3">
        <f>IF(BA93="",NEUTRO,IFERROR(VLOOKUP(BA93,COLOR_TBL,2,0)+0,NEUTRO))</f>
        <v/>
      </c>
      <c r="DT93" s="3">
        <f>MAX(0,MIN(100,100*N(BM93)/RV_N_FULL))</f>
        <v/>
      </c>
      <c r="DU93" s="3">
        <f>IF(OR(BN93="",N(BO93)&lt;RV_DIAS_MIN),NEUTRO,MAX(0,MIN(100,100*(RV_DIAS_CERO-BN93)/(RV_DIAS_CERO-RV_DIAS_FULL))))</f>
        <v/>
      </c>
      <c r="DV93" s="3">
        <f>RV_W_LIQ*DT93+RV_W_DIAS*DU93+RV_W_ETQ*DC93</f>
        <v/>
      </c>
      <c r="DW93" s="3">
        <f>IFERROR(VLOOKUP(L93,CARR_PEN_TBL,2,0),0)</f>
        <v/>
      </c>
      <c r="DX93" s="3">
        <f>W_FIAB*CS93+W_PRECIO*CU93+W_KMEDAD*CY93+W_ESTADO*DB93+W_USO*DK93+W_SEGURIDAD*DM93+W_SEGVIAL*DP93+W_ESTETICA*DR93+W_COLOR*DS93+W_REVENTA*DV93-DW93-EG93</f>
        <v/>
      </c>
      <c r="DY93" s="4">
        <f>IF(N(I93)&gt;0,I93,IFERROR(ROUND(_xlfn.NUMBERVALUE(LEFT(G93,FIND(" ",G93&amp;" ")-1),".")*1000,0),99999))</f>
        <v/>
      </c>
      <c r="DZ93" s="3">
        <f>IF(R93="profesional",0,IF(O93&lt;CUOTA_VALOR_MAX,IF(BW93&gt;ITP_TRAMO_ALTO,SUMIFS(CF_CUOTA,CF_MAS,ITP_TRAMO_ALTO,CF_CCMIN,"&lt;="&amp;DY93,CF_CCMAX,"&gt;="&amp;DY93),IF(BW93&gt;ITP_TRAMO_BAJO,SUMIFS(CF_CUOTA,CF_MAS,ITP_TRAMO_BAJO,CF_CCMIN,"&lt;="&amp;DY93,CF_CCMAX,"&gt;="&amp;DY93),O93*ITP_TIPO)),O93*ITP_TIPO))</f>
        <v/>
      </c>
      <c r="EA93" s="4">
        <f>IF(R93="profesional",N(AK93),0)</f>
        <v/>
      </c>
      <c r="EB93" s="3">
        <f>IF(AND(R93="profesional",ISNUMBER(AK93),AL93="sí"),0,TASA_DGT)</f>
        <v/>
      </c>
      <c r="EC93" s="3">
        <f>INFORME_DGT</f>
        <v/>
      </c>
      <c r="ED93" s="4">
        <f>O93+EA93+DZ93+EB93+EC93</f>
        <v/>
      </c>
      <c r="EE93" s="4">
        <f>ED93+N(DF93)</f>
        <v/>
      </c>
      <c r="EF93" s="3">
        <f>MAX(0,ED93-TOTAL_MAX)</f>
        <v/>
      </c>
      <c r="EG93" s="3">
        <f>EF93/100*PEN_100</f>
        <v/>
      </c>
      <c r="EH93" s="3">
        <f>IF(R93="particular",ED93+IF(AND(DA93&lt;&gt;"cadena",X93&lt;&gt;"sí"),RES_CORREA,0)+IF(AND(BJ93&lt;&gt;"sí",BW93&gt;=RES_NEUM_EDAD),RES_NEUM,0),"")</f>
        <v/>
      </c>
      <c r="EI93" s="3">
        <f>IF(ED93&lt;=TOTAL_MAX,"sí",IF(ED93&lt;=TECHO,"negociar","no"))</f>
        <v/>
      </c>
      <c r="EJ93" s="4">
        <f>ROUND(DX93,9)</f>
        <v/>
      </c>
      <c r="EK93" s="4">
        <f>IF(EI93&lt;&gt;"no",SUMPRODUCT(($EI$2:$EI$209&lt;&gt;"no")*($EJ$2:$EJ$209&gt;EJ93))+SUMPRODUCT(($EI$2:EI93&lt;&gt;"no")*($EJ$2:EJ93=EJ93)),"")</f>
        <v/>
      </c>
    </row>
    <row r="94">
      <c r="A94" s="2" t="inlineStr">
        <is>
          <t>cochesnet:71654849</t>
        </is>
      </c>
      <c r="B94" s="2" t="inlineStr">
        <is>
          <t>cochesnet</t>
        </is>
      </c>
      <c r="C94" s="2" t="inlineStr">
        <is>
          <t>https://www.coches.net/ford-fiesta-14-tdci-trend-5p-diesel-2012-en-valencia-71654849-covo.aspx</t>
        </is>
      </c>
      <c r="D94" s="2" t="inlineStr">
        <is>
          <t>FORD Fiesta 1.4 TDCi Trend</t>
        </is>
      </c>
      <c r="E94" s="2" t="inlineStr">
        <is>
          <t>Ford</t>
        </is>
      </c>
      <c r="F94" s="2" t="inlineStr">
        <is>
          <t>Ford Fiesta</t>
        </is>
      </c>
      <c r="G94" s="2" t="inlineStr">
        <is>
          <t>1.4 TDCi</t>
        </is>
      </c>
      <c r="H94" s="2" t="inlineStr">
        <is>
          <t>1.4 TDCi Trend</t>
        </is>
      </c>
      <c r="I94" s="2" t="n"/>
      <c r="J94" s="2" t="n"/>
      <c r="K94" s="2" t="inlineStr">
        <is>
          <t>diesel</t>
        </is>
      </c>
      <c r="L94" s="2" t="inlineStr">
        <is>
          <t>utilitario</t>
        </is>
      </c>
      <c r="M94" s="2" t="n">
        <v>2013</v>
      </c>
      <c r="N94" s="2" t="n">
        <v>205000</v>
      </c>
      <c r="O94" s="2" t="n">
        <v>4790</v>
      </c>
      <c r="P94" s="2" t="inlineStr">
        <is>
          <t>manual</t>
        </is>
      </c>
      <c r="Q94" s="2" t="inlineStr">
        <is>
          <t>no</t>
        </is>
      </c>
      <c r="R94" s="2" t="inlineStr">
        <is>
          <t>profesional</t>
        </is>
      </c>
      <c r="S94" s="2" t="inlineStr">
        <is>
          <t>V.O. Eliana San Antonio de Benagéber</t>
        </is>
      </c>
      <c r="T94" s="2" t="inlineStr">
        <is>
          <t>2026-10-02T11:14:37Z</t>
        </is>
      </c>
      <c r="U94" s="2" t="n">
        <v>17</v>
      </c>
      <c r="V94" s="2" t="n"/>
      <c r="W94" s="2" t="n"/>
      <c r="X94" s="2" t="n"/>
      <c r="Y94" s="2" t="n"/>
      <c r="Z94" s="2" t="inlineStr">
        <is>
          <t>sí</t>
        </is>
      </c>
      <c r="AA94" s="2" t="n"/>
      <c r="AB94" s="2" t="n">
        <v>12</v>
      </c>
      <c r="AC94" s="2" t="n"/>
      <c r="AD94" s="2" t="n"/>
      <c r="AE94" s="2" t="n"/>
      <c r="AF94" s="2" t="n"/>
      <c r="AG94" s="2" t="n"/>
      <c r="AH94" s="2" t="n">
        <v>4790</v>
      </c>
      <c r="AI94" s="2" t="n"/>
      <c r="AJ94" s="2" t="n"/>
      <c r="AK94" s="2" t="n"/>
      <c r="AL94" s="2" t="n"/>
      <c r="AM94" s="2" t="n">
        <v>19.1</v>
      </c>
      <c r="AN94" s="2" t="n"/>
      <c r="AO94" s="2" t="inlineStr">
        <is>
          <t>2013</t>
        </is>
      </c>
      <c r="AP94" s="2" t="n">
        <v>2013</v>
      </c>
      <c r="AQ94" s="2" t="n"/>
      <c r="AR94" s="2" t="inlineStr">
        <is>
          <t>B</t>
        </is>
      </c>
      <c r="AS94" s="2" t="inlineStr">
        <is>
          <t>anuncio</t>
        </is>
      </c>
      <c r="AT94" s="2" t="n">
        <v>2012</v>
      </c>
      <c r="AU94" s="2" t="inlineStr">
        <is>
          <t>no</t>
        </is>
      </c>
      <c r="AV94" s="2" t="inlineStr">
        <is>
          <t>B</t>
        </is>
      </c>
      <c r="AW94" s="2" t="n"/>
      <c r="AX94" s="2" t="inlineStr">
        <is>
          <t>no</t>
        </is>
      </c>
      <c r="AY94" s="2" t="inlineStr">
        <is>
          <t>no</t>
        </is>
      </c>
      <c r="AZ94" s="2" t="inlineStr">
        <is>
          <t>COMMON.COLOR_WHITE</t>
        </is>
      </c>
      <c r="BA94" s="2" t="inlineStr">
        <is>
          <t>blanco</t>
        </is>
      </c>
      <c r="BB94" s="3" t="n">
        <v>2</v>
      </c>
      <c r="BC94" s="3" t="inlineStr">
        <is>
          <t>(por segmento)</t>
        </is>
      </c>
      <c r="BD94" s="2" t="n"/>
      <c r="BE94" s="2" t="n"/>
      <c r="BF94" s="2" t="n"/>
      <c r="BG94" s="2" t="inlineStr">
        <is>
          <t>sí</t>
        </is>
      </c>
      <c r="BH94" s="2" t="n"/>
      <c r="BI94" s="2" t="n"/>
      <c r="BJ94" s="2" t="n"/>
      <c r="BK94" s="2" t="n">
        <v>5</v>
      </c>
      <c r="BL94" s="2" t="n"/>
      <c r="BM94" s="2" t="n">
        <v>302</v>
      </c>
      <c r="BN94" s="2" t="n">
        <v>0.07434027781710029</v>
      </c>
      <c r="BO94" s="2" t="n">
        <v>3</v>
      </c>
      <c r="BP94" s="2" t="n">
        <v>6300</v>
      </c>
      <c r="BQ94" s="2" t="n">
        <v>23</v>
      </c>
      <c r="BR94" s="2" t="inlineStr">
        <is>
          <t>modelo+año</t>
        </is>
      </c>
      <c r="BS94" s="2" t="n"/>
      <c r="BT94" s="2" t="inlineStr">
        <is>
          <t>año a confirmar: la URL/título dice 2012; vendedor profesional: sin ITP (operación con IVA/REBU, confirmar en factura); gastos de gestión del vendedor no indicados: se suma la tasa DGT; preguntar el precio final; diésel: motor sin fuente de fiabilidad (fiabilidad limitada a neutra); revisar: no menciona la ITV</t>
        </is>
      </c>
      <c r="BU94" s="2" t="inlineStr">
        <is>
          <t>Este Ford Fiesta 1.4 TDCi Trend combina eficiencia diésel con equipamiento práctico para el día a día. Destaca por su dirección asistida eléctrica con endurecimiento progresivo, volante ajustable en altura y profundidad, y elevalunas eléctricos delanteros con función de un solo toque. Dispone de cierre centralizado con mando a distancia de doble cierre, apertura remota del maletero, ordenador de viaje con datos de consumo y autonomía, climatización con filtro de pólen, y retrovisores exteriores eléctricos desempañables con intermitente integrado. Los asientos delanteros ofrecen ajuste manual en múltiples direcciones para mayor comodidad, mientras que los traseros cuentan con respaldo abatible asimétrico. Cristales tintados, limpiaparabrisas delantero y pintura sólida completan este vehículo versátil y funcional.</t>
        </is>
      </c>
      <c r="BV94" s="2" t="inlineStr">
        <is>
          <t>https://www.coches.net/ford-fiesta-14-tdci-trend-5p-diesel-2012-en-valencia-71654849-covo.aspx (window.__INITIAL_PROPS__.ad) /home/user/Alopecia/buscador-coches/raw/cochesnet/fa8d9cab8b462a12.json</t>
        </is>
      </c>
      <c r="BW94" s="3">
        <f>MAX(ANIO_ACTUAL-M94,0)</f>
        <v/>
      </c>
      <c r="BX94" s="4">
        <f>N94/MAX(BW94,0.5)</f>
        <v/>
      </c>
      <c r="BY94" s="4">
        <f>F94</f>
        <v/>
      </c>
      <c r="BZ94" s="3">
        <f>BY94&amp;"|"&amp;INT(M94/SEG_ANIO)*SEG_ANIO</f>
        <v/>
      </c>
      <c r="CA94" s="3">
        <f>BZ94&amp;"|"&amp;INT(N94/SEG_KM)*SEG_KM</f>
        <v/>
      </c>
      <c r="CB94" s="4">
        <f>COUNTIF($BY$2:$BY$209,BY94)</f>
        <v/>
      </c>
      <c r="CC94" s="4">
        <f>COUNTIF($BZ$2:$BZ$209,BZ94)</f>
        <v/>
      </c>
      <c r="CD94" s="4">
        <f>COUNTIF($CA$2:$CA$209,CA94)</f>
        <v/>
      </c>
      <c r="CE94" s="3">
        <f t="array" ref="CE94">IF(N(BQ94)&gt;=MIN_N,BP94,IF(CD94&gt;=MIN_N,MEDIAN(IF($CA$2:$CA$209=CA94,$O$2:$O$209)),IF(CC94&gt;=MIN_N,MEDIAN(IF($BZ$2:$BZ$209=BZ94,$O$2:$O$209)),MEDIAN(IF($BY$2:$BY$209=BY94,$O$2:$O$209)))))</f>
        <v/>
      </c>
      <c r="CF94" s="3">
        <f>IF(N(BQ94)&gt;=MIN_N,"mercado "&amp;BR94,IF(CD94&gt;=MIN_N,"modelo+año+km",IF(CC94&gt;=MIN_N,"modelo+año","modelo")))</f>
        <v/>
      </c>
      <c r="CG94" s="4">
        <f>(CE94-O94)/CE94</f>
        <v/>
      </c>
      <c r="CH94" s="3">
        <f>IF(COUNTIFS(FR_FUEL,K94,FR_YEAR,AP94)&gt;0,1,0)</f>
        <v/>
      </c>
      <c r="CI94" s="3">
        <f>IF(COUNTIFS(FR_FUEL,K94,FR_YEAR,AP94-1)&gt;0,1,0)</f>
        <v/>
      </c>
      <c r="CJ94" s="4">
        <f>IF(N(AQ94)&gt;0,AP94*100+AQ94,IF(AND(CH94=1,CI94=1),(AP94-1)*100+1,AP94*100+1))</f>
        <v/>
      </c>
      <c r="CK94" s="3">
        <f>IF(OR(K94="hibrido",K94="glp",K94="gnc",K94="phev"),"ECO",IF(K94="electrico","CERO",IF(K94="gasolina",IF(CJ94&gt;=GAS_C_YM,"C",IF(CJ94&gt;=GAS_B_YM,"B","A")),IF(K94="diesel",IF(CJ94&gt;=DIE_C_YM,"C",IF(CJ94&gt;=DIE_B_YM,"B","A")),""))))</f>
        <v/>
      </c>
      <c r="CL94" s="2" t="inlineStr">
        <is>
          <t>B</t>
        </is>
      </c>
      <c r="CM94" s="4">
        <f>IF(AU94="sí","sí",IF(AS94="regla",IF(AND(N(AQ94)=0,CH94=1),"sí","no"),"no"))</f>
        <v/>
      </c>
      <c r="CN94" s="3">
        <f>IFERROR(VLOOKUP(F94,MOD_TBL,16,0),IFERROR(VLOOKUP(E94,OCU_TBL,2,0),NEUTRO))</f>
        <v/>
      </c>
      <c r="CO94" s="3">
        <f>SUMIFS(MOT_AJUSTE,MOT_MOTOR,G94,MOT_MARCA,E94,MOT_DESDE,"&lt;="&amp;M94,MOT_HASTA,"&gt;="&amp;M94)+SUMIFS(MOT_AJUSTE,MOT_MOTOR,G94,MOT_MARCA,"(todas)",MOT_DESDE,"&lt;="&amp;M94,MOT_HASTA,"&gt;="&amp;M94)+SUMIFS(MOT_AJUSTE,MOT_MOTOR,"(cualquiera)",MOT_MARCA,E94,MOT_DESDE,"&lt;="&amp;M94,MOT_HASTA,"&gt;="&amp;M94)</f>
        <v/>
      </c>
      <c r="CP94" s="3">
        <f>SUMIFS(COMB_AJUSTE,COMB_COMB,K94)</f>
        <v/>
      </c>
      <c r="CQ94" s="3">
        <f>COUNTIFS(MOT_MOTOR,G94,MOT_MARCA,E94,MOT_DESDE,"&lt;="&amp;M94,MOT_HASTA,"&gt;="&amp;M94)+COUNTIFS(MOT_MOTOR,G94,MOT_MARCA,"(todas)",MOT_DESDE,"&lt;="&amp;M94,MOT_HASTA,"&gt;="&amp;M94)+COUNTIFS(MOT_MOTOR,"(cualquiera)",MOT_MARCA,E94,MOT_DESDE,"&lt;="&amp;M94,MOT_HASTA,"&gt;="&amp;M94)</f>
        <v/>
      </c>
      <c r="CR94" s="3">
        <f>IF(AND(K94="diesel",CQ94=0),MIN(CN94,NEUTRO),CN94)</f>
        <v/>
      </c>
      <c r="CS94" s="3">
        <f>MAX(0,MIN(100,CR94+CO94+CP94-IF(AX94="sí",ROB_PEN,0)))</f>
        <v/>
      </c>
      <c r="CT94" s="3">
        <f>100-MAX(0,N94-KM_TOPE_DESDE)/1000*KM_TOPE_PTS</f>
        <v/>
      </c>
      <c r="CU94" s="3">
        <f>MAX(0,MIN(100,50+CG94*PRECIO_PEND,CT94))</f>
        <v/>
      </c>
      <c r="CV94" s="3">
        <f>MAX(0,100*(1-N94/KM_MAX))</f>
        <v/>
      </c>
      <c r="CW94" s="3">
        <f>IF(BX94&lt;KMA_SOSP,IF(AA94="sí",100,KMA_PEN),IF(BX94&lt;=KMA_IDEAL_MAX,100,MAX(0,100*(KMA_CERO-BX94)/(KMA_CERO-KMA_IDEAL_MAX))))</f>
        <v/>
      </c>
      <c r="CX94" s="3">
        <f>MAX(0,MIN(100,100*(M94-ANIO_MIN)/(ANIO_ACTUAL-ANIO_MIN)))</f>
        <v/>
      </c>
      <c r="CY94" s="3">
        <f>W_KMT*CV94+W_KMA*CW94+W_EDAD*CX94</f>
        <v/>
      </c>
      <c r="CZ94" s="4">
        <f>E94&amp;"|"&amp;G94</f>
        <v/>
      </c>
      <c r="DA94" s="3">
        <f>IFERROR(VLOOKUP(CZ94,DIST_TBL,2,0),"")</f>
        <v/>
      </c>
      <c r="DB94" s="3">
        <f>E_ITV*(V94="sí")+E_LIBRO*(W94="sí")+E_PROP*IF(Y94=1,1,IF(Y94=2,0.5,0))+E_CORREA*IF(OR(DA94="cadena",AND(X94="sí",BH94="sí")),1,IF(X94="sí",0.5,0))+E_FACT*(BI94="sí")</f>
        <v/>
      </c>
      <c r="DC94" s="3">
        <f>MAX(0,MIN(100,IFERROR(VLOOKUP(CL94,ETQ_TBL,2,0),0)-IF(CM94="sí",ETQ_PEN_DUD,IF(AS94="regla",ETQ_PEN_REGLA,0))))</f>
        <v/>
      </c>
      <c r="DD94" s="3">
        <f>IF(K94&lt;&gt;"gasolina","",IFERROR(VLOOKUP(F94,CONS_MOD_TBL,2,0),IFERROR(VLOOKUP(L94,CONS_SEG_TBL,2,0),"")))</f>
        <v/>
      </c>
      <c r="DE94" s="3">
        <f>IF(DD94="",NEUTRO,MAX(0,MIN(100,100*(CONS_REF_MAX-DD94)/(CONS_REF_MAX-CONS_REF_MIN))))</f>
        <v/>
      </c>
      <c r="DF94" s="3">
        <f>IFERROR(VLOOKUP(L94,SEGURO_TBL,3,0),"")</f>
        <v/>
      </c>
      <c r="DG94" s="3">
        <f>IF(DF94="",NEUTRO,MAX(0,MIN(100,100*(SEG_REF_MAX-DF94)/(SEG_REF_MAX-SEG_REF_MIN))))</f>
        <v/>
      </c>
      <c r="DH94" s="3">
        <f>IFERROR(VLOOKUP(E94,MANT_MARCA_TBL,2,0)+0,NEUTRO)</f>
        <v/>
      </c>
      <c r="DI94" s="3">
        <f>IF(DA94="",NEUTRO,IFERROR(VLOOKUP(DA94,DIST_PTS_TBL,2,0)+0,NEUTRO))</f>
        <v/>
      </c>
      <c r="DJ94" s="4">
        <f>(DH94+DI94)/2</f>
        <v/>
      </c>
      <c r="DK94" s="3">
        <f>W_CONS*DE94+W_SEG*DG94+W_MANT*DJ94</f>
        <v/>
      </c>
      <c r="DL94" s="3">
        <f>IF(N(AB94)&gt;0,AB94,IF(AND(R94="profesional",SG_LEGAL_ON=1),GAR_LEGAL,0))</f>
        <v/>
      </c>
      <c r="DM94" s="3">
        <f>MAX(0,MIN(100,SG_GAR*MIN(1,DL94/SG_GAR_FULL)+SG_AMPL*(AC94="sí")+SG_KMC*(AF94="sí")+SG_REV*(N(AE94)&gt;0)+SG_DEV*MIN(1,N(AG94)/SG_DEV_FULL)+SG_HIST*(W94="sí")-IF(AND(R94="particular",DL94=0),SG_PART_PEN,0)))</f>
        <v/>
      </c>
      <c r="DN94" s="3">
        <f>IF(BK94="",NEUTRO,MAX(0,MIN(100,BK94/5*100)))</f>
        <v/>
      </c>
      <c r="DO94" s="3">
        <f>IF(BL94="sí",100,IF(BL94="no",0,NEUTRO))</f>
        <v/>
      </c>
      <c r="DP94" s="3">
        <f>SV_W_NCAP*DN94+SV_W_ESP*DO94</f>
        <v/>
      </c>
      <c r="DQ94" s="3">
        <f>MAX(0,MIN(100,ATR_BASE+ATR_ACAB*(BD94&lt;&gt;"")+IF(BE94="16+",ATR_LL16,IF(BE94="sí",ATR_LL,0))+ATR_FAROS*(BF94="sí")+ATR_TINT*(BG94="sí")-ATR_CHAPA*(BE94="chapa")))</f>
        <v/>
      </c>
      <c r="DR94" s="3">
        <f>EST_W_MOD*(BB94-1)/4*100+EST_W_ATR*DQ94</f>
        <v/>
      </c>
      <c r="DS94" s="3">
        <f>IF(BA94="",NEUTRO,IFERROR(VLOOKUP(BA94,COLOR_TBL,2,0)+0,NEUTRO))</f>
        <v/>
      </c>
      <c r="DT94" s="3">
        <f>MAX(0,MIN(100,100*N(BM94)/RV_N_FULL))</f>
        <v/>
      </c>
      <c r="DU94" s="3">
        <f>IF(OR(BN94="",N(BO94)&lt;RV_DIAS_MIN),NEUTRO,MAX(0,MIN(100,100*(RV_DIAS_CERO-BN94)/(RV_DIAS_CERO-RV_DIAS_FULL))))</f>
        <v/>
      </c>
      <c r="DV94" s="3">
        <f>RV_W_LIQ*DT94+RV_W_DIAS*DU94+RV_W_ETQ*DC94</f>
        <v/>
      </c>
      <c r="DW94" s="3">
        <f>IFERROR(VLOOKUP(L94,CARR_PEN_TBL,2,0),0)</f>
        <v/>
      </c>
      <c r="DX94" s="3">
        <f>W_FIAB*CS94+W_PRECIO*CU94+W_KMEDAD*CY94+W_ESTADO*DB94+W_USO*DK94+W_SEGURIDAD*DM94+W_SEGVIAL*DP94+W_ESTETICA*DR94+W_COLOR*DS94+W_REVENTA*DV94-DW94-EG94</f>
        <v/>
      </c>
      <c r="DY94" s="4">
        <f>IF(N(I94)&gt;0,I94,IFERROR(ROUND(_xlfn.NUMBERVALUE(LEFT(G94,FIND(" ",G94&amp;" ")-1),".")*1000,0),99999))</f>
        <v/>
      </c>
      <c r="DZ94" s="3">
        <f>IF(R94="profesional",0,IF(O94&lt;CUOTA_VALOR_MAX,IF(BW94&gt;ITP_TRAMO_ALTO,SUMIFS(CF_CUOTA,CF_MAS,ITP_TRAMO_ALTO,CF_CCMIN,"&lt;="&amp;DY94,CF_CCMAX,"&gt;="&amp;DY94),IF(BW94&gt;ITP_TRAMO_BAJO,SUMIFS(CF_CUOTA,CF_MAS,ITP_TRAMO_BAJO,CF_CCMIN,"&lt;="&amp;DY94,CF_CCMAX,"&gt;="&amp;DY94),O94*ITP_TIPO)),O94*ITP_TIPO))</f>
        <v/>
      </c>
      <c r="EA94" s="4">
        <f>IF(R94="profesional",N(AK94),0)</f>
        <v/>
      </c>
      <c r="EB94" s="3">
        <f>IF(AND(R94="profesional",ISNUMBER(AK94),AL94="sí"),0,TASA_DGT)</f>
        <v/>
      </c>
      <c r="EC94" s="3">
        <f>INFORME_DGT</f>
        <v/>
      </c>
      <c r="ED94" s="4">
        <f>O94+EA94+DZ94+EB94+EC94</f>
        <v/>
      </c>
      <c r="EE94" s="4">
        <f>ED94+N(DF94)</f>
        <v/>
      </c>
      <c r="EF94" s="3">
        <f>MAX(0,ED94-TOTAL_MAX)</f>
        <v/>
      </c>
      <c r="EG94" s="3">
        <f>EF94/100*PEN_100</f>
        <v/>
      </c>
      <c r="EH94" s="3">
        <f>IF(R94="particular",ED94+IF(AND(DA94&lt;&gt;"cadena",X94&lt;&gt;"sí"),RES_CORREA,0)+IF(AND(BJ94&lt;&gt;"sí",BW94&gt;=RES_NEUM_EDAD),RES_NEUM,0),"")</f>
        <v/>
      </c>
      <c r="EI94" s="3">
        <f>IF(ED94&lt;=TOTAL_MAX,"sí",IF(ED94&lt;=TECHO,"negociar","no"))</f>
        <v/>
      </c>
      <c r="EJ94" s="4">
        <f>ROUND(DX94,9)</f>
        <v/>
      </c>
      <c r="EK94" s="4">
        <f>IF(EI94&lt;&gt;"no",SUMPRODUCT(($EI$2:$EI$209&lt;&gt;"no")*($EJ$2:$EJ$209&gt;EJ94))+SUMPRODUCT(($EI$2:EI94&lt;&gt;"no")*($EJ$2:EJ94=EJ94)),"")</f>
        <v/>
      </c>
    </row>
    <row r="95">
      <c r="A95" s="2" t="inlineStr">
        <is>
          <t>cochesnet:71579775</t>
        </is>
      </c>
      <c r="B95" s="2" t="inlineStr">
        <is>
          <t>cochesnet</t>
        </is>
      </c>
      <c r="C95" s="2" t="inlineStr">
        <is>
          <t>https://www.coches.net/ford-fiesta-14-tdci-ghia-5p-diesel-2009-en-valencia-71579775-covo.aspx</t>
        </is>
      </c>
      <c r="D95" s="2" t="inlineStr">
        <is>
          <t>FORD Fiesta 1.4 TDCi Ghia</t>
        </is>
      </c>
      <c r="E95" s="2" t="inlineStr">
        <is>
          <t>Ford</t>
        </is>
      </c>
      <c r="F95" s="2" t="inlineStr">
        <is>
          <t>Ford Fiesta</t>
        </is>
      </c>
      <c r="G95" s="2" t="inlineStr">
        <is>
          <t>1.4 TDCi</t>
        </is>
      </c>
      <c r="H95" s="2" t="inlineStr">
        <is>
          <t>1.4 TDCi Ghia</t>
        </is>
      </c>
      <c r="I95" s="2" t="n"/>
      <c r="J95" s="2" t="n"/>
      <c r="K95" s="2" t="inlineStr">
        <is>
          <t>diesel</t>
        </is>
      </c>
      <c r="L95" s="2" t="inlineStr">
        <is>
          <t>utilitario</t>
        </is>
      </c>
      <c r="M95" s="2" t="n">
        <v>2009</v>
      </c>
      <c r="N95" s="2" t="n">
        <v>149000</v>
      </c>
      <c r="O95" s="2" t="n">
        <v>4990</v>
      </c>
      <c r="P95" s="2" t="inlineStr">
        <is>
          <t>manual</t>
        </is>
      </c>
      <c r="Q95" s="2" t="inlineStr">
        <is>
          <t>no</t>
        </is>
      </c>
      <c r="R95" s="2" t="inlineStr">
        <is>
          <t>profesional</t>
        </is>
      </c>
      <c r="S95" s="2" t="inlineStr">
        <is>
          <t>IMPER BLUE Bonrepòs i Mirambell</t>
        </is>
      </c>
      <c r="T95" s="2" t="inlineStr">
        <is>
          <t>2026-09-23T12:26:07Z</t>
        </is>
      </c>
      <c r="U95" s="2" t="n">
        <v>17</v>
      </c>
      <c r="V95" s="2" t="inlineStr">
        <is>
          <t>sí</t>
        </is>
      </c>
      <c r="W95" s="2" t="n"/>
      <c r="X95" s="2" t="n"/>
      <c r="Y95" s="2" t="n"/>
      <c r="Z95" s="2" t="inlineStr">
        <is>
          <t>sí</t>
        </is>
      </c>
      <c r="AA95" s="2" t="n"/>
      <c r="AB95" s="2" t="n">
        <v>12</v>
      </c>
      <c r="AC95" s="2" t="n"/>
      <c r="AD95" s="2" t="n"/>
      <c r="AE95" s="2" t="n"/>
      <c r="AF95" s="2" t="n"/>
      <c r="AG95" s="2" t="n"/>
      <c r="AH95" s="2" t="n">
        <v>4990</v>
      </c>
      <c r="AI95" s="2" t="n">
        <v>4990</v>
      </c>
      <c r="AJ95" s="2" t="n"/>
      <c r="AK95" s="2" t="n"/>
      <c r="AL95" s="2" t="n"/>
      <c r="AM95" s="2" t="n">
        <v>5.3</v>
      </c>
      <c r="AN95" s="2" t="n"/>
      <c r="AO95" s="2" t="inlineStr">
        <is>
          <t>2009</t>
        </is>
      </c>
      <c r="AP95" s="2" t="n">
        <v>2009</v>
      </c>
      <c r="AQ95" s="2" t="n"/>
      <c r="AR95" s="2" t="inlineStr">
        <is>
          <t>B</t>
        </is>
      </c>
      <c r="AS95" s="2" t="inlineStr">
        <is>
          <t>anuncio</t>
        </is>
      </c>
      <c r="AT95" s="2" t="n"/>
      <c r="AU95" s="2" t="inlineStr">
        <is>
          <t>no</t>
        </is>
      </c>
      <c r="AV95" s="2" t="inlineStr">
        <is>
          <t>B</t>
        </is>
      </c>
      <c r="AW95" s="2" t="n"/>
      <c r="AX95" s="2" t="inlineStr">
        <is>
          <t>no</t>
        </is>
      </c>
      <c r="AY95" s="2" t="inlineStr">
        <is>
          <t>no</t>
        </is>
      </c>
      <c r="AZ95" s="2" t="inlineStr">
        <is>
          <t>COMMON.COLOR_RED</t>
        </is>
      </c>
      <c r="BA95" s="2" t="inlineStr">
        <is>
          <t>rojo</t>
        </is>
      </c>
      <c r="BB95" s="3" t="n">
        <v>2</v>
      </c>
      <c r="BC95" s="3" t="inlineStr">
        <is>
          <t>(por segmento)</t>
        </is>
      </c>
      <c r="BD95" s="2" t="n"/>
      <c r="BE95" s="2" t="inlineStr">
        <is>
          <t>sí</t>
        </is>
      </c>
      <c r="BF95" s="2" t="n"/>
      <c r="BG95" s="2" t="n"/>
      <c r="BH95" s="2" t="n"/>
      <c r="BI95" s="2" t="n"/>
      <c r="BJ95" s="2" t="n"/>
      <c r="BK95" s="2" t="n">
        <v>5</v>
      </c>
      <c r="BL95" s="2" t="n"/>
      <c r="BM95" s="2" t="n">
        <v>302</v>
      </c>
      <c r="BN95" s="2" t="n">
        <v>0.07434027781710029</v>
      </c>
      <c r="BO95" s="2" t="n">
        <v>3</v>
      </c>
      <c r="BP95" s="2" t="n">
        <v>4990</v>
      </c>
      <c r="BQ95" s="2" t="n">
        <v>9</v>
      </c>
      <c r="BR95" s="2" t="inlineStr">
        <is>
          <t>modelo+año+km</t>
        </is>
      </c>
      <c r="BS95" s="2" t="n"/>
      <c r="BT95" s="2" t="inlineStr">
        <is>
          <t>por encima del presupuesto: negociar 54 € (coste 5054 €; -1.1 puntos); vendedor profesional: sin ITP (operación con IVA/REBU, confirmar en factura); gastos de gestión del vendedor no indicados: se suma la tasa DGT; preguntar el precio final; diésel: motor sin fuente de fiabilidad (fiabilidad limitada a neutra)</t>
        </is>
      </c>
      <c r="BU95" s="2" t="inlineStr">
        <is>
          <t>- IMPER BLUE - 
Concesionario multimarca con mas de 300 vehículos en stock.
Vehículo nacional en perfecto estado de funcionamiento general , cuenta con las 2 llaves originales y se entrega con mantenimiento e ITV al día. 
GARANTIA de 12 meses INCLUIDA en el precio.
Ford fiesta 1.4 Diesel tdci motor super fiable con un consumo muy bajo ideal para el día a día, vehículo bien cuidado con un perfecto funcionamiento total. 
Dispone de paquete deportivo con llantas de aluminio 5 radios
Climatizador digital
Eleva lunas eléctricos
Radio con conexión para el móvil
Cierre centralizado 
Para mas información no dude en contactarnos, el anuncio puede contener errores tipográficos.</t>
        </is>
      </c>
      <c r="BV95" s="2" t="inlineStr">
        <is>
          <t>https://www.coches.net/ford-fiesta-14-tdci-ghia-5p-diesel-2009-en-valencia-71579775-covo.aspx (window.__INITIAL_PROPS__.ad) /home/user/Alopecia/buscador-coches/raw/cochesnet/e6fe16c41392a16e.json</t>
        </is>
      </c>
      <c r="BW95" s="3">
        <f>MAX(ANIO_ACTUAL-M95,0)</f>
        <v/>
      </c>
      <c r="BX95" s="4">
        <f>N95/MAX(BW95,0.5)</f>
        <v/>
      </c>
      <c r="BY95" s="4">
        <f>F95</f>
        <v/>
      </c>
      <c r="BZ95" s="3">
        <f>BY95&amp;"|"&amp;INT(M95/SEG_ANIO)*SEG_ANIO</f>
        <v/>
      </c>
      <c r="CA95" s="3">
        <f>BZ95&amp;"|"&amp;INT(N95/SEG_KM)*SEG_KM</f>
        <v/>
      </c>
      <c r="CB95" s="4">
        <f>COUNTIF($BY$2:$BY$209,BY95)</f>
        <v/>
      </c>
      <c r="CC95" s="4">
        <f>COUNTIF($BZ$2:$BZ$209,BZ95)</f>
        <v/>
      </c>
      <c r="CD95" s="4">
        <f>COUNTIF($CA$2:$CA$209,CA95)</f>
        <v/>
      </c>
      <c r="CE95" s="3">
        <f t="array" ref="CE95">IF(N(BQ95)&gt;=MIN_N,BP95,IF(CD95&gt;=MIN_N,MEDIAN(IF($CA$2:$CA$209=CA95,$O$2:$O$209)),IF(CC95&gt;=MIN_N,MEDIAN(IF($BZ$2:$BZ$209=BZ95,$O$2:$O$209)),MEDIAN(IF($BY$2:$BY$209=BY95,$O$2:$O$209)))))</f>
        <v/>
      </c>
      <c r="CF95" s="3">
        <f>IF(N(BQ95)&gt;=MIN_N,"mercado "&amp;BR95,IF(CD95&gt;=MIN_N,"modelo+año+km",IF(CC95&gt;=MIN_N,"modelo+año","modelo")))</f>
        <v/>
      </c>
      <c r="CG95" s="4">
        <f>(CE95-O95)/CE95</f>
        <v/>
      </c>
      <c r="CH95" s="3">
        <f>IF(COUNTIFS(FR_FUEL,K95,FR_YEAR,AP95)&gt;0,1,0)</f>
        <v/>
      </c>
      <c r="CI95" s="3">
        <f>IF(COUNTIFS(FR_FUEL,K95,FR_YEAR,AP95-1)&gt;0,1,0)</f>
        <v/>
      </c>
      <c r="CJ95" s="4">
        <f>IF(N(AQ95)&gt;0,AP95*100+AQ95,IF(AND(CH95=1,CI95=1),(AP95-1)*100+1,AP95*100+1))</f>
        <v/>
      </c>
      <c r="CK95" s="3">
        <f>IF(OR(K95="hibrido",K95="glp",K95="gnc",K95="phev"),"ECO",IF(K95="electrico","CERO",IF(K95="gasolina",IF(CJ95&gt;=GAS_C_YM,"C",IF(CJ95&gt;=GAS_B_YM,"B","A")),IF(K95="diesel",IF(CJ95&gt;=DIE_C_YM,"C",IF(CJ95&gt;=DIE_B_YM,"B","A")),""))))</f>
        <v/>
      </c>
      <c r="CL95" s="2" t="inlineStr">
        <is>
          <t>B</t>
        </is>
      </c>
      <c r="CM95" s="4">
        <f>IF(AU95="sí","sí",IF(AS95="regla",IF(AND(N(AQ95)=0,CH95=1),"sí","no"),"no"))</f>
        <v/>
      </c>
      <c r="CN95" s="3">
        <f>IFERROR(VLOOKUP(F95,MOD_TBL,16,0),IFERROR(VLOOKUP(E95,OCU_TBL,2,0),NEUTRO))</f>
        <v/>
      </c>
      <c r="CO95" s="3">
        <f>SUMIFS(MOT_AJUSTE,MOT_MOTOR,G95,MOT_MARCA,E95,MOT_DESDE,"&lt;="&amp;M95,MOT_HASTA,"&gt;="&amp;M95)+SUMIFS(MOT_AJUSTE,MOT_MOTOR,G95,MOT_MARCA,"(todas)",MOT_DESDE,"&lt;="&amp;M95,MOT_HASTA,"&gt;="&amp;M95)+SUMIFS(MOT_AJUSTE,MOT_MOTOR,"(cualquiera)",MOT_MARCA,E95,MOT_DESDE,"&lt;="&amp;M95,MOT_HASTA,"&gt;="&amp;M95)</f>
        <v/>
      </c>
      <c r="CP95" s="3">
        <f>SUMIFS(COMB_AJUSTE,COMB_COMB,K95)</f>
        <v/>
      </c>
      <c r="CQ95" s="3">
        <f>COUNTIFS(MOT_MOTOR,G95,MOT_MARCA,E95,MOT_DESDE,"&lt;="&amp;M95,MOT_HASTA,"&gt;="&amp;M95)+COUNTIFS(MOT_MOTOR,G95,MOT_MARCA,"(todas)",MOT_DESDE,"&lt;="&amp;M95,MOT_HASTA,"&gt;="&amp;M95)+COUNTIFS(MOT_MOTOR,"(cualquiera)",MOT_MARCA,E95,MOT_DESDE,"&lt;="&amp;M95,MOT_HASTA,"&gt;="&amp;M95)</f>
        <v/>
      </c>
      <c r="CR95" s="3">
        <f>IF(AND(K95="diesel",CQ95=0),MIN(CN95,NEUTRO),CN95)</f>
        <v/>
      </c>
      <c r="CS95" s="3">
        <f>MAX(0,MIN(100,CR95+CO95+CP95-IF(AX95="sí",ROB_PEN,0)))</f>
        <v/>
      </c>
      <c r="CT95" s="3">
        <f>100-MAX(0,N95-KM_TOPE_DESDE)/1000*KM_TOPE_PTS</f>
        <v/>
      </c>
      <c r="CU95" s="3">
        <f>MAX(0,MIN(100,50+CG95*PRECIO_PEND,CT95))</f>
        <v/>
      </c>
      <c r="CV95" s="3">
        <f>MAX(0,100*(1-N95/KM_MAX))</f>
        <v/>
      </c>
      <c r="CW95" s="3">
        <f>IF(BX95&lt;KMA_SOSP,IF(AA95="sí",100,KMA_PEN),IF(BX95&lt;=KMA_IDEAL_MAX,100,MAX(0,100*(KMA_CERO-BX95)/(KMA_CERO-KMA_IDEAL_MAX))))</f>
        <v/>
      </c>
      <c r="CX95" s="3">
        <f>MAX(0,MIN(100,100*(M95-ANIO_MIN)/(ANIO_ACTUAL-ANIO_MIN)))</f>
        <v/>
      </c>
      <c r="CY95" s="3">
        <f>W_KMT*CV95+W_KMA*CW95+W_EDAD*CX95</f>
        <v/>
      </c>
      <c r="CZ95" s="4">
        <f>E95&amp;"|"&amp;G95</f>
        <v/>
      </c>
      <c r="DA95" s="3">
        <f>IFERROR(VLOOKUP(CZ95,DIST_TBL,2,0),"")</f>
        <v/>
      </c>
      <c r="DB95" s="3">
        <f>E_ITV*(V95="sí")+E_LIBRO*(W95="sí")+E_PROP*IF(Y95=1,1,IF(Y95=2,0.5,0))+E_CORREA*IF(OR(DA95="cadena",AND(X95="sí",BH95="sí")),1,IF(X95="sí",0.5,0))+E_FACT*(BI95="sí")</f>
        <v/>
      </c>
      <c r="DC95" s="3">
        <f>MAX(0,MIN(100,IFERROR(VLOOKUP(CL95,ETQ_TBL,2,0),0)-IF(CM95="sí",ETQ_PEN_DUD,IF(AS95="regla",ETQ_PEN_REGLA,0))))</f>
        <v/>
      </c>
      <c r="DD95" s="3">
        <f>IF(K95&lt;&gt;"gasolina","",IFERROR(VLOOKUP(F95,CONS_MOD_TBL,2,0),IFERROR(VLOOKUP(L95,CONS_SEG_TBL,2,0),"")))</f>
        <v/>
      </c>
      <c r="DE95" s="3">
        <f>IF(DD95="",NEUTRO,MAX(0,MIN(100,100*(CONS_REF_MAX-DD95)/(CONS_REF_MAX-CONS_REF_MIN))))</f>
        <v/>
      </c>
      <c r="DF95" s="3">
        <f>IFERROR(VLOOKUP(L95,SEGURO_TBL,3,0),"")</f>
        <v/>
      </c>
      <c r="DG95" s="3">
        <f>IF(DF95="",NEUTRO,MAX(0,MIN(100,100*(SEG_REF_MAX-DF95)/(SEG_REF_MAX-SEG_REF_MIN))))</f>
        <v/>
      </c>
      <c r="DH95" s="3">
        <f>IFERROR(VLOOKUP(E95,MANT_MARCA_TBL,2,0)+0,NEUTRO)</f>
        <v/>
      </c>
      <c r="DI95" s="3">
        <f>IF(DA95="",NEUTRO,IFERROR(VLOOKUP(DA95,DIST_PTS_TBL,2,0)+0,NEUTRO))</f>
        <v/>
      </c>
      <c r="DJ95" s="4">
        <f>(DH95+DI95)/2</f>
        <v/>
      </c>
      <c r="DK95" s="3">
        <f>W_CONS*DE95+W_SEG*DG95+W_MANT*DJ95</f>
        <v/>
      </c>
      <c r="DL95" s="3">
        <f>IF(N(AB95)&gt;0,AB95,IF(AND(R95="profesional",SG_LEGAL_ON=1),GAR_LEGAL,0))</f>
        <v/>
      </c>
      <c r="DM95" s="3">
        <f>MAX(0,MIN(100,SG_GAR*MIN(1,DL95/SG_GAR_FULL)+SG_AMPL*(AC95="sí")+SG_KMC*(AF95="sí")+SG_REV*(N(AE95)&gt;0)+SG_DEV*MIN(1,N(AG95)/SG_DEV_FULL)+SG_HIST*(W95="sí")-IF(AND(R95="particular",DL95=0),SG_PART_PEN,0)))</f>
        <v/>
      </c>
      <c r="DN95" s="3">
        <f>IF(BK95="",NEUTRO,MAX(0,MIN(100,BK95/5*100)))</f>
        <v/>
      </c>
      <c r="DO95" s="3">
        <f>IF(BL95="sí",100,IF(BL95="no",0,NEUTRO))</f>
        <v/>
      </c>
      <c r="DP95" s="3">
        <f>SV_W_NCAP*DN95+SV_W_ESP*DO95</f>
        <v/>
      </c>
      <c r="DQ95" s="3">
        <f>MAX(0,MIN(100,ATR_BASE+ATR_ACAB*(BD95&lt;&gt;"")+IF(BE95="16+",ATR_LL16,IF(BE95="sí",ATR_LL,0))+ATR_FAROS*(BF95="sí")+ATR_TINT*(BG95="sí")-ATR_CHAPA*(BE95="chapa")))</f>
        <v/>
      </c>
      <c r="DR95" s="3">
        <f>EST_W_MOD*(BB95-1)/4*100+EST_W_ATR*DQ95</f>
        <v/>
      </c>
      <c r="DS95" s="3">
        <f>IF(BA95="",NEUTRO,IFERROR(VLOOKUP(BA95,COLOR_TBL,2,0)+0,NEUTRO))</f>
        <v/>
      </c>
      <c r="DT95" s="3">
        <f>MAX(0,MIN(100,100*N(BM95)/RV_N_FULL))</f>
        <v/>
      </c>
      <c r="DU95" s="3">
        <f>IF(OR(BN95="",N(BO95)&lt;RV_DIAS_MIN),NEUTRO,MAX(0,MIN(100,100*(RV_DIAS_CERO-BN95)/(RV_DIAS_CERO-RV_DIAS_FULL))))</f>
        <v/>
      </c>
      <c r="DV95" s="3">
        <f>RV_W_LIQ*DT95+RV_W_DIAS*DU95+RV_W_ETQ*DC95</f>
        <v/>
      </c>
      <c r="DW95" s="3">
        <f>IFERROR(VLOOKUP(L95,CARR_PEN_TBL,2,0),0)</f>
        <v/>
      </c>
      <c r="DX95" s="3">
        <f>W_FIAB*CS95+W_PRECIO*CU95+W_KMEDAD*CY95+W_ESTADO*DB95+W_USO*DK95+W_SEGURIDAD*DM95+W_SEGVIAL*DP95+W_ESTETICA*DR95+W_COLOR*DS95+W_REVENTA*DV95-DW95-EG95</f>
        <v/>
      </c>
      <c r="DY95" s="4">
        <f>IF(N(I95)&gt;0,I95,IFERROR(ROUND(_xlfn.NUMBERVALUE(LEFT(G95,FIND(" ",G95&amp;" ")-1),".")*1000,0),99999))</f>
        <v/>
      </c>
      <c r="DZ95" s="3">
        <f>IF(R95="profesional",0,IF(O95&lt;CUOTA_VALOR_MAX,IF(BW95&gt;ITP_TRAMO_ALTO,SUMIFS(CF_CUOTA,CF_MAS,ITP_TRAMO_ALTO,CF_CCMIN,"&lt;="&amp;DY95,CF_CCMAX,"&gt;="&amp;DY95),IF(BW95&gt;ITP_TRAMO_BAJO,SUMIFS(CF_CUOTA,CF_MAS,ITP_TRAMO_BAJO,CF_CCMIN,"&lt;="&amp;DY95,CF_CCMAX,"&gt;="&amp;DY95),O95*ITP_TIPO)),O95*ITP_TIPO))</f>
        <v/>
      </c>
      <c r="EA95" s="4">
        <f>IF(R95="profesional",N(AK95),0)</f>
        <v/>
      </c>
      <c r="EB95" s="3">
        <f>IF(AND(R95="profesional",ISNUMBER(AK95),AL95="sí"),0,TASA_DGT)</f>
        <v/>
      </c>
      <c r="EC95" s="3">
        <f>INFORME_DGT</f>
        <v/>
      </c>
      <c r="ED95" s="4">
        <f>O95+EA95+DZ95+EB95+EC95</f>
        <v/>
      </c>
      <c r="EE95" s="4">
        <f>ED95+N(DF95)</f>
        <v/>
      </c>
      <c r="EF95" s="3">
        <f>MAX(0,ED95-TOTAL_MAX)</f>
        <v/>
      </c>
      <c r="EG95" s="3">
        <f>EF95/100*PEN_100</f>
        <v/>
      </c>
      <c r="EH95" s="3">
        <f>IF(R95="particular",ED95+IF(AND(DA95&lt;&gt;"cadena",X95&lt;&gt;"sí"),RES_CORREA,0)+IF(AND(BJ95&lt;&gt;"sí",BW95&gt;=RES_NEUM_EDAD),RES_NEUM,0),"")</f>
        <v/>
      </c>
      <c r="EI95" s="3">
        <f>IF(ED95&lt;=TOTAL_MAX,"sí",IF(ED95&lt;=TECHO,"negociar","no"))</f>
        <v/>
      </c>
      <c r="EJ95" s="4">
        <f>ROUND(DX95,9)</f>
        <v/>
      </c>
      <c r="EK95" s="4">
        <f>IF(EI95&lt;&gt;"no",SUMPRODUCT(($EI$2:$EI$209&lt;&gt;"no")*($EJ$2:$EJ$209&gt;EJ95))+SUMPRODUCT(($EI$2:EI95&lt;&gt;"no")*($EJ$2:EJ95=EJ95)),"")</f>
        <v/>
      </c>
    </row>
    <row r="96">
      <c r="A96" s="2" t="inlineStr">
        <is>
          <t>cochesnet:71021526</t>
        </is>
      </c>
      <c r="B96" s="2" t="inlineStr">
        <is>
          <t>cochesnet</t>
        </is>
      </c>
      <c r="C96" s="2" t="inlineStr">
        <is>
          <t>https://www.coches.net/ford-focus-18-tdci-ghia-5p-diesel-2007-en-valencia-71021526-covo.aspx</t>
        </is>
      </c>
      <c r="D96" s="2" t="inlineStr">
        <is>
          <t>FORD Focus 1.8 TDCi Ghia</t>
        </is>
      </c>
      <c r="E96" s="2" t="inlineStr">
        <is>
          <t>Ford</t>
        </is>
      </c>
      <c r="F96" s="2" t="inlineStr">
        <is>
          <t>Ford Focus</t>
        </is>
      </c>
      <c r="G96" s="2" t="inlineStr">
        <is>
          <t>1.8 TDCi</t>
        </is>
      </c>
      <c r="H96" s="2" t="inlineStr">
        <is>
          <t>1.8 TDCi Ghia</t>
        </is>
      </c>
      <c r="I96" s="2" t="n"/>
      <c r="J96" s="2" t="n"/>
      <c r="K96" s="2" t="inlineStr">
        <is>
          <t>diesel</t>
        </is>
      </c>
      <c r="L96" s="2" t="inlineStr">
        <is>
          <t>compacto</t>
        </is>
      </c>
      <c r="M96" s="2" t="n">
        <v>2006</v>
      </c>
      <c r="N96" s="2" t="n">
        <v>202000</v>
      </c>
      <c r="O96" s="2" t="n">
        <v>3500</v>
      </c>
      <c r="P96" s="2" t="inlineStr">
        <is>
          <t>manual</t>
        </is>
      </c>
      <c r="Q96" s="2" t="inlineStr">
        <is>
          <t>no</t>
        </is>
      </c>
      <c r="R96" s="2" t="inlineStr">
        <is>
          <t>profesional</t>
        </is>
      </c>
      <c r="S96" s="2" t="inlineStr">
        <is>
          <t>Beniparrell</t>
        </is>
      </c>
      <c r="T96" s="2" t="inlineStr">
        <is>
          <t>2026-10-05T12:25:03Z</t>
        </is>
      </c>
      <c r="U96" s="2" t="n">
        <v>13</v>
      </c>
      <c r="V96" s="2" t="n"/>
      <c r="W96" s="2" t="n"/>
      <c r="X96" s="2" t="n"/>
      <c r="Y96" s="2" t="n"/>
      <c r="Z96" s="2" t="inlineStr">
        <is>
          <t>sí</t>
        </is>
      </c>
      <c r="AA96" s="2" t="n"/>
      <c r="AB96" s="2" t="n">
        <v>12</v>
      </c>
      <c r="AC96" s="2" t="n"/>
      <c r="AD96" s="2" t="n"/>
      <c r="AE96" s="2" t="n"/>
      <c r="AF96" s="2" t="n"/>
      <c r="AG96" s="2" t="n"/>
      <c r="AH96" s="2" t="n">
        <v>3500</v>
      </c>
      <c r="AI96" s="2" t="n"/>
      <c r="AJ96" s="2" t="n"/>
      <c r="AK96" s="2" t="n"/>
      <c r="AL96" s="2" t="n"/>
      <c r="AM96" s="2" t="n">
        <v>10.2</v>
      </c>
      <c r="AN96" s="2" t="n"/>
      <c r="AO96" s="2" t="inlineStr">
        <is>
          <t>2006</t>
        </is>
      </c>
      <c r="AP96" s="2" t="n">
        <v>2006</v>
      </c>
      <c r="AQ96" s="2" t="n"/>
      <c r="AR96" s="2" t="inlineStr">
        <is>
          <t>B</t>
        </is>
      </c>
      <c r="AS96" s="2" t="inlineStr">
        <is>
          <t>anuncio</t>
        </is>
      </c>
      <c r="AT96" s="2" t="n">
        <v>2007</v>
      </c>
      <c r="AU96" s="2" t="inlineStr">
        <is>
          <t>no</t>
        </is>
      </c>
      <c r="AV96" s="2" t="inlineStr">
        <is>
          <t>B</t>
        </is>
      </c>
      <c r="AW96" s="2" t="n"/>
      <c r="AX96" s="2" t="inlineStr">
        <is>
          <t>no</t>
        </is>
      </c>
      <c r="AY96" s="2" t="inlineStr">
        <is>
          <t>no</t>
        </is>
      </c>
      <c r="AZ96" s="2" t="inlineStr">
        <is>
          <t>COMMON.COLOR_GRAY</t>
        </is>
      </c>
      <c r="BA96" s="2" t="inlineStr">
        <is>
          <t>gris_medio</t>
        </is>
      </c>
      <c r="BB96" s="3" t="n">
        <v>3</v>
      </c>
      <c r="BC96" s="3" t="inlineStr">
        <is>
          <t>(por segmento)</t>
        </is>
      </c>
      <c r="BD96" s="2" t="n"/>
      <c r="BE96" s="2" t="inlineStr">
        <is>
          <t>16+</t>
        </is>
      </c>
      <c r="BF96" s="2" t="n"/>
      <c r="BG96" s="2" t="inlineStr">
        <is>
          <t>sí</t>
        </is>
      </c>
      <c r="BH96" s="2" t="n"/>
      <c r="BI96" s="2" t="n"/>
      <c r="BJ96" s="2" t="n"/>
      <c r="BK96" s="2" t="n">
        <v>5</v>
      </c>
      <c r="BL96" s="2" t="n"/>
      <c r="BM96" s="2" t="n">
        <v>421</v>
      </c>
      <c r="BN96" s="2" t="n">
        <v>0.05126157402992249</v>
      </c>
      <c r="BO96" s="2" t="n">
        <v>7</v>
      </c>
      <c r="BP96" s="2" t="n">
        <v>2990</v>
      </c>
      <c r="BQ96" s="2" t="n">
        <v>17</v>
      </c>
      <c r="BR96" s="2" t="inlineStr">
        <is>
          <t>modelo+año+km</t>
        </is>
      </c>
      <c r="BS96" s="2" t="n"/>
      <c r="BT96" s="2" t="inlineStr">
        <is>
          <t>año a confirmar: la URL/título dice 2007; vendedor profesional: sin ITP (operación con IVA/REBU, confirmar en factura); gastos de gestión del vendedor no indicados: se suma la tasa DGT; preguntar el precio final; diésel: motor sin fuente de fiabilidad (fiabilidad limitada a neutra); revisar: detalles «detalles», no menciona la ITV</t>
        </is>
      </c>
      <c r="BU96" s="2" t="inlineStr">
        <is>
          <t>Este Ford Focus 1.8 TDCi Ghia representa una berlina compacta versátil, con acabado de lujo que combina practicidad y equipamiento completo para el uso diario. El motor diésel de 1.753 cc proporciona una entrega de potencia eficiente, especialmente en recorridos mixtos y a velocidad de crucero, donde demuestra su fortaleza en par motor.
El espacio interior está bien aprovechado: 385 litros de maletero ampliables a 1.247 con los asientos traseros abatidos, lo que facilita tanto viajes ocasionales como transportes puntuales. Los asientos delanteros cuentan con ajuste lumbar y altura, mientras que la banqueta trasera partida y abatible asimétrica permite flexibilidad en la configuración del habitáculo.
En cuanto a confort, este vehículo integra climatización bizona automática, control de crucero, dirección asistida y volante multifuncional revestido en cuero ajustable. Los elevalunas eléctricos delanteros con un solo toque, cierre centralizado con mando a distancia y apertura eléctrica del maletero son detalles que facilitan el uso cotidiano.
La seguridad está cubierta con airbags frontales inteligentes, laterales delanteros y de cortina, cinturones de tres puntos con pretensores en los asientos delanteros, ABS en las cuatro ruedas y sensores de distancia traseros. El sistema de frenado combina discos ventilados delanteros con ABS.
Equipado con sistema de audio de seis altavoces, radio AM/FM con reproductor de CD, RDS y control remoto en volante, además de ordenador de viaje</t>
        </is>
      </c>
      <c r="BV96" s="2" t="inlineStr">
        <is>
          <t>https://www.coches.net/ford-focus-18-tdci-ghia-5p-diesel-2007-en-valencia-71021526-covo.aspx (window.__INITIAL_PROPS__.ad) /home/user/Alopecia/buscador-coches/raw/cochesnet/be51951326ffd2d8.json</t>
        </is>
      </c>
      <c r="BW96" s="3">
        <f>MAX(ANIO_ACTUAL-M96,0)</f>
        <v/>
      </c>
      <c r="BX96" s="4">
        <f>N96/MAX(BW96,0.5)</f>
        <v/>
      </c>
      <c r="BY96" s="4">
        <f>F96</f>
        <v/>
      </c>
      <c r="BZ96" s="3">
        <f>BY96&amp;"|"&amp;INT(M96/SEG_ANIO)*SEG_ANIO</f>
        <v/>
      </c>
      <c r="CA96" s="3">
        <f>BZ96&amp;"|"&amp;INT(N96/SEG_KM)*SEG_KM</f>
        <v/>
      </c>
      <c r="CB96" s="4">
        <f>COUNTIF($BY$2:$BY$209,BY96)</f>
        <v/>
      </c>
      <c r="CC96" s="4">
        <f>COUNTIF($BZ$2:$BZ$209,BZ96)</f>
        <v/>
      </c>
      <c r="CD96" s="4">
        <f>COUNTIF($CA$2:$CA$209,CA96)</f>
        <v/>
      </c>
      <c r="CE96" s="3">
        <f t="array" ref="CE96">IF(N(BQ96)&gt;=MIN_N,BP96,IF(CD96&gt;=MIN_N,MEDIAN(IF($CA$2:$CA$209=CA96,$O$2:$O$209)),IF(CC96&gt;=MIN_N,MEDIAN(IF($BZ$2:$BZ$209=BZ96,$O$2:$O$209)),MEDIAN(IF($BY$2:$BY$209=BY96,$O$2:$O$209)))))</f>
        <v/>
      </c>
      <c r="CF96" s="3">
        <f>IF(N(BQ96)&gt;=MIN_N,"mercado "&amp;BR96,IF(CD96&gt;=MIN_N,"modelo+año+km",IF(CC96&gt;=MIN_N,"modelo+año","modelo")))</f>
        <v/>
      </c>
      <c r="CG96" s="4">
        <f>(CE96-O96)/CE96</f>
        <v/>
      </c>
      <c r="CH96" s="3">
        <f>IF(COUNTIFS(FR_FUEL,K96,FR_YEAR,AP96)&gt;0,1,0)</f>
        <v/>
      </c>
      <c r="CI96" s="3">
        <f>IF(COUNTIFS(FR_FUEL,K96,FR_YEAR,AP96-1)&gt;0,1,0)</f>
        <v/>
      </c>
      <c r="CJ96" s="4">
        <f>IF(N(AQ96)&gt;0,AP96*100+AQ96,IF(AND(CH96=1,CI96=1),(AP96-1)*100+1,AP96*100+1))</f>
        <v/>
      </c>
      <c r="CK96" s="3">
        <f>IF(OR(K96="hibrido",K96="glp",K96="gnc",K96="phev"),"ECO",IF(K96="electrico","CERO",IF(K96="gasolina",IF(CJ96&gt;=GAS_C_YM,"C",IF(CJ96&gt;=GAS_B_YM,"B","A")),IF(K96="diesel",IF(CJ96&gt;=DIE_C_YM,"C",IF(CJ96&gt;=DIE_B_YM,"B","A")),""))))</f>
        <v/>
      </c>
      <c r="CL96" s="2" t="inlineStr">
        <is>
          <t>B</t>
        </is>
      </c>
      <c r="CM96" s="4">
        <f>IF(AU96="sí","sí",IF(AS96="regla",IF(AND(N(AQ96)=0,CH96=1),"sí","no"),"no"))</f>
        <v/>
      </c>
      <c r="CN96" s="3">
        <f>IFERROR(VLOOKUP(F96,MOD_TBL,16,0),IFERROR(VLOOKUP(E96,OCU_TBL,2,0),NEUTRO))</f>
        <v/>
      </c>
      <c r="CO96" s="3">
        <f>SUMIFS(MOT_AJUSTE,MOT_MOTOR,G96,MOT_MARCA,E96,MOT_DESDE,"&lt;="&amp;M96,MOT_HASTA,"&gt;="&amp;M96)+SUMIFS(MOT_AJUSTE,MOT_MOTOR,G96,MOT_MARCA,"(todas)",MOT_DESDE,"&lt;="&amp;M96,MOT_HASTA,"&gt;="&amp;M96)+SUMIFS(MOT_AJUSTE,MOT_MOTOR,"(cualquiera)",MOT_MARCA,E96,MOT_DESDE,"&lt;="&amp;M96,MOT_HASTA,"&gt;="&amp;M96)</f>
        <v/>
      </c>
      <c r="CP96" s="3">
        <f>SUMIFS(COMB_AJUSTE,COMB_COMB,K96)</f>
        <v/>
      </c>
      <c r="CQ96" s="3">
        <f>COUNTIFS(MOT_MOTOR,G96,MOT_MARCA,E96,MOT_DESDE,"&lt;="&amp;M96,MOT_HASTA,"&gt;="&amp;M96)+COUNTIFS(MOT_MOTOR,G96,MOT_MARCA,"(todas)",MOT_DESDE,"&lt;="&amp;M96,MOT_HASTA,"&gt;="&amp;M96)+COUNTIFS(MOT_MOTOR,"(cualquiera)",MOT_MARCA,E96,MOT_DESDE,"&lt;="&amp;M96,MOT_HASTA,"&gt;="&amp;M96)</f>
        <v/>
      </c>
      <c r="CR96" s="3">
        <f>IF(AND(K96="diesel",CQ96=0),MIN(CN96,NEUTRO),CN96)</f>
        <v/>
      </c>
      <c r="CS96" s="3">
        <f>MAX(0,MIN(100,CR96+CO96+CP96-IF(AX96="sí",ROB_PEN,0)))</f>
        <v/>
      </c>
      <c r="CT96" s="3">
        <f>100-MAX(0,N96-KM_TOPE_DESDE)/1000*KM_TOPE_PTS</f>
        <v/>
      </c>
      <c r="CU96" s="3">
        <f>MAX(0,MIN(100,50+CG96*PRECIO_PEND,CT96))</f>
        <v/>
      </c>
      <c r="CV96" s="3">
        <f>MAX(0,100*(1-N96/KM_MAX))</f>
        <v/>
      </c>
      <c r="CW96" s="3">
        <f>IF(BX96&lt;KMA_SOSP,IF(AA96="sí",100,KMA_PEN),IF(BX96&lt;=KMA_IDEAL_MAX,100,MAX(0,100*(KMA_CERO-BX96)/(KMA_CERO-KMA_IDEAL_MAX))))</f>
        <v/>
      </c>
      <c r="CX96" s="3">
        <f>MAX(0,MIN(100,100*(M96-ANIO_MIN)/(ANIO_ACTUAL-ANIO_MIN)))</f>
        <v/>
      </c>
      <c r="CY96" s="3">
        <f>W_KMT*CV96+W_KMA*CW96+W_EDAD*CX96</f>
        <v/>
      </c>
      <c r="CZ96" s="4">
        <f>E96&amp;"|"&amp;G96</f>
        <v/>
      </c>
      <c r="DA96" s="3">
        <f>IFERROR(VLOOKUP(CZ96,DIST_TBL,2,0),"")</f>
        <v/>
      </c>
      <c r="DB96" s="3">
        <f>E_ITV*(V96="sí")+E_LIBRO*(W96="sí")+E_PROP*IF(Y96=1,1,IF(Y96=2,0.5,0))+E_CORREA*IF(OR(DA96="cadena",AND(X96="sí",BH96="sí")),1,IF(X96="sí",0.5,0))+E_FACT*(BI96="sí")</f>
        <v/>
      </c>
      <c r="DC96" s="3">
        <f>MAX(0,MIN(100,IFERROR(VLOOKUP(CL96,ETQ_TBL,2,0),0)-IF(CM96="sí",ETQ_PEN_DUD,IF(AS96="regla",ETQ_PEN_REGLA,0))))</f>
        <v/>
      </c>
      <c r="DD96" s="3">
        <f>IF(K96&lt;&gt;"gasolina","",IFERROR(VLOOKUP(F96,CONS_MOD_TBL,2,0),IFERROR(VLOOKUP(L96,CONS_SEG_TBL,2,0),"")))</f>
        <v/>
      </c>
      <c r="DE96" s="3">
        <f>IF(DD96="",NEUTRO,MAX(0,MIN(100,100*(CONS_REF_MAX-DD96)/(CONS_REF_MAX-CONS_REF_MIN))))</f>
        <v/>
      </c>
      <c r="DF96" s="3">
        <f>IFERROR(VLOOKUP(L96,SEGURO_TBL,3,0),"")</f>
        <v/>
      </c>
      <c r="DG96" s="3">
        <f>IF(DF96="",NEUTRO,MAX(0,MIN(100,100*(SEG_REF_MAX-DF96)/(SEG_REF_MAX-SEG_REF_MIN))))</f>
        <v/>
      </c>
      <c r="DH96" s="3">
        <f>IFERROR(VLOOKUP(E96,MANT_MARCA_TBL,2,0)+0,NEUTRO)</f>
        <v/>
      </c>
      <c r="DI96" s="3">
        <f>IF(DA96="",NEUTRO,IFERROR(VLOOKUP(DA96,DIST_PTS_TBL,2,0)+0,NEUTRO))</f>
        <v/>
      </c>
      <c r="DJ96" s="4">
        <f>(DH96+DI96)/2</f>
        <v/>
      </c>
      <c r="DK96" s="3">
        <f>W_CONS*DE96+W_SEG*DG96+W_MANT*DJ96</f>
        <v/>
      </c>
      <c r="DL96" s="3">
        <f>IF(N(AB96)&gt;0,AB96,IF(AND(R96="profesional",SG_LEGAL_ON=1),GAR_LEGAL,0))</f>
        <v/>
      </c>
      <c r="DM96" s="3">
        <f>MAX(0,MIN(100,SG_GAR*MIN(1,DL96/SG_GAR_FULL)+SG_AMPL*(AC96="sí")+SG_KMC*(AF96="sí")+SG_REV*(N(AE96)&gt;0)+SG_DEV*MIN(1,N(AG96)/SG_DEV_FULL)+SG_HIST*(W96="sí")-IF(AND(R96="particular",DL96=0),SG_PART_PEN,0)))</f>
        <v/>
      </c>
      <c r="DN96" s="3">
        <f>IF(BK96="",NEUTRO,MAX(0,MIN(100,BK96/5*100)))</f>
        <v/>
      </c>
      <c r="DO96" s="3">
        <f>IF(BL96="sí",100,IF(BL96="no",0,NEUTRO))</f>
        <v/>
      </c>
      <c r="DP96" s="3">
        <f>SV_W_NCAP*DN96+SV_W_ESP*DO96</f>
        <v/>
      </c>
      <c r="DQ96" s="3">
        <f>MAX(0,MIN(100,ATR_BASE+ATR_ACAB*(BD96&lt;&gt;"")+IF(BE96="16+",ATR_LL16,IF(BE96="sí",ATR_LL,0))+ATR_FAROS*(BF96="sí")+ATR_TINT*(BG96="sí")-ATR_CHAPA*(BE96="chapa")))</f>
        <v/>
      </c>
      <c r="DR96" s="3">
        <f>EST_W_MOD*(BB96-1)/4*100+EST_W_ATR*DQ96</f>
        <v/>
      </c>
      <c r="DS96" s="3">
        <f>IF(BA96="",NEUTRO,IFERROR(VLOOKUP(BA96,COLOR_TBL,2,0)+0,NEUTRO))</f>
        <v/>
      </c>
      <c r="DT96" s="3">
        <f>MAX(0,MIN(100,100*N(BM96)/RV_N_FULL))</f>
        <v/>
      </c>
      <c r="DU96" s="3">
        <f>IF(OR(BN96="",N(BO96)&lt;RV_DIAS_MIN),NEUTRO,MAX(0,MIN(100,100*(RV_DIAS_CERO-BN96)/(RV_DIAS_CERO-RV_DIAS_FULL))))</f>
        <v/>
      </c>
      <c r="DV96" s="3">
        <f>RV_W_LIQ*DT96+RV_W_DIAS*DU96+RV_W_ETQ*DC96</f>
        <v/>
      </c>
      <c r="DW96" s="3">
        <f>IFERROR(VLOOKUP(L96,CARR_PEN_TBL,2,0),0)</f>
        <v/>
      </c>
      <c r="DX96" s="3">
        <f>W_FIAB*CS96+W_PRECIO*CU96+W_KMEDAD*CY96+W_ESTADO*DB96+W_USO*DK96+W_SEGURIDAD*DM96+W_SEGVIAL*DP96+W_ESTETICA*DR96+W_COLOR*DS96+W_REVENTA*DV96-DW96-EG96</f>
        <v/>
      </c>
      <c r="DY96" s="4">
        <f>IF(N(I96)&gt;0,I96,IFERROR(ROUND(_xlfn.NUMBERVALUE(LEFT(G96,FIND(" ",G96&amp;" ")-1),".")*1000,0),99999))</f>
        <v/>
      </c>
      <c r="DZ96" s="3">
        <f>IF(R96="profesional",0,IF(O96&lt;CUOTA_VALOR_MAX,IF(BW96&gt;ITP_TRAMO_ALTO,SUMIFS(CF_CUOTA,CF_MAS,ITP_TRAMO_ALTO,CF_CCMIN,"&lt;="&amp;DY96,CF_CCMAX,"&gt;="&amp;DY96),IF(BW96&gt;ITP_TRAMO_BAJO,SUMIFS(CF_CUOTA,CF_MAS,ITP_TRAMO_BAJO,CF_CCMIN,"&lt;="&amp;DY96,CF_CCMAX,"&gt;="&amp;DY96),O96*ITP_TIPO)),O96*ITP_TIPO))</f>
        <v/>
      </c>
      <c r="EA96" s="4">
        <f>IF(R96="profesional",N(AK96),0)</f>
        <v/>
      </c>
      <c r="EB96" s="3">
        <f>IF(AND(R96="profesional",ISNUMBER(AK96),AL96="sí"),0,TASA_DGT)</f>
        <v/>
      </c>
      <c r="EC96" s="3">
        <f>INFORME_DGT</f>
        <v/>
      </c>
      <c r="ED96" s="4">
        <f>O96+EA96+DZ96+EB96+EC96</f>
        <v/>
      </c>
      <c r="EE96" s="4">
        <f>ED96+N(DF96)</f>
        <v/>
      </c>
      <c r="EF96" s="3">
        <f>MAX(0,ED96-TOTAL_MAX)</f>
        <v/>
      </c>
      <c r="EG96" s="3">
        <f>EF96/100*PEN_100</f>
        <v/>
      </c>
      <c r="EH96" s="3">
        <f>IF(R96="particular",ED96+IF(AND(DA96&lt;&gt;"cadena",X96&lt;&gt;"sí"),RES_CORREA,0)+IF(AND(BJ96&lt;&gt;"sí",BW96&gt;=RES_NEUM_EDAD),RES_NEUM,0),"")</f>
        <v/>
      </c>
      <c r="EI96" s="3">
        <f>IF(ED96&lt;=TOTAL_MAX,"sí",IF(ED96&lt;=TECHO,"negociar","no"))</f>
        <v/>
      </c>
      <c r="EJ96" s="4">
        <f>ROUND(DX96,9)</f>
        <v/>
      </c>
      <c r="EK96" s="4">
        <f>IF(EI96&lt;&gt;"no",SUMPRODUCT(($EI$2:$EI$209&lt;&gt;"no")*($EJ$2:$EJ$209&gt;EJ96))+SUMPRODUCT(($EI$2:EI96&lt;&gt;"no")*($EJ$2:EJ96=EJ96)),"")</f>
        <v/>
      </c>
    </row>
    <row r="97">
      <c r="A97" s="2" t="inlineStr">
        <is>
          <t>cochesnet:71793171</t>
        </is>
      </c>
      <c r="B97" s="2" t="inlineStr">
        <is>
          <t>cochesnet</t>
        </is>
      </c>
      <c r="C97" s="2" t="inlineStr">
        <is>
          <t>https://www.coches.net/ford-fusion-14-tdci-ambiente-5p-diesel-2009-en-valencia-71793171-covo.aspx</t>
        </is>
      </c>
      <c r="D97" s="2" t="inlineStr">
        <is>
          <t>FORD Fusion 1.4 TDCI Ambiente</t>
        </is>
      </c>
      <c r="E97" s="2" t="inlineStr">
        <is>
          <t>Ford</t>
        </is>
      </c>
      <c r="F97" s="2" t="inlineStr">
        <is>
          <t>Ford Fusion</t>
        </is>
      </c>
      <c r="G97" s="2" t="inlineStr">
        <is>
          <t>1.4 TDCi</t>
        </is>
      </c>
      <c r="H97" s="2" t="inlineStr">
        <is>
          <t>1.4 TDCI Ambiente</t>
        </is>
      </c>
      <c r="I97" s="2" t="n"/>
      <c r="J97" s="2" t="n"/>
      <c r="K97" s="2" t="inlineStr">
        <is>
          <t>diesel</t>
        </is>
      </c>
      <c r="L97" s="2" t="inlineStr">
        <is>
          <t>monovolumen_pequeno</t>
        </is>
      </c>
      <c r="M97" s="2" t="n">
        <v>2009</v>
      </c>
      <c r="N97" s="2" t="n">
        <v>180000</v>
      </c>
      <c r="O97" s="2" t="n">
        <v>3490</v>
      </c>
      <c r="P97" s="2" t="inlineStr">
        <is>
          <t>manual</t>
        </is>
      </c>
      <c r="Q97" s="2" t="inlineStr">
        <is>
          <t>no</t>
        </is>
      </c>
      <c r="R97" s="2" t="inlineStr">
        <is>
          <t>profesional</t>
        </is>
      </c>
      <c r="S97" s="2" t="inlineStr">
        <is>
          <t>Foios</t>
        </is>
      </c>
      <c r="T97" s="2" t="inlineStr">
        <is>
          <t>2026-10-20T18:21:58Z</t>
        </is>
      </c>
      <c r="U97" s="2" t="n">
        <v>15</v>
      </c>
      <c r="V97" s="2" t="n"/>
      <c r="W97" s="2" t="n"/>
      <c r="X97" s="2" t="n"/>
      <c r="Y97" s="2" t="n"/>
      <c r="Z97" s="2" t="inlineStr">
        <is>
          <t>sí</t>
        </is>
      </c>
      <c r="AA97" s="2" t="n"/>
      <c r="AB97" s="2" t="n">
        <v>12</v>
      </c>
      <c r="AC97" s="2" t="n"/>
      <c r="AD97" s="2" t="n"/>
      <c r="AE97" s="2" t="n"/>
      <c r="AF97" s="2" t="n"/>
      <c r="AG97" s="2" t="n"/>
      <c r="AH97" s="2" t="n">
        <v>3490</v>
      </c>
      <c r="AI97" s="2" t="n">
        <v>3490</v>
      </c>
      <c r="AJ97" s="2" t="n"/>
      <c r="AK97" s="2" t="n"/>
      <c r="AL97" s="2" t="n"/>
      <c r="AM97" s="2" t="n">
        <v>7.7</v>
      </c>
      <c r="AN97" s="2" t="n"/>
      <c r="AO97" s="2" t="inlineStr">
        <is>
          <t>2009</t>
        </is>
      </c>
      <c r="AP97" s="2" t="n">
        <v>2009</v>
      </c>
      <c r="AQ97" s="2" t="n"/>
      <c r="AR97" s="2" t="inlineStr">
        <is>
          <t>B</t>
        </is>
      </c>
      <c r="AS97" s="2" t="inlineStr">
        <is>
          <t>anuncio</t>
        </is>
      </c>
      <c r="AT97" s="2" t="n"/>
      <c r="AU97" s="2" t="inlineStr">
        <is>
          <t>no</t>
        </is>
      </c>
      <c r="AV97" s="2" t="inlineStr">
        <is>
          <t>B</t>
        </is>
      </c>
      <c r="AW97" s="2" t="n"/>
      <c r="AX97" s="2" t="inlineStr">
        <is>
          <t>no</t>
        </is>
      </c>
      <c r="AY97" s="2" t="inlineStr">
        <is>
          <t>no</t>
        </is>
      </c>
      <c r="AZ97" s="2" t="inlineStr">
        <is>
          <t>COMMON.COLOR_GARNET</t>
        </is>
      </c>
      <c r="BA97" s="2" t="inlineStr">
        <is>
          <t>granate</t>
        </is>
      </c>
      <c r="BB97" s="3" t="n">
        <v>2</v>
      </c>
      <c r="BC97" s="3" t="inlineStr">
        <is>
          <t>(por segmento)</t>
        </is>
      </c>
      <c r="BD97" s="2" t="n"/>
      <c r="BE97" s="2" t="n"/>
      <c r="BF97" s="2" t="n"/>
      <c r="BG97" s="2" t="n"/>
      <c r="BH97" s="2" t="n"/>
      <c r="BI97" s="2" t="n"/>
      <c r="BJ97" s="2" t="n"/>
      <c r="BK97" s="2" t="n"/>
      <c r="BL97" s="2" t="n"/>
      <c r="BM97" s="2" t="n">
        <v>10</v>
      </c>
      <c r="BN97" s="2" t="n">
        <v>0</v>
      </c>
      <c r="BO97" s="2" t="n">
        <v>1</v>
      </c>
      <c r="BP97" s="2" t="n"/>
      <c r="BQ97" s="2" t="n"/>
      <c r="BR97" s="2" t="n"/>
      <c r="BS97" s="2" t="n"/>
      <c r="BT97" s="2" t="inlineStr">
        <is>
          <t>vendedor profesional: sin ITP (operación con IVA/REBU, confirmar en factura); gastos de gestión del vendedor no indicados: se suma la tasa DGT; preguntar el precio final; Euro NCAP de la generación PENDIENTE (seguridad neutra); diésel: motor sin fuente de fiabilidad (fiabilidad limitada a neutra); carrocería monovolumen_pequeno: -6 puntos; revisar: no menciona la ITV; fiabilidad del modelo PENDIENTE de fuente (puntuación neutra); mediana con solo 2 anuncio(s)</t>
        </is>
      </c>
      <c r="BU97" s="2" t="inlineStr"/>
      <c r="BV97" s="2" t="inlineStr">
        <is>
          <t>https://www.coches.net/ford-fusion-14-tdci-ambiente-5p-diesel-2009-en-valencia-71793171-covo.aspx (window.__INITIAL_PROPS__.ad) /home/user/Alopecia/buscador-coches/raw/cochesnet/934176b6a50ee69e.json</t>
        </is>
      </c>
      <c r="BW97" s="3">
        <f>MAX(ANIO_ACTUAL-M97,0)</f>
        <v/>
      </c>
      <c r="BX97" s="4">
        <f>N97/MAX(BW97,0.5)</f>
        <v/>
      </c>
      <c r="BY97" s="4">
        <f>F97</f>
        <v/>
      </c>
      <c r="BZ97" s="3">
        <f>BY97&amp;"|"&amp;INT(M97/SEG_ANIO)*SEG_ANIO</f>
        <v/>
      </c>
      <c r="CA97" s="3">
        <f>BZ97&amp;"|"&amp;INT(N97/SEG_KM)*SEG_KM</f>
        <v/>
      </c>
      <c r="CB97" s="4">
        <f>COUNTIF($BY$2:$BY$209,BY97)</f>
        <v/>
      </c>
      <c r="CC97" s="4">
        <f>COUNTIF($BZ$2:$BZ$209,BZ97)</f>
        <v/>
      </c>
      <c r="CD97" s="4">
        <f>COUNTIF($CA$2:$CA$209,CA97)</f>
        <v/>
      </c>
      <c r="CE97" s="3">
        <f t="array" ref="CE97">IF(N(BQ97)&gt;=MIN_N,BP97,IF(CD97&gt;=MIN_N,MEDIAN(IF($CA$2:$CA$209=CA97,$O$2:$O$209)),IF(CC97&gt;=MIN_N,MEDIAN(IF($BZ$2:$BZ$209=BZ97,$O$2:$O$209)),MEDIAN(IF($BY$2:$BY$209=BY97,$O$2:$O$209)))))</f>
        <v/>
      </c>
      <c r="CF97" s="3">
        <f>IF(N(BQ97)&gt;=MIN_N,"mercado "&amp;BR97,IF(CD97&gt;=MIN_N,"modelo+año+km",IF(CC97&gt;=MIN_N,"modelo+año","modelo")))</f>
        <v/>
      </c>
      <c r="CG97" s="4">
        <f>(CE97-O97)/CE97</f>
        <v/>
      </c>
      <c r="CH97" s="3">
        <f>IF(COUNTIFS(FR_FUEL,K97,FR_YEAR,AP97)&gt;0,1,0)</f>
        <v/>
      </c>
      <c r="CI97" s="3">
        <f>IF(COUNTIFS(FR_FUEL,K97,FR_YEAR,AP97-1)&gt;0,1,0)</f>
        <v/>
      </c>
      <c r="CJ97" s="4">
        <f>IF(N(AQ97)&gt;0,AP97*100+AQ97,IF(AND(CH97=1,CI97=1),(AP97-1)*100+1,AP97*100+1))</f>
        <v/>
      </c>
      <c r="CK97" s="3">
        <f>IF(OR(K97="hibrido",K97="glp",K97="gnc",K97="phev"),"ECO",IF(K97="electrico","CERO",IF(K97="gasolina",IF(CJ97&gt;=GAS_C_YM,"C",IF(CJ97&gt;=GAS_B_YM,"B","A")),IF(K97="diesel",IF(CJ97&gt;=DIE_C_YM,"C",IF(CJ97&gt;=DIE_B_YM,"B","A")),""))))</f>
        <v/>
      </c>
      <c r="CL97" s="2" t="inlineStr">
        <is>
          <t>B</t>
        </is>
      </c>
      <c r="CM97" s="4">
        <f>IF(AU97="sí","sí",IF(AS97="regla",IF(AND(N(AQ97)=0,CH97=1),"sí","no"),"no"))</f>
        <v/>
      </c>
      <c r="CN97" s="3">
        <f>IFERROR(VLOOKUP(F97,MOD_TBL,16,0),IFERROR(VLOOKUP(E97,OCU_TBL,2,0),NEUTRO))</f>
        <v/>
      </c>
      <c r="CO97" s="3">
        <f>SUMIFS(MOT_AJUSTE,MOT_MOTOR,G97,MOT_MARCA,E97,MOT_DESDE,"&lt;="&amp;M97,MOT_HASTA,"&gt;="&amp;M97)+SUMIFS(MOT_AJUSTE,MOT_MOTOR,G97,MOT_MARCA,"(todas)",MOT_DESDE,"&lt;="&amp;M97,MOT_HASTA,"&gt;="&amp;M97)+SUMIFS(MOT_AJUSTE,MOT_MOTOR,"(cualquiera)",MOT_MARCA,E97,MOT_DESDE,"&lt;="&amp;M97,MOT_HASTA,"&gt;="&amp;M97)</f>
        <v/>
      </c>
      <c r="CP97" s="3">
        <f>SUMIFS(COMB_AJUSTE,COMB_COMB,K97)</f>
        <v/>
      </c>
      <c r="CQ97" s="3">
        <f>COUNTIFS(MOT_MOTOR,G97,MOT_MARCA,E97,MOT_DESDE,"&lt;="&amp;M97,MOT_HASTA,"&gt;="&amp;M97)+COUNTIFS(MOT_MOTOR,G97,MOT_MARCA,"(todas)",MOT_DESDE,"&lt;="&amp;M97,MOT_HASTA,"&gt;="&amp;M97)+COUNTIFS(MOT_MOTOR,"(cualquiera)",MOT_MARCA,E97,MOT_DESDE,"&lt;="&amp;M97,MOT_HASTA,"&gt;="&amp;M97)</f>
        <v/>
      </c>
      <c r="CR97" s="3">
        <f>IF(AND(K97="diesel",CQ97=0),MIN(CN97,NEUTRO),CN97)</f>
        <v/>
      </c>
      <c r="CS97" s="3">
        <f>MAX(0,MIN(100,CR97+CO97+CP97-IF(AX97="sí",ROB_PEN,0)))</f>
        <v/>
      </c>
      <c r="CT97" s="3">
        <f>100-MAX(0,N97-KM_TOPE_DESDE)/1000*KM_TOPE_PTS</f>
        <v/>
      </c>
      <c r="CU97" s="3">
        <f>MAX(0,MIN(100,50+CG97*PRECIO_PEND,CT97))</f>
        <v/>
      </c>
      <c r="CV97" s="3">
        <f>MAX(0,100*(1-N97/KM_MAX))</f>
        <v/>
      </c>
      <c r="CW97" s="3">
        <f>IF(BX97&lt;KMA_SOSP,IF(AA97="sí",100,KMA_PEN),IF(BX97&lt;=KMA_IDEAL_MAX,100,MAX(0,100*(KMA_CERO-BX97)/(KMA_CERO-KMA_IDEAL_MAX))))</f>
        <v/>
      </c>
      <c r="CX97" s="3">
        <f>MAX(0,MIN(100,100*(M97-ANIO_MIN)/(ANIO_ACTUAL-ANIO_MIN)))</f>
        <v/>
      </c>
      <c r="CY97" s="3">
        <f>W_KMT*CV97+W_KMA*CW97+W_EDAD*CX97</f>
        <v/>
      </c>
      <c r="CZ97" s="4">
        <f>E97&amp;"|"&amp;G97</f>
        <v/>
      </c>
      <c r="DA97" s="3">
        <f>IFERROR(VLOOKUP(CZ97,DIST_TBL,2,0),"")</f>
        <v/>
      </c>
      <c r="DB97" s="3">
        <f>E_ITV*(V97="sí")+E_LIBRO*(W97="sí")+E_PROP*IF(Y97=1,1,IF(Y97=2,0.5,0))+E_CORREA*IF(OR(DA97="cadena",AND(X97="sí",BH97="sí")),1,IF(X97="sí",0.5,0))+E_FACT*(BI97="sí")</f>
        <v/>
      </c>
      <c r="DC97" s="3">
        <f>MAX(0,MIN(100,IFERROR(VLOOKUP(CL97,ETQ_TBL,2,0),0)-IF(CM97="sí",ETQ_PEN_DUD,IF(AS97="regla",ETQ_PEN_REGLA,0))))</f>
        <v/>
      </c>
      <c r="DD97" s="3">
        <f>IF(K97&lt;&gt;"gasolina","",IFERROR(VLOOKUP(F97,CONS_MOD_TBL,2,0),IFERROR(VLOOKUP(L97,CONS_SEG_TBL,2,0),"")))</f>
        <v/>
      </c>
      <c r="DE97" s="3">
        <f>IF(DD97="",NEUTRO,MAX(0,MIN(100,100*(CONS_REF_MAX-DD97)/(CONS_REF_MAX-CONS_REF_MIN))))</f>
        <v/>
      </c>
      <c r="DF97" s="3">
        <f>IFERROR(VLOOKUP(L97,SEGURO_TBL,3,0),"")</f>
        <v/>
      </c>
      <c r="DG97" s="3">
        <f>IF(DF97="",NEUTRO,MAX(0,MIN(100,100*(SEG_REF_MAX-DF97)/(SEG_REF_MAX-SEG_REF_MIN))))</f>
        <v/>
      </c>
      <c r="DH97" s="3">
        <f>IFERROR(VLOOKUP(E97,MANT_MARCA_TBL,2,0)+0,NEUTRO)</f>
        <v/>
      </c>
      <c r="DI97" s="3">
        <f>IF(DA97="",NEUTRO,IFERROR(VLOOKUP(DA97,DIST_PTS_TBL,2,0)+0,NEUTRO))</f>
        <v/>
      </c>
      <c r="DJ97" s="4">
        <f>(DH97+DI97)/2</f>
        <v/>
      </c>
      <c r="DK97" s="3">
        <f>W_CONS*DE97+W_SEG*DG97+W_MANT*DJ97</f>
        <v/>
      </c>
      <c r="DL97" s="3">
        <f>IF(N(AB97)&gt;0,AB97,IF(AND(R97="profesional",SG_LEGAL_ON=1),GAR_LEGAL,0))</f>
        <v/>
      </c>
      <c r="DM97" s="3">
        <f>MAX(0,MIN(100,SG_GAR*MIN(1,DL97/SG_GAR_FULL)+SG_AMPL*(AC97="sí")+SG_KMC*(AF97="sí")+SG_REV*(N(AE97)&gt;0)+SG_DEV*MIN(1,N(AG97)/SG_DEV_FULL)+SG_HIST*(W97="sí")-IF(AND(R97="particular",DL97=0),SG_PART_PEN,0)))</f>
        <v/>
      </c>
      <c r="DN97" s="3">
        <f>IF(BK97="",NEUTRO,MAX(0,MIN(100,BK97/5*100)))</f>
        <v/>
      </c>
      <c r="DO97" s="3">
        <f>IF(BL97="sí",100,IF(BL97="no",0,NEUTRO))</f>
        <v/>
      </c>
      <c r="DP97" s="3">
        <f>SV_W_NCAP*DN97+SV_W_ESP*DO97</f>
        <v/>
      </c>
      <c r="DQ97" s="3">
        <f>MAX(0,MIN(100,ATR_BASE+ATR_ACAB*(BD97&lt;&gt;"")+IF(BE97="16+",ATR_LL16,IF(BE97="sí",ATR_LL,0))+ATR_FAROS*(BF97="sí")+ATR_TINT*(BG97="sí")-ATR_CHAPA*(BE97="chapa")))</f>
        <v/>
      </c>
      <c r="DR97" s="3">
        <f>EST_W_MOD*(BB97-1)/4*100+EST_W_ATR*DQ97</f>
        <v/>
      </c>
      <c r="DS97" s="3">
        <f>IF(BA97="",NEUTRO,IFERROR(VLOOKUP(BA97,COLOR_TBL,2,0)+0,NEUTRO))</f>
        <v/>
      </c>
      <c r="DT97" s="3">
        <f>MAX(0,MIN(100,100*N(BM97)/RV_N_FULL))</f>
        <v/>
      </c>
      <c r="DU97" s="3">
        <f>IF(OR(BN97="",N(BO97)&lt;RV_DIAS_MIN),NEUTRO,MAX(0,MIN(100,100*(RV_DIAS_CERO-BN97)/(RV_DIAS_CERO-RV_DIAS_FULL))))</f>
        <v/>
      </c>
      <c r="DV97" s="3">
        <f>RV_W_LIQ*DT97+RV_W_DIAS*DU97+RV_W_ETQ*DC97</f>
        <v/>
      </c>
      <c r="DW97" s="3">
        <f>IFERROR(VLOOKUP(L97,CARR_PEN_TBL,2,0),0)</f>
        <v/>
      </c>
      <c r="DX97" s="3">
        <f>W_FIAB*CS97+W_PRECIO*CU97+W_KMEDAD*CY97+W_ESTADO*DB97+W_USO*DK97+W_SEGURIDAD*DM97+W_SEGVIAL*DP97+W_ESTETICA*DR97+W_COLOR*DS97+W_REVENTA*DV97-DW97-EG97</f>
        <v/>
      </c>
      <c r="DY97" s="4">
        <f>IF(N(I97)&gt;0,I97,IFERROR(ROUND(_xlfn.NUMBERVALUE(LEFT(G97,FIND(" ",G97&amp;" ")-1),".")*1000,0),99999))</f>
        <v/>
      </c>
      <c r="DZ97" s="3">
        <f>IF(R97="profesional",0,IF(O97&lt;CUOTA_VALOR_MAX,IF(BW97&gt;ITP_TRAMO_ALTO,SUMIFS(CF_CUOTA,CF_MAS,ITP_TRAMO_ALTO,CF_CCMIN,"&lt;="&amp;DY97,CF_CCMAX,"&gt;="&amp;DY97),IF(BW97&gt;ITP_TRAMO_BAJO,SUMIFS(CF_CUOTA,CF_MAS,ITP_TRAMO_BAJO,CF_CCMIN,"&lt;="&amp;DY97,CF_CCMAX,"&gt;="&amp;DY97),O97*ITP_TIPO)),O97*ITP_TIPO))</f>
        <v/>
      </c>
      <c r="EA97" s="4">
        <f>IF(R97="profesional",N(AK97),0)</f>
        <v/>
      </c>
      <c r="EB97" s="3">
        <f>IF(AND(R97="profesional",ISNUMBER(AK97),AL97="sí"),0,TASA_DGT)</f>
        <v/>
      </c>
      <c r="EC97" s="3">
        <f>INFORME_DGT</f>
        <v/>
      </c>
      <c r="ED97" s="4">
        <f>O97+EA97+DZ97+EB97+EC97</f>
        <v/>
      </c>
      <c r="EE97" s="4">
        <f>ED97+N(DF97)</f>
        <v/>
      </c>
      <c r="EF97" s="3">
        <f>MAX(0,ED97-TOTAL_MAX)</f>
        <v/>
      </c>
      <c r="EG97" s="3">
        <f>EF97/100*PEN_100</f>
        <v/>
      </c>
      <c r="EH97" s="3">
        <f>IF(R97="particular",ED97+IF(AND(DA97&lt;&gt;"cadena",X97&lt;&gt;"sí"),RES_CORREA,0)+IF(AND(BJ97&lt;&gt;"sí",BW97&gt;=RES_NEUM_EDAD),RES_NEUM,0),"")</f>
        <v/>
      </c>
      <c r="EI97" s="3">
        <f>IF(ED97&lt;=TOTAL_MAX,"sí",IF(ED97&lt;=TECHO,"negociar","no"))</f>
        <v/>
      </c>
      <c r="EJ97" s="4">
        <f>ROUND(DX97,9)</f>
        <v/>
      </c>
      <c r="EK97" s="4">
        <f>IF(EI97&lt;&gt;"no",SUMPRODUCT(($EI$2:$EI$209&lt;&gt;"no")*($EJ$2:$EJ$209&gt;EJ97))+SUMPRODUCT(($EI$2:EI97&lt;&gt;"no")*($EJ$2:EJ97=EJ97)),"")</f>
        <v/>
      </c>
    </row>
    <row r="98">
      <c r="A98" s="2" t="inlineStr">
        <is>
          <t>cochesnet:70514152</t>
        </is>
      </c>
      <c r="B98" s="2" t="inlineStr">
        <is>
          <t>cochesnet</t>
        </is>
      </c>
      <c r="C98" s="2" t="inlineStr">
        <is>
          <t>https://www.coches.net/fiat-linea-14-16v-tjet-120cv-dynamic-4p-gasolina-2007-en-valencia-70514152-covo.aspx</t>
        </is>
      </c>
      <c r="D98" s="2" t="inlineStr">
        <is>
          <t>FIAT Linea 1.4 16v TJet Dynamic</t>
        </is>
      </c>
      <c r="E98" s="2" t="inlineStr">
        <is>
          <t>Fiat</t>
        </is>
      </c>
      <c r="F98" s="2" t="inlineStr">
        <is>
          <t>Fiat Linea</t>
        </is>
      </c>
      <c r="G98" s="2" t="inlineStr">
        <is>
          <t>1.4 T-Jet</t>
        </is>
      </c>
      <c r="H98" s="2" t="inlineStr">
        <is>
          <t>1.4 16v TJet 120cv Dynamic</t>
        </is>
      </c>
      <c r="I98" s="2" t="n"/>
      <c r="J98" s="2" t="n">
        <v>120</v>
      </c>
      <c r="K98" s="2" t="inlineStr">
        <is>
          <t>gasolina</t>
        </is>
      </c>
      <c r="L98" s="2" t="inlineStr">
        <is>
          <t>berlina</t>
        </is>
      </c>
      <c r="M98" s="2" t="n">
        <v>2009</v>
      </c>
      <c r="N98" s="2" t="n">
        <v>156000</v>
      </c>
      <c r="O98" s="2" t="n">
        <v>3300</v>
      </c>
      <c r="P98" s="2" t="inlineStr">
        <is>
          <t>manual</t>
        </is>
      </c>
      <c r="Q98" s="2" t="inlineStr">
        <is>
          <t>no</t>
        </is>
      </c>
      <c r="R98" s="2" t="inlineStr">
        <is>
          <t>profesional</t>
        </is>
      </c>
      <c r="S98" s="2" t="inlineStr">
        <is>
          <t>Automoción Valencia Albal</t>
        </is>
      </c>
      <c r="T98" s="2" t="inlineStr">
        <is>
          <t>2026-10-23T20:29:41Z</t>
        </is>
      </c>
      <c r="U98" s="2" t="n">
        <v>10</v>
      </c>
      <c r="V98" s="2" t="n"/>
      <c r="W98" s="2" t="n"/>
      <c r="X98" s="2" t="n"/>
      <c r="Y98" s="2" t="n"/>
      <c r="Z98" s="2" t="inlineStr">
        <is>
          <t>no</t>
        </is>
      </c>
      <c r="AA98" s="2" t="n"/>
      <c r="AB98" s="2" t="n"/>
      <c r="AC98" s="2" t="n"/>
      <c r="AD98" s="2" t="n"/>
      <c r="AE98" s="2" t="n"/>
      <c r="AF98" s="2" t="n"/>
      <c r="AG98" s="2" t="n"/>
      <c r="AH98" s="2" t="n">
        <v>3300</v>
      </c>
      <c r="AI98" s="2" t="n">
        <v>3300</v>
      </c>
      <c r="AJ98" s="2" t="n"/>
      <c r="AK98" s="2" t="n"/>
      <c r="AL98" s="2" t="n"/>
      <c r="AM98" s="2" t="n">
        <v>8.699999999999999</v>
      </c>
      <c r="AN98" s="2" t="n"/>
      <c r="AO98" s="2" t="inlineStr">
        <is>
          <t>2009</t>
        </is>
      </c>
      <c r="AP98" s="2" t="n">
        <v>2009</v>
      </c>
      <c r="AQ98" s="2" t="n"/>
      <c r="AR98" s="2" t="inlineStr">
        <is>
          <t>C</t>
        </is>
      </c>
      <c r="AS98" s="2" t="inlineStr">
        <is>
          <t>anuncio</t>
        </is>
      </c>
      <c r="AT98" s="2" t="n">
        <v>2007</v>
      </c>
      <c r="AU98" s="2" t="inlineStr">
        <is>
          <t>no</t>
        </is>
      </c>
      <c r="AV98" s="2" t="inlineStr">
        <is>
          <t>C</t>
        </is>
      </c>
      <c r="AW98" s="2" t="n"/>
      <c r="AX98" s="2" t="inlineStr">
        <is>
          <t>no</t>
        </is>
      </c>
      <c r="AY98" s="2" t="inlineStr">
        <is>
          <t>no</t>
        </is>
      </c>
      <c r="AZ98" s="2" t="inlineStr">
        <is>
          <t>COMMON.COLOR_GRAY</t>
        </is>
      </c>
      <c r="BA98" s="2" t="inlineStr">
        <is>
          <t>gris_medio</t>
        </is>
      </c>
      <c r="BB98" s="3" t="n">
        <v>3</v>
      </c>
      <c r="BC98" s="3" t="inlineStr">
        <is>
          <t>(por segmento)</t>
        </is>
      </c>
      <c r="BD98" s="2" t="n"/>
      <c r="BE98" s="2" t="n"/>
      <c r="BF98" s="2" t="n"/>
      <c r="BG98" s="2" t="n"/>
      <c r="BH98" s="2" t="n"/>
      <c r="BI98" s="2" t="n"/>
      <c r="BJ98" s="2" t="n"/>
      <c r="BK98" s="2" t="n"/>
      <c r="BL98" s="2" t="n"/>
      <c r="BM98" s="2" t="n">
        <v>3</v>
      </c>
      <c r="BN98" s="2" t="n"/>
      <c r="BO98" s="2" t="n">
        <v>0</v>
      </c>
      <c r="BP98" s="2" t="n"/>
      <c r="BQ98" s="2" t="n"/>
      <c r="BR98" s="2" t="n"/>
      <c r="BS98" s="2" t="n"/>
      <c r="BT98" s="2" t="inlineStr">
        <is>
          <t>año a confirmar: la URL/título dice 2007; vendedor profesional: sin ITP (operación con IVA/REBU, confirmar en factura); gastos de gestión del vendedor no indicados: se suma la tasa DGT; preguntar el precio final; Euro NCAP de la generación PENDIENTE (seguridad neutra); revisar: detalles «detalles», no menciona la ITV; fiabilidad del modelo PENDIENTE de fuente (puntuación neutra); mediana con solo 1 anuncio(s)</t>
        </is>
      </c>
      <c r="BU98" s="2" t="inlineStr">
        <is>
          <t>Fiat Lìnea Dynamic combina practicidad y confort en un sedán compacto de dimensiones contenidas, ideal para la conducción urbana y desplazamientos diarios. El habitáculo ofrece espacio suficiente para cinco ocupantes con maletero de 500 litros, ampliable a 870 litros con los asientos traseros abatidos, lo que facilita tanto viajes familiares como traslados puntuales de carga.
El motor de 1.4 litros proporciona una respuesta ágil en ciudad gracias a su par disponible desde bajas revoluciones, mientras que el consumo moderado (6,7 l/100km en ciclo mixto) lo hace económico en uso. La transmisión manual de cinco velocidades permite un control directo de la conducción. Equipado con la etiqueta ambiental C, este vehículo accede sin restricciones a las zonas de bajas emisiones en ciudades con regulación de tráfico.
En cuanto a seguridad, este dispone de sistema ABS en las cuatro ruedas, airbags múltiples (frontales, laterales y cortina), cinturones con pretensores en los asientos delanteros y preparación Isofix para sistemas de retención infantil. La dirección asistida con endurecimiento progresivo facilita las maniobras sin sacrificar la estabilidad a velocidad de crucero.
El equipamiento de confort incluye climatizador automático, elevalunas eléctricos delanteros, volante regulable en altura y profundidad, y sistema de ventilación con filtro de partículas. Este ejemplar incorpora además asientos delanteros calefactados, cortinas parasol, volante y pomo en piel, y pintura metali</t>
        </is>
      </c>
      <c r="BV98" s="2" t="inlineStr">
        <is>
          <t>https://www.coches.net/fiat-linea-14-16v-tjet-120cv-dynamic-4p-gasolina-2007-en-valencia-70514152-covo.aspx (window.__INITIAL_PROPS__.ad) /home/user/Alopecia/buscador-coches/raw/cochesnet/306a1c8397fb75cd.json</t>
        </is>
      </c>
      <c r="BW98" s="3">
        <f>MAX(ANIO_ACTUAL-M98,0)</f>
        <v/>
      </c>
      <c r="BX98" s="4">
        <f>N98/MAX(BW98,0.5)</f>
        <v/>
      </c>
      <c r="BY98" s="4">
        <f>F98</f>
        <v/>
      </c>
      <c r="BZ98" s="3">
        <f>BY98&amp;"|"&amp;INT(M98/SEG_ANIO)*SEG_ANIO</f>
        <v/>
      </c>
      <c r="CA98" s="3">
        <f>BZ98&amp;"|"&amp;INT(N98/SEG_KM)*SEG_KM</f>
        <v/>
      </c>
      <c r="CB98" s="4">
        <f>COUNTIF($BY$2:$BY$209,BY98)</f>
        <v/>
      </c>
      <c r="CC98" s="4">
        <f>COUNTIF($BZ$2:$BZ$209,BZ98)</f>
        <v/>
      </c>
      <c r="CD98" s="4">
        <f>COUNTIF($CA$2:$CA$209,CA98)</f>
        <v/>
      </c>
      <c r="CE98" s="3">
        <f t="array" ref="CE98">IF(N(BQ98)&gt;=MIN_N,BP98,IF(CD98&gt;=MIN_N,MEDIAN(IF($CA$2:$CA$209=CA98,$O$2:$O$209)),IF(CC98&gt;=MIN_N,MEDIAN(IF($BZ$2:$BZ$209=BZ98,$O$2:$O$209)),MEDIAN(IF($BY$2:$BY$209=BY98,$O$2:$O$209)))))</f>
        <v/>
      </c>
      <c r="CF98" s="3">
        <f>IF(N(BQ98)&gt;=MIN_N,"mercado "&amp;BR98,IF(CD98&gt;=MIN_N,"modelo+año+km",IF(CC98&gt;=MIN_N,"modelo+año","modelo")))</f>
        <v/>
      </c>
      <c r="CG98" s="4">
        <f>(CE98-O98)/CE98</f>
        <v/>
      </c>
      <c r="CH98" s="3">
        <f>IF(COUNTIFS(FR_FUEL,K98,FR_YEAR,AP98)&gt;0,1,0)</f>
        <v/>
      </c>
      <c r="CI98" s="3">
        <f>IF(COUNTIFS(FR_FUEL,K98,FR_YEAR,AP98-1)&gt;0,1,0)</f>
        <v/>
      </c>
      <c r="CJ98" s="4">
        <f>IF(N(AQ98)&gt;0,AP98*100+AQ98,IF(AND(CH98=1,CI98=1),(AP98-1)*100+1,AP98*100+1))</f>
        <v/>
      </c>
      <c r="CK98" s="3">
        <f>IF(OR(K98="hibrido",K98="glp",K98="gnc",K98="phev"),"ECO",IF(K98="electrico","CERO",IF(K98="gasolina",IF(CJ98&gt;=GAS_C_YM,"C",IF(CJ98&gt;=GAS_B_YM,"B","A")),IF(K98="diesel",IF(CJ98&gt;=DIE_C_YM,"C",IF(CJ98&gt;=DIE_B_YM,"B","A")),""))))</f>
        <v/>
      </c>
      <c r="CL98" s="2" t="inlineStr">
        <is>
          <t>C</t>
        </is>
      </c>
      <c r="CM98" s="4">
        <f>IF(AU98="sí","sí",IF(AS98="regla",IF(AND(N(AQ98)=0,CH98=1),"sí","no"),"no"))</f>
        <v/>
      </c>
      <c r="CN98" s="3">
        <f>IFERROR(VLOOKUP(F98,MOD_TBL,16,0),IFERROR(VLOOKUP(E98,OCU_TBL,2,0),NEUTRO))</f>
        <v/>
      </c>
      <c r="CO98" s="3">
        <f>SUMIFS(MOT_AJUSTE,MOT_MOTOR,G98,MOT_MARCA,E98,MOT_DESDE,"&lt;="&amp;M98,MOT_HASTA,"&gt;="&amp;M98)+SUMIFS(MOT_AJUSTE,MOT_MOTOR,G98,MOT_MARCA,"(todas)",MOT_DESDE,"&lt;="&amp;M98,MOT_HASTA,"&gt;="&amp;M98)+SUMIFS(MOT_AJUSTE,MOT_MOTOR,"(cualquiera)",MOT_MARCA,E98,MOT_DESDE,"&lt;="&amp;M98,MOT_HASTA,"&gt;="&amp;M98)</f>
        <v/>
      </c>
      <c r="CP98" s="3">
        <f>SUMIFS(COMB_AJUSTE,COMB_COMB,K98)</f>
        <v/>
      </c>
      <c r="CQ98" s="3">
        <f>COUNTIFS(MOT_MOTOR,G98,MOT_MARCA,E98,MOT_DESDE,"&lt;="&amp;M98,MOT_HASTA,"&gt;="&amp;M98)+COUNTIFS(MOT_MOTOR,G98,MOT_MARCA,"(todas)",MOT_DESDE,"&lt;="&amp;M98,MOT_HASTA,"&gt;="&amp;M98)+COUNTIFS(MOT_MOTOR,"(cualquiera)",MOT_MARCA,E98,MOT_DESDE,"&lt;="&amp;M98,MOT_HASTA,"&gt;="&amp;M98)</f>
        <v/>
      </c>
      <c r="CR98" s="3">
        <f>IF(AND(K98="diesel",CQ98=0),MIN(CN98,NEUTRO),CN98)</f>
        <v/>
      </c>
      <c r="CS98" s="3">
        <f>MAX(0,MIN(100,CR98+CO98+CP98-IF(AX98="sí",ROB_PEN,0)))</f>
        <v/>
      </c>
      <c r="CT98" s="3">
        <f>100-MAX(0,N98-KM_TOPE_DESDE)/1000*KM_TOPE_PTS</f>
        <v/>
      </c>
      <c r="CU98" s="3">
        <f>MAX(0,MIN(100,50+CG98*PRECIO_PEND,CT98))</f>
        <v/>
      </c>
      <c r="CV98" s="3">
        <f>MAX(0,100*(1-N98/KM_MAX))</f>
        <v/>
      </c>
      <c r="CW98" s="3">
        <f>IF(BX98&lt;KMA_SOSP,IF(AA98="sí",100,KMA_PEN),IF(BX98&lt;=KMA_IDEAL_MAX,100,MAX(0,100*(KMA_CERO-BX98)/(KMA_CERO-KMA_IDEAL_MAX))))</f>
        <v/>
      </c>
      <c r="CX98" s="3">
        <f>MAX(0,MIN(100,100*(M98-ANIO_MIN)/(ANIO_ACTUAL-ANIO_MIN)))</f>
        <v/>
      </c>
      <c r="CY98" s="3">
        <f>W_KMT*CV98+W_KMA*CW98+W_EDAD*CX98</f>
        <v/>
      </c>
      <c r="CZ98" s="4">
        <f>E98&amp;"|"&amp;G98</f>
        <v/>
      </c>
      <c r="DA98" s="3">
        <f>IFERROR(VLOOKUP(CZ98,DIST_TBL,2,0),"")</f>
        <v/>
      </c>
      <c r="DB98" s="3">
        <f>E_ITV*(V98="sí")+E_LIBRO*(W98="sí")+E_PROP*IF(Y98=1,1,IF(Y98=2,0.5,0))+E_CORREA*IF(OR(DA98="cadena",AND(X98="sí",BH98="sí")),1,IF(X98="sí",0.5,0))+E_FACT*(BI98="sí")</f>
        <v/>
      </c>
      <c r="DC98" s="3">
        <f>MAX(0,MIN(100,IFERROR(VLOOKUP(CL98,ETQ_TBL,2,0),0)-IF(CM98="sí",ETQ_PEN_DUD,IF(AS98="regla",ETQ_PEN_REGLA,0))))</f>
        <v/>
      </c>
      <c r="DD98" s="3">
        <f>IF(K98&lt;&gt;"gasolina","",IFERROR(VLOOKUP(F98,CONS_MOD_TBL,2,0),IFERROR(VLOOKUP(L98,CONS_SEG_TBL,2,0),"")))</f>
        <v/>
      </c>
      <c r="DE98" s="3">
        <f>IF(DD98="",NEUTRO,MAX(0,MIN(100,100*(CONS_REF_MAX-DD98)/(CONS_REF_MAX-CONS_REF_MIN))))</f>
        <v/>
      </c>
      <c r="DF98" s="3">
        <f>IFERROR(VLOOKUP(L98,SEGURO_TBL,3,0),"")</f>
        <v/>
      </c>
      <c r="DG98" s="3">
        <f>IF(DF98="",NEUTRO,MAX(0,MIN(100,100*(SEG_REF_MAX-DF98)/(SEG_REF_MAX-SEG_REF_MIN))))</f>
        <v/>
      </c>
      <c r="DH98" s="3">
        <f>IFERROR(VLOOKUP(E98,MANT_MARCA_TBL,2,0)+0,NEUTRO)</f>
        <v/>
      </c>
      <c r="DI98" s="3">
        <f>IF(DA98="",NEUTRO,IFERROR(VLOOKUP(DA98,DIST_PTS_TBL,2,0)+0,NEUTRO))</f>
        <v/>
      </c>
      <c r="DJ98" s="4">
        <f>(DH98+DI98)/2</f>
        <v/>
      </c>
      <c r="DK98" s="3">
        <f>W_CONS*DE98+W_SEG*DG98+W_MANT*DJ98</f>
        <v/>
      </c>
      <c r="DL98" s="3">
        <f>IF(N(AB98)&gt;0,AB98,IF(AND(R98="profesional",SG_LEGAL_ON=1),GAR_LEGAL,0))</f>
        <v/>
      </c>
      <c r="DM98" s="3">
        <f>MAX(0,MIN(100,SG_GAR*MIN(1,DL98/SG_GAR_FULL)+SG_AMPL*(AC98="sí")+SG_KMC*(AF98="sí")+SG_REV*(N(AE98)&gt;0)+SG_DEV*MIN(1,N(AG98)/SG_DEV_FULL)+SG_HIST*(W98="sí")-IF(AND(R98="particular",DL98=0),SG_PART_PEN,0)))</f>
        <v/>
      </c>
      <c r="DN98" s="3">
        <f>IF(BK98="",NEUTRO,MAX(0,MIN(100,BK98/5*100)))</f>
        <v/>
      </c>
      <c r="DO98" s="3">
        <f>IF(BL98="sí",100,IF(BL98="no",0,NEUTRO))</f>
        <v/>
      </c>
      <c r="DP98" s="3">
        <f>SV_W_NCAP*DN98+SV_W_ESP*DO98</f>
        <v/>
      </c>
      <c r="DQ98" s="3">
        <f>MAX(0,MIN(100,ATR_BASE+ATR_ACAB*(BD98&lt;&gt;"")+IF(BE98="16+",ATR_LL16,IF(BE98="sí",ATR_LL,0))+ATR_FAROS*(BF98="sí")+ATR_TINT*(BG98="sí")-ATR_CHAPA*(BE98="chapa")))</f>
        <v/>
      </c>
      <c r="DR98" s="3">
        <f>EST_W_MOD*(BB98-1)/4*100+EST_W_ATR*DQ98</f>
        <v/>
      </c>
      <c r="DS98" s="3">
        <f>IF(BA98="",NEUTRO,IFERROR(VLOOKUP(BA98,COLOR_TBL,2,0)+0,NEUTRO))</f>
        <v/>
      </c>
      <c r="DT98" s="3">
        <f>MAX(0,MIN(100,100*N(BM98)/RV_N_FULL))</f>
        <v/>
      </c>
      <c r="DU98" s="3">
        <f>IF(OR(BN98="",N(BO98)&lt;RV_DIAS_MIN),NEUTRO,MAX(0,MIN(100,100*(RV_DIAS_CERO-BN98)/(RV_DIAS_CERO-RV_DIAS_FULL))))</f>
        <v/>
      </c>
      <c r="DV98" s="3">
        <f>RV_W_LIQ*DT98+RV_W_DIAS*DU98+RV_W_ETQ*DC98</f>
        <v/>
      </c>
      <c r="DW98" s="3">
        <f>IFERROR(VLOOKUP(L98,CARR_PEN_TBL,2,0),0)</f>
        <v/>
      </c>
      <c r="DX98" s="3">
        <f>W_FIAB*CS98+W_PRECIO*CU98+W_KMEDAD*CY98+W_ESTADO*DB98+W_USO*DK98+W_SEGURIDAD*DM98+W_SEGVIAL*DP98+W_ESTETICA*DR98+W_COLOR*DS98+W_REVENTA*DV98-DW98-EG98</f>
        <v/>
      </c>
      <c r="DY98" s="4">
        <f>IF(N(I98)&gt;0,I98,IFERROR(ROUND(_xlfn.NUMBERVALUE(LEFT(G98,FIND(" ",G98&amp;" ")-1),".")*1000,0),99999))</f>
        <v/>
      </c>
      <c r="DZ98" s="3">
        <f>IF(R98="profesional",0,IF(O98&lt;CUOTA_VALOR_MAX,IF(BW98&gt;ITP_TRAMO_ALTO,SUMIFS(CF_CUOTA,CF_MAS,ITP_TRAMO_ALTO,CF_CCMIN,"&lt;="&amp;DY98,CF_CCMAX,"&gt;="&amp;DY98),IF(BW98&gt;ITP_TRAMO_BAJO,SUMIFS(CF_CUOTA,CF_MAS,ITP_TRAMO_BAJO,CF_CCMIN,"&lt;="&amp;DY98,CF_CCMAX,"&gt;="&amp;DY98),O98*ITP_TIPO)),O98*ITP_TIPO))</f>
        <v/>
      </c>
      <c r="EA98" s="4">
        <f>IF(R98="profesional",N(AK98),0)</f>
        <v/>
      </c>
      <c r="EB98" s="3">
        <f>IF(AND(R98="profesional",ISNUMBER(AK98),AL98="sí"),0,TASA_DGT)</f>
        <v/>
      </c>
      <c r="EC98" s="3">
        <f>INFORME_DGT</f>
        <v/>
      </c>
      <c r="ED98" s="4">
        <f>O98+EA98+DZ98+EB98+EC98</f>
        <v/>
      </c>
      <c r="EE98" s="4">
        <f>ED98+N(DF98)</f>
        <v/>
      </c>
      <c r="EF98" s="3">
        <f>MAX(0,ED98-TOTAL_MAX)</f>
        <v/>
      </c>
      <c r="EG98" s="3">
        <f>EF98/100*PEN_100</f>
        <v/>
      </c>
      <c r="EH98" s="3">
        <f>IF(R98="particular",ED98+IF(AND(DA98&lt;&gt;"cadena",X98&lt;&gt;"sí"),RES_CORREA,0)+IF(AND(BJ98&lt;&gt;"sí",BW98&gt;=RES_NEUM_EDAD),RES_NEUM,0),"")</f>
        <v/>
      </c>
      <c r="EI98" s="3">
        <f>IF(ED98&lt;=TOTAL_MAX,"sí",IF(ED98&lt;=TECHO,"negociar","no"))</f>
        <v/>
      </c>
      <c r="EJ98" s="4">
        <f>ROUND(DX98,9)</f>
        <v/>
      </c>
      <c r="EK98" s="4">
        <f>IF(EI98&lt;&gt;"no",SUMPRODUCT(($EI$2:$EI$209&lt;&gt;"no")*($EJ$2:$EJ$209&gt;EJ98))+SUMPRODUCT(($EI$2:EI98&lt;&gt;"no")*($EJ$2:EJ98=EJ98)),"")</f>
        <v/>
      </c>
    </row>
    <row r="99">
      <c r="A99" s="2" t="inlineStr">
        <is>
          <t>cochesnet:62365434</t>
        </is>
      </c>
      <c r="B99" s="2" t="inlineStr">
        <is>
          <t>cochesnet</t>
        </is>
      </c>
      <c r="C99" s="2" t="inlineStr">
        <is>
          <t>https://www.coches.net/fiat-500-12-8v-69-cv-lounge-3p-gasolina-2014-en-valencia-62365434-covo.aspx</t>
        </is>
      </c>
      <c r="D99" s="2" t="inlineStr">
        <is>
          <t>FIAT 500 1.2 8v 69 CV Lounge</t>
        </is>
      </c>
      <c r="E99" s="2" t="inlineStr">
        <is>
          <t>Fiat</t>
        </is>
      </c>
      <c r="F99" s="2" t="inlineStr">
        <is>
          <t>Fiat 500</t>
        </is>
      </c>
      <c r="G99" s="2" t="inlineStr">
        <is>
          <t>1.2</t>
        </is>
      </c>
      <c r="H99" s="2" t="inlineStr">
        <is>
          <t>1.2 8v 69 CV Lounge</t>
        </is>
      </c>
      <c r="I99" s="2" t="n"/>
      <c r="J99" s="2" t="n">
        <v>69</v>
      </c>
      <c r="K99" s="2" t="inlineStr">
        <is>
          <t>gasolina</t>
        </is>
      </c>
      <c r="L99" s="2" t="inlineStr">
        <is>
          <t>utilitario</t>
        </is>
      </c>
      <c r="M99" s="2" t="n">
        <v>2014</v>
      </c>
      <c r="N99" s="2" t="n">
        <v>146000</v>
      </c>
      <c r="O99" s="2" t="n">
        <v>4999</v>
      </c>
      <c r="P99" s="2" t="inlineStr">
        <is>
          <t>manual</t>
        </is>
      </c>
      <c r="Q99" s="2" t="inlineStr">
        <is>
          <t>no</t>
        </is>
      </c>
      <c r="R99" s="2" t="inlineStr">
        <is>
          <t>profesional</t>
        </is>
      </c>
      <c r="S99" s="2" t="inlineStr">
        <is>
          <t>Automoción Valencia Albal</t>
        </is>
      </c>
      <c r="T99" s="2" t="inlineStr">
        <is>
          <t>2026-08-15T17:18:49Z</t>
        </is>
      </c>
      <c r="U99" s="2" t="n">
        <v>22</v>
      </c>
      <c r="V99" s="2" t="n"/>
      <c r="W99" s="2" t="n"/>
      <c r="X99" s="2" t="n"/>
      <c r="Y99" s="2" t="n"/>
      <c r="Z99" s="2" t="inlineStr">
        <is>
          <t>no</t>
        </is>
      </c>
      <c r="AA99" s="2" t="n"/>
      <c r="AB99" s="2" t="n"/>
      <c r="AC99" s="2" t="n"/>
      <c r="AD99" s="2" t="n"/>
      <c r="AE99" s="2" t="n"/>
      <c r="AF99" s="2" t="n"/>
      <c r="AG99" s="2" t="n"/>
      <c r="AH99" s="2" t="n">
        <v>4999</v>
      </c>
      <c r="AI99" s="2" t="n">
        <v>4999</v>
      </c>
      <c r="AJ99" s="2" t="n"/>
      <c r="AK99" s="2" t="n"/>
      <c r="AL99" s="2" t="n"/>
      <c r="AM99" s="2" t="n">
        <v>8.699999999999999</v>
      </c>
      <c r="AN99" s="2" t="n"/>
      <c r="AO99" s="2" t="inlineStr">
        <is>
          <t>2014</t>
        </is>
      </c>
      <c r="AP99" s="2" t="n">
        <v>2014</v>
      </c>
      <c r="AQ99" s="2" t="n"/>
      <c r="AR99" s="2" t="inlineStr">
        <is>
          <t>C</t>
        </is>
      </c>
      <c r="AS99" s="2" t="inlineStr">
        <is>
          <t>anuncio</t>
        </is>
      </c>
      <c r="AT99" s="2" t="n"/>
      <c r="AU99" s="2" t="inlineStr">
        <is>
          <t>no</t>
        </is>
      </c>
      <c r="AV99" s="2" t="inlineStr">
        <is>
          <t>C</t>
        </is>
      </c>
      <c r="AW99" s="2" t="n"/>
      <c r="AX99" s="2" t="inlineStr">
        <is>
          <t>no</t>
        </is>
      </c>
      <c r="AY99" s="2" t="inlineStr">
        <is>
          <t>no</t>
        </is>
      </c>
      <c r="AZ99" s="2" t="inlineStr">
        <is>
          <t>COMMON.COLOR_BLUE</t>
        </is>
      </c>
      <c r="BA99" s="2" t="inlineStr">
        <is>
          <t>azul</t>
        </is>
      </c>
      <c r="BB99" s="3" t="n">
        <v>2</v>
      </c>
      <c r="BC99" s="3" t="inlineStr">
        <is>
          <t>(por segmento)</t>
        </is>
      </c>
      <c r="BD99" s="2" t="n"/>
      <c r="BE99" s="2" t="inlineStr">
        <is>
          <t>sí</t>
        </is>
      </c>
      <c r="BF99" s="2" t="n"/>
      <c r="BG99" s="2" t="n"/>
      <c r="BH99" s="2" t="n"/>
      <c r="BI99" s="2" t="n"/>
      <c r="BJ99" s="2" t="n"/>
      <c r="BK99" s="2" t="n"/>
      <c r="BL99" s="2" t="inlineStr">
        <is>
          <t>sí</t>
        </is>
      </c>
      <c r="BM99" s="2" t="n">
        <v>232</v>
      </c>
      <c r="BN99" s="2" t="n">
        <v>0.05126157402992249</v>
      </c>
      <c r="BO99" s="2" t="n">
        <v>3</v>
      </c>
      <c r="BP99" s="2" t="n">
        <v>6100</v>
      </c>
      <c r="BQ99" s="2" t="n">
        <v>8</v>
      </c>
      <c r="BR99" s="2" t="inlineStr">
        <is>
          <t>modelo+año+km</t>
        </is>
      </c>
      <c r="BS99" s="2" t="n"/>
      <c r="BT99" s="2" t="inlineStr">
        <is>
          <t>por encima del presupuesto: negociar 63 € (coste 5063 €; -1.3 puntos); vendedor profesional: sin ITP (operación con IVA/REBU, confirmar en factura); gastos de gestión del vendedor no indicados: se suma la tasa DGT; preguntar el precio final; Euro NCAP de la generación PENDIENTE (seguridad neutra); revisar: no menciona la ITV</t>
        </is>
      </c>
      <c r="BU99" s="2" t="inlineStr">
        <is>
          <t>*¡OFERTA EXCEPCIONAL! SE VENDE FIAT 500 1.2 MPI 70 CV AÑO 2014*
*ETIQUETA AMBIENTAL C
 ¡EL VEHÍCULO  ECONOMICO PARA LA CIUDAD!*
ESTE FIAT 500 ES UN VEHÍCULO COMPACTO Y ECONÓMICO, IDEAL PARA MOVERSÉ POR LA CIUDAD. CON SU MOTOR 1.2 MPI 70 CV, OFRECE UN RENDIMIENTO EFICIENTE Y UNA CONDUCCIÓN SUAVE.
*EQUIPAMIENTO DE SERIE:*
- CLIMATIZADOR
- PANTALLA MULTIFUNCIÓN
- VOLANTE MULTIFUNCIÓN
- LLANTAS DE ALEACIÓN
- CONTROL DE ESTABILIDAD (ESP)
- DIRECCIÓN ASISTIDA
- ELEVALUNAS ELÉCTRICOS
- CIERRE CENTRALIZADO
- SENSOR DE LUCES
- ISOFIX
- SISTEMA DE AUDIO CON BLUETOOTH Y USB
*VENTAJAS:*
- MUY ECONÓMICO Y MANEJABLE
- IDEAL PARA LA CIUDAD
- ETIQUETA AMBIENTAL C
*PRECIO INCREÍBLE:*
*¡NO PIERDAS LA OPORTUNIDAD! CONTACTA CON NOSOTROS:*
- TELÉFONO: 664506303
*¡LLAMA AHORA Y PROGRAMA UNA CITA PARA VER EL VEHÍCULO!*</t>
        </is>
      </c>
      <c r="BV99" s="2" t="inlineStr">
        <is>
          <t>https://www.coches.net/fiat-500-12-8v-69-cv-lounge-3p-gasolina-2014-en-valencia-62365434-covo.aspx (window.__INITIAL_PROPS__.ad) /home/user/Alopecia/buscador-coches/raw/cochesnet/35da72ef6d8b8c75.json</t>
        </is>
      </c>
      <c r="BW99" s="3">
        <f>MAX(ANIO_ACTUAL-M99,0)</f>
        <v/>
      </c>
      <c r="BX99" s="4">
        <f>N99/MAX(BW99,0.5)</f>
        <v/>
      </c>
      <c r="BY99" s="4">
        <f>F99</f>
        <v/>
      </c>
      <c r="BZ99" s="3">
        <f>BY99&amp;"|"&amp;INT(M99/SEG_ANIO)*SEG_ANIO</f>
        <v/>
      </c>
      <c r="CA99" s="3">
        <f>BZ99&amp;"|"&amp;INT(N99/SEG_KM)*SEG_KM</f>
        <v/>
      </c>
      <c r="CB99" s="4">
        <f>COUNTIF($BY$2:$BY$209,BY99)</f>
        <v/>
      </c>
      <c r="CC99" s="4">
        <f>COUNTIF($BZ$2:$BZ$209,BZ99)</f>
        <v/>
      </c>
      <c r="CD99" s="4">
        <f>COUNTIF($CA$2:$CA$209,CA99)</f>
        <v/>
      </c>
      <c r="CE99" s="3">
        <f t="array" ref="CE99">IF(N(BQ99)&gt;=MIN_N,BP99,IF(CD99&gt;=MIN_N,MEDIAN(IF($CA$2:$CA$209=CA99,$O$2:$O$209)),IF(CC99&gt;=MIN_N,MEDIAN(IF($BZ$2:$BZ$209=BZ99,$O$2:$O$209)),MEDIAN(IF($BY$2:$BY$209=BY99,$O$2:$O$209)))))</f>
        <v/>
      </c>
      <c r="CF99" s="3">
        <f>IF(N(BQ99)&gt;=MIN_N,"mercado "&amp;BR99,IF(CD99&gt;=MIN_N,"modelo+año+km",IF(CC99&gt;=MIN_N,"modelo+año","modelo")))</f>
        <v/>
      </c>
      <c r="CG99" s="4">
        <f>(CE99-O99)/CE99</f>
        <v/>
      </c>
      <c r="CH99" s="3">
        <f>IF(COUNTIFS(FR_FUEL,K99,FR_YEAR,AP99)&gt;0,1,0)</f>
        <v/>
      </c>
      <c r="CI99" s="3">
        <f>IF(COUNTIFS(FR_FUEL,K99,FR_YEAR,AP99-1)&gt;0,1,0)</f>
        <v/>
      </c>
      <c r="CJ99" s="4">
        <f>IF(N(AQ99)&gt;0,AP99*100+AQ99,IF(AND(CH99=1,CI99=1),(AP99-1)*100+1,AP99*100+1))</f>
        <v/>
      </c>
      <c r="CK99" s="3">
        <f>IF(OR(K99="hibrido",K99="glp",K99="gnc",K99="phev"),"ECO",IF(K99="electrico","CERO",IF(K99="gasolina",IF(CJ99&gt;=GAS_C_YM,"C",IF(CJ99&gt;=GAS_B_YM,"B","A")),IF(K99="diesel",IF(CJ99&gt;=DIE_C_YM,"C",IF(CJ99&gt;=DIE_B_YM,"B","A")),""))))</f>
        <v/>
      </c>
      <c r="CL99" s="2" t="inlineStr">
        <is>
          <t>C</t>
        </is>
      </c>
      <c r="CM99" s="4">
        <f>IF(AU99="sí","sí",IF(AS99="regla",IF(AND(N(AQ99)=0,CH99=1),"sí","no"),"no"))</f>
        <v/>
      </c>
      <c r="CN99" s="3">
        <f>IFERROR(VLOOKUP(F99,MOD_TBL,16,0),IFERROR(VLOOKUP(E99,OCU_TBL,2,0),NEUTRO))</f>
        <v/>
      </c>
      <c r="CO99" s="3">
        <f>SUMIFS(MOT_AJUSTE,MOT_MOTOR,G99,MOT_MARCA,E99,MOT_DESDE,"&lt;="&amp;M99,MOT_HASTA,"&gt;="&amp;M99)+SUMIFS(MOT_AJUSTE,MOT_MOTOR,G99,MOT_MARCA,"(todas)",MOT_DESDE,"&lt;="&amp;M99,MOT_HASTA,"&gt;="&amp;M99)+SUMIFS(MOT_AJUSTE,MOT_MOTOR,"(cualquiera)",MOT_MARCA,E99,MOT_DESDE,"&lt;="&amp;M99,MOT_HASTA,"&gt;="&amp;M99)</f>
        <v/>
      </c>
      <c r="CP99" s="3">
        <f>SUMIFS(COMB_AJUSTE,COMB_COMB,K99)</f>
        <v/>
      </c>
      <c r="CQ99" s="3">
        <f>COUNTIFS(MOT_MOTOR,G99,MOT_MARCA,E99,MOT_DESDE,"&lt;="&amp;M99,MOT_HASTA,"&gt;="&amp;M99)+COUNTIFS(MOT_MOTOR,G99,MOT_MARCA,"(todas)",MOT_DESDE,"&lt;="&amp;M99,MOT_HASTA,"&gt;="&amp;M99)+COUNTIFS(MOT_MOTOR,"(cualquiera)",MOT_MARCA,E99,MOT_DESDE,"&lt;="&amp;M99,MOT_HASTA,"&gt;="&amp;M99)</f>
        <v/>
      </c>
      <c r="CR99" s="3">
        <f>IF(AND(K99="diesel",CQ99=0),MIN(CN99,NEUTRO),CN99)</f>
        <v/>
      </c>
      <c r="CS99" s="3">
        <f>MAX(0,MIN(100,CR99+CO99+CP99-IF(AX99="sí",ROB_PEN,0)))</f>
        <v/>
      </c>
      <c r="CT99" s="3">
        <f>100-MAX(0,N99-KM_TOPE_DESDE)/1000*KM_TOPE_PTS</f>
        <v/>
      </c>
      <c r="CU99" s="3">
        <f>MAX(0,MIN(100,50+CG99*PRECIO_PEND,CT99))</f>
        <v/>
      </c>
      <c r="CV99" s="3">
        <f>MAX(0,100*(1-N99/KM_MAX))</f>
        <v/>
      </c>
      <c r="CW99" s="3">
        <f>IF(BX99&lt;KMA_SOSP,IF(AA99="sí",100,KMA_PEN),IF(BX99&lt;=KMA_IDEAL_MAX,100,MAX(0,100*(KMA_CERO-BX99)/(KMA_CERO-KMA_IDEAL_MAX))))</f>
        <v/>
      </c>
      <c r="CX99" s="3">
        <f>MAX(0,MIN(100,100*(M99-ANIO_MIN)/(ANIO_ACTUAL-ANIO_MIN)))</f>
        <v/>
      </c>
      <c r="CY99" s="3">
        <f>W_KMT*CV99+W_KMA*CW99+W_EDAD*CX99</f>
        <v/>
      </c>
      <c r="CZ99" s="4">
        <f>E99&amp;"|"&amp;G99</f>
        <v/>
      </c>
      <c r="DA99" s="3">
        <f>IFERROR(VLOOKUP(CZ99,DIST_TBL,2,0),"")</f>
        <v/>
      </c>
      <c r="DB99" s="3">
        <f>E_ITV*(V99="sí")+E_LIBRO*(W99="sí")+E_PROP*IF(Y99=1,1,IF(Y99=2,0.5,0))+E_CORREA*IF(OR(DA99="cadena",AND(X99="sí",BH99="sí")),1,IF(X99="sí",0.5,0))+E_FACT*(BI99="sí")</f>
        <v/>
      </c>
      <c r="DC99" s="3">
        <f>MAX(0,MIN(100,IFERROR(VLOOKUP(CL99,ETQ_TBL,2,0),0)-IF(CM99="sí",ETQ_PEN_DUD,IF(AS99="regla",ETQ_PEN_REGLA,0))))</f>
        <v/>
      </c>
      <c r="DD99" s="3">
        <f>IF(K99&lt;&gt;"gasolina","",IFERROR(VLOOKUP(F99,CONS_MOD_TBL,2,0),IFERROR(VLOOKUP(L99,CONS_SEG_TBL,2,0),"")))</f>
        <v/>
      </c>
      <c r="DE99" s="3">
        <f>IF(DD99="",NEUTRO,MAX(0,MIN(100,100*(CONS_REF_MAX-DD99)/(CONS_REF_MAX-CONS_REF_MIN))))</f>
        <v/>
      </c>
      <c r="DF99" s="3">
        <f>IFERROR(VLOOKUP(L99,SEGURO_TBL,3,0),"")</f>
        <v/>
      </c>
      <c r="DG99" s="3">
        <f>IF(DF99="",NEUTRO,MAX(0,MIN(100,100*(SEG_REF_MAX-DF99)/(SEG_REF_MAX-SEG_REF_MIN))))</f>
        <v/>
      </c>
      <c r="DH99" s="3">
        <f>IFERROR(VLOOKUP(E99,MANT_MARCA_TBL,2,0)+0,NEUTRO)</f>
        <v/>
      </c>
      <c r="DI99" s="3">
        <f>IF(DA99="",NEUTRO,IFERROR(VLOOKUP(DA99,DIST_PTS_TBL,2,0)+0,NEUTRO))</f>
        <v/>
      </c>
      <c r="DJ99" s="4">
        <f>(DH99+DI99)/2</f>
        <v/>
      </c>
      <c r="DK99" s="3">
        <f>W_CONS*DE99+W_SEG*DG99+W_MANT*DJ99</f>
        <v/>
      </c>
      <c r="DL99" s="3">
        <f>IF(N(AB99)&gt;0,AB99,IF(AND(R99="profesional",SG_LEGAL_ON=1),GAR_LEGAL,0))</f>
        <v/>
      </c>
      <c r="DM99" s="3">
        <f>MAX(0,MIN(100,SG_GAR*MIN(1,DL99/SG_GAR_FULL)+SG_AMPL*(AC99="sí")+SG_KMC*(AF99="sí")+SG_REV*(N(AE99)&gt;0)+SG_DEV*MIN(1,N(AG99)/SG_DEV_FULL)+SG_HIST*(W99="sí")-IF(AND(R99="particular",DL99=0),SG_PART_PEN,0)))</f>
        <v/>
      </c>
      <c r="DN99" s="3">
        <f>IF(BK99="",NEUTRO,MAX(0,MIN(100,BK99/5*100)))</f>
        <v/>
      </c>
      <c r="DO99" s="3">
        <f>IF(BL99="sí",100,IF(BL99="no",0,NEUTRO))</f>
        <v/>
      </c>
      <c r="DP99" s="3">
        <f>SV_W_NCAP*DN99+SV_W_ESP*DO99</f>
        <v/>
      </c>
      <c r="DQ99" s="3">
        <f>MAX(0,MIN(100,ATR_BASE+ATR_ACAB*(BD99&lt;&gt;"")+IF(BE99="16+",ATR_LL16,IF(BE99="sí",ATR_LL,0))+ATR_FAROS*(BF99="sí")+ATR_TINT*(BG99="sí")-ATR_CHAPA*(BE99="chapa")))</f>
        <v/>
      </c>
      <c r="DR99" s="3">
        <f>EST_W_MOD*(BB99-1)/4*100+EST_W_ATR*DQ99</f>
        <v/>
      </c>
      <c r="DS99" s="3">
        <f>IF(BA99="",NEUTRO,IFERROR(VLOOKUP(BA99,COLOR_TBL,2,0)+0,NEUTRO))</f>
        <v/>
      </c>
      <c r="DT99" s="3">
        <f>MAX(0,MIN(100,100*N(BM99)/RV_N_FULL))</f>
        <v/>
      </c>
      <c r="DU99" s="3">
        <f>IF(OR(BN99="",N(BO99)&lt;RV_DIAS_MIN),NEUTRO,MAX(0,MIN(100,100*(RV_DIAS_CERO-BN99)/(RV_DIAS_CERO-RV_DIAS_FULL))))</f>
        <v/>
      </c>
      <c r="DV99" s="3">
        <f>RV_W_LIQ*DT99+RV_W_DIAS*DU99+RV_W_ETQ*DC99</f>
        <v/>
      </c>
      <c r="DW99" s="3">
        <f>IFERROR(VLOOKUP(L99,CARR_PEN_TBL,2,0),0)</f>
        <v/>
      </c>
      <c r="DX99" s="3">
        <f>W_FIAB*CS99+W_PRECIO*CU99+W_KMEDAD*CY99+W_ESTADO*DB99+W_USO*DK99+W_SEGURIDAD*DM99+W_SEGVIAL*DP99+W_ESTETICA*DR99+W_COLOR*DS99+W_REVENTA*DV99-DW99-EG99</f>
        <v/>
      </c>
      <c r="DY99" s="4">
        <f>IF(N(I99)&gt;0,I99,IFERROR(ROUND(_xlfn.NUMBERVALUE(LEFT(G99,FIND(" ",G99&amp;" ")-1),".")*1000,0),99999))</f>
        <v/>
      </c>
      <c r="DZ99" s="3">
        <f>IF(R99="profesional",0,IF(O99&lt;CUOTA_VALOR_MAX,IF(BW99&gt;ITP_TRAMO_ALTO,SUMIFS(CF_CUOTA,CF_MAS,ITP_TRAMO_ALTO,CF_CCMIN,"&lt;="&amp;DY99,CF_CCMAX,"&gt;="&amp;DY99),IF(BW99&gt;ITP_TRAMO_BAJO,SUMIFS(CF_CUOTA,CF_MAS,ITP_TRAMO_BAJO,CF_CCMIN,"&lt;="&amp;DY99,CF_CCMAX,"&gt;="&amp;DY99),O99*ITP_TIPO)),O99*ITP_TIPO))</f>
        <v/>
      </c>
      <c r="EA99" s="4">
        <f>IF(R99="profesional",N(AK99),0)</f>
        <v/>
      </c>
      <c r="EB99" s="3">
        <f>IF(AND(R99="profesional",ISNUMBER(AK99),AL99="sí"),0,TASA_DGT)</f>
        <v/>
      </c>
      <c r="EC99" s="3">
        <f>INFORME_DGT</f>
        <v/>
      </c>
      <c r="ED99" s="4">
        <f>O99+EA99+DZ99+EB99+EC99</f>
        <v/>
      </c>
      <c r="EE99" s="4">
        <f>ED99+N(DF99)</f>
        <v/>
      </c>
      <c r="EF99" s="3">
        <f>MAX(0,ED99-TOTAL_MAX)</f>
        <v/>
      </c>
      <c r="EG99" s="3">
        <f>EF99/100*PEN_100</f>
        <v/>
      </c>
      <c r="EH99" s="3">
        <f>IF(R99="particular",ED99+IF(AND(DA99&lt;&gt;"cadena",X99&lt;&gt;"sí"),RES_CORREA,0)+IF(AND(BJ99&lt;&gt;"sí",BW99&gt;=RES_NEUM_EDAD),RES_NEUM,0),"")</f>
        <v/>
      </c>
      <c r="EI99" s="3">
        <f>IF(ED99&lt;=TOTAL_MAX,"sí",IF(ED99&lt;=TECHO,"negociar","no"))</f>
        <v/>
      </c>
      <c r="EJ99" s="4">
        <f>ROUND(DX99,9)</f>
        <v/>
      </c>
      <c r="EK99" s="4">
        <f>IF(EI99&lt;&gt;"no",SUMPRODUCT(($EI$2:$EI$209&lt;&gt;"no")*($EJ$2:$EJ$209&gt;EJ99))+SUMPRODUCT(($EI$2:EI99&lt;&gt;"no")*($EJ$2:EJ99=EJ99)),"")</f>
        <v/>
      </c>
    </row>
    <row r="100">
      <c r="A100" s="2" t="inlineStr">
        <is>
          <t>cochesnet:71702947</t>
        </is>
      </c>
      <c r="B100" s="2" t="inlineStr">
        <is>
          <t>cochesnet</t>
        </is>
      </c>
      <c r="C100" s="2" t="inlineStr">
        <is>
          <t>https://www.coches.net/fiat-punto-12-feel-5p-gasolina-2005-en-valencia-71702947-covo.aspx</t>
        </is>
      </c>
      <c r="D100" s="2" t="inlineStr">
        <is>
          <t>FIAT Punto 1.2 Feel</t>
        </is>
      </c>
      <c r="E100" s="2" t="inlineStr">
        <is>
          <t>Fiat</t>
        </is>
      </c>
      <c r="F100" s="2" t="inlineStr">
        <is>
          <t>Fiat Punto</t>
        </is>
      </c>
      <c r="G100" s="2" t="inlineStr">
        <is>
          <t>1.2</t>
        </is>
      </c>
      <c r="H100" s="2" t="inlineStr">
        <is>
          <t>1.2 Feel</t>
        </is>
      </c>
      <c r="I100" s="2" t="n"/>
      <c r="J100" s="2" t="n"/>
      <c r="K100" s="2" t="inlineStr">
        <is>
          <t>gasolina</t>
        </is>
      </c>
      <c r="L100" s="2" t="inlineStr">
        <is>
          <t>utilitario</t>
        </is>
      </c>
      <c r="M100" s="2" t="n">
        <v>2007</v>
      </c>
      <c r="N100" s="2" t="n">
        <v>117000</v>
      </c>
      <c r="O100" s="2" t="n">
        <v>2750</v>
      </c>
      <c r="P100" s="2" t="inlineStr">
        <is>
          <t>manual</t>
        </is>
      </c>
      <c r="Q100" s="2" t="inlineStr">
        <is>
          <t>no</t>
        </is>
      </c>
      <c r="R100" s="2" t="inlineStr">
        <is>
          <t>profesional</t>
        </is>
      </c>
      <c r="S100" s="2" t="inlineStr">
        <is>
          <t>GO! autos Sagunto (Sagunt)</t>
        </is>
      </c>
      <c r="T100" s="2" t="inlineStr">
        <is>
          <t>2026-10-08T13:46:56Z</t>
        </is>
      </c>
      <c r="U100" s="2" t="n">
        <v>12</v>
      </c>
      <c r="V100" s="2" t="inlineStr">
        <is>
          <t>sí</t>
        </is>
      </c>
      <c r="W100" s="2" t="inlineStr">
        <is>
          <t>sí</t>
        </is>
      </c>
      <c r="X100" s="2" t="n"/>
      <c r="Y100" s="2" t="n"/>
      <c r="Z100" s="2" t="inlineStr">
        <is>
          <t>sí</t>
        </is>
      </c>
      <c r="AA100" s="2" t="n"/>
      <c r="AB100" s="2" t="n">
        <v>12</v>
      </c>
      <c r="AC100" s="2" t="n"/>
      <c r="AD100" s="2" t="n"/>
      <c r="AE100" s="2" t="n"/>
      <c r="AF100" s="2" t="n"/>
      <c r="AG100" s="2" t="n"/>
      <c r="AH100" s="2" t="n">
        <v>2750</v>
      </c>
      <c r="AI100" s="2" t="n">
        <v>2750</v>
      </c>
      <c r="AJ100" s="2" t="n"/>
      <c r="AK100" s="2" t="n"/>
      <c r="AL100" s="2" t="n"/>
      <c r="AM100" s="2" t="n"/>
      <c r="AN100" s="2" t="n"/>
      <c r="AO100" s="2" t="inlineStr">
        <is>
          <t>2007</t>
        </is>
      </c>
      <c r="AP100" s="2" t="n">
        <v>2007</v>
      </c>
      <c r="AQ100" s="2" t="n"/>
      <c r="AR100" s="2" t="inlineStr">
        <is>
          <t>B</t>
        </is>
      </c>
      <c r="AS100" s="2" t="inlineStr">
        <is>
          <t>anuncio</t>
        </is>
      </c>
      <c r="AT100" s="2" t="n">
        <v>2005</v>
      </c>
      <c r="AU100" s="2" t="inlineStr">
        <is>
          <t>sí</t>
        </is>
      </c>
      <c r="AV100" s="2" t="inlineStr">
        <is>
          <t>B/C</t>
        </is>
      </c>
      <c r="AW100" s="2" t="n"/>
      <c r="AX100" s="2" t="inlineStr">
        <is>
          <t>no</t>
        </is>
      </c>
      <c r="AY100" s="2" t="inlineStr">
        <is>
          <t>no</t>
        </is>
      </c>
      <c r="AZ100" s="2" t="inlineStr">
        <is>
          <t>COMMON.COLOR_BEIGE</t>
        </is>
      </c>
      <c r="BA100" s="2" t="inlineStr">
        <is>
          <t>beige</t>
        </is>
      </c>
      <c r="BB100" s="3" t="n">
        <v>2</v>
      </c>
      <c r="BC100" s="3" t="inlineStr">
        <is>
          <t>(por segmento)</t>
        </is>
      </c>
      <c r="BD100" s="2" t="n"/>
      <c r="BE100" s="2" t="n"/>
      <c r="BF100" s="2" t="n"/>
      <c r="BG100" s="2" t="n"/>
      <c r="BH100" s="2" t="n"/>
      <c r="BI100" s="2" t="n"/>
      <c r="BJ100" s="2" t="n"/>
      <c r="BK100" s="2" t="n">
        <v>5</v>
      </c>
      <c r="BL100" s="2" t="inlineStr">
        <is>
          <t>no</t>
        </is>
      </c>
      <c r="BM100" s="2" t="n">
        <v>134</v>
      </c>
      <c r="BN100" s="2" t="n">
        <v>0.02563078701496124</v>
      </c>
      <c r="BO100" s="2" t="n">
        <v>4</v>
      </c>
      <c r="BP100" s="2" t="n">
        <v>2500</v>
      </c>
      <c r="BQ100" s="2" t="n">
        <v>13</v>
      </c>
      <c r="BR100" s="2" t="inlineStr">
        <is>
          <t>modelo+año</t>
        </is>
      </c>
      <c r="BS100" s="2" t="n"/>
      <c r="BT100" s="2" t="inlineStr">
        <is>
          <t>etiqueta dudosa (B/C): se puntúa la peor (B); confirmar con la DGT antes de comprar; año a confirmar: la URL/título dice 2005; vendedor profesional: sin ITP (operación con IVA/REBU, confirmar en factura); gastos de gestión del vendedor no indicados: se suma la tasa DGT; preguntar el precio final; distancia no verificable (el anuncio solo indica la provincia): confirmar que está a &lt;= 70 km; fiabilidad del modelo PENDIENTE de fuente (puntuación neutra)</t>
        </is>
      </c>
      <c r="BU100" s="2" t="inlineStr">
        <is>
          <t>IAT PUNTO 1.2 SENSATION GASOLINA | 116.000 KM | GARANTÍA 1 AÑO | ITV EN VIGOR
Fiat Punto 1.2 Sensation gasolina, con 116.000 km, ideal para quienes buscan un vehículo económico, práctico y fácil de conducir.
Una opción perfecta para el día a día, especialmente para ciudad y desplazamientos habituales, con un motor sencillo y un mantenimiento económico.
EQUIPAMIENTO Y EXTRAS
Aire acondicionado 
Cierre centralizado
Elevalunas eléctricos
Radio CD
2 llaves
SE ENTREGA
? 1 año de garantía
? ITV en vigor
? Mantenimiento al día
? 2 llaves
? 116.000 km
Vehículo práctico y económico, listo para su próximo propietario.
Para más información, fotos o concertar una visita, no dude en contactar.</t>
        </is>
      </c>
      <c r="BV100" s="2" t="inlineStr">
        <is>
          <t>https://www.coches.net/fiat-punto-12-feel-5p-gasolina-2005-en-valencia-71702947-covo.aspx (window.__INITIAL_PROPS__.ad) /home/user/Alopecia/buscador-coches/raw/cochesnet/33da8b6b5efdbae4.json</t>
        </is>
      </c>
      <c r="BW100" s="3">
        <f>MAX(ANIO_ACTUAL-M100,0)</f>
        <v/>
      </c>
      <c r="BX100" s="4">
        <f>N100/MAX(BW100,0.5)</f>
        <v/>
      </c>
      <c r="BY100" s="4">
        <f>F100</f>
        <v/>
      </c>
      <c r="BZ100" s="3">
        <f>BY100&amp;"|"&amp;INT(M100/SEG_ANIO)*SEG_ANIO</f>
        <v/>
      </c>
      <c r="CA100" s="3">
        <f>BZ100&amp;"|"&amp;INT(N100/SEG_KM)*SEG_KM</f>
        <v/>
      </c>
      <c r="CB100" s="4">
        <f>COUNTIF($BY$2:$BY$209,BY100)</f>
        <v/>
      </c>
      <c r="CC100" s="4">
        <f>COUNTIF($BZ$2:$BZ$209,BZ100)</f>
        <v/>
      </c>
      <c r="CD100" s="4">
        <f>COUNTIF($CA$2:$CA$209,CA100)</f>
        <v/>
      </c>
      <c r="CE100" s="3">
        <f t="array" ref="CE100">IF(N(BQ100)&gt;=MIN_N,BP100,IF(CD100&gt;=MIN_N,MEDIAN(IF($CA$2:$CA$209=CA100,$O$2:$O$209)),IF(CC100&gt;=MIN_N,MEDIAN(IF($BZ$2:$BZ$209=BZ100,$O$2:$O$209)),MEDIAN(IF($BY$2:$BY$209=BY100,$O$2:$O$209)))))</f>
        <v/>
      </c>
      <c r="CF100" s="3">
        <f>IF(N(BQ100)&gt;=MIN_N,"mercado "&amp;BR100,IF(CD100&gt;=MIN_N,"modelo+año+km",IF(CC100&gt;=MIN_N,"modelo+año","modelo")))</f>
        <v/>
      </c>
      <c r="CG100" s="4">
        <f>(CE100-O100)/CE100</f>
        <v/>
      </c>
      <c r="CH100" s="3">
        <f>IF(COUNTIFS(FR_FUEL,K100,FR_YEAR,AP100)&gt;0,1,0)</f>
        <v/>
      </c>
      <c r="CI100" s="3">
        <f>IF(COUNTIFS(FR_FUEL,K100,FR_YEAR,AP100-1)&gt;0,1,0)</f>
        <v/>
      </c>
      <c r="CJ100" s="4">
        <f>IF(N(AQ100)&gt;0,AP100*100+AQ100,IF(AND(CH100=1,CI100=1),(AP100-1)*100+1,AP100*100+1))</f>
        <v/>
      </c>
      <c r="CK100" s="3">
        <f>IF(OR(K100="hibrido",K100="glp",K100="gnc",K100="phev"),"ECO",IF(K100="electrico","CERO",IF(K100="gasolina",IF(CJ100&gt;=GAS_C_YM,"C",IF(CJ100&gt;=GAS_B_YM,"B","A")),IF(K100="diesel",IF(CJ100&gt;=DIE_C_YM,"C",IF(CJ100&gt;=DIE_B_YM,"B","A")),""))))</f>
        <v/>
      </c>
      <c r="CL100" s="2" t="inlineStr">
        <is>
          <t>B</t>
        </is>
      </c>
      <c r="CM100" s="4">
        <f>IF(AU100="sí","sí",IF(AS100="regla",IF(AND(N(AQ100)=0,CH100=1),"sí","no"),"no"))</f>
        <v/>
      </c>
      <c r="CN100" s="3">
        <f>IFERROR(VLOOKUP(F100,MOD_TBL,16,0),IFERROR(VLOOKUP(E100,OCU_TBL,2,0),NEUTRO))</f>
        <v/>
      </c>
      <c r="CO100" s="3">
        <f>SUMIFS(MOT_AJUSTE,MOT_MOTOR,G100,MOT_MARCA,E100,MOT_DESDE,"&lt;="&amp;M100,MOT_HASTA,"&gt;="&amp;M100)+SUMIFS(MOT_AJUSTE,MOT_MOTOR,G100,MOT_MARCA,"(todas)",MOT_DESDE,"&lt;="&amp;M100,MOT_HASTA,"&gt;="&amp;M100)+SUMIFS(MOT_AJUSTE,MOT_MOTOR,"(cualquiera)",MOT_MARCA,E100,MOT_DESDE,"&lt;="&amp;M100,MOT_HASTA,"&gt;="&amp;M100)</f>
        <v/>
      </c>
      <c r="CP100" s="3">
        <f>SUMIFS(COMB_AJUSTE,COMB_COMB,K100)</f>
        <v/>
      </c>
      <c r="CQ100" s="3">
        <f>COUNTIFS(MOT_MOTOR,G100,MOT_MARCA,E100,MOT_DESDE,"&lt;="&amp;M100,MOT_HASTA,"&gt;="&amp;M100)+COUNTIFS(MOT_MOTOR,G100,MOT_MARCA,"(todas)",MOT_DESDE,"&lt;="&amp;M100,MOT_HASTA,"&gt;="&amp;M100)+COUNTIFS(MOT_MOTOR,"(cualquiera)",MOT_MARCA,E100,MOT_DESDE,"&lt;="&amp;M100,MOT_HASTA,"&gt;="&amp;M100)</f>
        <v/>
      </c>
      <c r="CR100" s="3">
        <f>IF(AND(K100="diesel",CQ100=0),MIN(CN100,NEUTRO),CN100)</f>
        <v/>
      </c>
      <c r="CS100" s="3">
        <f>MAX(0,MIN(100,CR100+CO100+CP100-IF(AX100="sí",ROB_PEN,0)))</f>
        <v/>
      </c>
      <c r="CT100" s="3">
        <f>100-MAX(0,N100-KM_TOPE_DESDE)/1000*KM_TOPE_PTS</f>
        <v/>
      </c>
      <c r="CU100" s="3">
        <f>MAX(0,MIN(100,50+CG100*PRECIO_PEND,CT100))</f>
        <v/>
      </c>
      <c r="CV100" s="3">
        <f>MAX(0,100*(1-N100/KM_MAX))</f>
        <v/>
      </c>
      <c r="CW100" s="3">
        <f>IF(BX100&lt;KMA_SOSP,IF(AA100="sí",100,KMA_PEN),IF(BX100&lt;=KMA_IDEAL_MAX,100,MAX(0,100*(KMA_CERO-BX100)/(KMA_CERO-KMA_IDEAL_MAX))))</f>
        <v/>
      </c>
      <c r="CX100" s="3">
        <f>MAX(0,MIN(100,100*(M100-ANIO_MIN)/(ANIO_ACTUAL-ANIO_MIN)))</f>
        <v/>
      </c>
      <c r="CY100" s="3">
        <f>W_KMT*CV100+W_KMA*CW100+W_EDAD*CX100</f>
        <v/>
      </c>
      <c r="CZ100" s="4">
        <f>E100&amp;"|"&amp;G100</f>
        <v/>
      </c>
      <c r="DA100" s="3">
        <f>IFERROR(VLOOKUP(CZ100,DIST_TBL,2,0),"")</f>
        <v/>
      </c>
      <c r="DB100" s="3">
        <f>E_ITV*(V100="sí")+E_LIBRO*(W100="sí")+E_PROP*IF(Y100=1,1,IF(Y100=2,0.5,0))+E_CORREA*IF(OR(DA100="cadena",AND(X100="sí",BH100="sí")),1,IF(X100="sí",0.5,0))+E_FACT*(BI100="sí")</f>
        <v/>
      </c>
      <c r="DC100" s="3">
        <f>MAX(0,MIN(100,IFERROR(VLOOKUP(CL100,ETQ_TBL,2,0),0)-IF(CM100="sí",ETQ_PEN_DUD,IF(AS100="regla",ETQ_PEN_REGLA,0))))</f>
        <v/>
      </c>
      <c r="DD100" s="3">
        <f>IF(K100&lt;&gt;"gasolina","",IFERROR(VLOOKUP(F100,CONS_MOD_TBL,2,0),IFERROR(VLOOKUP(L100,CONS_SEG_TBL,2,0),"")))</f>
        <v/>
      </c>
      <c r="DE100" s="3">
        <f>IF(DD100="",NEUTRO,MAX(0,MIN(100,100*(CONS_REF_MAX-DD100)/(CONS_REF_MAX-CONS_REF_MIN))))</f>
        <v/>
      </c>
      <c r="DF100" s="3">
        <f>IFERROR(VLOOKUP(L100,SEGURO_TBL,3,0),"")</f>
        <v/>
      </c>
      <c r="DG100" s="3">
        <f>IF(DF100="",NEUTRO,MAX(0,MIN(100,100*(SEG_REF_MAX-DF100)/(SEG_REF_MAX-SEG_REF_MIN))))</f>
        <v/>
      </c>
      <c r="DH100" s="3">
        <f>IFERROR(VLOOKUP(E100,MANT_MARCA_TBL,2,0)+0,NEUTRO)</f>
        <v/>
      </c>
      <c r="DI100" s="3">
        <f>IF(DA100="",NEUTRO,IFERROR(VLOOKUP(DA100,DIST_PTS_TBL,2,0)+0,NEUTRO))</f>
        <v/>
      </c>
      <c r="DJ100" s="4">
        <f>(DH100+DI100)/2</f>
        <v/>
      </c>
      <c r="DK100" s="3">
        <f>W_CONS*DE100+W_SEG*DG100+W_MANT*DJ100</f>
        <v/>
      </c>
      <c r="DL100" s="3">
        <f>IF(N(AB100)&gt;0,AB100,IF(AND(R100="profesional",SG_LEGAL_ON=1),GAR_LEGAL,0))</f>
        <v/>
      </c>
      <c r="DM100" s="3">
        <f>MAX(0,MIN(100,SG_GAR*MIN(1,DL100/SG_GAR_FULL)+SG_AMPL*(AC100="sí")+SG_KMC*(AF100="sí")+SG_REV*(N(AE100)&gt;0)+SG_DEV*MIN(1,N(AG100)/SG_DEV_FULL)+SG_HIST*(W100="sí")-IF(AND(R100="particular",DL100=0),SG_PART_PEN,0)))</f>
        <v/>
      </c>
      <c r="DN100" s="3">
        <f>IF(BK100="",NEUTRO,MAX(0,MIN(100,BK100/5*100)))</f>
        <v/>
      </c>
      <c r="DO100" s="3">
        <f>IF(BL100="sí",100,IF(BL100="no",0,NEUTRO))</f>
        <v/>
      </c>
      <c r="DP100" s="3">
        <f>SV_W_NCAP*DN100+SV_W_ESP*DO100</f>
        <v/>
      </c>
      <c r="DQ100" s="3">
        <f>MAX(0,MIN(100,ATR_BASE+ATR_ACAB*(BD100&lt;&gt;"")+IF(BE100="16+",ATR_LL16,IF(BE100="sí",ATR_LL,0))+ATR_FAROS*(BF100="sí")+ATR_TINT*(BG100="sí")-ATR_CHAPA*(BE100="chapa")))</f>
        <v/>
      </c>
      <c r="DR100" s="3">
        <f>EST_W_MOD*(BB100-1)/4*100+EST_W_ATR*DQ100</f>
        <v/>
      </c>
      <c r="DS100" s="3">
        <f>IF(BA100="",NEUTRO,IFERROR(VLOOKUP(BA100,COLOR_TBL,2,0)+0,NEUTRO))</f>
        <v/>
      </c>
      <c r="DT100" s="3">
        <f>MAX(0,MIN(100,100*N(BM100)/RV_N_FULL))</f>
        <v/>
      </c>
      <c r="DU100" s="3">
        <f>IF(OR(BN100="",N(BO100)&lt;RV_DIAS_MIN),NEUTRO,MAX(0,MIN(100,100*(RV_DIAS_CERO-BN100)/(RV_DIAS_CERO-RV_DIAS_FULL))))</f>
        <v/>
      </c>
      <c r="DV100" s="3">
        <f>RV_W_LIQ*DT100+RV_W_DIAS*DU100+RV_W_ETQ*DC100</f>
        <v/>
      </c>
      <c r="DW100" s="3">
        <f>IFERROR(VLOOKUP(L100,CARR_PEN_TBL,2,0),0)</f>
        <v/>
      </c>
      <c r="DX100" s="3">
        <f>W_FIAB*CS100+W_PRECIO*CU100+W_KMEDAD*CY100+W_ESTADO*DB100+W_USO*DK100+W_SEGURIDAD*DM100+W_SEGVIAL*DP100+W_ESTETICA*DR100+W_COLOR*DS100+W_REVENTA*DV100-DW100-EG100</f>
        <v/>
      </c>
      <c r="DY100" s="4">
        <f>IF(N(I100)&gt;0,I100,IFERROR(ROUND(_xlfn.NUMBERVALUE(LEFT(G100,FIND(" ",G100&amp;" ")-1),".")*1000,0),99999))</f>
        <v/>
      </c>
      <c r="DZ100" s="3">
        <f>IF(R100="profesional",0,IF(O100&lt;CUOTA_VALOR_MAX,IF(BW100&gt;ITP_TRAMO_ALTO,SUMIFS(CF_CUOTA,CF_MAS,ITP_TRAMO_ALTO,CF_CCMIN,"&lt;="&amp;DY100,CF_CCMAX,"&gt;="&amp;DY100),IF(BW100&gt;ITP_TRAMO_BAJO,SUMIFS(CF_CUOTA,CF_MAS,ITP_TRAMO_BAJO,CF_CCMIN,"&lt;="&amp;DY100,CF_CCMAX,"&gt;="&amp;DY100),O100*ITP_TIPO)),O100*ITP_TIPO))</f>
        <v/>
      </c>
      <c r="EA100" s="4">
        <f>IF(R100="profesional",N(AK100),0)</f>
        <v/>
      </c>
      <c r="EB100" s="3">
        <f>IF(AND(R100="profesional",ISNUMBER(AK100),AL100="sí"),0,TASA_DGT)</f>
        <v/>
      </c>
      <c r="EC100" s="3">
        <f>INFORME_DGT</f>
        <v/>
      </c>
      <c r="ED100" s="4">
        <f>O100+EA100+DZ100+EB100+EC100</f>
        <v/>
      </c>
      <c r="EE100" s="4">
        <f>ED100+N(DF100)</f>
        <v/>
      </c>
      <c r="EF100" s="3">
        <f>MAX(0,ED100-TOTAL_MAX)</f>
        <v/>
      </c>
      <c r="EG100" s="3">
        <f>EF100/100*PEN_100</f>
        <v/>
      </c>
      <c r="EH100" s="3">
        <f>IF(R100="particular",ED100+IF(AND(DA100&lt;&gt;"cadena",X100&lt;&gt;"sí"),RES_CORREA,0)+IF(AND(BJ100&lt;&gt;"sí",BW100&gt;=RES_NEUM_EDAD),RES_NEUM,0),"")</f>
        <v/>
      </c>
      <c r="EI100" s="3">
        <f>IF(ED100&lt;=TOTAL_MAX,"sí",IF(ED100&lt;=TECHO,"negociar","no"))</f>
        <v/>
      </c>
      <c r="EJ100" s="4">
        <f>ROUND(DX100,9)</f>
        <v/>
      </c>
      <c r="EK100" s="4">
        <f>IF(EI100&lt;&gt;"no",SUMPRODUCT(($EI$2:$EI$209&lt;&gt;"no")*($EJ$2:$EJ$209&gt;EJ100))+SUMPRODUCT(($EI$2:EI100&lt;&gt;"no")*($EJ$2:EJ100=EJ100)),"")</f>
        <v/>
      </c>
    </row>
    <row r="101">
      <c r="A101" s="2" t="inlineStr">
        <is>
          <t>cochesnet:71805914</t>
        </is>
      </c>
      <c r="B101" s="2" t="inlineStr">
        <is>
          <t>cochesnet</t>
        </is>
      </c>
      <c r="C101" s="2" t="inlineStr">
        <is>
          <t>https://www.coches.net/mini-mini-cooper-3p-gasolina-2007-en-valencia-71805914-covo.aspx</t>
        </is>
      </c>
      <c r="D101" s="2" t="inlineStr">
        <is>
          <t>MINI MINI Cooper</t>
        </is>
      </c>
      <c r="E101" s="2" t="inlineStr">
        <is>
          <t>MINI</t>
        </is>
      </c>
      <c r="F101" s="2" t="inlineStr">
        <is>
          <t>MINI MINI</t>
        </is>
      </c>
      <c r="G101" s="2" t="n"/>
      <c r="H101" s="2" t="inlineStr">
        <is>
          <t>Cooper</t>
        </is>
      </c>
      <c r="I101" s="2" t="n"/>
      <c r="J101" s="2" t="n"/>
      <c r="K101" s="2" t="inlineStr">
        <is>
          <t>gasolina</t>
        </is>
      </c>
      <c r="L101" s="2" t="inlineStr">
        <is>
          <t>utilitario</t>
        </is>
      </c>
      <c r="M101" s="2" t="n">
        <v>2007</v>
      </c>
      <c r="N101" s="2" t="n">
        <v>220000</v>
      </c>
      <c r="O101" s="2" t="n">
        <v>3999</v>
      </c>
      <c r="P101" s="2" t="inlineStr">
        <is>
          <t>manual</t>
        </is>
      </c>
      <c r="Q101" s="2" t="inlineStr">
        <is>
          <t>no</t>
        </is>
      </c>
      <c r="R101" s="2" t="inlineStr">
        <is>
          <t>profesional</t>
        </is>
      </c>
      <c r="S101" s="2" t="inlineStr">
        <is>
          <t>Compraventa MCars L'Alcúdia</t>
        </is>
      </c>
      <c r="T101" s="2" t="inlineStr">
        <is>
          <t>2026-10-22T09:48:02Z</t>
        </is>
      </c>
      <c r="U101" s="2" t="n">
        <v>9</v>
      </c>
      <c r="V101" s="2" t="inlineStr">
        <is>
          <t>sí</t>
        </is>
      </c>
      <c r="W101" s="2" t="inlineStr">
        <is>
          <t>sí</t>
        </is>
      </c>
      <c r="X101" s="2" t="n"/>
      <c r="Y101" s="2" t="n"/>
      <c r="Z101" s="2" t="inlineStr">
        <is>
          <t>sí</t>
        </is>
      </c>
      <c r="AA101" s="2" t="n"/>
      <c r="AB101" s="2" t="n">
        <v>12</v>
      </c>
      <c r="AC101" s="2" t="n"/>
      <c r="AD101" s="2" t="n"/>
      <c r="AE101" s="2" t="n"/>
      <c r="AF101" s="2" t="n"/>
      <c r="AG101" s="2" t="n"/>
      <c r="AH101" s="2" t="n">
        <v>3999</v>
      </c>
      <c r="AI101" s="2" t="n"/>
      <c r="AJ101" s="2" t="n"/>
      <c r="AK101" s="2" t="n"/>
      <c r="AL101" s="2" t="n"/>
      <c r="AM101" s="2" t="n"/>
      <c r="AN101" s="2" t="n"/>
      <c r="AO101" s="2" t="inlineStr">
        <is>
          <t>2007</t>
        </is>
      </c>
      <c r="AP101" s="2" t="n">
        <v>2007</v>
      </c>
      <c r="AQ101" s="2" t="n"/>
      <c r="AR101" s="2" t="n"/>
      <c r="AS101" s="2" t="inlineStr">
        <is>
          <t>regla</t>
        </is>
      </c>
      <c r="AT101" s="2" t="n"/>
      <c r="AU101" s="2" t="inlineStr">
        <is>
          <t>no</t>
        </is>
      </c>
      <c r="AV101" s="2" t="inlineStr">
        <is>
          <t>C</t>
        </is>
      </c>
      <c r="AW101" s="2" t="n"/>
      <c r="AX101" s="2" t="inlineStr">
        <is>
          <t>no</t>
        </is>
      </c>
      <c r="AY101" s="2" t="inlineStr">
        <is>
          <t>no</t>
        </is>
      </c>
      <c r="AZ101" s="2" t="inlineStr">
        <is>
          <t>COMMON.COLOR_WHITE</t>
        </is>
      </c>
      <c r="BA101" s="2" t="inlineStr">
        <is>
          <t>blanco</t>
        </is>
      </c>
      <c r="BB101" s="3" t="n">
        <v>2</v>
      </c>
      <c r="BC101" s="3" t="inlineStr">
        <is>
          <t>(por segmento)</t>
        </is>
      </c>
      <c r="BD101" s="2" t="n"/>
      <c r="BE101" s="2" t="n"/>
      <c r="BF101" s="2" t="n"/>
      <c r="BG101" s="2" t="n"/>
      <c r="BH101" s="2" t="n"/>
      <c r="BI101" s="2" t="n"/>
      <c r="BJ101" s="2" t="n"/>
      <c r="BK101" s="2" t="n"/>
      <c r="BL101" s="2" t="n"/>
      <c r="BM101" s="2" t="n">
        <v>299</v>
      </c>
      <c r="BN101" s="2" t="n">
        <v>0</v>
      </c>
      <c r="BO101" s="2" t="n">
        <v>1</v>
      </c>
      <c r="BP101" s="2" t="n">
        <v>4200</v>
      </c>
      <c r="BQ101" s="2" t="n">
        <v>7</v>
      </c>
      <c r="BR101" s="2" t="inlineStr">
        <is>
          <t>modelo+año+km</t>
        </is>
      </c>
      <c r="BS101" s="2" t="n"/>
      <c r="BT101" s="2" t="inlineStr">
        <is>
          <t>vendedor profesional: sin ITP (operación con IVA/REBU, confirmar en factura); gastos de gestión del vendedor no indicados: se suma la tasa DGT; preguntar el precio final; Euro NCAP de la generación PENDIENTE (seguridad neutra); etiqueta C deducida por fecha (sin matrícula ni dato del anuncio); distancia no verificable (el anuncio solo indica la provincia): confirmar que está a &lt;= 70 km; fiabilidad del modelo PENDIENTE de fuente (puntuación neutra)</t>
        </is>
      </c>
      <c r="BU101" s="2" t="inlineStr">
        <is>
          <t xml:space="preserve">Vehículo nacional, mantenimiento al día, cubiertas seminuevas, ITV recién pasada, se entrega totalmente revisado por nuestros mecánicos transferido y con 12 meses de garantía </t>
        </is>
      </c>
      <c r="BV101" s="2" t="inlineStr">
        <is>
          <t>https://www.coches.net/mini-mini-cooper-3p-gasolina-2007-en-valencia-71805914-covo.aspx (window.__INITIAL_PROPS__.ad) /home/user/Alopecia/buscador-coches/raw/cochesnet/04e2cc9cacd438ee.json</t>
        </is>
      </c>
      <c r="BW101" s="3">
        <f>MAX(ANIO_ACTUAL-M101,0)</f>
        <v/>
      </c>
      <c r="BX101" s="4">
        <f>N101/MAX(BW101,0.5)</f>
        <v/>
      </c>
      <c r="BY101" s="4">
        <f>F101</f>
        <v/>
      </c>
      <c r="BZ101" s="3">
        <f>BY101&amp;"|"&amp;INT(M101/SEG_ANIO)*SEG_ANIO</f>
        <v/>
      </c>
      <c r="CA101" s="3">
        <f>BZ101&amp;"|"&amp;INT(N101/SEG_KM)*SEG_KM</f>
        <v/>
      </c>
      <c r="CB101" s="4">
        <f>COUNTIF($BY$2:$BY$209,BY101)</f>
        <v/>
      </c>
      <c r="CC101" s="4">
        <f>COUNTIF($BZ$2:$BZ$209,BZ101)</f>
        <v/>
      </c>
      <c r="CD101" s="4">
        <f>COUNTIF($CA$2:$CA$209,CA101)</f>
        <v/>
      </c>
      <c r="CE101" s="3">
        <f t="array" ref="CE101">IF(N(BQ101)&gt;=MIN_N,BP101,IF(CD101&gt;=MIN_N,MEDIAN(IF($CA$2:$CA$209=CA101,$O$2:$O$209)),IF(CC101&gt;=MIN_N,MEDIAN(IF($BZ$2:$BZ$209=BZ101,$O$2:$O$209)),MEDIAN(IF($BY$2:$BY$209=BY101,$O$2:$O$209)))))</f>
        <v/>
      </c>
      <c r="CF101" s="3">
        <f>IF(N(BQ101)&gt;=MIN_N,"mercado "&amp;BR101,IF(CD101&gt;=MIN_N,"modelo+año+km",IF(CC101&gt;=MIN_N,"modelo+año","modelo")))</f>
        <v/>
      </c>
      <c r="CG101" s="4">
        <f>(CE101-O101)/CE101</f>
        <v/>
      </c>
      <c r="CH101" s="3">
        <f>IF(COUNTIFS(FR_FUEL,K101,FR_YEAR,AP101)&gt;0,1,0)</f>
        <v/>
      </c>
      <c r="CI101" s="3">
        <f>IF(COUNTIFS(FR_FUEL,K101,FR_YEAR,AP101-1)&gt;0,1,0)</f>
        <v/>
      </c>
      <c r="CJ101" s="4">
        <f>IF(N(AQ101)&gt;0,AP101*100+AQ101,IF(AND(CH101=1,CI101=1),(AP101-1)*100+1,AP101*100+1))</f>
        <v/>
      </c>
      <c r="CK101" s="3">
        <f>IF(OR(K101="hibrido",K101="glp",K101="gnc",K101="phev"),"ECO",IF(K101="electrico","CERO",IF(K101="gasolina",IF(CJ101&gt;=GAS_C_YM,"C",IF(CJ101&gt;=GAS_B_YM,"B","A")),IF(K101="diesel",IF(CJ101&gt;=DIE_C_YM,"C",IF(CJ101&gt;=DIE_B_YM,"B","A")),""))))</f>
        <v/>
      </c>
      <c r="CL101" s="4">
        <f>CK101</f>
        <v/>
      </c>
      <c r="CM101" s="4">
        <f>IF(AU101="sí","sí",IF(AS101="regla",IF(AND(N(AQ101)=0,CH101=1),"sí","no"),"no"))</f>
        <v/>
      </c>
      <c r="CN101" s="3">
        <f>IFERROR(VLOOKUP(F101,MOD_TBL,16,0),IFERROR(VLOOKUP(E101,OCU_TBL,2,0),NEUTRO))</f>
        <v/>
      </c>
      <c r="CO101" s="3">
        <f>SUMIFS(MOT_AJUSTE,MOT_MOTOR,G101,MOT_MARCA,E101,MOT_DESDE,"&lt;="&amp;M101,MOT_HASTA,"&gt;="&amp;M101)+SUMIFS(MOT_AJUSTE,MOT_MOTOR,G101,MOT_MARCA,"(todas)",MOT_DESDE,"&lt;="&amp;M101,MOT_HASTA,"&gt;="&amp;M101)+SUMIFS(MOT_AJUSTE,MOT_MOTOR,"(cualquiera)",MOT_MARCA,E101,MOT_DESDE,"&lt;="&amp;M101,MOT_HASTA,"&gt;="&amp;M101)</f>
        <v/>
      </c>
      <c r="CP101" s="3">
        <f>SUMIFS(COMB_AJUSTE,COMB_COMB,K101)</f>
        <v/>
      </c>
      <c r="CQ101" s="3">
        <f>COUNTIFS(MOT_MOTOR,G101,MOT_MARCA,E101,MOT_DESDE,"&lt;="&amp;M101,MOT_HASTA,"&gt;="&amp;M101)+COUNTIFS(MOT_MOTOR,G101,MOT_MARCA,"(todas)",MOT_DESDE,"&lt;="&amp;M101,MOT_HASTA,"&gt;="&amp;M101)+COUNTIFS(MOT_MOTOR,"(cualquiera)",MOT_MARCA,E101,MOT_DESDE,"&lt;="&amp;M101,MOT_HASTA,"&gt;="&amp;M101)</f>
        <v/>
      </c>
      <c r="CR101" s="3">
        <f>IF(AND(K101="diesel",CQ101=0),MIN(CN101,NEUTRO),CN101)</f>
        <v/>
      </c>
      <c r="CS101" s="3">
        <f>MAX(0,MIN(100,CR101+CO101+CP101-IF(AX101="sí",ROB_PEN,0)))</f>
        <v/>
      </c>
      <c r="CT101" s="3">
        <f>100-MAX(0,N101-KM_TOPE_DESDE)/1000*KM_TOPE_PTS</f>
        <v/>
      </c>
      <c r="CU101" s="3">
        <f>MAX(0,MIN(100,50+CG101*PRECIO_PEND,CT101))</f>
        <v/>
      </c>
      <c r="CV101" s="3">
        <f>MAX(0,100*(1-N101/KM_MAX))</f>
        <v/>
      </c>
      <c r="CW101" s="3">
        <f>IF(BX101&lt;KMA_SOSP,IF(AA101="sí",100,KMA_PEN),IF(BX101&lt;=KMA_IDEAL_MAX,100,MAX(0,100*(KMA_CERO-BX101)/(KMA_CERO-KMA_IDEAL_MAX))))</f>
        <v/>
      </c>
      <c r="CX101" s="3">
        <f>MAX(0,MIN(100,100*(M101-ANIO_MIN)/(ANIO_ACTUAL-ANIO_MIN)))</f>
        <v/>
      </c>
      <c r="CY101" s="3">
        <f>W_KMT*CV101+W_KMA*CW101+W_EDAD*CX101</f>
        <v/>
      </c>
      <c r="CZ101" s="4">
        <f>E101&amp;"|"&amp;G101</f>
        <v/>
      </c>
      <c r="DA101" s="3">
        <f>IFERROR(VLOOKUP(CZ101,DIST_TBL,2,0),"")</f>
        <v/>
      </c>
      <c r="DB101" s="3">
        <f>E_ITV*(V101="sí")+E_LIBRO*(W101="sí")+E_PROP*IF(Y101=1,1,IF(Y101=2,0.5,0))+E_CORREA*IF(OR(DA101="cadena",AND(X101="sí",BH101="sí")),1,IF(X101="sí",0.5,0))+E_FACT*(BI101="sí")</f>
        <v/>
      </c>
      <c r="DC101" s="3">
        <f>MAX(0,MIN(100,IFERROR(VLOOKUP(CL101,ETQ_TBL,2,0),0)-IF(CM101="sí",ETQ_PEN_DUD,IF(AS101="regla",ETQ_PEN_REGLA,0))))</f>
        <v/>
      </c>
      <c r="DD101" s="3">
        <f>IF(K101&lt;&gt;"gasolina","",IFERROR(VLOOKUP(F101,CONS_MOD_TBL,2,0),IFERROR(VLOOKUP(L101,CONS_SEG_TBL,2,0),"")))</f>
        <v/>
      </c>
      <c r="DE101" s="3">
        <f>IF(DD101="",NEUTRO,MAX(0,MIN(100,100*(CONS_REF_MAX-DD101)/(CONS_REF_MAX-CONS_REF_MIN))))</f>
        <v/>
      </c>
      <c r="DF101" s="3">
        <f>IFERROR(VLOOKUP(L101,SEGURO_TBL,3,0),"")</f>
        <v/>
      </c>
      <c r="DG101" s="3">
        <f>IF(DF101="",NEUTRO,MAX(0,MIN(100,100*(SEG_REF_MAX-DF101)/(SEG_REF_MAX-SEG_REF_MIN))))</f>
        <v/>
      </c>
      <c r="DH101" s="3">
        <f>IFERROR(VLOOKUP(E101,MANT_MARCA_TBL,2,0)+0,NEUTRO)</f>
        <v/>
      </c>
      <c r="DI101" s="3">
        <f>IF(DA101="",NEUTRO,IFERROR(VLOOKUP(DA101,DIST_PTS_TBL,2,0)+0,NEUTRO))</f>
        <v/>
      </c>
      <c r="DJ101" s="4">
        <f>(DH101+DI101)/2</f>
        <v/>
      </c>
      <c r="DK101" s="3">
        <f>W_CONS*DE101+W_SEG*DG101+W_MANT*DJ101</f>
        <v/>
      </c>
      <c r="DL101" s="3">
        <f>IF(N(AB101)&gt;0,AB101,IF(AND(R101="profesional",SG_LEGAL_ON=1),GAR_LEGAL,0))</f>
        <v/>
      </c>
      <c r="DM101" s="3">
        <f>MAX(0,MIN(100,SG_GAR*MIN(1,DL101/SG_GAR_FULL)+SG_AMPL*(AC101="sí")+SG_KMC*(AF101="sí")+SG_REV*(N(AE101)&gt;0)+SG_DEV*MIN(1,N(AG101)/SG_DEV_FULL)+SG_HIST*(W101="sí")-IF(AND(R101="particular",DL101=0),SG_PART_PEN,0)))</f>
        <v/>
      </c>
      <c r="DN101" s="3">
        <f>IF(BK101="",NEUTRO,MAX(0,MIN(100,BK101/5*100)))</f>
        <v/>
      </c>
      <c r="DO101" s="3">
        <f>IF(BL101="sí",100,IF(BL101="no",0,NEUTRO))</f>
        <v/>
      </c>
      <c r="DP101" s="3">
        <f>SV_W_NCAP*DN101+SV_W_ESP*DO101</f>
        <v/>
      </c>
      <c r="DQ101" s="3">
        <f>MAX(0,MIN(100,ATR_BASE+ATR_ACAB*(BD101&lt;&gt;"")+IF(BE101="16+",ATR_LL16,IF(BE101="sí",ATR_LL,0))+ATR_FAROS*(BF101="sí")+ATR_TINT*(BG101="sí")-ATR_CHAPA*(BE101="chapa")))</f>
        <v/>
      </c>
      <c r="DR101" s="3">
        <f>EST_W_MOD*(BB101-1)/4*100+EST_W_ATR*DQ101</f>
        <v/>
      </c>
      <c r="DS101" s="3">
        <f>IF(BA101="",NEUTRO,IFERROR(VLOOKUP(BA101,COLOR_TBL,2,0)+0,NEUTRO))</f>
        <v/>
      </c>
      <c r="DT101" s="3">
        <f>MAX(0,MIN(100,100*N(BM101)/RV_N_FULL))</f>
        <v/>
      </c>
      <c r="DU101" s="3">
        <f>IF(OR(BN101="",N(BO101)&lt;RV_DIAS_MIN),NEUTRO,MAX(0,MIN(100,100*(RV_DIAS_CERO-BN101)/(RV_DIAS_CERO-RV_DIAS_FULL))))</f>
        <v/>
      </c>
      <c r="DV101" s="3">
        <f>RV_W_LIQ*DT101+RV_W_DIAS*DU101+RV_W_ETQ*DC101</f>
        <v/>
      </c>
      <c r="DW101" s="3">
        <f>IFERROR(VLOOKUP(L101,CARR_PEN_TBL,2,0),0)</f>
        <v/>
      </c>
      <c r="DX101" s="3">
        <f>W_FIAB*CS101+W_PRECIO*CU101+W_KMEDAD*CY101+W_ESTADO*DB101+W_USO*DK101+W_SEGURIDAD*DM101+W_SEGVIAL*DP101+W_ESTETICA*DR101+W_COLOR*DS101+W_REVENTA*DV101-DW101-EG101</f>
        <v/>
      </c>
      <c r="DY101" s="4">
        <f>IF(N(I101)&gt;0,I101,IFERROR(ROUND(_xlfn.NUMBERVALUE(LEFT(G101,FIND(" ",G101&amp;" ")-1),".")*1000,0),99999))</f>
        <v/>
      </c>
      <c r="DZ101" s="3">
        <f>IF(R101="profesional",0,IF(O101&lt;CUOTA_VALOR_MAX,IF(BW101&gt;ITP_TRAMO_ALTO,SUMIFS(CF_CUOTA,CF_MAS,ITP_TRAMO_ALTO,CF_CCMIN,"&lt;="&amp;DY101,CF_CCMAX,"&gt;="&amp;DY101),IF(BW101&gt;ITP_TRAMO_BAJO,SUMIFS(CF_CUOTA,CF_MAS,ITP_TRAMO_BAJO,CF_CCMIN,"&lt;="&amp;DY101,CF_CCMAX,"&gt;="&amp;DY101),O101*ITP_TIPO)),O101*ITP_TIPO))</f>
        <v/>
      </c>
      <c r="EA101" s="4">
        <f>IF(R101="profesional",N(AK101),0)</f>
        <v/>
      </c>
      <c r="EB101" s="3">
        <f>IF(AND(R101="profesional",ISNUMBER(AK101),AL101="sí"),0,TASA_DGT)</f>
        <v/>
      </c>
      <c r="EC101" s="3">
        <f>INFORME_DGT</f>
        <v/>
      </c>
      <c r="ED101" s="4">
        <f>O101+EA101+DZ101+EB101+EC101</f>
        <v/>
      </c>
      <c r="EE101" s="4">
        <f>ED101+N(DF101)</f>
        <v/>
      </c>
      <c r="EF101" s="3">
        <f>MAX(0,ED101-TOTAL_MAX)</f>
        <v/>
      </c>
      <c r="EG101" s="3">
        <f>EF101/100*PEN_100</f>
        <v/>
      </c>
      <c r="EH101" s="3">
        <f>IF(R101="particular",ED101+IF(AND(DA101&lt;&gt;"cadena",X101&lt;&gt;"sí"),RES_CORREA,0)+IF(AND(BJ101&lt;&gt;"sí",BW101&gt;=RES_NEUM_EDAD),RES_NEUM,0),"")</f>
        <v/>
      </c>
      <c r="EI101" s="3">
        <f>IF(ED101&lt;=TOTAL_MAX,"sí",IF(ED101&lt;=TECHO,"negociar","no"))</f>
        <v/>
      </c>
      <c r="EJ101" s="4">
        <f>ROUND(DX101,9)</f>
        <v/>
      </c>
      <c r="EK101" s="4">
        <f>IF(EI101&lt;&gt;"no",SUMPRODUCT(($EI$2:$EI$209&lt;&gt;"no")*($EJ$2:$EJ$209&gt;EJ101))+SUMPRODUCT(($EI$2:EI101&lt;&gt;"no")*($EJ$2:EJ101=EJ101)),"")</f>
        <v/>
      </c>
    </row>
    <row r="102">
      <c r="A102" s="2" t="inlineStr">
        <is>
          <t>cochesnet:71332504</t>
        </is>
      </c>
      <c r="B102" s="2" t="inlineStr">
        <is>
          <t>cochesnet</t>
        </is>
      </c>
      <c r="C102" s="2" t="inlineStr">
        <is>
          <t>https://www.coches.net/mini-mini-one-3p-gasolina-2009-en-valencia-71332504-covo.aspx</t>
        </is>
      </c>
      <c r="D102" s="2" t="inlineStr">
        <is>
          <t>MINI MINI One</t>
        </is>
      </c>
      <c r="E102" s="2" t="inlineStr">
        <is>
          <t>MINI</t>
        </is>
      </c>
      <c r="F102" s="2" t="inlineStr">
        <is>
          <t>MINI MINI</t>
        </is>
      </c>
      <c r="G102" s="2" t="n"/>
      <c r="H102" s="2" t="inlineStr">
        <is>
          <t>One</t>
        </is>
      </c>
      <c r="I102" s="2" t="n"/>
      <c r="J102" s="2" t="n"/>
      <c r="K102" s="2" t="inlineStr">
        <is>
          <t>gasolina</t>
        </is>
      </c>
      <c r="L102" s="2" t="inlineStr">
        <is>
          <t>utilitario</t>
        </is>
      </c>
      <c r="M102" s="2" t="n">
        <v>2009</v>
      </c>
      <c r="N102" s="2" t="n">
        <v>116000</v>
      </c>
      <c r="O102" s="2" t="n">
        <v>4990</v>
      </c>
      <c r="P102" s="2" t="inlineStr">
        <is>
          <t>manual</t>
        </is>
      </c>
      <c r="Q102" s="2" t="inlineStr">
        <is>
          <t>no</t>
        </is>
      </c>
      <c r="R102" s="2" t="inlineStr">
        <is>
          <t>profesional</t>
        </is>
      </c>
      <c r="S102" s="2" t="inlineStr">
        <is>
          <t>Asatryan Motors Godelleta</t>
        </is>
      </c>
      <c r="T102" s="2" t="inlineStr">
        <is>
          <t>2026-08-20T16:10:22Z</t>
        </is>
      </c>
      <c r="U102" s="2" t="n">
        <v>8</v>
      </c>
      <c r="V102" s="2" t="inlineStr">
        <is>
          <t>sí</t>
        </is>
      </c>
      <c r="W102" s="2" t="n"/>
      <c r="X102" s="2" t="n"/>
      <c r="Y102" s="2" t="n"/>
      <c r="Z102" s="2" t="inlineStr">
        <is>
          <t>sí</t>
        </is>
      </c>
      <c r="AA102" s="2" t="n"/>
      <c r="AB102" s="2" t="n">
        <v>12</v>
      </c>
      <c r="AC102" s="2" t="n"/>
      <c r="AD102" s="2" t="n"/>
      <c r="AE102" s="2" t="n"/>
      <c r="AF102" s="2" t="n"/>
      <c r="AG102" s="2" t="n"/>
      <c r="AH102" s="2" t="n">
        <v>4990</v>
      </c>
      <c r="AI102" s="2" t="n"/>
      <c r="AJ102" s="2" t="n"/>
      <c r="AK102" s="2" t="n"/>
      <c r="AL102" s="2" t="n"/>
      <c r="AM102" s="2" t="n">
        <v>27.2</v>
      </c>
      <c r="AN102" s="2" t="n"/>
      <c r="AO102" s="2" t="inlineStr">
        <is>
          <t>2009</t>
        </is>
      </c>
      <c r="AP102" s="2" t="n">
        <v>2009</v>
      </c>
      <c r="AQ102" s="2" t="n"/>
      <c r="AR102" s="2" t="inlineStr">
        <is>
          <t>C</t>
        </is>
      </c>
      <c r="AS102" s="2" t="inlineStr">
        <is>
          <t>anuncio</t>
        </is>
      </c>
      <c r="AT102" s="2" t="n"/>
      <c r="AU102" s="2" t="inlineStr">
        <is>
          <t>no</t>
        </is>
      </c>
      <c r="AV102" s="2" t="inlineStr">
        <is>
          <t>C</t>
        </is>
      </c>
      <c r="AW102" s="2" t="n"/>
      <c r="AX102" s="2" t="inlineStr">
        <is>
          <t>no</t>
        </is>
      </c>
      <c r="AY102" s="2" t="inlineStr">
        <is>
          <t>no</t>
        </is>
      </c>
      <c r="AZ102" s="2" t="inlineStr">
        <is>
          <t>COMMON.COLOR_WHITE</t>
        </is>
      </c>
      <c r="BA102" s="2" t="inlineStr">
        <is>
          <t>blanco</t>
        </is>
      </c>
      <c r="BB102" s="3" t="n">
        <v>2</v>
      </c>
      <c r="BC102" s="3" t="inlineStr">
        <is>
          <t>(por segmento)</t>
        </is>
      </c>
      <c r="BD102" s="2" t="n"/>
      <c r="BE102" s="2" t="n"/>
      <c r="BF102" s="2" t="n"/>
      <c r="BG102" s="2" t="n"/>
      <c r="BH102" s="2" t="n"/>
      <c r="BI102" s="2" t="n"/>
      <c r="BJ102" s="2" t="n"/>
      <c r="BK102" s="2" t="n"/>
      <c r="BL102" s="2" t="n"/>
      <c r="BM102" s="2" t="n">
        <v>299</v>
      </c>
      <c r="BN102" s="2" t="n">
        <v>0</v>
      </c>
      <c r="BO102" s="2" t="n">
        <v>1</v>
      </c>
      <c r="BP102" s="2" t="n">
        <v>6000</v>
      </c>
      <c r="BQ102" s="2" t="n">
        <v>21</v>
      </c>
      <c r="BR102" s="2" t="inlineStr">
        <is>
          <t>modelo+año+km</t>
        </is>
      </c>
      <c r="BS102" s="2" t="n"/>
      <c r="BT102" s="2" t="inlineStr">
        <is>
          <t>por encima del presupuesto: negociar 54 € (coste 5054 €; -1.1 puntos); vendedor profesional: sin ITP (operación con IVA/REBU, confirmar en factura); gastos de gestión del vendedor no indicados: se suma la tasa DGT; preguntar el precio final; Euro NCAP de la generación PENDIENTE (seguridad neutra); fiabilidad del modelo PENDIENTE de fuente (puntuación neutra)</t>
        </is>
      </c>
      <c r="BU102" s="2" t="inlineStr">
        <is>
          <t>MINI One | Año 2009 | 119.000 km | 75 CV
Vehículo en buen estado tanto interior como exterior, con 119.000 km e ITV recién pasada.
Equipa motor de 75 CV, una configuración ideal para el uso diario, especialmente en ciudad, gracias a su tamaño compacto, facilidad de conducción y consumo contenido.
Un MINI práctico, ágil y con el diseño característico de la marca, perfecto para quienes buscan un vehículo pequeño, cómodo y fácil de manejar.
Se aceptan cualquier tipo de pruebas mecánicas.
Solo para personas seriamente interesadas!
Instagram: @Asatryan_motors
TikTok: @AsatryanMotors</t>
        </is>
      </c>
      <c r="BV102" s="2" t="inlineStr">
        <is>
          <t>https://www.coches.net/mini-mini-one-3p-gasolina-2009-en-valencia-71332504-covo.aspx (window.__INITIAL_PROPS__.ad) /home/user/Alopecia/buscador-coches/raw/cochesnet/31604d79e7744ebf.json</t>
        </is>
      </c>
      <c r="BW102" s="3">
        <f>MAX(ANIO_ACTUAL-M102,0)</f>
        <v/>
      </c>
      <c r="BX102" s="4">
        <f>N102/MAX(BW102,0.5)</f>
        <v/>
      </c>
      <c r="BY102" s="4">
        <f>F102</f>
        <v/>
      </c>
      <c r="BZ102" s="3">
        <f>BY102&amp;"|"&amp;INT(M102/SEG_ANIO)*SEG_ANIO</f>
        <v/>
      </c>
      <c r="CA102" s="3">
        <f>BZ102&amp;"|"&amp;INT(N102/SEG_KM)*SEG_KM</f>
        <v/>
      </c>
      <c r="CB102" s="4">
        <f>COUNTIF($BY$2:$BY$209,BY102)</f>
        <v/>
      </c>
      <c r="CC102" s="4">
        <f>COUNTIF($BZ$2:$BZ$209,BZ102)</f>
        <v/>
      </c>
      <c r="CD102" s="4">
        <f>COUNTIF($CA$2:$CA$209,CA102)</f>
        <v/>
      </c>
      <c r="CE102" s="3">
        <f t="array" ref="CE102">IF(N(BQ102)&gt;=MIN_N,BP102,IF(CD102&gt;=MIN_N,MEDIAN(IF($CA$2:$CA$209=CA102,$O$2:$O$209)),IF(CC102&gt;=MIN_N,MEDIAN(IF($BZ$2:$BZ$209=BZ102,$O$2:$O$209)),MEDIAN(IF($BY$2:$BY$209=BY102,$O$2:$O$209)))))</f>
        <v/>
      </c>
      <c r="CF102" s="3">
        <f>IF(N(BQ102)&gt;=MIN_N,"mercado "&amp;BR102,IF(CD102&gt;=MIN_N,"modelo+año+km",IF(CC102&gt;=MIN_N,"modelo+año","modelo")))</f>
        <v/>
      </c>
      <c r="CG102" s="4">
        <f>(CE102-O102)/CE102</f>
        <v/>
      </c>
      <c r="CH102" s="3">
        <f>IF(COUNTIFS(FR_FUEL,K102,FR_YEAR,AP102)&gt;0,1,0)</f>
        <v/>
      </c>
      <c r="CI102" s="3">
        <f>IF(COUNTIFS(FR_FUEL,K102,FR_YEAR,AP102-1)&gt;0,1,0)</f>
        <v/>
      </c>
      <c r="CJ102" s="4">
        <f>IF(N(AQ102)&gt;0,AP102*100+AQ102,IF(AND(CH102=1,CI102=1),(AP102-1)*100+1,AP102*100+1))</f>
        <v/>
      </c>
      <c r="CK102" s="3">
        <f>IF(OR(K102="hibrido",K102="glp",K102="gnc",K102="phev"),"ECO",IF(K102="electrico","CERO",IF(K102="gasolina",IF(CJ102&gt;=GAS_C_YM,"C",IF(CJ102&gt;=GAS_B_YM,"B","A")),IF(K102="diesel",IF(CJ102&gt;=DIE_C_YM,"C",IF(CJ102&gt;=DIE_B_YM,"B","A")),""))))</f>
        <v/>
      </c>
      <c r="CL102" s="2" t="inlineStr">
        <is>
          <t>C</t>
        </is>
      </c>
      <c r="CM102" s="4">
        <f>IF(AU102="sí","sí",IF(AS102="regla",IF(AND(N(AQ102)=0,CH102=1),"sí","no"),"no"))</f>
        <v/>
      </c>
      <c r="CN102" s="3">
        <f>IFERROR(VLOOKUP(F102,MOD_TBL,16,0),IFERROR(VLOOKUP(E102,OCU_TBL,2,0),NEUTRO))</f>
        <v/>
      </c>
      <c r="CO102" s="3">
        <f>SUMIFS(MOT_AJUSTE,MOT_MOTOR,G102,MOT_MARCA,E102,MOT_DESDE,"&lt;="&amp;M102,MOT_HASTA,"&gt;="&amp;M102)+SUMIFS(MOT_AJUSTE,MOT_MOTOR,G102,MOT_MARCA,"(todas)",MOT_DESDE,"&lt;="&amp;M102,MOT_HASTA,"&gt;="&amp;M102)+SUMIFS(MOT_AJUSTE,MOT_MOTOR,"(cualquiera)",MOT_MARCA,E102,MOT_DESDE,"&lt;="&amp;M102,MOT_HASTA,"&gt;="&amp;M102)</f>
        <v/>
      </c>
      <c r="CP102" s="3">
        <f>SUMIFS(COMB_AJUSTE,COMB_COMB,K102)</f>
        <v/>
      </c>
      <c r="CQ102" s="3">
        <f>COUNTIFS(MOT_MOTOR,G102,MOT_MARCA,E102,MOT_DESDE,"&lt;="&amp;M102,MOT_HASTA,"&gt;="&amp;M102)+COUNTIFS(MOT_MOTOR,G102,MOT_MARCA,"(todas)",MOT_DESDE,"&lt;="&amp;M102,MOT_HASTA,"&gt;="&amp;M102)+COUNTIFS(MOT_MOTOR,"(cualquiera)",MOT_MARCA,E102,MOT_DESDE,"&lt;="&amp;M102,MOT_HASTA,"&gt;="&amp;M102)</f>
        <v/>
      </c>
      <c r="CR102" s="3">
        <f>IF(AND(K102="diesel",CQ102=0),MIN(CN102,NEUTRO),CN102)</f>
        <v/>
      </c>
      <c r="CS102" s="3">
        <f>MAX(0,MIN(100,CR102+CO102+CP102-IF(AX102="sí",ROB_PEN,0)))</f>
        <v/>
      </c>
      <c r="CT102" s="3">
        <f>100-MAX(0,N102-KM_TOPE_DESDE)/1000*KM_TOPE_PTS</f>
        <v/>
      </c>
      <c r="CU102" s="3">
        <f>MAX(0,MIN(100,50+CG102*PRECIO_PEND,CT102))</f>
        <v/>
      </c>
      <c r="CV102" s="3">
        <f>MAX(0,100*(1-N102/KM_MAX))</f>
        <v/>
      </c>
      <c r="CW102" s="3">
        <f>IF(BX102&lt;KMA_SOSP,IF(AA102="sí",100,KMA_PEN),IF(BX102&lt;=KMA_IDEAL_MAX,100,MAX(0,100*(KMA_CERO-BX102)/(KMA_CERO-KMA_IDEAL_MAX))))</f>
        <v/>
      </c>
      <c r="CX102" s="3">
        <f>MAX(0,MIN(100,100*(M102-ANIO_MIN)/(ANIO_ACTUAL-ANIO_MIN)))</f>
        <v/>
      </c>
      <c r="CY102" s="3">
        <f>W_KMT*CV102+W_KMA*CW102+W_EDAD*CX102</f>
        <v/>
      </c>
      <c r="CZ102" s="4">
        <f>E102&amp;"|"&amp;G102</f>
        <v/>
      </c>
      <c r="DA102" s="3">
        <f>IFERROR(VLOOKUP(CZ102,DIST_TBL,2,0),"")</f>
        <v/>
      </c>
      <c r="DB102" s="3">
        <f>E_ITV*(V102="sí")+E_LIBRO*(W102="sí")+E_PROP*IF(Y102=1,1,IF(Y102=2,0.5,0))+E_CORREA*IF(OR(DA102="cadena",AND(X102="sí",BH102="sí")),1,IF(X102="sí",0.5,0))+E_FACT*(BI102="sí")</f>
        <v/>
      </c>
      <c r="DC102" s="3">
        <f>MAX(0,MIN(100,IFERROR(VLOOKUP(CL102,ETQ_TBL,2,0),0)-IF(CM102="sí",ETQ_PEN_DUD,IF(AS102="regla",ETQ_PEN_REGLA,0))))</f>
        <v/>
      </c>
      <c r="DD102" s="3">
        <f>IF(K102&lt;&gt;"gasolina","",IFERROR(VLOOKUP(F102,CONS_MOD_TBL,2,0),IFERROR(VLOOKUP(L102,CONS_SEG_TBL,2,0),"")))</f>
        <v/>
      </c>
      <c r="DE102" s="3">
        <f>IF(DD102="",NEUTRO,MAX(0,MIN(100,100*(CONS_REF_MAX-DD102)/(CONS_REF_MAX-CONS_REF_MIN))))</f>
        <v/>
      </c>
      <c r="DF102" s="3">
        <f>IFERROR(VLOOKUP(L102,SEGURO_TBL,3,0),"")</f>
        <v/>
      </c>
      <c r="DG102" s="3">
        <f>IF(DF102="",NEUTRO,MAX(0,MIN(100,100*(SEG_REF_MAX-DF102)/(SEG_REF_MAX-SEG_REF_MIN))))</f>
        <v/>
      </c>
      <c r="DH102" s="3">
        <f>IFERROR(VLOOKUP(E102,MANT_MARCA_TBL,2,0)+0,NEUTRO)</f>
        <v/>
      </c>
      <c r="DI102" s="3">
        <f>IF(DA102="",NEUTRO,IFERROR(VLOOKUP(DA102,DIST_PTS_TBL,2,0)+0,NEUTRO))</f>
        <v/>
      </c>
      <c r="DJ102" s="4">
        <f>(DH102+DI102)/2</f>
        <v/>
      </c>
      <c r="DK102" s="3">
        <f>W_CONS*DE102+W_SEG*DG102+W_MANT*DJ102</f>
        <v/>
      </c>
      <c r="DL102" s="3">
        <f>IF(N(AB102)&gt;0,AB102,IF(AND(R102="profesional",SG_LEGAL_ON=1),GAR_LEGAL,0))</f>
        <v/>
      </c>
      <c r="DM102" s="3">
        <f>MAX(0,MIN(100,SG_GAR*MIN(1,DL102/SG_GAR_FULL)+SG_AMPL*(AC102="sí")+SG_KMC*(AF102="sí")+SG_REV*(N(AE102)&gt;0)+SG_DEV*MIN(1,N(AG102)/SG_DEV_FULL)+SG_HIST*(W102="sí")-IF(AND(R102="particular",DL102=0),SG_PART_PEN,0)))</f>
        <v/>
      </c>
      <c r="DN102" s="3">
        <f>IF(BK102="",NEUTRO,MAX(0,MIN(100,BK102/5*100)))</f>
        <v/>
      </c>
      <c r="DO102" s="3">
        <f>IF(BL102="sí",100,IF(BL102="no",0,NEUTRO))</f>
        <v/>
      </c>
      <c r="DP102" s="3">
        <f>SV_W_NCAP*DN102+SV_W_ESP*DO102</f>
        <v/>
      </c>
      <c r="DQ102" s="3">
        <f>MAX(0,MIN(100,ATR_BASE+ATR_ACAB*(BD102&lt;&gt;"")+IF(BE102="16+",ATR_LL16,IF(BE102="sí",ATR_LL,0))+ATR_FAROS*(BF102="sí")+ATR_TINT*(BG102="sí")-ATR_CHAPA*(BE102="chapa")))</f>
        <v/>
      </c>
      <c r="DR102" s="3">
        <f>EST_W_MOD*(BB102-1)/4*100+EST_W_ATR*DQ102</f>
        <v/>
      </c>
      <c r="DS102" s="3">
        <f>IF(BA102="",NEUTRO,IFERROR(VLOOKUP(BA102,COLOR_TBL,2,0)+0,NEUTRO))</f>
        <v/>
      </c>
      <c r="DT102" s="3">
        <f>MAX(0,MIN(100,100*N(BM102)/RV_N_FULL))</f>
        <v/>
      </c>
      <c r="DU102" s="3">
        <f>IF(OR(BN102="",N(BO102)&lt;RV_DIAS_MIN),NEUTRO,MAX(0,MIN(100,100*(RV_DIAS_CERO-BN102)/(RV_DIAS_CERO-RV_DIAS_FULL))))</f>
        <v/>
      </c>
      <c r="DV102" s="3">
        <f>RV_W_LIQ*DT102+RV_W_DIAS*DU102+RV_W_ETQ*DC102</f>
        <v/>
      </c>
      <c r="DW102" s="3">
        <f>IFERROR(VLOOKUP(L102,CARR_PEN_TBL,2,0),0)</f>
        <v/>
      </c>
      <c r="DX102" s="3">
        <f>W_FIAB*CS102+W_PRECIO*CU102+W_KMEDAD*CY102+W_ESTADO*DB102+W_USO*DK102+W_SEGURIDAD*DM102+W_SEGVIAL*DP102+W_ESTETICA*DR102+W_COLOR*DS102+W_REVENTA*DV102-DW102-EG102</f>
        <v/>
      </c>
      <c r="DY102" s="4">
        <f>IF(N(I102)&gt;0,I102,IFERROR(ROUND(_xlfn.NUMBERVALUE(LEFT(G102,FIND(" ",G102&amp;" ")-1),".")*1000,0),99999))</f>
        <v/>
      </c>
      <c r="DZ102" s="3">
        <f>IF(R102="profesional",0,IF(O102&lt;CUOTA_VALOR_MAX,IF(BW102&gt;ITP_TRAMO_ALTO,SUMIFS(CF_CUOTA,CF_MAS,ITP_TRAMO_ALTO,CF_CCMIN,"&lt;="&amp;DY102,CF_CCMAX,"&gt;="&amp;DY102),IF(BW102&gt;ITP_TRAMO_BAJO,SUMIFS(CF_CUOTA,CF_MAS,ITP_TRAMO_BAJO,CF_CCMIN,"&lt;="&amp;DY102,CF_CCMAX,"&gt;="&amp;DY102),O102*ITP_TIPO)),O102*ITP_TIPO))</f>
        <v/>
      </c>
      <c r="EA102" s="4">
        <f>IF(R102="profesional",N(AK102),0)</f>
        <v/>
      </c>
      <c r="EB102" s="3">
        <f>IF(AND(R102="profesional",ISNUMBER(AK102),AL102="sí"),0,TASA_DGT)</f>
        <v/>
      </c>
      <c r="EC102" s="3">
        <f>INFORME_DGT</f>
        <v/>
      </c>
      <c r="ED102" s="4">
        <f>O102+EA102+DZ102+EB102+EC102</f>
        <v/>
      </c>
      <c r="EE102" s="4">
        <f>ED102+N(DF102)</f>
        <v/>
      </c>
      <c r="EF102" s="3">
        <f>MAX(0,ED102-TOTAL_MAX)</f>
        <v/>
      </c>
      <c r="EG102" s="3">
        <f>EF102/100*PEN_100</f>
        <v/>
      </c>
      <c r="EH102" s="3">
        <f>IF(R102="particular",ED102+IF(AND(DA102&lt;&gt;"cadena",X102&lt;&gt;"sí"),RES_CORREA,0)+IF(AND(BJ102&lt;&gt;"sí",BW102&gt;=RES_NEUM_EDAD),RES_NEUM,0),"")</f>
        <v/>
      </c>
      <c r="EI102" s="3">
        <f>IF(ED102&lt;=TOTAL_MAX,"sí",IF(ED102&lt;=TECHO,"negociar","no"))</f>
        <v/>
      </c>
      <c r="EJ102" s="4">
        <f>ROUND(DX102,9)</f>
        <v/>
      </c>
      <c r="EK102" s="4">
        <f>IF(EI102&lt;&gt;"no",SUMPRODUCT(($EI$2:$EI$209&lt;&gt;"no")*($EJ$2:$EJ$209&gt;EJ102))+SUMPRODUCT(($EI$2:EI102&lt;&gt;"no")*($EJ$2:EJ102=EJ102)),"")</f>
        <v/>
      </c>
    </row>
    <row r="103">
      <c r="A103" s="2" t="inlineStr">
        <is>
          <t>cochesnet:71527060</t>
        </is>
      </c>
      <c r="B103" s="2" t="inlineStr">
        <is>
          <t>cochesnet</t>
        </is>
      </c>
      <c r="C103" s="2" t="inlineStr">
        <is>
          <t>https://www.coches.net/chevrolet-aveo-12-16v-ls-5p-gasolina-2010-en-valencia-71527060-covo.aspx</t>
        </is>
      </c>
      <c r="D103" s="2" t="inlineStr">
        <is>
          <t>CHEVROLET Aveo 1.2 16v LS</t>
        </is>
      </c>
      <c r="E103" s="2" t="inlineStr">
        <is>
          <t>Chevrolet</t>
        </is>
      </c>
      <c r="F103" s="2" t="inlineStr">
        <is>
          <t>Chevrolet Aveo</t>
        </is>
      </c>
      <c r="G103" s="2" t="inlineStr">
        <is>
          <t>1.2</t>
        </is>
      </c>
      <c r="H103" s="2" t="inlineStr">
        <is>
          <t>1.2 16v LS</t>
        </is>
      </c>
      <c r="I103" s="2" t="n"/>
      <c r="J103" s="2" t="n"/>
      <c r="K103" s="2" t="inlineStr">
        <is>
          <t>gasolina</t>
        </is>
      </c>
      <c r="L103" s="2" t="inlineStr">
        <is>
          <t>utilitario</t>
        </is>
      </c>
      <c r="M103" s="2" t="n">
        <v>2010</v>
      </c>
      <c r="N103" s="2" t="n">
        <v>68000</v>
      </c>
      <c r="O103" s="2" t="n">
        <v>4990</v>
      </c>
      <c r="P103" s="2" t="inlineStr">
        <is>
          <t>manual</t>
        </is>
      </c>
      <c r="Q103" s="2" t="inlineStr">
        <is>
          <t>no</t>
        </is>
      </c>
      <c r="R103" s="2" t="inlineStr">
        <is>
          <t>profesional</t>
        </is>
      </c>
      <c r="S103" s="2" t="inlineStr">
        <is>
          <t>JM Automóviles Alboraya</t>
        </is>
      </c>
      <c r="T103" s="2" t="inlineStr">
        <is>
          <t>2026-09-16T13:30:54Z</t>
        </is>
      </c>
      <c r="U103" s="2" t="n">
        <v>11</v>
      </c>
      <c r="V103" s="2" t="n"/>
      <c r="W103" s="2" t="n"/>
      <c r="X103" s="2" t="n"/>
      <c r="Y103" s="2" t="n"/>
      <c r="Z103" s="2" t="inlineStr">
        <is>
          <t>sí</t>
        </is>
      </c>
      <c r="AA103" s="2" t="n"/>
      <c r="AB103" s="2" t="n">
        <v>12</v>
      </c>
      <c r="AC103" s="2" t="n"/>
      <c r="AD103" s="2" t="n"/>
      <c r="AE103" s="2" t="n"/>
      <c r="AF103" s="2" t="n"/>
      <c r="AG103" s="2" t="n"/>
      <c r="AH103" s="2" t="n">
        <v>4990</v>
      </c>
      <c r="AI103" s="2" t="n">
        <v>4990</v>
      </c>
      <c r="AJ103" s="2" t="n"/>
      <c r="AK103" s="2" t="n"/>
      <c r="AL103" s="2" t="n"/>
      <c r="AM103" s="2" t="n">
        <v>4</v>
      </c>
      <c r="AN103" s="2" t="n"/>
      <c r="AO103" s="2" t="inlineStr">
        <is>
          <t>2010</t>
        </is>
      </c>
      <c r="AP103" s="2" t="n">
        <v>2010</v>
      </c>
      <c r="AQ103" s="2" t="n"/>
      <c r="AR103" s="2" t="inlineStr">
        <is>
          <t>C</t>
        </is>
      </c>
      <c r="AS103" s="2" t="inlineStr">
        <is>
          <t>anuncio</t>
        </is>
      </c>
      <c r="AT103" s="2" t="n"/>
      <c r="AU103" s="2" t="inlineStr">
        <is>
          <t>no</t>
        </is>
      </c>
      <c r="AV103" s="2" t="inlineStr">
        <is>
          <t>C</t>
        </is>
      </c>
      <c r="AW103" s="2" t="n"/>
      <c r="AX103" s="2" t="inlineStr">
        <is>
          <t>no</t>
        </is>
      </c>
      <c r="AY103" s="2" t="inlineStr">
        <is>
          <t>no</t>
        </is>
      </c>
      <c r="AZ103" s="2" t="inlineStr">
        <is>
          <t>COMMON.COLOR_RED</t>
        </is>
      </c>
      <c r="BA103" s="2" t="inlineStr">
        <is>
          <t>rojo</t>
        </is>
      </c>
      <c r="BB103" s="3" t="n">
        <v>2</v>
      </c>
      <c r="BC103" s="3" t="inlineStr">
        <is>
          <t>(por segmento)</t>
        </is>
      </c>
      <c r="BD103" s="2" t="n"/>
      <c r="BE103" s="2" t="n"/>
      <c r="BF103" s="2" t="n"/>
      <c r="BG103" s="2" t="n"/>
      <c r="BH103" s="2" t="n"/>
      <c r="BI103" s="2" t="n"/>
      <c r="BJ103" s="2" t="n"/>
      <c r="BK103" s="2" t="n">
        <v>2</v>
      </c>
      <c r="BL103" s="2" t="inlineStr">
        <is>
          <t>no</t>
        </is>
      </c>
      <c r="BM103" s="2" t="n">
        <v>27</v>
      </c>
      <c r="BN103" s="2" t="n"/>
      <c r="BO103" s="2" t="n">
        <v>0</v>
      </c>
      <c r="BP103" s="2" t="n">
        <v>4990</v>
      </c>
      <c r="BQ103" s="2" t="n">
        <v>5</v>
      </c>
      <c r="BR103" s="2" t="inlineStr">
        <is>
          <t>modelo+año+km</t>
        </is>
      </c>
      <c r="BS103" s="2" t="n"/>
      <c r="BT103" s="2" t="inlineStr">
        <is>
          <t>por encima del presupuesto: negociar 54 € (coste 5054 €; -1.1 puntos); vendedor profesional: sin ITP (operación con IVA/REBU, confirmar en factura); gastos de gestión del vendedor no indicados: se suma la tasa DGT; preguntar el precio final; revisar: no menciona la ITV; fiabilidad del modelo PENDIENTE de fuente (puntuación neutra)</t>
        </is>
      </c>
      <c r="BU103" s="2" t="inlineStr">
        <is>
          <t>CHEVROLET AVEO 1.2 LS – 2010 – 68.000 KM
Chevrolet Aveo del 2010, con motor 1.2 gasolina y tan solo 68.000 km. Un utilitario práctico, económico y sencillo, ideal para el día a día y especialmente cómodo para moverse por ciudad.
DATOS PRINCIPALES
* Año: 2010
* Combustible: Gasolina
* Motor: 1.2
* Kilómetros: 68.000 km
* Acabado: LS
* Cambio: Manual
* Listo para entregar
EQUIPAMIENTO DESTACADO
* Aire acondicionado
* Radio CD
* Volante multifunción
* Elevalunas eléctricos
* Cierre centralizado
* Dirección asistida
* Faros antiniebla
* ABS
* ISOFIX
LO MEJOR
* Solo 68.000 km
* Motor 1.2 gasolina
* Acabado LS
* Año 2010
* Utilitario práctico y económico
* Ideal para ciudad
* Bajo coste de mantenimiento
Vehículo en buen estado general, cuidado y listo para su entrega.</t>
        </is>
      </c>
      <c r="BV103" s="2" t="inlineStr">
        <is>
          <t>https://www.coches.net/chevrolet-aveo-12-16v-ls-5p-gasolina-2010-en-valencia-71527060-covo.aspx (window.__INITIAL_PROPS__.ad) /home/user/Alopecia/buscador-coches/raw/cochesnet/4458a67ba758ba74.json</t>
        </is>
      </c>
      <c r="BW103" s="3">
        <f>MAX(ANIO_ACTUAL-M103,0)</f>
        <v/>
      </c>
      <c r="BX103" s="4">
        <f>N103/MAX(BW103,0.5)</f>
        <v/>
      </c>
      <c r="BY103" s="4">
        <f>F103</f>
        <v/>
      </c>
      <c r="BZ103" s="3">
        <f>BY103&amp;"|"&amp;INT(M103/SEG_ANIO)*SEG_ANIO</f>
        <v/>
      </c>
      <c r="CA103" s="3">
        <f>BZ103&amp;"|"&amp;INT(N103/SEG_KM)*SEG_KM</f>
        <v/>
      </c>
      <c r="CB103" s="4">
        <f>COUNTIF($BY$2:$BY$209,BY103)</f>
        <v/>
      </c>
      <c r="CC103" s="4">
        <f>COUNTIF($BZ$2:$BZ$209,BZ103)</f>
        <v/>
      </c>
      <c r="CD103" s="4">
        <f>COUNTIF($CA$2:$CA$209,CA103)</f>
        <v/>
      </c>
      <c r="CE103" s="3">
        <f t="array" ref="CE103">IF(N(BQ103)&gt;=MIN_N,BP103,IF(CD103&gt;=MIN_N,MEDIAN(IF($CA$2:$CA$209=CA103,$O$2:$O$209)),IF(CC103&gt;=MIN_N,MEDIAN(IF($BZ$2:$BZ$209=BZ103,$O$2:$O$209)),MEDIAN(IF($BY$2:$BY$209=BY103,$O$2:$O$209)))))</f>
        <v/>
      </c>
      <c r="CF103" s="3">
        <f>IF(N(BQ103)&gt;=MIN_N,"mercado "&amp;BR103,IF(CD103&gt;=MIN_N,"modelo+año+km",IF(CC103&gt;=MIN_N,"modelo+año","modelo")))</f>
        <v/>
      </c>
      <c r="CG103" s="4">
        <f>(CE103-O103)/CE103</f>
        <v/>
      </c>
      <c r="CH103" s="3">
        <f>IF(COUNTIFS(FR_FUEL,K103,FR_YEAR,AP103)&gt;0,1,0)</f>
        <v/>
      </c>
      <c r="CI103" s="3">
        <f>IF(COUNTIFS(FR_FUEL,K103,FR_YEAR,AP103-1)&gt;0,1,0)</f>
        <v/>
      </c>
      <c r="CJ103" s="4">
        <f>IF(N(AQ103)&gt;0,AP103*100+AQ103,IF(AND(CH103=1,CI103=1),(AP103-1)*100+1,AP103*100+1))</f>
        <v/>
      </c>
      <c r="CK103" s="3">
        <f>IF(OR(K103="hibrido",K103="glp",K103="gnc",K103="phev"),"ECO",IF(K103="electrico","CERO",IF(K103="gasolina",IF(CJ103&gt;=GAS_C_YM,"C",IF(CJ103&gt;=GAS_B_YM,"B","A")),IF(K103="diesel",IF(CJ103&gt;=DIE_C_YM,"C",IF(CJ103&gt;=DIE_B_YM,"B","A")),""))))</f>
        <v/>
      </c>
      <c r="CL103" s="2" t="inlineStr">
        <is>
          <t>C</t>
        </is>
      </c>
      <c r="CM103" s="4">
        <f>IF(AU103="sí","sí",IF(AS103="regla",IF(AND(N(AQ103)=0,CH103=1),"sí","no"),"no"))</f>
        <v/>
      </c>
      <c r="CN103" s="3">
        <f>IFERROR(VLOOKUP(F103,MOD_TBL,16,0),IFERROR(VLOOKUP(E103,OCU_TBL,2,0),NEUTRO))</f>
        <v/>
      </c>
      <c r="CO103" s="3">
        <f>SUMIFS(MOT_AJUSTE,MOT_MOTOR,G103,MOT_MARCA,E103,MOT_DESDE,"&lt;="&amp;M103,MOT_HASTA,"&gt;="&amp;M103)+SUMIFS(MOT_AJUSTE,MOT_MOTOR,G103,MOT_MARCA,"(todas)",MOT_DESDE,"&lt;="&amp;M103,MOT_HASTA,"&gt;="&amp;M103)+SUMIFS(MOT_AJUSTE,MOT_MOTOR,"(cualquiera)",MOT_MARCA,E103,MOT_DESDE,"&lt;="&amp;M103,MOT_HASTA,"&gt;="&amp;M103)</f>
        <v/>
      </c>
      <c r="CP103" s="3">
        <f>SUMIFS(COMB_AJUSTE,COMB_COMB,K103)</f>
        <v/>
      </c>
      <c r="CQ103" s="3">
        <f>COUNTIFS(MOT_MOTOR,G103,MOT_MARCA,E103,MOT_DESDE,"&lt;="&amp;M103,MOT_HASTA,"&gt;="&amp;M103)+COUNTIFS(MOT_MOTOR,G103,MOT_MARCA,"(todas)",MOT_DESDE,"&lt;="&amp;M103,MOT_HASTA,"&gt;="&amp;M103)+COUNTIFS(MOT_MOTOR,"(cualquiera)",MOT_MARCA,E103,MOT_DESDE,"&lt;="&amp;M103,MOT_HASTA,"&gt;="&amp;M103)</f>
        <v/>
      </c>
      <c r="CR103" s="3">
        <f>IF(AND(K103="diesel",CQ103=0),MIN(CN103,NEUTRO),CN103)</f>
        <v/>
      </c>
      <c r="CS103" s="3">
        <f>MAX(0,MIN(100,CR103+CO103+CP103-IF(AX103="sí",ROB_PEN,0)))</f>
        <v/>
      </c>
      <c r="CT103" s="3">
        <f>100-MAX(0,N103-KM_TOPE_DESDE)/1000*KM_TOPE_PTS</f>
        <v/>
      </c>
      <c r="CU103" s="3">
        <f>MAX(0,MIN(100,50+CG103*PRECIO_PEND,CT103))</f>
        <v/>
      </c>
      <c r="CV103" s="3">
        <f>MAX(0,100*(1-N103/KM_MAX))</f>
        <v/>
      </c>
      <c r="CW103" s="3">
        <f>IF(BX103&lt;KMA_SOSP,IF(AA103="sí",100,KMA_PEN),IF(BX103&lt;=KMA_IDEAL_MAX,100,MAX(0,100*(KMA_CERO-BX103)/(KMA_CERO-KMA_IDEAL_MAX))))</f>
        <v/>
      </c>
      <c r="CX103" s="3">
        <f>MAX(0,MIN(100,100*(M103-ANIO_MIN)/(ANIO_ACTUAL-ANIO_MIN)))</f>
        <v/>
      </c>
      <c r="CY103" s="3">
        <f>W_KMT*CV103+W_KMA*CW103+W_EDAD*CX103</f>
        <v/>
      </c>
      <c r="CZ103" s="4">
        <f>E103&amp;"|"&amp;G103</f>
        <v/>
      </c>
      <c r="DA103" s="3">
        <f>IFERROR(VLOOKUP(CZ103,DIST_TBL,2,0),"")</f>
        <v/>
      </c>
      <c r="DB103" s="3">
        <f>E_ITV*(V103="sí")+E_LIBRO*(W103="sí")+E_PROP*IF(Y103=1,1,IF(Y103=2,0.5,0))+E_CORREA*IF(OR(DA103="cadena",AND(X103="sí",BH103="sí")),1,IF(X103="sí",0.5,0))+E_FACT*(BI103="sí")</f>
        <v/>
      </c>
      <c r="DC103" s="3">
        <f>MAX(0,MIN(100,IFERROR(VLOOKUP(CL103,ETQ_TBL,2,0),0)-IF(CM103="sí",ETQ_PEN_DUD,IF(AS103="regla",ETQ_PEN_REGLA,0))))</f>
        <v/>
      </c>
      <c r="DD103" s="3">
        <f>IF(K103&lt;&gt;"gasolina","",IFERROR(VLOOKUP(F103,CONS_MOD_TBL,2,0),IFERROR(VLOOKUP(L103,CONS_SEG_TBL,2,0),"")))</f>
        <v/>
      </c>
      <c r="DE103" s="3">
        <f>IF(DD103="",NEUTRO,MAX(0,MIN(100,100*(CONS_REF_MAX-DD103)/(CONS_REF_MAX-CONS_REF_MIN))))</f>
        <v/>
      </c>
      <c r="DF103" s="3">
        <f>IFERROR(VLOOKUP(L103,SEGURO_TBL,3,0),"")</f>
        <v/>
      </c>
      <c r="DG103" s="3">
        <f>IF(DF103="",NEUTRO,MAX(0,MIN(100,100*(SEG_REF_MAX-DF103)/(SEG_REF_MAX-SEG_REF_MIN))))</f>
        <v/>
      </c>
      <c r="DH103" s="3">
        <f>IFERROR(VLOOKUP(E103,MANT_MARCA_TBL,2,0)+0,NEUTRO)</f>
        <v/>
      </c>
      <c r="DI103" s="3">
        <f>IF(DA103="",NEUTRO,IFERROR(VLOOKUP(DA103,DIST_PTS_TBL,2,0)+0,NEUTRO))</f>
        <v/>
      </c>
      <c r="DJ103" s="4">
        <f>(DH103+DI103)/2</f>
        <v/>
      </c>
      <c r="DK103" s="3">
        <f>W_CONS*DE103+W_SEG*DG103+W_MANT*DJ103</f>
        <v/>
      </c>
      <c r="DL103" s="3">
        <f>IF(N(AB103)&gt;0,AB103,IF(AND(R103="profesional",SG_LEGAL_ON=1),GAR_LEGAL,0))</f>
        <v/>
      </c>
      <c r="DM103" s="3">
        <f>MAX(0,MIN(100,SG_GAR*MIN(1,DL103/SG_GAR_FULL)+SG_AMPL*(AC103="sí")+SG_KMC*(AF103="sí")+SG_REV*(N(AE103)&gt;0)+SG_DEV*MIN(1,N(AG103)/SG_DEV_FULL)+SG_HIST*(W103="sí")-IF(AND(R103="particular",DL103=0),SG_PART_PEN,0)))</f>
        <v/>
      </c>
      <c r="DN103" s="3">
        <f>IF(BK103="",NEUTRO,MAX(0,MIN(100,BK103/5*100)))</f>
        <v/>
      </c>
      <c r="DO103" s="3">
        <f>IF(BL103="sí",100,IF(BL103="no",0,NEUTRO))</f>
        <v/>
      </c>
      <c r="DP103" s="3">
        <f>SV_W_NCAP*DN103+SV_W_ESP*DO103</f>
        <v/>
      </c>
      <c r="DQ103" s="3">
        <f>MAX(0,MIN(100,ATR_BASE+ATR_ACAB*(BD103&lt;&gt;"")+IF(BE103="16+",ATR_LL16,IF(BE103="sí",ATR_LL,0))+ATR_FAROS*(BF103="sí")+ATR_TINT*(BG103="sí")-ATR_CHAPA*(BE103="chapa")))</f>
        <v/>
      </c>
      <c r="DR103" s="3">
        <f>EST_W_MOD*(BB103-1)/4*100+EST_W_ATR*DQ103</f>
        <v/>
      </c>
      <c r="DS103" s="3">
        <f>IF(BA103="",NEUTRO,IFERROR(VLOOKUP(BA103,COLOR_TBL,2,0)+0,NEUTRO))</f>
        <v/>
      </c>
      <c r="DT103" s="3">
        <f>MAX(0,MIN(100,100*N(BM103)/RV_N_FULL))</f>
        <v/>
      </c>
      <c r="DU103" s="3">
        <f>IF(OR(BN103="",N(BO103)&lt;RV_DIAS_MIN),NEUTRO,MAX(0,MIN(100,100*(RV_DIAS_CERO-BN103)/(RV_DIAS_CERO-RV_DIAS_FULL))))</f>
        <v/>
      </c>
      <c r="DV103" s="3">
        <f>RV_W_LIQ*DT103+RV_W_DIAS*DU103+RV_W_ETQ*DC103</f>
        <v/>
      </c>
      <c r="DW103" s="3">
        <f>IFERROR(VLOOKUP(L103,CARR_PEN_TBL,2,0),0)</f>
        <v/>
      </c>
      <c r="DX103" s="3">
        <f>W_FIAB*CS103+W_PRECIO*CU103+W_KMEDAD*CY103+W_ESTADO*DB103+W_USO*DK103+W_SEGURIDAD*DM103+W_SEGVIAL*DP103+W_ESTETICA*DR103+W_COLOR*DS103+W_REVENTA*DV103-DW103-EG103</f>
        <v/>
      </c>
      <c r="DY103" s="4">
        <f>IF(N(I103)&gt;0,I103,IFERROR(ROUND(_xlfn.NUMBERVALUE(LEFT(G103,FIND(" ",G103&amp;" ")-1),".")*1000,0),99999))</f>
        <v/>
      </c>
      <c r="DZ103" s="3">
        <f>IF(R103="profesional",0,IF(O103&lt;CUOTA_VALOR_MAX,IF(BW103&gt;ITP_TRAMO_ALTO,SUMIFS(CF_CUOTA,CF_MAS,ITP_TRAMO_ALTO,CF_CCMIN,"&lt;="&amp;DY103,CF_CCMAX,"&gt;="&amp;DY103),IF(BW103&gt;ITP_TRAMO_BAJO,SUMIFS(CF_CUOTA,CF_MAS,ITP_TRAMO_BAJO,CF_CCMIN,"&lt;="&amp;DY103,CF_CCMAX,"&gt;="&amp;DY103),O103*ITP_TIPO)),O103*ITP_TIPO))</f>
        <v/>
      </c>
      <c r="EA103" s="4">
        <f>IF(R103="profesional",N(AK103),0)</f>
        <v/>
      </c>
      <c r="EB103" s="3">
        <f>IF(AND(R103="profesional",ISNUMBER(AK103),AL103="sí"),0,TASA_DGT)</f>
        <v/>
      </c>
      <c r="EC103" s="3">
        <f>INFORME_DGT</f>
        <v/>
      </c>
      <c r="ED103" s="4">
        <f>O103+EA103+DZ103+EB103+EC103</f>
        <v/>
      </c>
      <c r="EE103" s="4">
        <f>ED103+N(DF103)</f>
        <v/>
      </c>
      <c r="EF103" s="3">
        <f>MAX(0,ED103-TOTAL_MAX)</f>
        <v/>
      </c>
      <c r="EG103" s="3">
        <f>EF103/100*PEN_100</f>
        <v/>
      </c>
      <c r="EH103" s="3">
        <f>IF(R103="particular",ED103+IF(AND(DA103&lt;&gt;"cadena",X103&lt;&gt;"sí"),RES_CORREA,0)+IF(AND(BJ103&lt;&gt;"sí",BW103&gt;=RES_NEUM_EDAD),RES_NEUM,0),"")</f>
        <v/>
      </c>
      <c r="EI103" s="3">
        <f>IF(ED103&lt;=TOTAL_MAX,"sí",IF(ED103&lt;=TECHO,"negociar","no"))</f>
        <v/>
      </c>
      <c r="EJ103" s="4">
        <f>ROUND(DX103,9)</f>
        <v/>
      </c>
      <c r="EK103" s="4">
        <f>IF(EI103&lt;&gt;"no",SUMPRODUCT(($EI$2:$EI$209&lt;&gt;"no")*($EJ$2:$EJ$209&gt;EJ103))+SUMPRODUCT(($EI$2:EI103&lt;&gt;"no")*($EJ$2:EJ103=EJ103)),"")</f>
        <v/>
      </c>
    </row>
    <row r="104">
      <c r="A104" s="2" t="inlineStr">
        <is>
          <t>cochesnet:71536876</t>
        </is>
      </c>
      <c r="B104" s="2" t="inlineStr">
        <is>
          <t>cochesnet</t>
        </is>
      </c>
      <c r="C104" s="2" t="inlineStr">
        <is>
          <t>https://www.coches.net/chevrolet-epica-20-vcdi-16v-lt-4p-diesel-2008-en-valencia-71536876-covo.aspx</t>
        </is>
      </c>
      <c r="D104" s="2" t="inlineStr">
        <is>
          <t>CHEVROLET Epica 2.0 VCDI 16v LT</t>
        </is>
      </c>
      <c r="E104" s="2" t="inlineStr">
        <is>
          <t>Chevrolet</t>
        </is>
      </c>
      <c r="F104" s="2" t="inlineStr">
        <is>
          <t>Chevrolet Epica</t>
        </is>
      </c>
      <c r="G104" s="2" t="inlineStr">
        <is>
          <t>2.0</t>
        </is>
      </c>
      <c r="H104" s="2" t="inlineStr">
        <is>
          <t>2.0 VCDI 16v LT</t>
        </is>
      </c>
      <c r="I104" s="2" t="n"/>
      <c r="J104" s="2" t="n"/>
      <c r="K104" s="2" t="inlineStr">
        <is>
          <t>diesel</t>
        </is>
      </c>
      <c r="L104" s="2" t="inlineStr">
        <is>
          <t>berlina_d</t>
        </is>
      </c>
      <c r="M104" s="2" t="n">
        <v>2009</v>
      </c>
      <c r="N104" s="2" t="n">
        <v>83000</v>
      </c>
      <c r="O104" s="2" t="n">
        <v>3500</v>
      </c>
      <c r="P104" s="2" t="inlineStr">
        <is>
          <t>manual</t>
        </is>
      </c>
      <c r="Q104" s="2" t="inlineStr">
        <is>
          <t>no</t>
        </is>
      </c>
      <c r="R104" s="2" t="inlineStr">
        <is>
          <t>profesional</t>
        </is>
      </c>
      <c r="S104" s="2" t="inlineStr">
        <is>
          <t>Automoción Valencia Albal</t>
        </is>
      </c>
      <c r="T104" s="2" t="inlineStr">
        <is>
          <t>2026-09-17T15:17:03Z</t>
        </is>
      </c>
      <c r="U104" s="2" t="n">
        <v>12</v>
      </c>
      <c r="V104" s="2" t="n"/>
      <c r="W104" s="2" t="n"/>
      <c r="X104" s="2" t="n"/>
      <c r="Y104" s="2" t="n"/>
      <c r="Z104" s="2" t="inlineStr">
        <is>
          <t>no</t>
        </is>
      </c>
      <c r="AA104" s="2" t="n"/>
      <c r="AB104" s="2" t="n"/>
      <c r="AC104" s="2" t="n"/>
      <c r="AD104" s="2" t="n"/>
      <c r="AE104" s="2" t="n"/>
      <c r="AF104" s="2" t="n"/>
      <c r="AG104" s="2" t="n"/>
      <c r="AH104" s="2" t="n">
        <v>3500</v>
      </c>
      <c r="AI104" s="2" t="n">
        <v>3500</v>
      </c>
      <c r="AJ104" s="2" t="n"/>
      <c r="AK104" s="2" t="n"/>
      <c r="AL104" s="2" t="n"/>
      <c r="AM104" s="2" t="n">
        <v>8.699999999999999</v>
      </c>
      <c r="AN104" s="2" t="n"/>
      <c r="AO104" s="2" t="inlineStr">
        <is>
          <t>2009</t>
        </is>
      </c>
      <c r="AP104" s="2" t="n">
        <v>2009</v>
      </c>
      <c r="AQ104" s="2" t="n"/>
      <c r="AR104" s="2" t="inlineStr">
        <is>
          <t>B</t>
        </is>
      </c>
      <c r="AS104" s="2" t="inlineStr">
        <is>
          <t>anuncio</t>
        </is>
      </c>
      <c r="AT104" s="2" t="n">
        <v>2008</v>
      </c>
      <c r="AU104" s="2" t="inlineStr">
        <is>
          <t>no</t>
        </is>
      </c>
      <c r="AV104" s="2" t="inlineStr">
        <is>
          <t>B</t>
        </is>
      </c>
      <c r="AW104" s="2" t="n"/>
      <c r="AX104" s="2" t="inlineStr">
        <is>
          <t>no</t>
        </is>
      </c>
      <c r="AY104" s="2" t="inlineStr">
        <is>
          <t>no</t>
        </is>
      </c>
      <c r="AZ104" s="2" t="inlineStr">
        <is>
          <t>COMMON.COLOR_BEIGE</t>
        </is>
      </c>
      <c r="BA104" s="2" t="inlineStr">
        <is>
          <t>beige</t>
        </is>
      </c>
      <c r="BB104" s="3" t="n">
        <v>3</v>
      </c>
      <c r="BC104" s="3" t="inlineStr">
        <is>
          <t>(por segmento)</t>
        </is>
      </c>
      <c r="BD104" s="2" t="n"/>
      <c r="BE104" s="2" t="inlineStr">
        <is>
          <t>sí</t>
        </is>
      </c>
      <c r="BF104" s="2" t="n"/>
      <c r="BG104" s="2" t="inlineStr">
        <is>
          <t>sí</t>
        </is>
      </c>
      <c r="BH104" s="2" t="n"/>
      <c r="BI104" s="2" t="n"/>
      <c r="BJ104" s="2" t="n"/>
      <c r="BK104" s="2" t="n"/>
      <c r="BL104" s="2" t="n"/>
      <c r="BM104" s="2" t="n">
        <v>8</v>
      </c>
      <c r="BN104" s="2" t="n"/>
      <c r="BO104" s="2" t="n">
        <v>0</v>
      </c>
      <c r="BP104" s="2" t="n">
        <v>3600</v>
      </c>
      <c r="BQ104" s="2" t="n">
        <v>8</v>
      </c>
      <c r="BR104" s="2" t="inlineStr">
        <is>
          <t>modelo+año</t>
        </is>
      </c>
      <c r="BS104" s="2" t="n"/>
      <c r="BT104" s="2" t="inlineStr">
        <is>
          <t>año a confirmar: la URL/título dice 2008; vendedor profesional: sin ITP (operación con IVA/REBU, confirmar en factura); gastos de gestión del vendedor no indicados: se suma la tasa DGT; preguntar el precio final; Euro NCAP de la generación PENDIENTE (seguridad neutra); diésel: motor sin fuente de fiabilidad (fiabilidad limitada a neutra); revisar: no menciona la ITV; fiabilidad del modelo PENDIENTE de fuente (puntuación neutra)</t>
        </is>
      </c>
      <c r="BU104" s="2" t="inlineStr">
        <is>
          <t>Chevrolet Epica 2.0 VCDI  150CVdestaca por su completo equipamiento multimedia con ocho altavoces, radio AM/FM, reproductor de CD y mandos en el volante para máximo confort al conducir. Dispone de dirección asistida progresiva, climatizador automático, limpiaparabrisas con sensor de lluvia y control de crucero. Los asientos térmicos del conductor con ajuste lumbar, volante multifuncional de cuero ajustable y retrovisores eléctricos desempañables garantizan una experiencia versátil. Incluye ordenador de viaje, protección antirrobo perimétrica, cierre centralizado con mando a distancia y apertura remota del maletero. Llantas de aleación de dieciséis pulgadas, cristales tintados y etiqueta medioambiental B completan este sedán familiar práctico y bien equipado.</t>
        </is>
      </c>
      <c r="BV104" s="2" t="inlineStr">
        <is>
          <t>https://www.coches.net/chevrolet-epica-20-vcdi-16v-lt-4p-diesel-2008-en-valencia-71536876-covo.aspx (window.__INITIAL_PROPS__.ad) /home/user/Alopecia/buscador-coches/raw/cochesnet/d843838227c2907f.json</t>
        </is>
      </c>
      <c r="BW104" s="3">
        <f>MAX(ANIO_ACTUAL-M104,0)</f>
        <v/>
      </c>
      <c r="BX104" s="4">
        <f>N104/MAX(BW104,0.5)</f>
        <v/>
      </c>
      <c r="BY104" s="4">
        <f>F104</f>
        <v/>
      </c>
      <c r="BZ104" s="3">
        <f>BY104&amp;"|"&amp;INT(M104/SEG_ANIO)*SEG_ANIO</f>
        <v/>
      </c>
      <c r="CA104" s="3">
        <f>BZ104&amp;"|"&amp;INT(N104/SEG_KM)*SEG_KM</f>
        <v/>
      </c>
      <c r="CB104" s="4">
        <f>COUNTIF($BY$2:$BY$209,BY104)</f>
        <v/>
      </c>
      <c r="CC104" s="4">
        <f>COUNTIF($BZ$2:$BZ$209,BZ104)</f>
        <v/>
      </c>
      <c r="CD104" s="4">
        <f>COUNTIF($CA$2:$CA$209,CA104)</f>
        <v/>
      </c>
      <c r="CE104" s="3">
        <f t="array" ref="CE104">IF(N(BQ104)&gt;=MIN_N,BP104,IF(CD104&gt;=MIN_N,MEDIAN(IF($CA$2:$CA$209=CA104,$O$2:$O$209)),IF(CC104&gt;=MIN_N,MEDIAN(IF($BZ$2:$BZ$209=BZ104,$O$2:$O$209)),MEDIAN(IF($BY$2:$BY$209=BY104,$O$2:$O$209)))))</f>
        <v/>
      </c>
      <c r="CF104" s="3">
        <f>IF(N(BQ104)&gt;=MIN_N,"mercado "&amp;BR104,IF(CD104&gt;=MIN_N,"modelo+año+km",IF(CC104&gt;=MIN_N,"modelo+año","modelo")))</f>
        <v/>
      </c>
      <c r="CG104" s="4">
        <f>(CE104-O104)/CE104</f>
        <v/>
      </c>
      <c r="CH104" s="3">
        <f>IF(COUNTIFS(FR_FUEL,K104,FR_YEAR,AP104)&gt;0,1,0)</f>
        <v/>
      </c>
      <c r="CI104" s="3">
        <f>IF(COUNTIFS(FR_FUEL,K104,FR_YEAR,AP104-1)&gt;0,1,0)</f>
        <v/>
      </c>
      <c r="CJ104" s="4">
        <f>IF(N(AQ104)&gt;0,AP104*100+AQ104,IF(AND(CH104=1,CI104=1),(AP104-1)*100+1,AP104*100+1))</f>
        <v/>
      </c>
      <c r="CK104" s="3">
        <f>IF(OR(K104="hibrido",K104="glp",K104="gnc",K104="phev"),"ECO",IF(K104="electrico","CERO",IF(K104="gasolina",IF(CJ104&gt;=GAS_C_YM,"C",IF(CJ104&gt;=GAS_B_YM,"B","A")),IF(K104="diesel",IF(CJ104&gt;=DIE_C_YM,"C",IF(CJ104&gt;=DIE_B_YM,"B","A")),""))))</f>
        <v/>
      </c>
      <c r="CL104" s="2" t="inlineStr">
        <is>
          <t>B</t>
        </is>
      </c>
      <c r="CM104" s="4">
        <f>IF(AU104="sí","sí",IF(AS104="regla",IF(AND(N(AQ104)=0,CH104=1),"sí","no"),"no"))</f>
        <v/>
      </c>
      <c r="CN104" s="3">
        <f>IFERROR(VLOOKUP(F104,MOD_TBL,16,0),IFERROR(VLOOKUP(E104,OCU_TBL,2,0),NEUTRO))</f>
        <v/>
      </c>
      <c r="CO104" s="3">
        <f>SUMIFS(MOT_AJUSTE,MOT_MOTOR,G104,MOT_MARCA,E104,MOT_DESDE,"&lt;="&amp;M104,MOT_HASTA,"&gt;="&amp;M104)+SUMIFS(MOT_AJUSTE,MOT_MOTOR,G104,MOT_MARCA,"(todas)",MOT_DESDE,"&lt;="&amp;M104,MOT_HASTA,"&gt;="&amp;M104)+SUMIFS(MOT_AJUSTE,MOT_MOTOR,"(cualquiera)",MOT_MARCA,E104,MOT_DESDE,"&lt;="&amp;M104,MOT_HASTA,"&gt;="&amp;M104)</f>
        <v/>
      </c>
      <c r="CP104" s="3">
        <f>SUMIFS(COMB_AJUSTE,COMB_COMB,K104)</f>
        <v/>
      </c>
      <c r="CQ104" s="3">
        <f>COUNTIFS(MOT_MOTOR,G104,MOT_MARCA,E104,MOT_DESDE,"&lt;="&amp;M104,MOT_HASTA,"&gt;="&amp;M104)+COUNTIFS(MOT_MOTOR,G104,MOT_MARCA,"(todas)",MOT_DESDE,"&lt;="&amp;M104,MOT_HASTA,"&gt;="&amp;M104)+COUNTIFS(MOT_MOTOR,"(cualquiera)",MOT_MARCA,E104,MOT_DESDE,"&lt;="&amp;M104,MOT_HASTA,"&gt;="&amp;M104)</f>
        <v/>
      </c>
      <c r="CR104" s="3">
        <f>IF(AND(K104="diesel",CQ104=0),MIN(CN104,NEUTRO),CN104)</f>
        <v/>
      </c>
      <c r="CS104" s="3">
        <f>MAX(0,MIN(100,CR104+CO104+CP104-IF(AX104="sí",ROB_PEN,0)))</f>
        <v/>
      </c>
      <c r="CT104" s="3">
        <f>100-MAX(0,N104-KM_TOPE_DESDE)/1000*KM_TOPE_PTS</f>
        <v/>
      </c>
      <c r="CU104" s="3">
        <f>MAX(0,MIN(100,50+CG104*PRECIO_PEND,CT104))</f>
        <v/>
      </c>
      <c r="CV104" s="3">
        <f>MAX(0,100*(1-N104/KM_MAX))</f>
        <v/>
      </c>
      <c r="CW104" s="3">
        <f>IF(BX104&lt;KMA_SOSP,IF(AA104="sí",100,KMA_PEN),IF(BX104&lt;=KMA_IDEAL_MAX,100,MAX(0,100*(KMA_CERO-BX104)/(KMA_CERO-KMA_IDEAL_MAX))))</f>
        <v/>
      </c>
      <c r="CX104" s="3">
        <f>MAX(0,MIN(100,100*(M104-ANIO_MIN)/(ANIO_ACTUAL-ANIO_MIN)))</f>
        <v/>
      </c>
      <c r="CY104" s="3">
        <f>W_KMT*CV104+W_KMA*CW104+W_EDAD*CX104</f>
        <v/>
      </c>
      <c r="CZ104" s="4">
        <f>E104&amp;"|"&amp;G104</f>
        <v/>
      </c>
      <c r="DA104" s="3">
        <f>IFERROR(VLOOKUP(CZ104,DIST_TBL,2,0),"")</f>
        <v/>
      </c>
      <c r="DB104" s="3">
        <f>E_ITV*(V104="sí")+E_LIBRO*(W104="sí")+E_PROP*IF(Y104=1,1,IF(Y104=2,0.5,0))+E_CORREA*IF(OR(DA104="cadena",AND(X104="sí",BH104="sí")),1,IF(X104="sí",0.5,0))+E_FACT*(BI104="sí")</f>
        <v/>
      </c>
      <c r="DC104" s="3">
        <f>MAX(0,MIN(100,IFERROR(VLOOKUP(CL104,ETQ_TBL,2,0),0)-IF(CM104="sí",ETQ_PEN_DUD,IF(AS104="regla",ETQ_PEN_REGLA,0))))</f>
        <v/>
      </c>
      <c r="DD104" s="3">
        <f>IF(K104&lt;&gt;"gasolina","",IFERROR(VLOOKUP(F104,CONS_MOD_TBL,2,0),IFERROR(VLOOKUP(L104,CONS_SEG_TBL,2,0),"")))</f>
        <v/>
      </c>
      <c r="DE104" s="3">
        <f>IF(DD104="",NEUTRO,MAX(0,MIN(100,100*(CONS_REF_MAX-DD104)/(CONS_REF_MAX-CONS_REF_MIN))))</f>
        <v/>
      </c>
      <c r="DF104" s="3">
        <f>IFERROR(VLOOKUP(L104,SEGURO_TBL,3,0),"")</f>
        <v/>
      </c>
      <c r="DG104" s="3">
        <f>IF(DF104="",NEUTRO,MAX(0,MIN(100,100*(SEG_REF_MAX-DF104)/(SEG_REF_MAX-SEG_REF_MIN))))</f>
        <v/>
      </c>
      <c r="DH104" s="3">
        <f>IFERROR(VLOOKUP(E104,MANT_MARCA_TBL,2,0)+0,NEUTRO)</f>
        <v/>
      </c>
      <c r="DI104" s="3">
        <f>IF(DA104="",NEUTRO,IFERROR(VLOOKUP(DA104,DIST_PTS_TBL,2,0)+0,NEUTRO))</f>
        <v/>
      </c>
      <c r="DJ104" s="4">
        <f>(DH104+DI104)/2</f>
        <v/>
      </c>
      <c r="DK104" s="3">
        <f>W_CONS*DE104+W_SEG*DG104+W_MANT*DJ104</f>
        <v/>
      </c>
      <c r="DL104" s="3">
        <f>IF(N(AB104)&gt;0,AB104,IF(AND(R104="profesional",SG_LEGAL_ON=1),GAR_LEGAL,0))</f>
        <v/>
      </c>
      <c r="DM104" s="3">
        <f>MAX(0,MIN(100,SG_GAR*MIN(1,DL104/SG_GAR_FULL)+SG_AMPL*(AC104="sí")+SG_KMC*(AF104="sí")+SG_REV*(N(AE104)&gt;0)+SG_DEV*MIN(1,N(AG104)/SG_DEV_FULL)+SG_HIST*(W104="sí")-IF(AND(R104="particular",DL104=0),SG_PART_PEN,0)))</f>
        <v/>
      </c>
      <c r="DN104" s="3">
        <f>IF(BK104="",NEUTRO,MAX(0,MIN(100,BK104/5*100)))</f>
        <v/>
      </c>
      <c r="DO104" s="3">
        <f>IF(BL104="sí",100,IF(BL104="no",0,NEUTRO))</f>
        <v/>
      </c>
      <c r="DP104" s="3">
        <f>SV_W_NCAP*DN104+SV_W_ESP*DO104</f>
        <v/>
      </c>
      <c r="DQ104" s="3">
        <f>MAX(0,MIN(100,ATR_BASE+ATR_ACAB*(BD104&lt;&gt;"")+IF(BE104="16+",ATR_LL16,IF(BE104="sí",ATR_LL,0))+ATR_FAROS*(BF104="sí")+ATR_TINT*(BG104="sí")-ATR_CHAPA*(BE104="chapa")))</f>
        <v/>
      </c>
      <c r="DR104" s="3">
        <f>EST_W_MOD*(BB104-1)/4*100+EST_W_ATR*DQ104</f>
        <v/>
      </c>
      <c r="DS104" s="3">
        <f>IF(BA104="",NEUTRO,IFERROR(VLOOKUP(BA104,COLOR_TBL,2,0)+0,NEUTRO))</f>
        <v/>
      </c>
      <c r="DT104" s="3">
        <f>MAX(0,MIN(100,100*N(BM104)/RV_N_FULL))</f>
        <v/>
      </c>
      <c r="DU104" s="3">
        <f>IF(OR(BN104="",N(BO104)&lt;RV_DIAS_MIN),NEUTRO,MAX(0,MIN(100,100*(RV_DIAS_CERO-BN104)/(RV_DIAS_CERO-RV_DIAS_FULL))))</f>
        <v/>
      </c>
      <c r="DV104" s="3">
        <f>RV_W_LIQ*DT104+RV_W_DIAS*DU104+RV_W_ETQ*DC104</f>
        <v/>
      </c>
      <c r="DW104" s="3">
        <f>IFERROR(VLOOKUP(L104,CARR_PEN_TBL,2,0),0)</f>
        <v/>
      </c>
      <c r="DX104" s="3">
        <f>W_FIAB*CS104+W_PRECIO*CU104+W_KMEDAD*CY104+W_ESTADO*DB104+W_USO*DK104+W_SEGURIDAD*DM104+W_SEGVIAL*DP104+W_ESTETICA*DR104+W_COLOR*DS104+W_REVENTA*DV104-DW104-EG104</f>
        <v/>
      </c>
      <c r="DY104" s="4">
        <f>IF(N(I104)&gt;0,I104,IFERROR(ROUND(_xlfn.NUMBERVALUE(LEFT(G104,FIND(" ",G104&amp;" ")-1),".")*1000,0),99999))</f>
        <v/>
      </c>
      <c r="DZ104" s="3">
        <f>IF(R104="profesional",0,IF(O104&lt;CUOTA_VALOR_MAX,IF(BW104&gt;ITP_TRAMO_ALTO,SUMIFS(CF_CUOTA,CF_MAS,ITP_TRAMO_ALTO,CF_CCMIN,"&lt;="&amp;DY104,CF_CCMAX,"&gt;="&amp;DY104),IF(BW104&gt;ITP_TRAMO_BAJO,SUMIFS(CF_CUOTA,CF_MAS,ITP_TRAMO_BAJO,CF_CCMIN,"&lt;="&amp;DY104,CF_CCMAX,"&gt;="&amp;DY104),O104*ITP_TIPO)),O104*ITP_TIPO))</f>
        <v/>
      </c>
      <c r="EA104" s="4">
        <f>IF(R104="profesional",N(AK104),0)</f>
        <v/>
      </c>
      <c r="EB104" s="3">
        <f>IF(AND(R104="profesional",ISNUMBER(AK104),AL104="sí"),0,TASA_DGT)</f>
        <v/>
      </c>
      <c r="EC104" s="3">
        <f>INFORME_DGT</f>
        <v/>
      </c>
      <c r="ED104" s="4">
        <f>O104+EA104+DZ104+EB104+EC104</f>
        <v/>
      </c>
      <c r="EE104" s="4">
        <f>ED104+N(DF104)</f>
        <v/>
      </c>
      <c r="EF104" s="3">
        <f>MAX(0,ED104-TOTAL_MAX)</f>
        <v/>
      </c>
      <c r="EG104" s="3">
        <f>EF104/100*PEN_100</f>
        <v/>
      </c>
      <c r="EH104" s="3">
        <f>IF(R104="particular",ED104+IF(AND(DA104&lt;&gt;"cadena",X104&lt;&gt;"sí"),RES_CORREA,0)+IF(AND(BJ104&lt;&gt;"sí",BW104&gt;=RES_NEUM_EDAD),RES_NEUM,0),"")</f>
        <v/>
      </c>
      <c r="EI104" s="3">
        <f>IF(ED104&lt;=TOTAL_MAX,"sí",IF(ED104&lt;=TECHO,"negociar","no"))</f>
        <v/>
      </c>
      <c r="EJ104" s="4">
        <f>ROUND(DX104,9)</f>
        <v/>
      </c>
      <c r="EK104" s="4">
        <f>IF(EI104&lt;&gt;"no",SUMPRODUCT(($EI$2:$EI$209&lt;&gt;"no")*($EJ$2:$EJ$209&gt;EJ104))+SUMPRODUCT(($EI$2:EI104&lt;&gt;"no")*($EJ$2:EJ104=EJ104)),"")</f>
        <v/>
      </c>
    </row>
    <row r="105">
      <c r="A105" s="2" t="inlineStr">
        <is>
          <t>cochesnet:71743921</t>
        </is>
      </c>
      <c r="B105" s="2" t="inlineStr">
        <is>
          <t>cochesnet</t>
        </is>
      </c>
      <c r="C105" s="2" t="inlineStr">
        <is>
          <t>https://www.coches.net/mazda-mazda2-active-14-crtd-5p-diesel-2007-en-castellon-71743921-covo.aspx</t>
        </is>
      </c>
      <c r="D105" s="2" t="inlineStr">
        <is>
          <t>MAZDA Mazda2 Active 1.4 CRTD</t>
        </is>
      </c>
      <c r="E105" s="2" t="inlineStr">
        <is>
          <t>Mazda</t>
        </is>
      </c>
      <c r="F105" s="2" t="inlineStr">
        <is>
          <t>Mazda 2</t>
        </is>
      </c>
      <c r="G105" s="2" t="inlineStr">
        <is>
          <t>1.4</t>
        </is>
      </c>
      <c r="H105" s="2" t="inlineStr">
        <is>
          <t>Active 1.4 CRTD</t>
        </is>
      </c>
      <c r="I105" s="2" t="n"/>
      <c r="J105" s="2" t="n"/>
      <c r="K105" s="2" t="inlineStr">
        <is>
          <t>diesel</t>
        </is>
      </c>
      <c r="L105" s="2" t="inlineStr">
        <is>
          <t>utilitario</t>
        </is>
      </c>
      <c r="M105" s="2" t="n">
        <v>2008</v>
      </c>
      <c r="N105" s="2" t="n">
        <v>209000</v>
      </c>
      <c r="O105" s="2" t="n">
        <v>3900</v>
      </c>
      <c r="P105" s="2" t="inlineStr">
        <is>
          <t>manual</t>
        </is>
      </c>
      <c r="Q105" s="2" t="inlineStr">
        <is>
          <t>no</t>
        </is>
      </c>
      <c r="R105" s="2" t="inlineStr">
        <is>
          <t>profesional</t>
        </is>
      </c>
      <c r="S105" s="2" t="inlineStr">
        <is>
          <t>Castellón de la Plana / Castelló de la Plana</t>
        </is>
      </c>
      <c r="T105" s="2" t="inlineStr">
        <is>
          <t>2026-10-14T15:25:45Z</t>
        </is>
      </c>
      <c r="U105" s="2" t="n">
        <v>10</v>
      </c>
      <c r="V105" s="2" t="inlineStr">
        <is>
          <t>sí</t>
        </is>
      </c>
      <c r="W105" s="2" t="n"/>
      <c r="X105" s="2" t="n"/>
      <c r="Y105" s="2" t="n"/>
      <c r="Z105" s="2" t="inlineStr">
        <is>
          <t>sí</t>
        </is>
      </c>
      <c r="AA105" s="2" t="n"/>
      <c r="AB105" s="2" t="n">
        <v>12</v>
      </c>
      <c r="AC105" s="2" t="n"/>
      <c r="AD105" s="2" t="n"/>
      <c r="AE105" s="2" t="n"/>
      <c r="AF105" s="2" t="n"/>
      <c r="AG105" s="2" t="n"/>
      <c r="AH105" s="2" t="n">
        <v>3900</v>
      </c>
      <c r="AI105" s="2" t="n"/>
      <c r="AJ105" s="2" t="n"/>
      <c r="AK105" s="2" t="n"/>
      <c r="AL105" s="2" t="n"/>
      <c r="AM105" s="2" t="n"/>
      <c r="AN105" s="2" t="n"/>
      <c r="AO105" s="2" t="inlineStr">
        <is>
          <t>2008</t>
        </is>
      </c>
      <c r="AP105" s="2" t="n">
        <v>2008</v>
      </c>
      <c r="AQ105" s="2" t="n"/>
      <c r="AR105" s="2" t="n"/>
      <c r="AS105" s="2" t="inlineStr">
        <is>
          <t>regla</t>
        </is>
      </c>
      <c r="AT105" s="2" t="n">
        <v>2007</v>
      </c>
      <c r="AU105" s="2" t="inlineStr">
        <is>
          <t>no</t>
        </is>
      </c>
      <c r="AV105" s="2" t="inlineStr">
        <is>
          <t>B</t>
        </is>
      </c>
      <c r="AW105" s="2" t="n"/>
      <c r="AX105" s="2" t="inlineStr">
        <is>
          <t>no</t>
        </is>
      </c>
      <c r="AY105" s="2" t="inlineStr">
        <is>
          <t>no</t>
        </is>
      </c>
      <c r="AZ105" s="2" t="inlineStr">
        <is>
          <t>COMMON.COLOR_BLUE</t>
        </is>
      </c>
      <c r="BA105" s="2" t="inlineStr">
        <is>
          <t>azul</t>
        </is>
      </c>
      <c r="BB105" s="3" t="n">
        <v>2</v>
      </c>
      <c r="BC105" s="3" t="inlineStr">
        <is>
          <t>(por segmento)</t>
        </is>
      </c>
      <c r="BD105" s="2" t="n"/>
      <c r="BE105" s="2" t="n"/>
      <c r="BF105" s="2" t="n"/>
      <c r="BG105" s="2" t="n"/>
      <c r="BH105" s="2" t="n"/>
      <c r="BI105" s="2" t="n"/>
      <c r="BJ105" s="2" t="inlineStr">
        <is>
          <t>sí</t>
        </is>
      </c>
      <c r="BK105" s="2" t="n">
        <v>5</v>
      </c>
      <c r="BL105" s="2" t="inlineStr">
        <is>
          <t>no</t>
        </is>
      </c>
      <c r="BM105" s="2" t="n">
        <v>136</v>
      </c>
      <c r="BN105" s="2" t="n">
        <v>0.02939236117526889</v>
      </c>
      <c r="BO105" s="2" t="n">
        <v>2</v>
      </c>
      <c r="BP105" s="2" t="n">
        <v>5000</v>
      </c>
      <c r="BQ105" s="2" t="n">
        <v>11</v>
      </c>
      <c r="BR105" s="2" t="inlineStr">
        <is>
          <t>modelo+año</t>
        </is>
      </c>
      <c r="BS105" s="2" t="n"/>
      <c r="BT105" s="2" t="inlineStr">
        <is>
          <t>año a confirmar: la URL/título dice 2007; vendedor profesional: sin ITP (operación con IVA/REBU, confirmar en factura); gastos de gestión del vendedor no indicados: se suma la tasa DGT; preguntar el precio final; diésel: motor sin fuente de fiabilidad (fiabilidad limitada a neutra); etiqueta B deducida por fecha (sin matrícula ni dato del anuncio); distancia no verificable (el anuncio solo indica la provincia): confirmar que está a &lt;= 70 km</t>
        </is>
      </c>
      <c r="BU105" s="2" t="inlineStr">
        <is>
          <t>Se vende Mazda 2 con motor 1.4  HDI Diesel ,70CV  Radio -CD , siempre en garaje,  elevalunas eléctricos, ruedas nuevas , espejos con regulación ,Abs, airbag, económico y ideal para el día a día,  se entrega totalmente revisado  de mecánica con   Itv al dia , aceite y filtros  recién cambiados ,  mejor verlo sin compromiso.  Sólo se atienden llamadas.</t>
        </is>
      </c>
      <c r="BV105" s="2" t="inlineStr">
        <is>
          <t>https://www.coches.net/mazda-mazda2-active-14-crtd-5p-diesel-2007-en-castellon-71743921-covo.aspx (window.__INITIAL_PROPS__.ad) /home/user/Alopecia/buscador-coches/raw/cochesnet/4124e3bfc255e1c8.json</t>
        </is>
      </c>
      <c r="BW105" s="3">
        <f>MAX(ANIO_ACTUAL-M105,0)</f>
        <v/>
      </c>
      <c r="BX105" s="4">
        <f>N105/MAX(BW105,0.5)</f>
        <v/>
      </c>
      <c r="BY105" s="4">
        <f>F105</f>
        <v/>
      </c>
      <c r="BZ105" s="3">
        <f>BY105&amp;"|"&amp;INT(M105/SEG_ANIO)*SEG_ANIO</f>
        <v/>
      </c>
      <c r="CA105" s="3">
        <f>BZ105&amp;"|"&amp;INT(N105/SEG_KM)*SEG_KM</f>
        <v/>
      </c>
      <c r="CB105" s="4">
        <f>COUNTIF($BY$2:$BY$209,BY105)</f>
        <v/>
      </c>
      <c r="CC105" s="4">
        <f>COUNTIF($BZ$2:$BZ$209,BZ105)</f>
        <v/>
      </c>
      <c r="CD105" s="4">
        <f>COUNTIF($CA$2:$CA$209,CA105)</f>
        <v/>
      </c>
      <c r="CE105" s="3">
        <f t="array" ref="CE105">IF(N(BQ105)&gt;=MIN_N,BP105,IF(CD105&gt;=MIN_N,MEDIAN(IF($CA$2:$CA$209=CA105,$O$2:$O$209)),IF(CC105&gt;=MIN_N,MEDIAN(IF($BZ$2:$BZ$209=BZ105,$O$2:$O$209)),MEDIAN(IF($BY$2:$BY$209=BY105,$O$2:$O$209)))))</f>
        <v/>
      </c>
      <c r="CF105" s="3">
        <f>IF(N(BQ105)&gt;=MIN_N,"mercado "&amp;BR105,IF(CD105&gt;=MIN_N,"modelo+año+km",IF(CC105&gt;=MIN_N,"modelo+año","modelo")))</f>
        <v/>
      </c>
      <c r="CG105" s="4">
        <f>(CE105-O105)/CE105</f>
        <v/>
      </c>
      <c r="CH105" s="3">
        <f>IF(COUNTIFS(FR_FUEL,K105,FR_YEAR,AP105)&gt;0,1,0)</f>
        <v/>
      </c>
      <c r="CI105" s="3">
        <f>IF(COUNTIFS(FR_FUEL,K105,FR_YEAR,AP105-1)&gt;0,1,0)</f>
        <v/>
      </c>
      <c r="CJ105" s="4">
        <f>IF(N(AQ105)&gt;0,AP105*100+AQ105,IF(AND(CH105=1,CI105=1),(AP105-1)*100+1,AP105*100+1))</f>
        <v/>
      </c>
      <c r="CK105" s="3">
        <f>IF(OR(K105="hibrido",K105="glp",K105="gnc",K105="phev"),"ECO",IF(K105="electrico","CERO",IF(K105="gasolina",IF(CJ105&gt;=GAS_C_YM,"C",IF(CJ105&gt;=GAS_B_YM,"B","A")),IF(K105="diesel",IF(CJ105&gt;=DIE_C_YM,"C",IF(CJ105&gt;=DIE_B_YM,"B","A")),""))))</f>
        <v/>
      </c>
      <c r="CL105" s="4">
        <f>CK105</f>
        <v/>
      </c>
      <c r="CM105" s="4">
        <f>IF(AU105="sí","sí",IF(AS105="regla",IF(AND(N(AQ105)=0,CH105=1),"sí","no"),"no"))</f>
        <v/>
      </c>
      <c r="CN105" s="3">
        <f>IFERROR(VLOOKUP(F105,MOD_TBL,16,0),IFERROR(VLOOKUP(E105,OCU_TBL,2,0),NEUTRO))</f>
        <v/>
      </c>
      <c r="CO105" s="3">
        <f>SUMIFS(MOT_AJUSTE,MOT_MOTOR,G105,MOT_MARCA,E105,MOT_DESDE,"&lt;="&amp;M105,MOT_HASTA,"&gt;="&amp;M105)+SUMIFS(MOT_AJUSTE,MOT_MOTOR,G105,MOT_MARCA,"(todas)",MOT_DESDE,"&lt;="&amp;M105,MOT_HASTA,"&gt;="&amp;M105)+SUMIFS(MOT_AJUSTE,MOT_MOTOR,"(cualquiera)",MOT_MARCA,E105,MOT_DESDE,"&lt;="&amp;M105,MOT_HASTA,"&gt;="&amp;M105)</f>
        <v/>
      </c>
      <c r="CP105" s="3">
        <f>SUMIFS(COMB_AJUSTE,COMB_COMB,K105)</f>
        <v/>
      </c>
      <c r="CQ105" s="3">
        <f>COUNTIFS(MOT_MOTOR,G105,MOT_MARCA,E105,MOT_DESDE,"&lt;="&amp;M105,MOT_HASTA,"&gt;="&amp;M105)+COUNTIFS(MOT_MOTOR,G105,MOT_MARCA,"(todas)",MOT_DESDE,"&lt;="&amp;M105,MOT_HASTA,"&gt;="&amp;M105)+COUNTIFS(MOT_MOTOR,"(cualquiera)",MOT_MARCA,E105,MOT_DESDE,"&lt;="&amp;M105,MOT_HASTA,"&gt;="&amp;M105)</f>
        <v/>
      </c>
      <c r="CR105" s="3">
        <f>IF(AND(K105="diesel",CQ105=0),MIN(CN105,NEUTRO),CN105)</f>
        <v/>
      </c>
      <c r="CS105" s="3">
        <f>MAX(0,MIN(100,CR105+CO105+CP105-IF(AX105="sí",ROB_PEN,0)))</f>
        <v/>
      </c>
      <c r="CT105" s="3">
        <f>100-MAX(0,N105-KM_TOPE_DESDE)/1000*KM_TOPE_PTS</f>
        <v/>
      </c>
      <c r="CU105" s="3">
        <f>MAX(0,MIN(100,50+CG105*PRECIO_PEND,CT105))</f>
        <v/>
      </c>
      <c r="CV105" s="3">
        <f>MAX(0,100*(1-N105/KM_MAX))</f>
        <v/>
      </c>
      <c r="CW105" s="3">
        <f>IF(BX105&lt;KMA_SOSP,IF(AA105="sí",100,KMA_PEN),IF(BX105&lt;=KMA_IDEAL_MAX,100,MAX(0,100*(KMA_CERO-BX105)/(KMA_CERO-KMA_IDEAL_MAX))))</f>
        <v/>
      </c>
      <c r="CX105" s="3">
        <f>MAX(0,MIN(100,100*(M105-ANIO_MIN)/(ANIO_ACTUAL-ANIO_MIN)))</f>
        <v/>
      </c>
      <c r="CY105" s="3">
        <f>W_KMT*CV105+W_KMA*CW105+W_EDAD*CX105</f>
        <v/>
      </c>
      <c r="CZ105" s="4">
        <f>E105&amp;"|"&amp;G105</f>
        <v/>
      </c>
      <c r="DA105" s="3">
        <f>IFERROR(VLOOKUP(CZ105,DIST_TBL,2,0),"")</f>
        <v/>
      </c>
      <c r="DB105" s="3">
        <f>E_ITV*(V105="sí")+E_LIBRO*(W105="sí")+E_PROP*IF(Y105=1,1,IF(Y105=2,0.5,0))+E_CORREA*IF(OR(DA105="cadena",AND(X105="sí",BH105="sí")),1,IF(X105="sí",0.5,0))+E_FACT*(BI105="sí")</f>
        <v/>
      </c>
      <c r="DC105" s="3">
        <f>MAX(0,MIN(100,IFERROR(VLOOKUP(CL105,ETQ_TBL,2,0),0)-IF(CM105="sí",ETQ_PEN_DUD,IF(AS105="regla",ETQ_PEN_REGLA,0))))</f>
        <v/>
      </c>
      <c r="DD105" s="3">
        <f>IF(K105&lt;&gt;"gasolina","",IFERROR(VLOOKUP(F105,CONS_MOD_TBL,2,0),IFERROR(VLOOKUP(L105,CONS_SEG_TBL,2,0),"")))</f>
        <v/>
      </c>
      <c r="DE105" s="3">
        <f>IF(DD105="",NEUTRO,MAX(0,MIN(100,100*(CONS_REF_MAX-DD105)/(CONS_REF_MAX-CONS_REF_MIN))))</f>
        <v/>
      </c>
      <c r="DF105" s="3">
        <f>IFERROR(VLOOKUP(L105,SEGURO_TBL,3,0),"")</f>
        <v/>
      </c>
      <c r="DG105" s="3">
        <f>IF(DF105="",NEUTRO,MAX(0,MIN(100,100*(SEG_REF_MAX-DF105)/(SEG_REF_MAX-SEG_REF_MIN))))</f>
        <v/>
      </c>
      <c r="DH105" s="3">
        <f>IFERROR(VLOOKUP(E105,MANT_MARCA_TBL,2,0)+0,NEUTRO)</f>
        <v/>
      </c>
      <c r="DI105" s="3">
        <f>IF(DA105="",NEUTRO,IFERROR(VLOOKUP(DA105,DIST_PTS_TBL,2,0)+0,NEUTRO))</f>
        <v/>
      </c>
      <c r="DJ105" s="4">
        <f>(DH105+DI105)/2</f>
        <v/>
      </c>
      <c r="DK105" s="3">
        <f>W_CONS*DE105+W_SEG*DG105+W_MANT*DJ105</f>
        <v/>
      </c>
      <c r="DL105" s="3">
        <f>IF(N(AB105)&gt;0,AB105,IF(AND(R105="profesional",SG_LEGAL_ON=1),GAR_LEGAL,0))</f>
        <v/>
      </c>
      <c r="DM105" s="3">
        <f>MAX(0,MIN(100,SG_GAR*MIN(1,DL105/SG_GAR_FULL)+SG_AMPL*(AC105="sí")+SG_KMC*(AF105="sí")+SG_REV*(N(AE105)&gt;0)+SG_DEV*MIN(1,N(AG105)/SG_DEV_FULL)+SG_HIST*(W105="sí")-IF(AND(R105="particular",DL105=0),SG_PART_PEN,0)))</f>
        <v/>
      </c>
      <c r="DN105" s="3">
        <f>IF(BK105="",NEUTRO,MAX(0,MIN(100,BK105/5*100)))</f>
        <v/>
      </c>
      <c r="DO105" s="3">
        <f>IF(BL105="sí",100,IF(BL105="no",0,NEUTRO))</f>
        <v/>
      </c>
      <c r="DP105" s="3">
        <f>SV_W_NCAP*DN105+SV_W_ESP*DO105</f>
        <v/>
      </c>
      <c r="DQ105" s="3">
        <f>MAX(0,MIN(100,ATR_BASE+ATR_ACAB*(BD105&lt;&gt;"")+IF(BE105="16+",ATR_LL16,IF(BE105="sí",ATR_LL,0))+ATR_FAROS*(BF105="sí")+ATR_TINT*(BG105="sí")-ATR_CHAPA*(BE105="chapa")))</f>
        <v/>
      </c>
      <c r="DR105" s="3">
        <f>EST_W_MOD*(BB105-1)/4*100+EST_W_ATR*DQ105</f>
        <v/>
      </c>
      <c r="DS105" s="3">
        <f>IF(BA105="",NEUTRO,IFERROR(VLOOKUP(BA105,COLOR_TBL,2,0)+0,NEUTRO))</f>
        <v/>
      </c>
      <c r="DT105" s="3">
        <f>MAX(0,MIN(100,100*N(BM105)/RV_N_FULL))</f>
        <v/>
      </c>
      <c r="DU105" s="3">
        <f>IF(OR(BN105="",N(BO105)&lt;RV_DIAS_MIN),NEUTRO,MAX(0,MIN(100,100*(RV_DIAS_CERO-BN105)/(RV_DIAS_CERO-RV_DIAS_FULL))))</f>
        <v/>
      </c>
      <c r="DV105" s="3">
        <f>RV_W_LIQ*DT105+RV_W_DIAS*DU105+RV_W_ETQ*DC105</f>
        <v/>
      </c>
      <c r="DW105" s="3">
        <f>IFERROR(VLOOKUP(L105,CARR_PEN_TBL,2,0),0)</f>
        <v/>
      </c>
      <c r="DX105" s="3">
        <f>W_FIAB*CS105+W_PRECIO*CU105+W_KMEDAD*CY105+W_ESTADO*DB105+W_USO*DK105+W_SEGURIDAD*DM105+W_SEGVIAL*DP105+W_ESTETICA*DR105+W_COLOR*DS105+W_REVENTA*DV105-DW105-EG105</f>
        <v/>
      </c>
      <c r="DY105" s="4">
        <f>IF(N(I105)&gt;0,I105,IFERROR(ROUND(_xlfn.NUMBERVALUE(LEFT(G105,FIND(" ",G105&amp;" ")-1),".")*1000,0),99999))</f>
        <v/>
      </c>
      <c r="DZ105" s="3">
        <f>IF(R105="profesional",0,IF(O105&lt;CUOTA_VALOR_MAX,IF(BW105&gt;ITP_TRAMO_ALTO,SUMIFS(CF_CUOTA,CF_MAS,ITP_TRAMO_ALTO,CF_CCMIN,"&lt;="&amp;DY105,CF_CCMAX,"&gt;="&amp;DY105),IF(BW105&gt;ITP_TRAMO_BAJO,SUMIFS(CF_CUOTA,CF_MAS,ITP_TRAMO_BAJO,CF_CCMIN,"&lt;="&amp;DY105,CF_CCMAX,"&gt;="&amp;DY105),O105*ITP_TIPO)),O105*ITP_TIPO))</f>
        <v/>
      </c>
      <c r="EA105" s="4">
        <f>IF(R105="profesional",N(AK105),0)</f>
        <v/>
      </c>
      <c r="EB105" s="3">
        <f>IF(AND(R105="profesional",ISNUMBER(AK105),AL105="sí"),0,TASA_DGT)</f>
        <v/>
      </c>
      <c r="EC105" s="3">
        <f>INFORME_DGT</f>
        <v/>
      </c>
      <c r="ED105" s="4">
        <f>O105+EA105+DZ105+EB105+EC105</f>
        <v/>
      </c>
      <c r="EE105" s="4">
        <f>ED105+N(DF105)</f>
        <v/>
      </c>
      <c r="EF105" s="3">
        <f>MAX(0,ED105-TOTAL_MAX)</f>
        <v/>
      </c>
      <c r="EG105" s="3">
        <f>EF105/100*PEN_100</f>
        <v/>
      </c>
      <c r="EH105" s="3">
        <f>IF(R105="particular",ED105+IF(AND(DA105&lt;&gt;"cadena",X105&lt;&gt;"sí"),RES_CORREA,0)+IF(AND(BJ105&lt;&gt;"sí",BW105&gt;=RES_NEUM_EDAD),RES_NEUM,0),"")</f>
        <v/>
      </c>
      <c r="EI105" s="3">
        <f>IF(ED105&lt;=TOTAL_MAX,"sí",IF(ED105&lt;=TECHO,"negociar","no"))</f>
        <v/>
      </c>
      <c r="EJ105" s="4">
        <f>ROUND(DX105,9)</f>
        <v/>
      </c>
      <c r="EK105" s="4">
        <f>IF(EI105&lt;&gt;"no",SUMPRODUCT(($EI$2:$EI$209&lt;&gt;"no")*($EJ$2:$EJ$209&gt;EJ105))+SUMPRODUCT(($EI$2:EI105&lt;&gt;"no")*($EJ$2:EJ105=EJ105)),"")</f>
        <v/>
      </c>
    </row>
    <row r="106">
      <c r="A106" s="2" t="inlineStr">
        <is>
          <t>cochesnet:62641273</t>
        </is>
      </c>
      <c r="B106" s="2" t="inlineStr">
        <is>
          <t>cochesnet</t>
        </is>
      </c>
      <c r="C106" s="2" t="inlineStr">
        <is>
          <t>https://www.coches.net/seat-ibiza-19-tdi-100cv-hit-5p-diesel-2007-en-castellon-62641273-covo.aspx</t>
        </is>
      </c>
      <c r="D106" s="2" t="inlineStr">
        <is>
          <t>SEAT Ibiza 1.9 TDI Hit</t>
        </is>
      </c>
      <c r="E106" s="2" t="inlineStr">
        <is>
          <t>Seat</t>
        </is>
      </c>
      <c r="F106" s="2" t="inlineStr">
        <is>
          <t>Seat Ibiza</t>
        </is>
      </c>
      <c r="G106" s="2" t="inlineStr">
        <is>
          <t>1.9 TDI</t>
        </is>
      </c>
      <c r="H106" s="2" t="inlineStr">
        <is>
          <t>1.9 TDI 100cv Hit</t>
        </is>
      </c>
      <c r="I106" s="2" t="n"/>
      <c r="J106" s="2" t="n">
        <v>100</v>
      </c>
      <c r="K106" s="2" t="inlineStr">
        <is>
          <t>diesel</t>
        </is>
      </c>
      <c r="L106" s="2" t="inlineStr">
        <is>
          <t>utilitario</t>
        </is>
      </c>
      <c r="M106" s="2" t="n">
        <v>2006</v>
      </c>
      <c r="N106" s="2" t="n">
        <v>151600</v>
      </c>
      <c r="O106" s="2" t="n">
        <v>4500</v>
      </c>
      <c r="P106" s="2" t="inlineStr">
        <is>
          <t>manual</t>
        </is>
      </c>
      <c r="Q106" s="2" t="inlineStr">
        <is>
          <t>no</t>
        </is>
      </c>
      <c r="R106" s="2" t="inlineStr">
        <is>
          <t>profesional</t>
        </is>
      </c>
      <c r="S106" s="2" t="inlineStr">
        <is>
          <t>Comprartuauto.com Vila-real</t>
        </is>
      </c>
      <c r="T106" s="2" t="inlineStr">
        <is>
          <t>2026-08-10T20:41:38Z</t>
        </is>
      </c>
      <c r="U106" s="2" t="n">
        <v>13</v>
      </c>
      <c r="V106" s="2" t="n"/>
      <c r="W106" s="2" t="n"/>
      <c r="X106" s="2" t="n"/>
      <c r="Y106" s="2" t="n">
        <v>2</v>
      </c>
      <c r="Z106" s="2" t="inlineStr">
        <is>
          <t>no</t>
        </is>
      </c>
      <c r="AA106" s="2" t="n"/>
      <c r="AB106" s="2" t="n"/>
      <c r="AC106" s="2" t="n"/>
      <c r="AD106" s="2" t="n"/>
      <c r="AE106" s="2" t="n"/>
      <c r="AF106" s="2" t="n"/>
      <c r="AG106" s="2" t="n"/>
      <c r="AH106" s="2" t="n">
        <v>4500</v>
      </c>
      <c r="AI106" s="2" t="n">
        <v>4500</v>
      </c>
      <c r="AJ106" s="2" t="n"/>
      <c r="AK106" s="2" t="n"/>
      <c r="AL106" s="2" t="n"/>
      <c r="AM106" s="2" t="n"/>
      <c r="AN106" s="2" t="n"/>
      <c r="AO106" s="2" t="inlineStr">
        <is>
          <t>2006</t>
        </is>
      </c>
      <c r="AP106" s="2" t="n">
        <v>2006</v>
      </c>
      <c r="AQ106" s="2" t="n"/>
      <c r="AR106" s="2" t="inlineStr">
        <is>
          <t>B</t>
        </is>
      </c>
      <c r="AS106" s="2" t="inlineStr">
        <is>
          <t>anuncio</t>
        </is>
      </c>
      <c r="AT106" s="2" t="n">
        <v>2007</v>
      </c>
      <c r="AU106" s="2" t="inlineStr">
        <is>
          <t>no</t>
        </is>
      </c>
      <c r="AV106" s="2" t="inlineStr">
        <is>
          <t>B</t>
        </is>
      </c>
      <c r="AW106" s="2" t="n"/>
      <c r="AX106" s="2" t="inlineStr">
        <is>
          <t>no</t>
        </is>
      </c>
      <c r="AY106" s="2" t="inlineStr">
        <is>
          <t>no</t>
        </is>
      </c>
      <c r="AZ106" s="2" t="inlineStr">
        <is>
          <t>COMMON.COLOR_GRAY</t>
        </is>
      </c>
      <c r="BA106" s="2" t="inlineStr">
        <is>
          <t>gris_medio</t>
        </is>
      </c>
      <c r="BB106" s="3" t="n">
        <v>2</v>
      </c>
      <c r="BC106" s="3" t="inlineStr">
        <is>
          <t>(por segmento)</t>
        </is>
      </c>
      <c r="BD106" s="2" t="n"/>
      <c r="BE106" s="2" t="inlineStr">
        <is>
          <t>sí</t>
        </is>
      </c>
      <c r="BF106" s="2" t="n"/>
      <c r="BG106" s="2" t="n"/>
      <c r="BH106" s="2" t="n"/>
      <c r="BI106" s="2" t="n"/>
      <c r="BJ106" s="2" t="n"/>
      <c r="BK106" s="2" t="n">
        <v>4</v>
      </c>
      <c r="BL106" s="2" t="inlineStr">
        <is>
          <t>no</t>
        </is>
      </c>
      <c r="BM106" s="2" t="n">
        <v>385</v>
      </c>
      <c r="BN106" s="2" t="n">
        <v>0.07434027781710029</v>
      </c>
      <c r="BO106" s="2" t="n">
        <v>10</v>
      </c>
      <c r="BP106" s="2" t="n">
        <v>3750</v>
      </c>
      <c r="BQ106" s="2" t="n">
        <v>8</v>
      </c>
      <c r="BR106" s="2" t="inlineStr">
        <is>
          <t>modelo+año+km</t>
        </is>
      </c>
      <c r="BS106" s="2" t="n"/>
      <c r="BT106" s="2" t="inlineStr">
        <is>
          <t>año a confirmar: la URL/título dice 2007; vendedor profesional: sin ITP (operación con IVA/REBU, confirmar en factura); gastos de gestión del vendedor no indicados: se suma la tasa DGT; preguntar el precio final; diésel: motor sin fuente de fiabilidad (fiabilidad limitada a neutra); distancia no verificable (el anuncio solo indica la provincia): confirmar que está a &lt;= 70 km</t>
        </is>
      </c>
      <c r="BU106" s="2" t="inlineStr">
        <is>
          <t>Seat Ibiza motor 1.9cc 100cv Diesel, manual 5 velocidades, año 3/2006, 151.600kms, solo 2 propietarios, etiqueta medioambiental B.
Extras: Cierre centralizado a distancia, cristales eléctricos, climatizador, Radio/CD/Mp3, manos libres Parrot, llantas de aleación, ABS, control de tracción y estabilidad, airbags, etc. 
Se entrega con ITV, niveles y fluidos correctos, neumáticos correctos, batería nueva. 
El vehículo esta en perfectas condiciones.
El cambio de nombre se cobra a parte y son 200 Euros.
Aceptamos su vehículo como parte de pago.
Mas vehículos en comprartuauto,com 
Estamos en Villareal, Av. Francesc Tarrega 263. 
Horarios de Lunes a Viernes de 10 a 14 y de 17 a 20. 
Sábados mediante cita previa de 10 a 13.
Se habla Español, Ingles, Ucraniano y Ruso.</t>
        </is>
      </c>
      <c r="BV106" s="2" t="inlineStr">
        <is>
          <t>https://www.coches.net/seat-ibiza-19-tdi-100cv-hit-5p-diesel-2007-en-castellon-62641273-covo.aspx (window.__INITIAL_PROPS__.ad) /home/user/Alopecia/buscador-coches/raw/cochesnet/a6721eecf8725f18.json</t>
        </is>
      </c>
      <c r="BW106" s="3">
        <f>MAX(ANIO_ACTUAL-M106,0)</f>
        <v/>
      </c>
      <c r="BX106" s="4">
        <f>N106/MAX(BW106,0.5)</f>
        <v/>
      </c>
      <c r="BY106" s="4">
        <f>F106</f>
        <v/>
      </c>
      <c r="BZ106" s="3">
        <f>BY106&amp;"|"&amp;INT(M106/SEG_ANIO)*SEG_ANIO</f>
        <v/>
      </c>
      <c r="CA106" s="3">
        <f>BZ106&amp;"|"&amp;INT(N106/SEG_KM)*SEG_KM</f>
        <v/>
      </c>
      <c r="CB106" s="4">
        <f>COUNTIF($BY$2:$BY$209,BY106)</f>
        <v/>
      </c>
      <c r="CC106" s="4">
        <f>COUNTIF($BZ$2:$BZ$209,BZ106)</f>
        <v/>
      </c>
      <c r="CD106" s="4">
        <f>COUNTIF($CA$2:$CA$209,CA106)</f>
        <v/>
      </c>
      <c r="CE106" s="3">
        <f t="array" ref="CE106">IF(N(BQ106)&gt;=MIN_N,BP106,IF(CD106&gt;=MIN_N,MEDIAN(IF($CA$2:$CA$209=CA106,$O$2:$O$209)),IF(CC106&gt;=MIN_N,MEDIAN(IF($BZ$2:$BZ$209=BZ106,$O$2:$O$209)),MEDIAN(IF($BY$2:$BY$209=BY106,$O$2:$O$209)))))</f>
        <v/>
      </c>
      <c r="CF106" s="3">
        <f>IF(N(BQ106)&gt;=MIN_N,"mercado "&amp;BR106,IF(CD106&gt;=MIN_N,"modelo+año+km",IF(CC106&gt;=MIN_N,"modelo+año","modelo")))</f>
        <v/>
      </c>
      <c r="CG106" s="4">
        <f>(CE106-O106)/CE106</f>
        <v/>
      </c>
      <c r="CH106" s="3">
        <f>IF(COUNTIFS(FR_FUEL,K106,FR_YEAR,AP106)&gt;0,1,0)</f>
        <v/>
      </c>
      <c r="CI106" s="3">
        <f>IF(COUNTIFS(FR_FUEL,K106,FR_YEAR,AP106-1)&gt;0,1,0)</f>
        <v/>
      </c>
      <c r="CJ106" s="4">
        <f>IF(N(AQ106)&gt;0,AP106*100+AQ106,IF(AND(CH106=1,CI106=1),(AP106-1)*100+1,AP106*100+1))</f>
        <v/>
      </c>
      <c r="CK106" s="3">
        <f>IF(OR(K106="hibrido",K106="glp",K106="gnc",K106="phev"),"ECO",IF(K106="electrico","CERO",IF(K106="gasolina",IF(CJ106&gt;=GAS_C_YM,"C",IF(CJ106&gt;=GAS_B_YM,"B","A")),IF(K106="diesel",IF(CJ106&gt;=DIE_C_YM,"C",IF(CJ106&gt;=DIE_B_YM,"B","A")),""))))</f>
        <v/>
      </c>
      <c r="CL106" s="2" t="inlineStr">
        <is>
          <t>B</t>
        </is>
      </c>
      <c r="CM106" s="4">
        <f>IF(AU106="sí","sí",IF(AS106="regla",IF(AND(N(AQ106)=0,CH106=1),"sí","no"),"no"))</f>
        <v/>
      </c>
      <c r="CN106" s="3">
        <f>IFERROR(VLOOKUP(F106,MOD_TBL,16,0),IFERROR(VLOOKUP(E106,OCU_TBL,2,0),NEUTRO))</f>
        <v/>
      </c>
      <c r="CO106" s="3">
        <f>SUMIFS(MOT_AJUSTE,MOT_MOTOR,G106,MOT_MARCA,E106,MOT_DESDE,"&lt;="&amp;M106,MOT_HASTA,"&gt;="&amp;M106)+SUMIFS(MOT_AJUSTE,MOT_MOTOR,G106,MOT_MARCA,"(todas)",MOT_DESDE,"&lt;="&amp;M106,MOT_HASTA,"&gt;="&amp;M106)+SUMIFS(MOT_AJUSTE,MOT_MOTOR,"(cualquiera)",MOT_MARCA,E106,MOT_DESDE,"&lt;="&amp;M106,MOT_HASTA,"&gt;="&amp;M106)</f>
        <v/>
      </c>
      <c r="CP106" s="3">
        <f>SUMIFS(COMB_AJUSTE,COMB_COMB,K106)</f>
        <v/>
      </c>
      <c r="CQ106" s="3">
        <f>COUNTIFS(MOT_MOTOR,G106,MOT_MARCA,E106,MOT_DESDE,"&lt;="&amp;M106,MOT_HASTA,"&gt;="&amp;M106)+COUNTIFS(MOT_MOTOR,G106,MOT_MARCA,"(todas)",MOT_DESDE,"&lt;="&amp;M106,MOT_HASTA,"&gt;="&amp;M106)+COUNTIFS(MOT_MOTOR,"(cualquiera)",MOT_MARCA,E106,MOT_DESDE,"&lt;="&amp;M106,MOT_HASTA,"&gt;="&amp;M106)</f>
        <v/>
      </c>
      <c r="CR106" s="3">
        <f>IF(AND(K106="diesel",CQ106=0),MIN(CN106,NEUTRO),CN106)</f>
        <v/>
      </c>
      <c r="CS106" s="3">
        <f>MAX(0,MIN(100,CR106+CO106+CP106-IF(AX106="sí",ROB_PEN,0)))</f>
        <v/>
      </c>
      <c r="CT106" s="3">
        <f>100-MAX(0,N106-KM_TOPE_DESDE)/1000*KM_TOPE_PTS</f>
        <v/>
      </c>
      <c r="CU106" s="3">
        <f>MAX(0,MIN(100,50+CG106*PRECIO_PEND,CT106))</f>
        <v/>
      </c>
      <c r="CV106" s="3">
        <f>MAX(0,100*(1-N106/KM_MAX))</f>
        <v/>
      </c>
      <c r="CW106" s="3">
        <f>IF(BX106&lt;KMA_SOSP,IF(AA106="sí",100,KMA_PEN),IF(BX106&lt;=KMA_IDEAL_MAX,100,MAX(0,100*(KMA_CERO-BX106)/(KMA_CERO-KMA_IDEAL_MAX))))</f>
        <v/>
      </c>
      <c r="CX106" s="3">
        <f>MAX(0,MIN(100,100*(M106-ANIO_MIN)/(ANIO_ACTUAL-ANIO_MIN)))</f>
        <v/>
      </c>
      <c r="CY106" s="3">
        <f>W_KMT*CV106+W_KMA*CW106+W_EDAD*CX106</f>
        <v/>
      </c>
      <c r="CZ106" s="4">
        <f>E106&amp;"|"&amp;G106</f>
        <v/>
      </c>
      <c r="DA106" s="3">
        <f>IFERROR(VLOOKUP(CZ106,DIST_TBL,2,0),"")</f>
        <v/>
      </c>
      <c r="DB106" s="3">
        <f>E_ITV*(V106="sí")+E_LIBRO*(W106="sí")+E_PROP*IF(Y106=1,1,IF(Y106=2,0.5,0))+E_CORREA*IF(OR(DA106="cadena",AND(X106="sí",BH106="sí")),1,IF(X106="sí",0.5,0))+E_FACT*(BI106="sí")</f>
        <v/>
      </c>
      <c r="DC106" s="3">
        <f>MAX(0,MIN(100,IFERROR(VLOOKUP(CL106,ETQ_TBL,2,0),0)-IF(CM106="sí",ETQ_PEN_DUD,IF(AS106="regla",ETQ_PEN_REGLA,0))))</f>
        <v/>
      </c>
      <c r="DD106" s="3">
        <f>IF(K106&lt;&gt;"gasolina","",IFERROR(VLOOKUP(F106,CONS_MOD_TBL,2,0),IFERROR(VLOOKUP(L106,CONS_SEG_TBL,2,0),"")))</f>
        <v/>
      </c>
      <c r="DE106" s="3">
        <f>IF(DD106="",NEUTRO,MAX(0,MIN(100,100*(CONS_REF_MAX-DD106)/(CONS_REF_MAX-CONS_REF_MIN))))</f>
        <v/>
      </c>
      <c r="DF106" s="3">
        <f>IFERROR(VLOOKUP(L106,SEGURO_TBL,3,0),"")</f>
        <v/>
      </c>
      <c r="DG106" s="3">
        <f>IF(DF106="",NEUTRO,MAX(0,MIN(100,100*(SEG_REF_MAX-DF106)/(SEG_REF_MAX-SEG_REF_MIN))))</f>
        <v/>
      </c>
      <c r="DH106" s="3">
        <f>IFERROR(VLOOKUP(E106,MANT_MARCA_TBL,2,0)+0,NEUTRO)</f>
        <v/>
      </c>
      <c r="DI106" s="3">
        <f>IF(DA106="",NEUTRO,IFERROR(VLOOKUP(DA106,DIST_PTS_TBL,2,0)+0,NEUTRO))</f>
        <v/>
      </c>
      <c r="DJ106" s="4">
        <f>(DH106+DI106)/2</f>
        <v/>
      </c>
      <c r="DK106" s="3">
        <f>W_CONS*DE106+W_SEG*DG106+W_MANT*DJ106</f>
        <v/>
      </c>
      <c r="DL106" s="3">
        <f>IF(N(AB106)&gt;0,AB106,IF(AND(R106="profesional",SG_LEGAL_ON=1),GAR_LEGAL,0))</f>
        <v/>
      </c>
      <c r="DM106" s="3">
        <f>MAX(0,MIN(100,SG_GAR*MIN(1,DL106/SG_GAR_FULL)+SG_AMPL*(AC106="sí")+SG_KMC*(AF106="sí")+SG_REV*(N(AE106)&gt;0)+SG_DEV*MIN(1,N(AG106)/SG_DEV_FULL)+SG_HIST*(W106="sí")-IF(AND(R106="particular",DL106=0),SG_PART_PEN,0)))</f>
        <v/>
      </c>
      <c r="DN106" s="3">
        <f>IF(BK106="",NEUTRO,MAX(0,MIN(100,BK106/5*100)))</f>
        <v/>
      </c>
      <c r="DO106" s="3">
        <f>IF(BL106="sí",100,IF(BL106="no",0,NEUTRO))</f>
        <v/>
      </c>
      <c r="DP106" s="3">
        <f>SV_W_NCAP*DN106+SV_W_ESP*DO106</f>
        <v/>
      </c>
      <c r="DQ106" s="3">
        <f>MAX(0,MIN(100,ATR_BASE+ATR_ACAB*(BD106&lt;&gt;"")+IF(BE106="16+",ATR_LL16,IF(BE106="sí",ATR_LL,0))+ATR_FAROS*(BF106="sí")+ATR_TINT*(BG106="sí")-ATR_CHAPA*(BE106="chapa")))</f>
        <v/>
      </c>
      <c r="DR106" s="3">
        <f>EST_W_MOD*(BB106-1)/4*100+EST_W_ATR*DQ106</f>
        <v/>
      </c>
      <c r="DS106" s="3">
        <f>IF(BA106="",NEUTRO,IFERROR(VLOOKUP(BA106,COLOR_TBL,2,0)+0,NEUTRO))</f>
        <v/>
      </c>
      <c r="DT106" s="3">
        <f>MAX(0,MIN(100,100*N(BM106)/RV_N_FULL))</f>
        <v/>
      </c>
      <c r="DU106" s="3">
        <f>IF(OR(BN106="",N(BO106)&lt;RV_DIAS_MIN),NEUTRO,MAX(0,MIN(100,100*(RV_DIAS_CERO-BN106)/(RV_DIAS_CERO-RV_DIAS_FULL))))</f>
        <v/>
      </c>
      <c r="DV106" s="3">
        <f>RV_W_LIQ*DT106+RV_W_DIAS*DU106+RV_W_ETQ*DC106</f>
        <v/>
      </c>
      <c r="DW106" s="3">
        <f>IFERROR(VLOOKUP(L106,CARR_PEN_TBL,2,0),0)</f>
        <v/>
      </c>
      <c r="DX106" s="3">
        <f>W_FIAB*CS106+W_PRECIO*CU106+W_KMEDAD*CY106+W_ESTADO*DB106+W_USO*DK106+W_SEGURIDAD*DM106+W_SEGVIAL*DP106+W_ESTETICA*DR106+W_COLOR*DS106+W_REVENTA*DV106-DW106-EG106</f>
        <v/>
      </c>
      <c r="DY106" s="4">
        <f>IF(N(I106)&gt;0,I106,IFERROR(ROUND(_xlfn.NUMBERVALUE(LEFT(G106,FIND(" ",G106&amp;" ")-1),".")*1000,0),99999))</f>
        <v/>
      </c>
      <c r="DZ106" s="3">
        <f>IF(R106="profesional",0,IF(O106&lt;CUOTA_VALOR_MAX,IF(BW106&gt;ITP_TRAMO_ALTO,SUMIFS(CF_CUOTA,CF_MAS,ITP_TRAMO_ALTO,CF_CCMIN,"&lt;="&amp;DY106,CF_CCMAX,"&gt;="&amp;DY106),IF(BW106&gt;ITP_TRAMO_BAJO,SUMIFS(CF_CUOTA,CF_MAS,ITP_TRAMO_BAJO,CF_CCMIN,"&lt;="&amp;DY106,CF_CCMAX,"&gt;="&amp;DY106),O106*ITP_TIPO)),O106*ITP_TIPO))</f>
        <v/>
      </c>
      <c r="EA106" s="4">
        <f>IF(R106="profesional",N(AK106),0)</f>
        <v/>
      </c>
      <c r="EB106" s="3">
        <f>IF(AND(R106="profesional",ISNUMBER(AK106),AL106="sí"),0,TASA_DGT)</f>
        <v/>
      </c>
      <c r="EC106" s="3">
        <f>INFORME_DGT</f>
        <v/>
      </c>
      <c r="ED106" s="4">
        <f>O106+EA106+DZ106+EB106+EC106</f>
        <v/>
      </c>
      <c r="EE106" s="4">
        <f>ED106+N(DF106)</f>
        <v/>
      </c>
      <c r="EF106" s="3">
        <f>MAX(0,ED106-TOTAL_MAX)</f>
        <v/>
      </c>
      <c r="EG106" s="3">
        <f>EF106/100*PEN_100</f>
        <v/>
      </c>
      <c r="EH106" s="3">
        <f>IF(R106="particular",ED106+IF(AND(DA106&lt;&gt;"cadena",X106&lt;&gt;"sí"),RES_CORREA,0)+IF(AND(BJ106&lt;&gt;"sí",BW106&gt;=RES_NEUM_EDAD),RES_NEUM,0),"")</f>
        <v/>
      </c>
      <c r="EI106" s="3">
        <f>IF(ED106&lt;=TOTAL_MAX,"sí",IF(ED106&lt;=TECHO,"negociar","no"))</f>
        <v/>
      </c>
      <c r="EJ106" s="4">
        <f>ROUND(DX106,9)</f>
        <v/>
      </c>
      <c r="EK106" s="4">
        <f>IF(EI106&lt;&gt;"no",SUMPRODUCT(($EI$2:$EI$209&lt;&gt;"no")*($EJ$2:$EJ$209&gt;EJ106))+SUMPRODUCT(($EI$2:EI106&lt;&gt;"no")*($EJ$2:EJ106=EJ106)),"")</f>
        <v/>
      </c>
    </row>
    <row r="107">
      <c r="A107" s="2" t="inlineStr">
        <is>
          <t>cochesnet:71807828</t>
        </is>
      </c>
      <c r="B107" s="2" t="inlineStr">
        <is>
          <t>cochesnet</t>
        </is>
      </c>
      <c r="C107" s="2" t="inlineStr">
        <is>
          <t>https://www.coches.net/volkswagen-polo-14-advance-75cv-3p-gasolina-2006-en-castellon-71807828-covo.aspx</t>
        </is>
      </c>
      <c r="D107" s="2" t="inlineStr">
        <is>
          <t>VOLKSWAGEN Polo 1.4 Advance</t>
        </is>
      </c>
      <c r="E107" s="2" t="inlineStr">
        <is>
          <t>Volkswagen</t>
        </is>
      </c>
      <c r="F107" s="2" t="inlineStr">
        <is>
          <t>Volkswagen Polo</t>
        </is>
      </c>
      <c r="G107" s="2" t="inlineStr">
        <is>
          <t>1.4</t>
        </is>
      </c>
      <c r="H107" s="2" t="inlineStr">
        <is>
          <t>1.4 Advance 75cv</t>
        </is>
      </c>
      <c r="I107" s="2" t="n"/>
      <c r="J107" s="2" t="n">
        <v>75</v>
      </c>
      <c r="K107" s="2" t="inlineStr">
        <is>
          <t>gasolina</t>
        </is>
      </c>
      <c r="L107" s="2" t="inlineStr">
        <is>
          <t>utilitario</t>
        </is>
      </c>
      <c r="M107" s="2" t="n">
        <v>2006</v>
      </c>
      <c r="N107" s="2" t="n">
        <v>170000</v>
      </c>
      <c r="O107" s="2" t="n">
        <v>3800</v>
      </c>
      <c r="P107" s="2" t="inlineStr">
        <is>
          <t>manual</t>
        </is>
      </c>
      <c r="Q107" s="2" t="inlineStr">
        <is>
          <t>no</t>
        </is>
      </c>
      <c r="R107" s="2" t="inlineStr">
        <is>
          <t>profesional</t>
        </is>
      </c>
      <c r="S107" s="2" t="inlineStr">
        <is>
          <t>Automoviles Llorens  Almazora</t>
        </is>
      </c>
      <c r="T107" s="2" t="inlineStr">
        <is>
          <t>2026-10-22T12:52:45Z</t>
        </is>
      </c>
      <c r="U107" s="2" t="n">
        <v>14</v>
      </c>
      <c r="V107" s="2" t="inlineStr">
        <is>
          <t>sí</t>
        </is>
      </c>
      <c r="W107" s="2" t="inlineStr">
        <is>
          <t>sí</t>
        </is>
      </c>
      <c r="X107" s="2" t="n"/>
      <c r="Y107" s="2" t="n"/>
      <c r="Z107" s="2" t="inlineStr">
        <is>
          <t>sí</t>
        </is>
      </c>
      <c r="AA107" s="2" t="n"/>
      <c r="AB107" s="2" t="n">
        <v>12</v>
      </c>
      <c r="AC107" s="2" t="n"/>
      <c r="AD107" s="2" t="n"/>
      <c r="AE107" s="2" t="n"/>
      <c r="AF107" s="2" t="n"/>
      <c r="AG107" s="2" t="n"/>
      <c r="AH107" s="2" t="n">
        <v>3800</v>
      </c>
      <c r="AI107" s="2" t="n"/>
      <c r="AJ107" s="2" t="n"/>
      <c r="AK107" s="2" t="n"/>
      <c r="AL107" s="2" t="n"/>
      <c r="AM107" s="2" t="n"/>
      <c r="AN107" s="2" t="n"/>
      <c r="AO107" s="2" t="inlineStr">
        <is>
          <t>2006</t>
        </is>
      </c>
      <c r="AP107" s="2" t="n">
        <v>2006</v>
      </c>
      <c r="AQ107" s="2" t="n"/>
      <c r="AR107" s="2" t="n"/>
      <c r="AS107" s="2" t="inlineStr">
        <is>
          <t>regla</t>
        </is>
      </c>
      <c r="AT107" s="2" t="n"/>
      <c r="AU107" s="2" t="inlineStr">
        <is>
          <t>no</t>
        </is>
      </c>
      <c r="AV107" s="2" t="inlineStr">
        <is>
          <t>C</t>
        </is>
      </c>
      <c r="AW107" s="2" t="n"/>
      <c r="AX107" s="2" t="inlineStr">
        <is>
          <t>no</t>
        </is>
      </c>
      <c r="AY107" s="2" t="inlineStr">
        <is>
          <t>no</t>
        </is>
      </c>
      <c r="AZ107" s="2" t="inlineStr">
        <is>
          <t>COMMON.COLOR_GRAY</t>
        </is>
      </c>
      <c r="BA107" s="2" t="inlineStr">
        <is>
          <t>gris_medio</t>
        </is>
      </c>
      <c r="BB107" s="3" t="n">
        <v>2</v>
      </c>
      <c r="BC107" s="3" t="inlineStr">
        <is>
          <t>(por segmento)</t>
        </is>
      </c>
      <c r="BD107" s="2" t="n"/>
      <c r="BE107" s="2" t="n"/>
      <c r="BF107" s="2" t="n"/>
      <c r="BG107" s="2" t="n"/>
      <c r="BH107" s="2" t="n"/>
      <c r="BI107" s="2" t="n"/>
      <c r="BJ107" s="2" t="n"/>
      <c r="BK107" s="2" t="n">
        <v>4</v>
      </c>
      <c r="BL107" s="2" t="n"/>
      <c r="BM107" s="2" t="n">
        <v>321</v>
      </c>
      <c r="BN107" s="2" t="n">
        <v>0.05126157402992249</v>
      </c>
      <c r="BO107" s="2" t="n">
        <v>3</v>
      </c>
      <c r="BP107" s="2" t="n">
        <v>3400</v>
      </c>
      <c r="BQ107" s="2" t="n">
        <v>23</v>
      </c>
      <c r="BR107" s="2" t="inlineStr">
        <is>
          <t>modelo+año</t>
        </is>
      </c>
      <c r="BS107" s="2" t="n"/>
      <c r="BT107" s="2" t="inlineStr">
        <is>
          <t>vendedor profesional: sin ITP (operación con IVA/REBU, confirmar en factura); gastos de gestión del vendedor no indicados: se suma la tasa DGT; preguntar el precio final; etiqueta C deducida por fecha (sin matrícula ni dato del anuncio); distancia no verificable (el anuncio solo indica la provincia): confirmar que está a &lt;= 70 km</t>
        </is>
      </c>
      <c r="BU107" s="2" t="inlineStr">
        <is>
          <t>VOLKSWAGEN POLO 1.4I.AÑO 2006.
Cierre.elevalunas.A/A.retrovisores electricos.2 juegos de llaves.Itv recien pasada.
Impecable estado.mantenimiento al dia.
Garantia un año.contacte con nosotros para confirmar disponibilidad.
Transferencia/gestoria/no incluido en el precio.
QUIERES VENDER TU COCHE.PONTE EN CONTACTO CON NOSOTROS Y E LO TASAREMOS SIN COMPROMISO.</t>
        </is>
      </c>
      <c r="BV107" s="2" t="inlineStr">
        <is>
          <t>https://www.coches.net/volkswagen-polo-14-advance-75cv-3p-gasolina-2006-en-castellon-71807828-covo.aspx (window.__INITIAL_PROPS__.ad) /home/user/Alopecia/buscador-coches/raw/cochesnet/414f369d62f886fe.json</t>
        </is>
      </c>
      <c r="BW107" s="3">
        <f>MAX(ANIO_ACTUAL-M107,0)</f>
        <v/>
      </c>
      <c r="BX107" s="4">
        <f>N107/MAX(BW107,0.5)</f>
        <v/>
      </c>
      <c r="BY107" s="4">
        <f>F107</f>
        <v/>
      </c>
      <c r="BZ107" s="3">
        <f>BY107&amp;"|"&amp;INT(M107/SEG_ANIO)*SEG_ANIO</f>
        <v/>
      </c>
      <c r="CA107" s="3">
        <f>BZ107&amp;"|"&amp;INT(N107/SEG_KM)*SEG_KM</f>
        <v/>
      </c>
      <c r="CB107" s="4">
        <f>COUNTIF($BY$2:$BY$209,BY107)</f>
        <v/>
      </c>
      <c r="CC107" s="4">
        <f>COUNTIF($BZ$2:$BZ$209,BZ107)</f>
        <v/>
      </c>
      <c r="CD107" s="4">
        <f>COUNTIF($CA$2:$CA$209,CA107)</f>
        <v/>
      </c>
      <c r="CE107" s="3">
        <f t="array" ref="CE107">IF(N(BQ107)&gt;=MIN_N,BP107,IF(CD107&gt;=MIN_N,MEDIAN(IF($CA$2:$CA$209=CA107,$O$2:$O$209)),IF(CC107&gt;=MIN_N,MEDIAN(IF($BZ$2:$BZ$209=BZ107,$O$2:$O$209)),MEDIAN(IF($BY$2:$BY$209=BY107,$O$2:$O$209)))))</f>
        <v/>
      </c>
      <c r="CF107" s="3">
        <f>IF(N(BQ107)&gt;=MIN_N,"mercado "&amp;BR107,IF(CD107&gt;=MIN_N,"modelo+año+km",IF(CC107&gt;=MIN_N,"modelo+año","modelo")))</f>
        <v/>
      </c>
      <c r="CG107" s="4">
        <f>(CE107-O107)/CE107</f>
        <v/>
      </c>
      <c r="CH107" s="3">
        <f>IF(COUNTIFS(FR_FUEL,K107,FR_YEAR,AP107)&gt;0,1,0)</f>
        <v/>
      </c>
      <c r="CI107" s="3">
        <f>IF(COUNTIFS(FR_FUEL,K107,FR_YEAR,AP107-1)&gt;0,1,0)</f>
        <v/>
      </c>
      <c r="CJ107" s="4">
        <f>IF(N(AQ107)&gt;0,AP107*100+AQ107,IF(AND(CH107=1,CI107=1),(AP107-1)*100+1,AP107*100+1))</f>
        <v/>
      </c>
      <c r="CK107" s="3">
        <f>IF(OR(K107="hibrido",K107="glp",K107="gnc",K107="phev"),"ECO",IF(K107="electrico","CERO",IF(K107="gasolina",IF(CJ107&gt;=GAS_C_YM,"C",IF(CJ107&gt;=GAS_B_YM,"B","A")),IF(K107="diesel",IF(CJ107&gt;=DIE_C_YM,"C",IF(CJ107&gt;=DIE_B_YM,"B","A")),""))))</f>
        <v/>
      </c>
      <c r="CL107" s="4">
        <f>CK107</f>
        <v/>
      </c>
      <c r="CM107" s="4">
        <f>IF(AU107="sí","sí",IF(AS107="regla",IF(AND(N(AQ107)=0,CH107=1),"sí","no"),"no"))</f>
        <v/>
      </c>
      <c r="CN107" s="3">
        <f>IFERROR(VLOOKUP(F107,MOD_TBL,16,0),IFERROR(VLOOKUP(E107,OCU_TBL,2,0),NEUTRO))</f>
        <v/>
      </c>
      <c r="CO107" s="3">
        <f>SUMIFS(MOT_AJUSTE,MOT_MOTOR,G107,MOT_MARCA,E107,MOT_DESDE,"&lt;="&amp;M107,MOT_HASTA,"&gt;="&amp;M107)+SUMIFS(MOT_AJUSTE,MOT_MOTOR,G107,MOT_MARCA,"(todas)",MOT_DESDE,"&lt;="&amp;M107,MOT_HASTA,"&gt;="&amp;M107)+SUMIFS(MOT_AJUSTE,MOT_MOTOR,"(cualquiera)",MOT_MARCA,E107,MOT_DESDE,"&lt;="&amp;M107,MOT_HASTA,"&gt;="&amp;M107)</f>
        <v/>
      </c>
      <c r="CP107" s="3">
        <f>SUMIFS(COMB_AJUSTE,COMB_COMB,K107)</f>
        <v/>
      </c>
      <c r="CQ107" s="3">
        <f>COUNTIFS(MOT_MOTOR,G107,MOT_MARCA,E107,MOT_DESDE,"&lt;="&amp;M107,MOT_HASTA,"&gt;="&amp;M107)+COUNTIFS(MOT_MOTOR,G107,MOT_MARCA,"(todas)",MOT_DESDE,"&lt;="&amp;M107,MOT_HASTA,"&gt;="&amp;M107)+COUNTIFS(MOT_MOTOR,"(cualquiera)",MOT_MARCA,E107,MOT_DESDE,"&lt;="&amp;M107,MOT_HASTA,"&gt;="&amp;M107)</f>
        <v/>
      </c>
      <c r="CR107" s="3">
        <f>IF(AND(K107="diesel",CQ107=0),MIN(CN107,NEUTRO),CN107)</f>
        <v/>
      </c>
      <c r="CS107" s="3">
        <f>MAX(0,MIN(100,CR107+CO107+CP107-IF(AX107="sí",ROB_PEN,0)))</f>
        <v/>
      </c>
      <c r="CT107" s="3">
        <f>100-MAX(0,N107-KM_TOPE_DESDE)/1000*KM_TOPE_PTS</f>
        <v/>
      </c>
      <c r="CU107" s="3">
        <f>MAX(0,MIN(100,50+CG107*PRECIO_PEND,CT107))</f>
        <v/>
      </c>
      <c r="CV107" s="3">
        <f>MAX(0,100*(1-N107/KM_MAX))</f>
        <v/>
      </c>
      <c r="CW107" s="3">
        <f>IF(BX107&lt;KMA_SOSP,IF(AA107="sí",100,KMA_PEN),IF(BX107&lt;=KMA_IDEAL_MAX,100,MAX(0,100*(KMA_CERO-BX107)/(KMA_CERO-KMA_IDEAL_MAX))))</f>
        <v/>
      </c>
      <c r="CX107" s="3">
        <f>MAX(0,MIN(100,100*(M107-ANIO_MIN)/(ANIO_ACTUAL-ANIO_MIN)))</f>
        <v/>
      </c>
      <c r="CY107" s="3">
        <f>W_KMT*CV107+W_KMA*CW107+W_EDAD*CX107</f>
        <v/>
      </c>
      <c r="CZ107" s="4">
        <f>E107&amp;"|"&amp;G107</f>
        <v/>
      </c>
      <c r="DA107" s="3">
        <f>IFERROR(VLOOKUP(CZ107,DIST_TBL,2,0),"")</f>
        <v/>
      </c>
      <c r="DB107" s="3">
        <f>E_ITV*(V107="sí")+E_LIBRO*(W107="sí")+E_PROP*IF(Y107=1,1,IF(Y107=2,0.5,0))+E_CORREA*IF(OR(DA107="cadena",AND(X107="sí",BH107="sí")),1,IF(X107="sí",0.5,0))+E_FACT*(BI107="sí")</f>
        <v/>
      </c>
      <c r="DC107" s="3">
        <f>MAX(0,MIN(100,IFERROR(VLOOKUP(CL107,ETQ_TBL,2,0),0)-IF(CM107="sí",ETQ_PEN_DUD,IF(AS107="regla",ETQ_PEN_REGLA,0))))</f>
        <v/>
      </c>
      <c r="DD107" s="3">
        <f>IF(K107&lt;&gt;"gasolina","",IFERROR(VLOOKUP(F107,CONS_MOD_TBL,2,0),IFERROR(VLOOKUP(L107,CONS_SEG_TBL,2,0),"")))</f>
        <v/>
      </c>
      <c r="DE107" s="3">
        <f>IF(DD107="",NEUTRO,MAX(0,MIN(100,100*(CONS_REF_MAX-DD107)/(CONS_REF_MAX-CONS_REF_MIN))))</f>
        <v/>
      </c>
      <c r="DF107" s="3">
        <f>IFERROR(VLOOKUP(L107,SEGURO_TBL,3,0),"")</f>
        <v/>
      </c>
      <c r="DG107" s="3">
        <f>IF(DF107="",NEUTRO,MAX(0,MIN(100,100*(SEG_REF_MAX-DF107)/(SEG_REF_MAX-SEG_REF_MIN))))</f>
        <v/>
      </c>
      <c r="DH107" s="3">
        <f>IFERROR(VLOOKUP(E107,MANT_MARCA_TBL,2,0)+0,NEUTRO)</f>
        <v/>
      </c>
      <c r="DI107" s="3">
        <f>IF(DA107="",NEUTRO,IFERROR(VLOOKUP(DA107,DIST_PTS_TBL,2,0)+0,NEUTRO))</f>
        <v/>
      </c>
      <c r="DJ107" s="4">
        <f>(DH107+DI107)/2</f>
        <v/>
      </c>
      <c r="DK107" s="3">
        <f>W_CONS*DE107+W_SEG*DG107+W_MANT*DJ107</f>
        <v/>
      </c>
      <c r="DL107" s="3">
        <f>IF(N(AB107)&gt;0,AB107,IF(AND(R107="profesional",SG_LEGAL_ON=1),GAR_LEGAL,0))</f>
        <v/>
      </c>
      <c r="DM107" s="3">
        <f>MAX(0,MIN(100,SG_GAR*MIN(1,DL107/SG_GAR_FULL)+SG_AMPL*(AC107="sí")+SG_KMC*(AF107="sí")+SG_REV*(N(AE107)&gt;0)+SG_DEV*MIN(1,N(AG107)/SG_DEV_FULL)+SG_HIST*(W107="sí")-IF(AND(R107="particular",DL107=0),SG_PART_PEN,0)))</f>
        <v/>
      </c>
      <c r="DN107" s="3">
        <f>IF(BK107="",NEUTRO,MAX(0,MIN(100,BK107/5*100)))</f>
        <v/>
      </c>
      <c r="DO107" s="3">
        <f>IF(BL107="sí",100,IF(BL107="no",0,NEUTRO))</f>
        <v/>
      </c>
      <c r="DP107" s="3">
        <f>SV_W_NCAP*DN107+SV_W_ESP*DO107</f>
        <v/>
      </c>
      <c r="DQ107" s="3">
        <f>MAX(0,MIN(100,ATR_BASE+ATR_ACAB*(BD107&lt;&gt;"")+IF(BE107="16+",ATR_LL16,IF(BE107="sí",ATR_LL,0))+ATR_FAROS*(BF107="sí")+ATR_TINT*(BG107="sí")-ATR_CHAPA*(BE107="chapa")))</f>
        <v/>
      </c>
      <c r="DR107" s="3">
        <f>EST_W_MOD*(BB107-1)/4*100+EST_W_ATR*DQ107</f>
        <v/>
      </c>
      <c r="DS107" s="3">
        <f>IF(BA107="",NEUTRO,IFERROR(VLOOKUP(BA107,COLOR_TBL,2,0)+0,NEUTRO))</f>
        <v/>
      </c>
      <c r="DT107" s="3">
        <f>MAX(0,MIN(100,100*N(BM107)/RV_N_FULL))</f>
        <v/>
      </c>
      <c r="DU107" s="3">
        <f>IF(OR(BN107="",N(BO107)&lt;RV_DIAS_MIN),NEUTRO,MAX(0,MIN(100,100*(RV_DIAS_CERO-BN107)/(RV_DIAS_CERO-RV_DIAS_FULL))))</f>
        <v/>
      </c>
      <c r="DV107" s="3">
        <f>RV_W_LIQ*DT107+RV_W_DIAS*DU107+RV_W_ETQ*DC107</f>
        <v/>
      </c>
      <c r="DW107" s="3">
        <f>IFERROR(VLOOKUP(L107,CARR_PEN_TBL,2,0),0)</f>
        <v/>
      </c>
      <c r="DX107" s="3">
        <f>W_FIAB*CS107+W_PRECIO*CU107+W_KMEDAD*CY107+W_ESTADO*DB107+W_USO*DK107+W_SEGURIDAD*DM107+W_SEGVIAL*DP107+W_ESTETICA*DR107+W_COLOR*DS107+W_REVENTA*DV107-DW107-EG107</f>
        <v/>
      </c>
      <c r="DY107" s="4">
        <f>IF(N(I107)&gt;0,I107,IFERROR(ROUND(_xlfn.NUMBERVALUE(LEFT(G107,FIND(" ",G107&amp;" ")-1),".")*1000,0),99999))</f>
        <v/>
      </c>
      <c r="DZ107" s="3">
        <f>IF(R107="profesional",0,IF(O107&lt;CUOTA_VALOR_MAX,IF(BW107&gt;ITP_TRAMO_ALTO,SUMIFS(CF_CUOTA,CF_MAS,ITP_TRAMO_ALTO,CF_CCMIN,"&lt;="&amp;DY107,CF_CCMAX,"&gt;="&amp;DY107),IF(BW107&gt;ITP_TRAMO_BAJO,SUMIFS(CF_CUOTA,CF_MAS,ITP_TRAMO_BAJO,CF_CCMIN,"&lt;="&amp;DY107,CF_CCMAX,"&gt;="&amp;DY107),O107*ITP_TIPO)),O107*ITP_TIPO))</f>
        <v/>
      </c>
      <c r="EA107" s="4">
        <f>IF(R107="profesional",N(AK107),0)</f>
        <v/>
      </c>
      <c r="EB107" s="3">
        <f>IF(AND(R107="profesional",ISNUMBER(AK107),AL107="sí"),0,TASA_DGT)</f>
        <v/>
      </c>
      <c r="EC107" s="3">
        <f>INFORME_DGT</f>
        <v/>
      </c>
      <c r="ED107" s="4">
        <f>O107+EA107+DZ107+EB107+EC107</f>
        <v/>
      </c>
      <c r="EE107" s="4">
        <f>ED107+N(DF107)</f>
        <v/>
      </c>
      <c r="EF107" s="3">
        <f>MAX(0,ED107-TOTAL_MAX)</f>
        <v/>
      </c>
      <c r="EG107" s="3">
        <f>EF107/100*PEN_100</f>
        <v/>
      </c>
      <c r="EH107" s="3">
        <f>IF(R107="particular",ED107+IF(AND(DA107&lt;&gt;"cadena",X107&lt;&gt;"sí"),RES_CORREA,0)+IF(AND(BJ107&lt;&gt;"sí",BW107&gt;=RES_NEUM_EDAD),RES_NEUM,0),"")</f>
        <v/>
      </c>
      <c r="EI107" s="3">
        <f>IF(ED107&lt;=TOTAL_MAX,"sí",IF(ED107&lt;=TECHO,"negociar","no"))</f>
        <v/>
      </c>
      <c r="EJ107" s="4">
        <f>ROUND(DX107,9)</f>
        <v/>
      </c>
      <c r="EK107" s="4">
        <f>IF(EI107&lt;&gt;"no",SUMPRODUCT(($EI$2:$EI$209&lt;&gt;"no")*($EJ$2:$EJ$209&gt;EJ107))+SUMPRODUCT(($EI$2:EI107&lt;&gt;"no")*($EJ$2:EJ107=EJ107)),"")</f>
        <v/>
      </c>
    </row>
    <row r="108">
      <c r="A108" s="2" t="inlineStr">
        <is>
          <t>cochesnet:71743852</t>
        </is>
      </c>
      <c r="B108" s="2" t="inlineStr">
        <is>
          <t>cochesnet</t>
        </is>
      </c>
      <c r="C108" s="2" t="inlineStr">
        <is>
          <t>https://www.coches.net/opel-corsa-14-expression-75-cv-3p-gasolina-2015-en-castellon-71743852-covo.aspx</t>
        </is>
      </c>
      <c r="D108" s="2" t="inlineStr">
        <is>
          <t>OPEL Corsa 1.4 Expression 75 CV</t>
        </is>
      </c>
      <c r="E108" s="2" t="inlineStr">
        <is>
          <t>Opel</t>
        </is>
      </c>
      <c r="F108" s="2" t="inlineStr">
        <is>
          <t>Opel Corsa</t>
        </is>
      </c>
      <c r="G108" s="2" t="inlineStr">
        <is>
          <t>1.4</t>
        </is>
      </c>
      <c r="H108" s="2" t="inlineStr">
        <is>
          <t>1.4 Expression 75 CV</t>
        </is>
      </c>
      <c r="I108" s="2" t="n"/>
      <c r="J108" s="2" t="n">
        <v>75</v>
      </c>
      <c r="K108" s="2" t="inlineStr">
        <is>
          <t>gasolina</t>
        </is>
      </c>
      <c r="L108" s="2" t="inlineStr">
        <is>
          <t>utilitario</t>
        </is>
      </c>
      <c r="M108" s="2" t="n">
        <v>2015</v>
      </c>
      <c r="N108" s="2" t="n">
        <v>170000</v>
      </c>
      <c r="O108" s="2" t="n">
        <v>4190</v>
      </c>
      <c r="P108" s="2" t="inlineStr">
        <is>
          <t>manual</t>
        </is>
      </c>
      <c r="Q108" s="2" t="inlineStr">
        <is>
          <t>no</t>
        </is>
      </c>
      <c r="R108" s="2" t="inlineStr">
        <is>
          <t>profesional</t>
        </is>
      </c>
      <c r="S108" s="2" t="inlineStr">
        <is>
          <t>Castellón de la Plana / Castelló de la Plana</t>
        </is>
      </c>
      <c r="T108" s="2" t="inlineStr">
        <is>
          <t>2026-10-14T15:13:16Z</t>
        </is>
      </c>
      <c r="U108" s="2" t="n">
        <v>12</v>
      </c>
      <c r="V108" s="2" t="inlineStr">
        <is>
          <t>sí</t>
        </is>
      </c>
      <c r="W108" s="2" t="n"/>
      <c r="X108" s="2" t="n"/>
      <c r="Y108" s="2" t="n"/>
      <c r="Z108" s="2" t="inlineStr">
        <is>
          <t>sí</t>
        </is>
      </c>
      <c r="AA108" s="2" t="n"/>
      <c r="AB108" s="2" t="n">
        <v>12</v>
      </c>
      <c r="AC108" s="2" t="n"/>
      <c r="AD108" s="2" t="n"/>
      <c r="AE108" s="2" t="n"/>
      <c r="AF108" s="2" t="n"/>
      <c r="AG108" s="2" t="n"/>
      <c r="AH108" s="2" t="n">
        <v>4190</v>
      </c>
      <c r="AI108" s="2" t="n"/>
      <c r="AJ108" s="2" t="n"/>
      <c r="AK108" s="2" t="n"/>
      <c r="AL108" s="2" t="n"/>
      <c r="AM108" s="2" t="n"/>
      <c r="AN108" s="2" t="n"/>
      <c r="AO108" s="2" t="inlineStr">
        <is>
          <t>2015</t>
        </is>
      </c>
      <c r="AP108" s="2" t="n">
        <v>2015</v>
      </c>
      <c r="AQ108" s="2" t="n"/>
      <c r="AR108" s="2" t="n"/>
      <c r="AS108" s="2" t="inlineStr">
        <is>
          <t>regla</t>
        </is>
      </c>
      <c r="AT108" s="2" t="n"/>
      <c r="AU108" s="2" t="inlineStr">
        <is>
          <t>no</t>
        </is>
      </c>
      <c r="AV108" s="2" t="inlineStr">
        <is>
          <t>C</t>
        </is>
      </c>
      <c r="AW108" s="2" t="n"/>
      <c r="AX108" s="2" t="inlineStr">
        <is>
          <t>no</t>
        </is>
      </c>
      <c r="AY108" s="2" t="inlineStr">
        <is>
          <t>no</t>
        </is>
      </c>
      <c r="AZ108" s="2" t="inlineStr">
        <is>
          <t>COMMON.COLOR_WHITE</t>
        </is>
      </c>
      <c r="BA108" s="2" t="inlineStr">
        <is>
          <t>blanco</t>
        </is>
      </c>
      <c r="BB108" s="3" t="n">
        <v>2</v>
      </c>
      <c r="BC108" s="3" t="inlineStr">
        <is>
          <t>(por segmento)</t>
        </is>
      </c>
      <c r="BD108" s="2" t="n"/>
      <c r="BE108" s="2" t="n"/>
      <c r="BF108" s="2" t="n"/>
      <c r="BG108" s="2" t="n"/>
      <c r="BH108" s="2" t="n"/>
      <c r="BI108" s="2" t="n"/>
      <c r="BJ108" s="2" t="inlineStr">
        <is>
          <t>sí</t>
        </is>
      </c>
      <c r="BK108" s="2" t="n"/>
      <c r="BL108" s="2" t="inlineStr">
        <is>
          <t>sí</t>
        </is>
      </c>
      <c r="BM108" s="2" t="n">
        <v>456</v>
      </c>
      <c r="BN108" s="2" t="n">
        <v>0.05126157402992249</v>
      </c>
      <c r="BO108" s="2" t="n">
        <v>11</v>
      </c>
      <c r="BP108" s="2" t="n">
        <v>4550</v>
      </c>
      <c r="BQ108" s="2" t="n">
        <v>8</v>
      </c>
      <c r="BR108" s="2" t="inlineStr">
        <is>
          <t>modelo+año+km</t>
        </is>
      </c>
      <c r="BS108" s="2" t="n"/>
      <c r="BT108" s="2" t="inlineStr">
        <is>
          <t>vendedor profesional: sin ITP (operación con IVA/REBU, confirmar en factura); gastos de gestión del vendedor no indicados: se suma la tasa DGT; preguntar el precio final; Euro NCAP de la generación PENDIENTE (seguridad neutra); etiqueta C deducida por fecha (sin matrícula ni dato del anuncio); distancia no verificable (el anuncio solo indica la provincia): confirmar que está a &lt;= 70 km</t>
        </is>
      </c>
      <c r="BU108" s="2" t="inlineStr">
        <is>
          <t>Se vende opel Corsa  con motor 1.3Diesel ,95CV  Radio -CD , siempre en garaje,  elevalunas eléctricos, ruedas nuevas , espejos con regulación ,Abs,airbag, económico y ideal para el día a día,  se entrega totalmente revisado con   Itv al dia , aceite y filtros  recién cambiados ,  mejor verlo sin compromiso.  Sólo se atienden llamadas.</t>
        </is>
      </c>
      <c r="BV108" s="2" t="inlineStr">
        <is>
          <t>https://www.coches.net/opel-corsa-14-expression-75-cv-3p-gasolina-2015-en-castellon-71743852-covo.aspx (window.__INITIAL_PROPS__.ad) /home/user/Alopecia/buscador-coches/raw/cochesnet/da006717dcb87bc5.json</t>
        </is>
      </c>
      <c r="BW108" s="3">
        <f>MAX(ANIO_ACTUAL-M108,0)</f>
        <v/>
      </c>
      <c r="BX108" s="4">
        <f>N108/MAX(BW108,0.5)</f>
        <v/>
      </c>
      <c r="BY108" s="4">
        <f>F108</f>
        <v/>
      </c>
      <c r="BZ108" s="3">
        <f>BY108&amp;"|"&amp;INT(M108/SEG_ANIO)*SEG_ANIO</f>
        <v/>
      </c>
      <c r="CA108" s="3">
        <f>BZ108&amp;"|"&amp;INT(N108/SEG_KM)*SEG_KM</f>
        <v/>
      </c>
      <c r="CB108" s="4">
        <f>COUNTIF($BY$2:$BY$209,BY108)</f>
        <v/>
      </c>
      <c r="CC108" s="4">
        <f>COUNTIF($BZ$2:$BZ$209,BZ108)</f>
        <v/>
      </c>
      <c r="CD108" s="4">
        <f>COUNTIF($CA$2:$CA$209,CA108)</f>
        <v/>
      </c>
      <c r="CE108" s="3">
        <f t="array" ref="CE108">IF(N(BQ108)&gt;=MIN_N,BP108,IF(CD108&gt;=MIN_N,MEDIAN(IF($CA$2:$CA$209=CA108,$O$2:$O$209)),IF(CC108&gt;=MIN_N,MEDIAN(IF($BZ$2:$BZ$209=BZ108,$O$2:$O$209)),MEDIAN(IF($BY$2:$BY$209=BY108,$O$2:$O$209)))))</f>
        <v/>
      </c>
      <c r="CF108" s="3">
        <f>IF(N(BQ108)&gt;=MIN_N,"mercado "&amp;BR108,IF(CD108&gt;=MIN_N,"modelo+año+km",IF(CC108&gt;=MIN_N,"modelo+año","modelo")))</f>
        <v/>
      </c>
      <c r="CG108" s="4">
        <f>(CE108-O108)/CE108</f>
        <v/>
      </c>
      <c r="CH108" s="3">
        <f>IF(COUNTIFS(FR_FUEL,K108,FR_YEAR,AP108)&gt;0,1,0)</f>
        <v/>
      </c>
      <c r="CI108" s="3">
        <f>IF(COUNTIFS(FR_FUEL,K108,FR_YEAR,AP108-1)&gt;0,1,0)</f>
        <v/>
      </c>
      <c r="CJ108" s="4">
        <f>IF(N(AQ108)&gt;0,AP108*100+AQ108,IF(AND(CH108=1,CI108=1),(AP108-1)*100+1,AP108*100+1))</f>
        <v/>
      </c>
      <c r="CK108" s="3">
        <f>IF(OR(K108="hibrido",K108="glp",K108="gnc",K108="phev"),"ECO",IF(K108="electrico","CERO",IF(K108="gasolina",IF(CJ108&gt;=GAS_C_YM,"C",IF(CJ108&gt;=GAS_B_YM,"B","A")),IF(K108="diesel",IF(CJ108&gt;=DIE_C_YM,"C",IF(CJ108&gt;=DIE_B_YM,"B","A")),""))))</f>
        <v/>
      </c>
      <c r="CL108" s="4">
        <f>CK108</f>
        <v/>
      </c>
      <c r="CM108" s="4">
        <f>IF(AU108="sí","sí",IF(AS108="regla",IF(AND(N(AQ108)=0,CH108=1),"sí","no"),"no"))</f>
        <v/>
      </c>
      <c r="CN108" s="3">
        <f>IFERROR(VLOOKUP(F108,MOD_TBL,16,0),IFERROR(VLOOKUP(E108,OCU_TBL,2,0),NEUTRO))</f>
        <v/>
      </c>
      <c r="CO108" s="3">
        <f>SUMIFS(MOT_AJUSTE,MOT_MOTOR,G108,MOT_MARCA,E108,MOT_DESDE,"&lt;="&amp;M108,MOT_HASTA,"&gt;="&amp;M108)+SUMIFS(MOT_AJUSTE,MOT_MOTOR,G108,MOT_MARCA,"(todas)",MOT_DESDE,"&lt;="&amp;M108,MOT_HASTA,"&gt;="&amp;M108)+SUMIFS(MOT_AJUSTE,MOT_MOTOR,"(cualquiera)",MOT_MARCA,E108,MOT_DESDE,"&lt;="&amp;M108,MOT_HASTA,"&gt;="&amp;M108)</f>
        <v/>
      </c>
      <c r="CP108" s="3">
        <f>SUMIFS(COMB_AJUSTE,COMB_COMB,K108)</f>
        <v/>
      </c>
      <c r="CQ108" s="3">
        <f>COUNTIFS(MOT_MOTOR,G108,MOT_MARCA,E108,MOT_DESDE,"&lt;="&amp;M108,MOT_HASTA,"&gt;="&amp;M108)+COUNTIFS(MOT_MOTOR,G108,MOT_MARCA,"(todas)",MOT_DESDE,"&lt;="&amp;M108,MOT_HASTA,"&gt;="&amp;M108)+COUNTIFS(MOT_MOTOR,"(cualquiera)",MOT_MARCA,E108,MOT_DESDE,"&lt;="&amp;M108,MOT_HASTA,"&gt;="&amp;M108)</f>
        <v/>
      </c>
      <c r="CR108" s="3">
        <f>IF(AND(K108="diesel",CQ108=0),MIN(CN108,NEUTRO),CN108)</f>
        <v/>
      </c>
      <c r="CS108" s="3">
        <f>MAX(0,MIN(100,CR108+CO108+CP108-IF(AX108="sí",ROB_PEN,0)))</f>
        <v/>
      </c>
      <c r="CT108" s="3">
        <f>100-MAX(0,N108-KM_TOPE_DESDE)/1000*KM_TOPE_PTS</f>
        <v/>
      </c>
      <c r="CU108" s="3">
        <f>MAX(0,MIN(100,50+CG108*PRECIO_PEND,CT108))</f>
        <v/>
      </c>
      <c r="CV108" s="3">
        <f>MAX(0,100*(1-N108/KM_MAX))</f>
        <v/>
      </c>
      <c r="CW108" s="3">
        <f>IF(BX108&lt;KMA_SOSP,IF(AA108="sí",100,KMA_PEN),IF(BX108&lt;=KMA_IDEAL_MAX,100,MAX(0,100*(KMA_CERO-BX108)/(KMA_CERO-KMA_IDEAL_MAX))))</f>
        <v/>
      </c>
      <c r="CX108" s="3">
        <f>MAX(0,MIN(100,100*(M108-ANIO_MIN)/(ANIO_ACTUAL-ANIO_MIN)))</f>
        <v/>
      </c>
      <c r="CY108" s="3">
        <f>W_KMT*CV108+W_KMA*CW108+W_EDAD*CX108</f>
        <v/>
      </c>
      <c r="CZ108" s="4">
        <f>E108&amp;"|"&amp;G108</f>
        <v/>
      </c>
      <c r="DA108" s="3">
        <f>IFERROR(VLOOKUP(CZ108,DIST_TBL,2,0),"")</f>
        <v/>
      </c>
      <c r="DB108" s="3">
        <f>E_ITV*(V108="sí")+E_LIBRO*(W108="sí")+E_PROP*IF(Y108=1,1,IF(Y108=2,0.5,0))+E_CORREA*IF(OR(DA108="cadena",AND(X108="sí",BH108="sí")),1,IF(X108="sí",0.5,0))+E_FACT*(BI108="sí")</f>
        <v/>
      </c>
      <c r="DC108" s="3">
        <f>MAX(0,MIN(100,IFERROR(VLOOKUP(CL108,ETQ_TBL,2,0),0)-IF(CM108="sí",ETQ_PEN_DUD,IF(AS108="regla",ETQ_PEN_REGLA,0))))</f>
        <v/>
      </c>
      <c r="DD108" s="3">
        <f>IF(K108&lt;&gt;"gasolina","",IFERROR(VLOOKUP(F108,CONS_MOD_TBL,2,0),IFERROR(VLOOKUP(L108,CONS_SEG_TBL,2,0),"")))</f>
        <v/>
      </c>
      <c r="DE108" s="3">
        <f>IF(DD108="",NEUTRO,MAX(0,MIN(100,100*(CONS_REF_MAX-DD108)/(CONS_REF_MAX-CONS_REF_MIN))))</f>
        <v/>
      </c>
      <c r="DF108" s="3">
        <f>IFERROR(VLOOKUP(L108,SEGURO_TBL,3,0),"")</f>
        <v/>
      </c>
      <c r="DG108" s="3">
        <f>IF(DF108="",NEUTRO,MAX(0,MIN(100,100*(SEG_REF_MAX-DF108)/(SEG_REF_MAX-SEG_REF_MIN))))</f>
        <v/>
      </c>
      <c r="DH108" s="3">
        <f>IFERROR(VLOOKUP(E108,MANT_MARCA_TBL,2,0)+0,NEUTRO)</f>
        <v/>
      </c>
      <c r="DI108" s="3">
        <f>IF(DA108="",NEUTRO,IFERROR(VLOOKUP(DA108,DIST_PTS_TBL,2,0)+0,NEUTRO))</f>
        <v/>
      </c>
      <c r="DJ108" s="4">
        <f>(DH108+DI108)/2</f>
        <v/>
      </c>
      <c r="DK108" s="3">
        <f>W_CONS*DE108+W_SEG*DG108+W_MANT*DJ108</f>
        <v/>
      </c>
      <c r="DL108" s="3">
        <f>IF(N(AB108)&gt;0,AB108,IF(AND(R108="profesional",SG_LEGAL_ON=1),GAR_LEGAL,0))</f>
        <v/>
      </c>
      <c r="DM108" s="3">
        <f>MAX(0,MIN(100,SG_GAR*MIN(1,DL108/SG_GAR_FULL)+SG_AMPL*(AC108="sí")+SG_KMC*(AF108="sí")+SG_REV*(N(AE108)&gt;0)+SG_DEV*MIN(1,N(AG108)/SG_DEV_FULL)+SG_HIST*(W108="sí")-IF(AND(R108="particular",DL108=0),SG_PART_PEN,0)))</f>
        <v/>
      </c>
      <c r="DN108" s="3">
        <f>IF(BK108="",NEUTRO,MAX(0,MIN(100,BK108/5*100)))</f>
        <v/>
      </c>
      <c r="DO108" s="3">
        <f>IF(BL108="sí",100,IF(BL108="no",0,NEUTRO))</f>
        <v/>
      </c>
      <c r="DP108" s="3">
        <f>SV_W_NCAP*DN108+SV_W_ESP*DO108</f>
        <v/>
      </c>
      <c r="DQ108" s="3">
        <f>MAX(0,MIN(100,ATR_BASE+ATR_ACAB*(BD108&lt;&gt;"")+IF(BE108="16+",ATR_LL16,IF(BE108="sí",ATR_LL,0))+ATR_FAROS*(BF108="sí")+ATR_TINT*(BG108="sí")-ATR_CHAPA*(BE108="chapa")))</f>
        <v/>
      </c>
      <c r="DR108" s="3">
        <f>EST_W_MOD*(BB108-1)/4*100+EST_W_ATR*DQ108</f>
        <v/>
      </c>
      <c r="DS108" s="3">
        <f>IF(BA108="",NEUTRO,IFERROR(VLOOKUP(BA108,COLOR_TBL,2,0)+0,NEUTRO))</f>
        <v/>
      </c>
      <c r="DT108" s="3">
        <f>MAX(0,MIN(100,100*N(BM108)/RV_N_FULL))</f>
        <v/>
      </c>
      <c r="DU108" s="3">
        <f>IF(OR(BN108="",N(BO108)&lt;RV_DIAS_MIN),NEUTRO,MAX(0,MIN(100,100*(RV_DIAS_CERO-BN108)/(RV_DIAS_CERO-RV_DIAS_FULL))))</f>
        <v/>
      </c>
      <c r="DV108" s="3">
        <f>RV_W_LIQ*DT108+RV_W_DIAS*DU108+RV_W_ETQ*DC108</f>
        <v/>
      </c>
      <c r="DW108" s="3">
        <f>IFERROR(VLOOKUP(L108,CARR_PEN_TBL,2,0),0)</f>
        <v/>
      </c>
      <c r="DX108" s="3">
        <f>W_FIAB*CS108+W_PRECIO*CU108+W_KMEDAD*CY108+W_ESTADO*DB108+W_USO*DK108+W_SEGURIDAD*DM108+W_SEGVIAL*DP108+W_ESTETICA*DR108+W_COLOR*DS108+W_REVENTA*DV108-DW108-EG108</f>
        <v/>
      </c>
      <c r="DY108" s="4">
        <f>IF(N(I108)&gt;0,I108,IFERROR(ROUND(_xlfn.NUMBERVALUE(LEFT(G108,FIND(" ",G108&amp;" ")-1),".")*1000,0),99999))</f>
        <v/>
      </c>
      <c r="DZ108" s="3">
        <f>IF(R108="profesional",0,IF(O108&lt;CUOTA_VALOR_MAX,IF(BW108&gt;ITP_TRAMO_ALTO,SUMIFS(CF_CUOTA,CF_MAS,ITP_TRAMO_ALTO,CF_CCMIN,"&lt;="&amp;DY108,CF_CCMAX,"&gt;="&amp;DY108),IF(BW108&gt;ITP_TRAMO_BAJO,SUMIFS(CF_CUOTA,CF_MAS,ITP_TRAMO_BAJO,CF_CCMIN,"&lt;="&amp;DY108,CF_CCMAX,"&gt;="&amp;DY108),O108*ITP_TIPO)),O108*ITP_TIPO))</f>
        <v/>
      </c>
      <c r="EA108" s="4">
        <f>IF(R108="profesional",N(AK108),0)</f>
        <v/>
      </c>
      <c r="EB108" s="3">
        <f>IF(AND(R108="profesional",ISNUMBER(AK108),AL108="sí"),0,TASA_DGT)</f>
        <v/>
      </c>
      <c r="EC108" s="3">
        <f>INFORME_DGT</f>
        <v/>
      </c>
      <c r="ED108" s="4">
        <f>O108+EA108+DZ108+EB108+EC108</f>
        <v/>
      </c>
      <c r="EE108" s="4">
        <f>ED108+N(DF108)</f>
        <v/>
      </c>
      <c r="EF108" s="3">
        <f>MAX(0,ED108-TOTAL_MAX)</f>
        <v/>
      </c>
      <c r="EG108" s="3">
        <f>EF108/100*PEN_100</f>
        <v/>
      </c>
      <c r="EH108" s="3">
        <f>IF(R108="particular",ED108+IF(AND(DA108&lt;&gt;"cadena",X108&lt;&gt;"sí"),RES_CORREA,0)+IF(AND(BJ108&lt;&gt;"sí",BW108&gt;=RES_NEUM_EDAD),RES_NEUM,0),"")</f>
        <v/>
      </c>
      <c r="EI108" s="3">
        <f>IF(ED108&lt;=TOTAL_MAX,"sí",IF(ED108&lt;=TECHO,"negociar","no"))</f>
        <v/>
      </c>
      <c r="EJ108" s="4">
        <f>ROUND(DX108,9)</f>
        <v/>
      </c>
      <c r="EK108" s="4">
        <f>IF(EI108&lt;&gt;"no",SUMPRODUCT(($EI$2:$EI$209&lt;&gt;"no")*($EJ$2:$EJ$209&gt;EJ108))+SUMPRODUCT(($EI$2:EI108&lt;&gt;"no")*($EJ$2:EJ108=EJ108)),"")</f>
        <v/>
      </c>
    </row>
    <row r="109">
      <c r="A109" s="2" t="inlineStr">
        <is>
          <t>cochesnet:70895846</t>
        </is>
      </c>
      <c r="B109" s="2" t="inlineStr">
        <is>
          <t>cochesnet</t>
        </is>
      </c>
      <c r="C109" s="2" t="inlineStr">
        <is>
          <t>https://www.coches.net/renault-twingo-authentique-12-eco2-3p-gasolina-2008-en-castellon-70895846-covo.aspx</t>
        </is>
      </c>
      <c r="D109" s="2" t="inlineStr">
        <is>
          <t>RENAULT Twingo Authentique 1.2 eco2</t>
        </is>
      </c>
      <c r="E109" s="2" t="inlineStr">
        <is>
          <t>Renault</t>
        </is>
      </c>
      <c r="F109" s="2" t="inlineStr">
        <is>
          <t>Renault Twingo</t>
        </is>
      </c>
      <c r="G109" s="2" t="inlineStr">
        <is>
          <t>1.2</t>
        </is>
      </c>
      <c r="H109" s="2" t="inlineStr">
        <is>
          <t>Authentique 1.2 eco2</t>
        </is>
      </c>
      <c r="I109" s="2" t="n"/>
      <c r="J109" s="2" t="n"/>
      <c r="K109" s="2" t="inlineStr">
        <is>
          <t>gasolina</t>
        </is>
      </c>
      <c r="L109" s="2" t="inlineStr">
        <is>
          <t>utilitario</t>
        </is>
      </c>
      <c r="M109" s="2" t="n">
        <v>2008</v>
      </c>
      <c r="N109" s="2" t="n">
        <v>34100</v>
      </c>
      <c r="O109" s="2" t="n">
        <v>4900</v>
      </c>
      <c r="P109" s="2" t="inlineStr">
        <is>
          <t>manual</t>
        </is>
      </c>
      <c r="Q109" s="2" t="inlineStr">
        <is>
          <t>no</t>
        </is>
      </c>
      <c r="R109" s="2" t="inlineStr">
        <is>
          <t>profesional</t>
        </is>
      </c>
      <c r="S109" s="2" t="inlineStr">
        <is>
          <t>Comprartuauto.com Vila-real</t>
        </is>
      </c>
      <c r="T109" s="2" t="inlineStr">
        <is>
          <t>2026-09-16T19:33:12Z</t>
        </is>
      </c>
      <c r="U109" s="2" t="n">
        <v>12</v>
      </c>
      <c r="V109" s="2" t="inlineStr">
        <is>
          <t>sí</t>
        </is>
      </c>
      <c r="W109" s="2" t="n"/>
      <c r="X109" s="2" t="n"/>
      <c r="Y109" s="2" t="n">
        <v>1</v>
      </c>
      <c r="Z109" s="2" t="inlineStr">
        <is>
          <t>no</t>
        </is>
      </c>
      <c r="AA109" s="2" t="n"/>
      <c r="AB109" s="2" t="n"/>
      <c r="AC109" s="2" t="n"/>
      <c r="AD109" s="2" t="n"/>
      <c r="AE109" s="2" t="n"/>
      <c r="AF109" s="2" t="n"/>
      <c r="AG109" s="2" t="n"/>
      <c r="AH109" s="2" t="n">
        <v>4900</v>
      </c>
      <c r="AI109" s="2" t="n"/>
      <c r="AJ109" s="2" t="n"/>
      <c r="AK109" s="2" t="n"/>
      <c r="AL109" s="2" t="n"/>
      <c r="AM109" s="2" t="n"/>
      <c r="AN109" s="2" t="n"/>
      <c r="AO109" s="2" t="inlineStr">
        <is>
          <t>2008</t>
        </is>
      </c>
      <c r="AP109" s="2" t="n">
        <v>2008</v>
      </c>
      <c r="AQ109" s="2" t="n"/>
      <c r="AR109" s="2" t="inlineStr">
        <is>
          <t>C</t>
        </is>
      </c>
      <c r="AS109" s="2" t="inlineStr">
        <is>
          <t>anuncio</t>
        </is>
      </c>
      <c r="AT109" s="2" t="n"/>
      <c r="AU109" s="2" t="inlineStr">
        <is>
          <t>no</t>
        </is>
      </c>
      <c r="AV109" s="2" t="inlineStr">
        <is>
          <t>C</t>
        </is>
      </c>
      <c r="AW109" s="2" t="n"/>
      <c r="AX109" s="2" t="inlineStr">
        <is>
          <t>no</t>
        </is>
      </c>
      <c r="AY109" s="2" t="inlineStr">
        <is>
          <t>no</t>
        </is>
      </c>
      <c r="AZ109" s="2" t="inlineStr">
        <is>
          <t>COMMON.COLOR_BLUE</t>
        </is>
      </c>
      <c r="BA109" s="2" t="inlineStr">
        <is>
          <t>azul</t>
        </is>
      </c>
      <c r="BB109" s="3" t="n">
        <v>2</v>
      </c>
      <c r="BC109" s="3" t="inlineStr">
        <is>
          <t>(por segmento)</t>
        </is>
      </c>
      <c r="BD109" s="2" t="n"/>
      <c r="BE109" s="2" t="n"/>
      <c r="BF109" s="2" t="n"/>
      <c r="BG109" s="2" t="n"/>
      <c r="BH109" s="2" t="n"/>
      <c r="BI109" s="2" t="n"/>
      <c r="BJ109" s="2" t="n"/>
      <c r="BK109" s="2" t="n">
        <v>4</v>
      </c>
      <c r="BL109" s="2" t="inlineStr">
        <is>
          <t>sí</t>
        </is>
      </c>
      <c r="BM109" s="2" t="n">
        <v>17</v>
      </c>
      <c r="BN109" s="2" t="n"/>
      <c r="BO109" s="2" t="n">
        <v>0</v>
      </c>
      <c r="BP109" s="2" t="n"/>
      <c r="BQ109" s="2" t="n"/>
      <c r="BR109" s="2" t="n"/>
      <c r="BS109" s="2" t="n"/>
      <c r="BT109" s="2" t="inlineStr">
        <is>
          <t>vendedor profesional: sin ITP (operación con IVA/REBU, confirmar en factura); gastos de gestión del vendedor no indicados: se suma la tasa DGT; preguntar el precio final; distancia no verificable (el anuncio solo indica la provincia): confirmar que está a &lt;= 70 km; fiabilidad del modelo PENDIENTE de fuente (puntuación neutra); mediana con solo 1 anuncio(s)</t>
        </is>
      </c>
      <c r="BU109" s="2" t="inlineStr">
        <is>
          <t>Renault Twingo motor 1.2cc 60cv Gasolina, manual 5 velocidades, año 2008, 34.100kms, único propietario, etiqueta medioambiental C.
Extras: Cierre centralizado a distancia, cristales eléctricos, aire acondicionado, ordenador de abordo, Radio/CD/Mp3/USB/Aux/Bluetooth, ABS, control de tracción, control de estabilidad, airbags, etc.
ITV hasta el 9/2026, neumáticos correctos, el ultimo mantenimiento de aceite y filtros se realizo a los 25.000kms.
El vehículo esta en perfectas condiciones.
El cambio de nombre se cobra a parte y son 200 Euros. 
Aceptamos su vehículo como parte de pago. 
Mas vehículos en comprartuauto,com 
Se habla Español, Ingles, Ucraniano y Ruso
Estamos en Villareal, Av. Francesc Tarrega 263. 
Horarios de Lunes a Viernes de 10 a 14 y de 17 a 20. 
Sábados mediante cita previa de 10 a 13.</t>
        </is>
      </c>
      <c r="BV109" s="2" t="inlineStr">
        <is>
          <t>https://www.coches.net/renault-twingo-authentique-12-eco2-3p-gasolina-2008-en-castellon-70895846-covo.aspx (window.__INITIAL_PROPS__.ad) /home/user/Alopecia/buscador-coches/raw/cochesnet/eec6c7107140ffda.json</t>
        </is>
      </c>
      <c r="BW109" s="3">
        <f>MAX(ANIO_ACTUAL-M109,0)</f>
        <v/>
      </c>
      <c r="BX109" s="4">
        <f>N109/MAX(BW109,0.5)</f>
        <v/>
      </c>
      <c r="BY109" s="4">
        <f>F109</f>
        <v/>
      </c>
      <c r="BZ109" s="3">
        <f>BY109&amp;"|"&amp;INT(M109/SEG_ANIO)*SEG_ANIO</f>
        <v/>
      </c>
      <c r="CA109" s="3">
        <f>BZ109&amp;"|"&amp;INT(N109/SEG_KM)*SEG_KM</f>
        <v/>
      </c>
      <c r="CB109" s="4">
        <f>COUNTIF($BY$2:$BY$209,BY109)</f>
        <v/>
      </c>
      <c r="CC109" s="4">
        <f>COUNTIF($BZ$2:$BZ$209,BZ109)</f>
        <v/>
      </c>
      <c r="CD109" s="4">
        <f>COUNTIF($CA$2:$CA$209,CA109)</f>
        <v/>
      </c>
      <c r="CE109" s="3">
        <f t="array" ref="CE109">IF(N(BQ109)&gt;=MIN_N,BP109,IF(CD109&gt;=MIN_N,MEDIAN(IF($CA$2:$CA$209=CA109,$O$2:$O$209)),IF(CC109&gt;=MIN_N,MEDIAN(IF($BZ$2:$BZ$209=BZ109,$O$2:$O$209)),MEDIAN(IF($BY$2:$BY$209=BY109,$O$2:$O$209)))))</f>
        <v/>
      </c>
      <c r="CF109" s="3">
        <f>IF(N(BQ109)&gt;=MIN_N,"mercado "&amp;BR109,IF(CD109&gt;=MIN_N,"modelo+año+km",IF(CC109&gt;=MIN_N,"modelo+año","modelo")))</f>
        <v/>
      </c>
      <c r="CG109" s="4">
        <f>(CE109-O109)/CE109</f>
        <v/>
      </c>
      <c r="CH109" s="3">
        <f>IF(COUNTIFS(FR_FUEL,K109,FR_YEAR,AP109)&gt;0,1,0)</f>
        <v/>
      </c>
      <c r="CI109" s="3">
        <f>IF(COUNTIFS(FR_FUEL,K109,FR_YEAR,AP109-1)&gt;0,1,0)</f>
        <v/>
      </c>
      <c r="CJ109" s="4">
        <f>IF(N(AQ109)&gt;0,AP109*100+AQ109,IF(AND(CH109=1,CI109=1),(AP109-1)*100+1,AP109*100+1))</f>
        <v/>
      </c>
      <c r="CK109" s="3">
        <f>IF(OR(K109="hibrido",K109="glp",K109="gnc",K109="phev"),"ECO",IF(K109="electrico","CERO",IF(K109="gasolina",IF(CJ109&gt;=GAS_C_YM,"C",IF(CJ109&gt;=GAS_B_YM,"B","A")),IF(K109="diesel",IF(CJ109&gt;=DIE_C_YM,"C",IF(CJ109&gt;=DIE_B_YM,"B","A")),""))))</f>
        <v/>
      </c>
      <c r="CL109" s="2" t="inlineStr">
        <is>
          <t>C</t>
        </is>
      </c>
      <c r="CM109" s="4">
        <f>IF(AU109="sí","sí",IF(AS109="regla",IF(AND(N(AQ109)=0,CH109=1),"sí","no"),"no"))</f>
        <v/>
      </c>
      <c r="CN109" s="3">
        <f>IFERROR(VLOOKUP(F109,MOD_TBL,16,0),IFERROR(VLOOKUP(E109,OCU_TBL,2,0),NEUTRO))</f>
        <v/>
      </c>
      <c r="CO109" s="3">
        <f>SUMIFS(MOT_AJUSTE,MOT_MOTOR,G109,MOT_MARCA,E109,MOT_DESDE,"&lt;="&amp;M109,MOT_HASTA,"&gt;="&amp;M109)+SUMIFS(MOT_AJUSTE,MOT_MOTOR,G109,MOT_MARCA,"(todas)",MOT_DESDE,"&lt;="&amp;M109,MOT_HASTA,"&gt;="&amp;M109)+SUMIFS(MOT_AJUSTE,MOT_MOTOR,"(cualquiera)",MOT_MARCA,E109,MOT_DESDE,"&lt;="&amp;M109,MOT_HASTA,"&gt;="&amp;M109)</f>
        <v/>
      </c>
      <c r="CP109" s="3">
        <f>SUMIFS(COMB_AJUSTE,COMB_COMB,K109)</f>
        <v/>
      </c>
      <c r="CQ109" s="3">
        <f>COUNTIFS(MOT_MOTOR,G109,MOT_MARCA,E109,MOT_DESDE,"&lt;="&amp;M109,MOT_HASTA,"&gt;="&amp;M109)+COUNTIFS(MOT_MOTOR,G109,MOT_MARCA,"(todas)",MOT_DESDE,"&lt;="&amp;M109,MOT_HASTA,"&gt;="&amp;M109)+COUNTIFS(MOT_MOTOR,"(cualquiera)",MOT_MARCA,E109,MOT_DESDE,"&lt;="&amp;M109,MOT_HASTA,"&gt;="&amp;M109)</f>
        <v/>
      </c>
      <c r="CR109" s="3">
        <f>IF(AND(K109="diesel",CQ109=0),MIN(CN109,NEUTRO),CN109)</f>
        <v/>
      </c>
      <c r="CS109" s="3">
        <f>MAX(0,MIN(100,CR109+CO109+CP109-IF(AX109="sí",ROB_PEN,0)))</f>
        <v/>
      </c>
      <c r="CT109" s="3">
        <f>100-MAX(0,N109-KM_TOPE_DESDE)/1000*KM_TOPE_PTS</f>
        <v/>
      </c>
      <c r="CU109" s="3">
        <f>MAX(0,MIN(100,50+CG109*PRECIO_PEND,CT109))</f>
        <v/>
      </c>
      <c r="CV109" s="3">
        <f>MAX(0,100*(1-N109/KM_MAX))</f>
        <v/>
      </c>
      <c r="CW109" s="3">
        <f>IF(BX109&lt;KMA_SOSP,IF(AA109="sí",100,KMA_PEN),IF(BX109&lt;=KMA_IDEAL_MAX,100,MAX(0,100*(KMA_CERO-BX109)/(KMA_CERO-KMA_IDEAL_MAX))))</f>
        <v/>
      </c>
      <c r="CX109" s="3">
        <f>MAX(0,MIN(100,100*(M109-ANIO_MIN)/(ANIO_ACTUAL-ANIO_MIN)))</f>
        <v/>
      </c>
      <c r="CY109" s="3">
        <f>W_KMT*CV109+W_KMA*CW109+W_EDAD*CX109</f>
        <v/>
      </c>
      <c r="CZ109" s="4">
        <f>E109&amp;"|"&amp;G109</f>
        <v/>
      </c>
      <c r="DA109" s="3">
        <f>IFERROR(VLOOKUP(CZ109,DIST_TBL,2,0),"")</f>
        <v/>
      </c>
      <c r="DB109" s="3">
        <f>E_ITV*(V109="sí")+E_LIBRO*(W109="sí")+E_PROP*IF(Y109=1,1,IF(Y109=2,0.5,0))+E_CORREA*IF(OR(DA109="cadena",AND(X109="sí",BH109="sí")),1,IF(X109="sí",0.5,0))+E_FACT*(BI109="sí")</f>
        <v/>
      </c>
      <c r="DC109" s="3">
        <f>MAX(0,MIN(100,IFERROR(VLOOKUP(CL109,ETQ_TBL,2,0),0)-IF(CM109="sí",ETQ_PEN_DUD,IF(AS109="regla",ETQ_PEN_REGLA,0))))</f>
        <v/>
      </c>
      <c r="DD109" s="3">
        <f>IF(K109&lt;&gt;"gasolina","",IFERROR(VLOOKUP(F109,CONS_MOD_TBL,2,0),IFERROR(VLOOKUP(L109,CONS_SEG_TBL,2,0),"")))</f>
        <v/>
      </c>
      <c r="DE109" s="3">
        <f>IF(DD109="",NEUTRO,MAX(0,MIN(100,100*(CONS_REF_MAX-DD109)/(CONS_REF_MAX-CONS_REF_MIN))))</f>
        <v/>
      </c>
      <c r="DF109" s="3">
        <f>IFERROR(VLOOKUP(L109,SEGURO_TBL,3,0),"")</f>
        <v/>
      </c>
      <c r="DG109" s="3">
        <f>IF(DF109="",NEUTRO,MAX(0,MIN(100,100*(SEG_REF_MAX-DF109)/(SEG_REF_MAX-SEG_REF_MIN))))</f>
        <v/>
      </c>
      <c r="DH109" s="3">
        <f>IFERROR(VLOOKUP(E109,MANT_MARCA_TBL,2,0)+0,NEUTRO)</f>
        <v/>
      </c>
      <c r="DI109" s="3">
        <f>IF(DA109="",NEUTRO,IFERROR(VLOOKUP(DA109,DIST_PTS_TBL,2,0)+0,NEUTRO))</f>
        <v/>
      </c>
      <c r="DJ109" s="4">
        <f>(DH109+DI109)/2</f>
        <v/>
      </c>
      <c r="DK109" s="3">
        <f>W_CONS*DE109+W_SEG*DG109+W_MANT*DJ109</f>
        <v/>
      </c>
      <c r="DL109" s="3">
        <f>IF(N(AB109)&gt;0,AB109,IF(AND(R109="profesional",SG_LEGAL_ON=1),GAR_LEGAL,0))</f>
        <v/>
      </c>
      <c r="DM109" s="3">
        <f>MAX(0,MIN(100,SG_GAR*MIN(1,DL109/SG_GAR_FULL)+SG_AMPL*(AC109="sí")+SG_KMC*(AF109="sí")+SG_REV*(N(AE109)&gt;0)+SG_DEV*MIN(1,N(AG109)/SG_DEV_FULL)+SG_HIST*(W109="sí")-IF(AND(R109="particular",DL109=0),SG_PART_PEN,0)))</f>
        <v/>
      </c>
      <c r="DN109" s="3">
        <f>IF(BK109="",NEUTRO,MAX(0,MIN(100,BK109/5*100)))</f>
        <v/>
      </c>
      <c r="DO109" s="3">
        <f>IF(BL109="sí",100,IF(BL109="no",0,NEUTRO))</f>
        <v/>
      </c>
      <c r="DP109" s="3">
        <f>SV_W_NCAP*DN109+SV_W_ESP*DO109</f>
        <v/>
      </c>
      <c r="DQ109" s="3">
        <f>MAX(0,MIN(100,ATR_BASE+ATR_ACAB*(BD109&lt;&gt;"")+IF(BE109="16+",ATR_LL16,IF(BE109="sí",ATR_LL,0))+ATR_FAROS*(BF109="sí")+ATR_TINT*(BG109="sí")-ATR_CHAPA*(BE109="chapa")))</f>
        <v/>
      </c>
      <c r="DR109" s="3">
        <f>EST_W_MOD*(BB109-1)/4*100+EST_W_ATR*DQ109</f>
        <v/>
      </c>
      <c r="DS109" s="3">
        <f>IF(BA109="",NEUTRO,IFERROR(VLOOKUP(BA109,COLOR_TBL,2,0)+0,NEUTRO))</f>
        <v/>
      </c>
      <c r="DT109" s="3">
        <f>MAX(0,MIN(100,100*N(BM109)/RV_N_FULL))</f>
        <v/>
      </c>
      <c r="DU109" s="3">
        <f>IF(OR(BN109="",N(BO109)&lt;RV_DIAS_MIN),NEUTRO,MAX(0,MIN(100,100*(RV_DIAS_CERO-BN109)/(RV_DIAS_CERO-RV_DIAS_FULL))))</f>
        <v/>
      </c>
      <c r="DV109" s="3">
        <f>RV_W_LIQ*DT109+RV_W_DIAS*DU109+RV_W_ETQ*DC109</f>
        <v/>
      </c>
      <c r="DW109" s="3">
        <f>IFERROR(VLOOKUP(L109,CARR_PEN_TBL,2,0),0)</f>
        <v/>
      </c>
      <c r="DX109" s="3">
        <f>W_FIAB*CS109+W_PRECIO*CU109+W_KMEDAD*CY109+W_ESTADO*DB109+W_USO*DK109+W_SEGURIDAD*DM109+W_SEGVIAL*DP109+W_ESTETICA*DR109+W_COLOR*DS109+W_REVENTA*DV109-DW109-EG109</f>
        <v/>
      </c>
      <c r="DY109" s="4">
        <f>IF(N(I109)&gt;0,I109,IFERROR(ROUND(_xlfn.NUMBERVALUE(LEFT(G109,FIND(" ",G109&amp;" ")-1),".")*1000,0),99999))</f>
        <v/>
      </c>
      <c r="DZ109" s="3">
        <f>IF(R109="profesional",0,IF(O109&lt;CUOTA_VALOR_MAX,IF(BW109&gt;ITP_TRAMO_ALTO,SUMIFS(CF_CUOTA,CF_MAS,ITP_TRAMO_ALTO,CF_CCMIN,"&lt;="&amp;DY109,CF_CCMAX,"&gt;="&amp;DY109),IF(BW109&gt;ITP_TRAMO_BAJO,SUMIFS(CF_CUOTA,CF_MAS,ITP_TRAMO_BAJO,CF_CCMIN,"&lt;="&amp;DY109,CF_CCMAX,"&gt;="&amp;DY109),O109*ITP_TIPO)),O109*ITP_TIPO))</f>
        <v/>
      </c>
      <c r="EA109" s="4">
        <f>IF(R109="profesional",N(AK109),0)</f>
        <v/>
      </c>
      <c r="EB109" s="3">
        <f>IF(AND(R109="profesional",ISNUMBER(AK109),AL109="sí"),0,TASA_DGT)</f>
        <v/>
      </c>
      <c r="EC109" s="3">
        <f>INFORME_DGT</f>
        <v/>
      </c>
      <c r="ED109" s="4">
        <f>O109+EA109+DZ109+EB109+EC109</f>
        <v/>
      </c>
      <c r="EE109" s="4">
        <f>ED109+N(DF109)</f>
        <v/>
      </c>
      <c r="EF109" s="3">
        <f>MAX(0,ED109-TOTAL_MAX)</f>
        <v/>
      </c>
      <c r="EG109" s="3">
        <f>EF109/100*PEN_100</f>
        <v/>
      </c>
      <c r="EH109" s="3">
        <f>IF(R109="particular",ED109+IF(AND(DA109&lt;&gt;"cadena",X109&lt;&gt;"sí"),RES_CORREA,0)+IF(AND(BJ109&lt;&gt;"sí",BW109&gt;=RES_NEUM_EDAD),RES_NEUM,0),"")</f>
        <v/>
      </c>
      <c r="EI109" s="3">
        <f>IF(ED109&lt;=TOTAL_MAX,"sí",IF(ED109&lt;=TECHO,"negociar","no"))</f>
        <v/>
      </c>
      <c r="EJ109" s="4">
        <f>ROUND(DX109,9)</f>
        <v/>
      </c>
      <c r="EK109" s="4">
        <f>IF(EI109&lt;&gt;"no",SUMPRODUCT(($EI$2:$EI$209&lt;&gt;"no")*($EJ$2:$EJ$209&gt;EJ109))+SUMPRODUCT(($EI$2:EI109&lt;&gt;"no")*($EJ$2:EJ109=EJ109)),"")</f>
        <v/>
      </c>
    </row>
    <row r="110">
      <c r="A110" s="2" t="inlineStr">
        <is>
          <t>cochesnet:71576158</t>
        </is>
      </c>
      <c r="B110" s="2" t="inlineStr">
        <is>
          <t>cochesnet</t>
        </is>
      </c>
      <c r="C110" s="2" t="inlineStr">
        <is>
          <t>https://www.coches.net/peugeot-207-confort-14-vti-16v-95-5p-gasolina-2009-en-castellon-71576158-covo.aspx</t>
        </is>
      </c>
      <c r="D110" s="2" t="inlineStr">
        <is>
          <t>PEUGEOT 207 Confort 1.4 VTi 16v 95</t>
        </is>
      </c>
      <c r="E110" s="2" t="inlineStr">
        <is>
          <t>Peugeot</t>
        </is>
      </c>
      <c r="F110" s="2" t="inlineStr">
        <is>
          <t>Peugeot 207</t>
        </is>
      </c>
      <c r="G110" s="2" t="inlineStr">
        <is>
          <t>1.4 VTi</t>
        </is>
      </c>
      <c r="H110" s="2" t="inlineStr">
        <is>
          <t>Confort 1.4 VTi 16v 95</t>
        </is>
      </c>
      <c r="I110" s="2" t="n"/>
      <c r="J110" s="2" t="n"/>
      <c r="K110" s="2" t="inlineStr">
        <is>
          <t>gasolina</t>
        </is>
      </c>
      <c r="L110" s="2" t="inlineStr">
        <is>
          <t>utilitario</t>
        </is>
      </c>
      <c r="M110" s="2" t="n">
        <v>2009</v>
      </c>
      <c r="N110" s="2" t="n">
        <v>134000</v>
      </c>
      <c r="O110" s="2" t="n">
        <v>4990</v>
      </c>
      <c r="P110" s="2" t="inlineStr">
        <is>
          <t>manual</t>
        </is>
      </c>
      <c r="Q110" s="2" t="inlineStr">
        <is>
          <t>no</t>
        </is>
      </c>
      <c r="R110" s="2" t="inlineStr">
        <is>
          <t>profesional</t>
        </is>
      </c>
      <c r="S110" s="2" t="inlineStr">
        <is>
          <t>Car Point Castellon Castellón de la Plana / Castelló de la Plana</t>
        </is>
      </c>
      <c r="T110" s="2" t="inlineStr">
        <is>
          <t>2026-09-22T22:04:09Z</t>
        </is>
      </c>
      <c r="U110" s="2" t="n">
        <v>13</v>
      </c>
      <c r="V110" s="2" t="n"/>
      <c r="W110" s="2" t="n"/>
      <c r="X110" s="2" t="n"/>
      <c r="Y110" s="2" t="n">
        <v>2</v>
      </c>
      <c r="Z110" s="2" t="inlineStr">
        <is>
          <t>sí</t>
        </is>
      </c>
      <c r="AA110" s="2" t="inlineStr">
        <is>
          <t>sí</t>
        </is>
      </c>
      <c r="AB110" s="2" t="n">
        <v>12</v>
      </c>
      <c r="AC110" s="2" t="n"/>
      <c r="AD110" s="2" t="n"/>
      <c r="AE110" s="2" t="n"/>
      <c r="AF110" s="2" t="inlineStr">
        <is>
          <t>sí</t>
        </is>
      </c>
      <c r="AG110" s="2" t="n"/>
      <c r="AH110" s="2" t="n">
        <v>4990</v>
      </c>
      <c r="AI110" s="2" t="n">
        <v>4990</v>
      </c>
      <c r="AJ110" s="2" t="n"/>
      <c r="AK110" s="2" t="n"/>
      <c r="AL110" s="2" t="n"/>
      <c r="AM110" s="2" t="n"/>
      <c r="AN110" s="2" t="n"/>
      <c r="AO110" s="2" t="inlineStr">
        <is>
          <t>2009</t>
        </is>
      </c>
      <c r="AP110" s="2" t="n">
        <v>2009</v>
      </c>
      <c r="AQ110" s="2" t="n"/>
      <c r="AR110" s="2" t="inlineStr">
        <is>
          <t>C</t>
        </is>
      </c>
      <c r="AS110" s="2" t="inlineStr">
        <is>
          <t>anuncio</t>
        </is>
      </c>
      <c r="AT110" s="2" t="n"/>
      <c r="AU110" s="2" t="inlineStr">
        <is>
          <t>no</t>
        </is>
      </c>
      <c r="AV110" s="2" t="inlineStr">
        <is>
          <t>C</t>
        </is>
      </c>
      <c r="AW110" s="2" t="n"/>
      <c r="AX110" s="2" t="inlineStr">
        <is>
          <t>no</t>
        </is>
      </c>
      <c r="AY110" s="2" t="inlineStr">
        <is>
          <t>no</t>
        </is>
      </c>
      <c r="AZ110" s="2" t="inlineStr">
        <is>
          <t>COMMON.COLOR_RED</t>
        </is>
      </c>
      <c r="BA110" s="2" t="inlineStr">
        <is>
          <t>rojo</t>
        </is>
      </c>
      <c r="BB110" s="3" t="n">
        <v>2</v>
      </c>
      <c r="BC110" s="3" t="inlineStr">
        <is>
          <t>(por segmento)</t>
        </is>
      </c>
      <c r="BD110" s="2" t="n"/>
      <c r="BE110" s="2" t="n"/>
      <c r="BF110" s="2" t="n"/>
      <c r="BG110" s="2" t="n"/>
      <c r="BH110" s="2" t="n"/>
      <c r="BI110" s="2" t="n"/>
      <c r="BJ110" s="2" t="n"/>
      <c r="BK110" s="2" t="n">
        <v>5</v>
      </c>
      <c r="BL110" s="2" t="n"/>
      <c r="BM110" s="2" t="n">
        <v>125</v>
      </c>
      <c r="BN110" s="2" t="n"/>
      <c r="BO110" s="2" t="n">
        <v>0</v>
      </c>
      <c r="BP110" s="2" t="n">
        <v>3650</v>
      </c>
      <c r="BQ110" s="2" t="n">
        <v>28</v>
      </c>
      <c r="BR110" s="2" t="inlineStr">
        <is>
          <t>modelo+año+km</t>
        </is>
      </c>
      <c r="BS110" s="2" t="n"/>
      <c r="BT110" s="2" t="inlineStr">
        <is>
          <t>por encima del presupuesto: negociar 54 € (coste 5054 €; -1.1 puntos); vendedor profesional: sin ITP (operación con IVA/REBU, confirmar en factura); gastos de gestión del vendedor no indicados: se suma la tasa DGT; preguntar el precio final; revisar: no menciona la ITV; distancia no verificable (el anuncio solo indica la provincia): confirmar que está a &lt;= 70 km; fiabilidad del modelo PENDIENTE de fuente (puntuación neutra)</t>
        </is>
      </c>
      <c r="BU110" s="2" t="inlineStr">
        <is>
          <t>PEUGEOT 207 1.4 16V GASOLINA 95 CV
ETIQUETA C
SOLO 134.000 KMS
2 PROPIETARIOS
CAR POINT - Vehículos de ocasión
* Financiación a medida del cliente, con o sin entrada
* Recibimos tu coche como parte de pago
* Vehiculos garantizados, con opcion a 5 años de garantia
* Kilometraje certificado
* Te lo entregamos a domicilio si no puedes venir a visitarnos
Estamos en Castellon de la Plana, a 1 minuto del Acceso Sur de la AP7
C. Suiza 41 - Poligono Sur - 12006 - Castellon de la Plana
+ de 20 años de experiencia en el rubro garantizan CONFIANZA - TRANSPARENCIA - SERIEDAD
ANUNCIO NO VINCULANTE
**EL ANUNCIO PUEDE CONTENER ERRORES INVOLUNTARIOS</t>
        </is>
      </c>
      <c r="BV110" s="2" t="inlineStr">
        <is>
          <t>https://www.coches.net/peugeot-207-confort-14-vti-16v-95-5p-gasolina-2009-en-castellon-71576158-covo.aspx (window.__INITIAL_PROPS__.ad) /home/user/Alopecia/buscador-coches/raw/cochesnet/69ad177154c860d3.json</t>
        </is>
      </c>
      <c r="BW110" s="3">
        <f>MAX(ANIO_ACTUAL-M110,0)</f>
        <v/>
      </c>
      <c r="BX110" s="4">
        <f>N110/MAX(BW110,0.5)</f>
        <v/>
      </c>
      <c r="BY110" s="4">
        <f>F110</f>
        <v/>
      </c>
      <c r="BZ110" s="3">
        <f>BY110&amp;"|"&amp;INT(M110/SEG_ANIO)*SEG_ANIO</f>
        <v/>
      </c>
      <c r="CA110" s="3">
        <f>BZ110&amp;"|"&amp;INT(N110/SEG_KM)*SEG_KM</f>
        <v/>
      </c>
      <c r="CB110" s="4">
        <f>COUNTIF($BY$2:$BY$209,BY110)</f>
        <v/>
      </c>
      <c r="CC110" s="4">
        <f>COUNTIF($BZ$2:$BZ$209,BZ110)</f>
        <v/>
      </c>
      <c r="CD110" s="4">
        <f>COUNTIF($CA$2:$CA$209,CA110)</f>
        <v/>
      </c>
      <c r="CE110" s="3">
        <f t="array" ref="CE110">IF(N(BQ110)&gt;=MIN_N,BP110,IF(CD110&gt;=MIN_N,MEDIAN(IF($CA$2:$CA$209=CA110,$O$2:$O$209)),IF(CC110&gt;=MIN_N,MEDIAN(IF($BZ$2:$BZ$209=BZ110,$O$2:$O$209)),MEDIAN(IF($BY$2:$BY$209=BY110,$O$2:$O$209)))))</f>
        <v/>
      </c>
      <c r="CF110" s="3">
        <f>IF(N(BQ110)&gt;=MIN_N,"mercado "&amp;BR110,IF(CD110&gt;=MIN_N,"modelo+año+km",IF(CC110&gt;=MIN_N,"modelo+año","modelo")))</f>
        <v/>
      </c>
      <c r="CG110" s="4">
        <f>(CE110-O110)/CE110</f>
        <v/>
      </c>
      <c r="CH110" s="3">
        <f>IF(COUNTIFS(FR_FUEL,K110,FR_YEAR,AP110)&gt;0,1,0)</f>
        <v/>
      </c>
      <c r="CI110" s="3">
        <f>IF(COUNTIFS(FR_FUEL,K110,FR_YEAR,AP110-1)&gt;0,1,0)</f>
        <v/>
      </c>
      <c r="CJ110" s="4">
        <f>IF(N(AQ110)&gt;0,AP110*100+AQ110,IF(AND(CH110=1,CI110=1),(AP110-1)*100+1,AP110*100+1))</f>
        <v/>
      </c>
      <c r="CK110" s="3">
        <f>IF(OR(K110="hibrido",K110="glp",K110="gnc",K110="phev"),"ECO",IF(K110="electrico","CERO",IF(K110="gasolina",IF(CJ110&gt;=GAS_C_YM,"C",IF(CJ110&gt;=GAS_B_YM,"B","A")),IF(K110="diesel",IF(CJ110&gt;=DIE_C_YM,"C",IF(CJ110&gt;=DIE_B_YM,"B","A")),""))))</f>
        <v/>
      </c>
      <c r="CL110" s="2" t="inlineStr">
        <is>
          <t>C</t>
        </is>
      </c>
      <c r="CM110" s="4">
        <f>IF(AU110="sí","sí",IF(AS110="regla",IF(AND(N(AQ110)=0,CH110=1),"sí","no"),"no"))</f>
        <v/>
      </c>
      <c r="CN110" s="3">
        <f>IFERROR(VLOOKUP(F110,MOD_TBL,16,0),IFERROR(VLOOKUP(E110,OCU_TBL,2,0),NEUTRO))</f>
        <v/>
      </c>
      <c r="CO110" s="3">
        <f>SUMIFS(MOT_AJUSTE,MOT_MOTOR,G110,MOT_MARCA,E110,MOT_DESDE,"&lt;="&amp;M110,MOT_HASTA,"&gt;="&amp;M110)+SUMIFS(MOT_AJUSTE,MOT_MOTOR,G110,MOT_MARCA,"(todas)",MOT_DESDE,"&lt;="&amp;M110,MOT_HASTA,"&gt;="&amp;M110)+SUMIFS(MOT_AJUSTE,MOT_MOTOR,"(cualquiera)",MOT_MARCA,E110,MOT_DESDE,"&lt;="&amp;M110,MOT_HASTA,"&gt;="&amp;M110)</f>
        <v/>
      </c>
      <c r="CP110" s="3">
        <f>SUMIFS(COMB_AJUSTE,COMB_COMB,K110)</f>
        <v/>
      </c>
      <c r="CQ110" s="3">
        <f>COUNTIFS(MOT_MOTOR,G110,MOT_MARCA,E110,MOT_DESDE,"&lt;="&amp;M110,MOT_HASTA,"&gt;="&amp;M110)+COUNTIFS(MOT_MOTOR,G110,MOT_MARCA,"(todas)",MOT_DESDE,"&lt;="&amp;M110,MOT_HASTA,"&gt;="&amp;M110)+COUNTIFS(MOT_MOTOR,"(cualquiera)",MOT_MARCA,E110,MOT_DESDE,"&lt;="&amp;M110,MOT_HASTA,"&gt;="&amp;M110)</f>
        <v/>
      </c>
      <c r="CR110" s="3">
        <f>IF(AND(K110="diesel",CQ110=0),MIN(CN110,NEUTRO),CN110)</f>
        <v/>
      </c>
      <c r="CS110" s="3">
        <f>MAX(0,MIN(100,CR110+CO110+CP110-IF(AX110="sí",ROB_PEN,0)))</f>
        <v/>
      </c>
      <c r="CT110" s="3">
        <f>100-MAX(0,N110-KM_TOPE_DESDE)/1000*KM_TOPE_PTS</f>
        <v/>
      </c>
      <c r="CU110" s="3">
        <f>MAX(0,MIN(100,50+CG110*PRECIO_PEND,CT110))</f>
        <v/>
      </c>
      <c r="CV110" s="3">
        <f>MAX(0,100*(1-N110/KM_MAX))</f>
        <v/>
      </c>
      <c r="CW110" s="3">
        <f>IF(BX110&lt;KMA_SOSP,IF(AA110="sí",100,KMA_PEN),IF(BX110&lt;=KMA_IDEAL_MAX,100,MAX(0,100*(KMA_CERO-BX110)/(KMA_CERO-KMA_IDEAL_MAX))))</f>
        <v/>
      </c>
      <c r="CX110" s="3">
        <f>MAX(0,MIN(100,100*(M110-ANIO_MIN)/(ANIO_ACTUAL-ANIO_MIN)))</f>
        <v/>
      </c>
      <c r="CY110" s="3">
        <f>W_KMT*CV110+W_KMA*CW110+W_EDAD*CX110</f>
        <v/>
      </c>
      <c r="CZ110" s="4">
        <f>E110&amp;"|"&amp;G110</f>
        <v/>
      </c>
      <c r="DA110" s="3">
        <f>IFERROR(VLOOKUP(CZ110,DIST_TBL,2,0),"")</f>
        <v/>
      </c>
      <c r="DB110" s="3">
        <f>E_ITV*(V110="sí")+E_LIBRO*(W110="sí")+E_PROP*IF(Y110=1,1,IF(Y110=2,0.5,0))+E_CORREA*IF(OR(DA110="cadena",AND(X110="sí",BH110="sí")),1,IF(X110="sí",0.5,0))+E_FACT*(BI110="sí")</f>
        <v/>
      </c>
      <c r="DC110" s="3">
        <f>MAX(0,MIN(100,IFERROR(VLOOKUP(CL110,ETQ_TBL,2,0),0)-IF(CM110="sí",ETQ_PEN_DUD,IF(AS110="regla",ETQ_PEN_REGLA,0))))</f>
        <v/>
      </c>
      <c r="DD110" s="3">
        <f>IF(K110&lt;&gt;"gasolina","",IFERROR(VLOOKUP(F110,CONS_MOD_TBL,2,0),IFERROR(VLOOKUP(L110,CONS_SEG_TBL,2,0),"")))</f>
        <v/>
      </c>
      <c r="DE110" s="3">
        <f>IF(DD110="",NEUTRO,MAX(0,MIN(100,100*(CONS_REF_MAX-DD110)/(CONS_REF_MAX-CONS_REF_MIN))))</f>
        <v/>
      </c>
      <c r="DF110" s="3">
        <f>IFERROR(VLOOKUP(L110,SEGURO_TBL,3,0),"")</f>
        <v/>
      </c>
      <c r="DG110" s="3">
        <f>IF(DF110="",NEUTRO,MAX(0,MIN(100,100*(SEG_REF_MAX-DF110)/(SEG_REF_MAX-SEG_REF_MIN))))</f>
        <v/>
      </c>
      <c r="DH110" s="3">
        <f>IFERROR(VLOOKUP(E110,MANT_MARCA_TBL,2,0)+0,NEUTRO)</f>
        <v/>
      </c>
      <c r="DI110" s="3">
        <f>IF(DA110="",NEUTRO,IFERROR(VLOOKUP(DA110,DIST_PTS_TBL,2,0)+0,NEUTRO))</f>
        <v/>
      </c>
      <c r="DJ110" s="4">
        <f>(DH110+DI110)/2</f>
        <v/>
      </c>
      <c r="DK110" s="3">
        <f>W_CONS*DE110+W_SEG*DG110+W_MANT*DJ110</f>
        <v/>
      </c>
      <c r="DL110" s="3">
        <f>IF(N(AB110)&gt;0,AB110,IF(AND(R110="profesional",SG_LEGAL_ON=1),GAR_LEGAL,0))</f>
        <v/>
      </c>
      <c r="DM110" s="3">
        <f>MAX(0,MIN(100,SG_GAR*MIN(1,DL110/SG_GAR_FULL)+SG_AMPL*(AC110="sí")+SG_KMC*(AF110="sí")+SG_REV*(N(AE110)&gt;0)+SG_DEV*MIN(1,N(AG110)/SG_DEV_FULL)+SG_HIST*(W110="sí")-IF(AND(R110="particular",DL110=0),SG_PART_PEN,0)))</f>
        <v/>
      </c>
      <c r="DN110" s="3">
        <f>IF(BK110="",NEUTRO,MAX(0,MIN(100,BK110/5*100)))</f>
        <v/>
      </c>
      <c r="DO110" s="3">
        <f>IF(BL110="sí",100,IF(BL110="no",0,NEUTRO))</f>
        <v/>
      </c>
      <c r="DP110" s="3">
        <f>SV_W_NCAP*DN110+SV_W_ESP*DO110</f>
        <v/>
      </c>
      <c r="DQ110" s="3">
        <f>MAX(0,MIN(100,ATR_BASE+ATR_ACAB*(BD110&lt;&gt;"")+IF(BE110="16+",ATR_LL16,IF(BE110="sí",ATR_LL,0))+ATR_FAROS*(BF110="sí")+ATR_TINT*(BG110="sí")-ATR_CHAPA*(BE110="chapa")))</f>
        <v/>
      </c>
      <c r="DR110" s="3">
        <f>EST_W_MOD*(BB110-1)/4*100+EST_W_ATR*DQ110</f>
        <v/>
      </c>
      <c r="DS110" s="3">
        <f>IF(BA110="",NEUTRO,IFERROR(VLOOKUP(BA110,COLOR_TBL,2,0)+0,NEUTRO))</f>
        <v/>
      </c>
      <c r="DT110" s="3">
        <f>MAX(0,MIN(100,100*N(BM110)/RV_N_FULL))</f>
        <v/>
      </c>
      <c r="DU110" s="3">
        <f>IF(OR(BN110="",N(BO110)&lt;RV_DIAS_MIN),NEUTRO,MAX(0,MIN(100,100*(RV_DIAS_CERO-BN110)/(RV_DIAS_CERO-RV_DIAS_FULL))))</f>
        <v/>
      </c>
      <c r="DV110" s="3">
        <f>RV_W_LIQ*DT110+RV_W_DIAS*DU110+RV_W_ETQ*DC110</f>
        <v/>
      </c>
      <c r="DW110" s="3">
        <f>IFERROR(VLOOKUP(L110,CARR_PEN_TBL,2,0),0)</f>
        <v/>
      </c>
      <c r="DX110" s="3">
        <f>W_FIAB*CS110+W_PRECIO*CU110+W_KMEDAD*CY110+W_ESTADO*DB110+W_USO*DK110+W_SEGURIDAD*DM110+W_SEGVIAL*DP110+W_ESTETICA*DR110+W_COLOR*DS110+W_REVENTA*DV110-DW110-EG110</f>
        <v/>
      </c>
      <c r="DY110" s="4">
        <f>IF(N(I110)&gt;0,I110,IFERROR(ROUND(_xlfn.NUMBERVALUE(LEFT(G110,FIND(" ",G110&amp;" ")-1),".")*1000,0),99999))</f>
        <v/>
      </c>
      <c r="DZ110" s="3">
        <f>IF(R110="profesional",0,IF(O110&lt;CUOTA_VALOR_MAX,IF(BW110&gt;ITP_TRAMO_ALTO,SUMIFS(CF_CUOTA,CF_MAS,ITP_TRAMO_ALTO,CF_CCMIN,"&lt;="&amp;DY110,CF_CCMAX,"&gt;="&amp;DY110),IF(BW110&gt;ITP_TRAMO_BAJO,SUMIFS(CF_CUOTA,CF_MAS,ITP_TRAMO_BAJO,CF_CCMIN,"&lt;="&amp;DY110,CF_CCMAX,"&gt;="&amp;DY110),O110*ITP_TIPO)),O110*ITP_TIPO))</f>
        <v/>
      </c>
      <c r="EA110" s="4">
        <f>IF(R110="profesional",N(AK110),0)</f>
        <v/>
      </c>
      <c r="EB110" s="3">
        <f>IF(AND(R110="profesional",ISNUMBER(AK110),AL110="sí"),0,TASA_DGT)</f>
        <v/>
      </c>
      <c r="EC110" s="3">
        <f>INFORME_DGT</f>
        <v/>
      </c>
      <c r="ED110" s="4">
        <f>O110+EA110+DZ110+EB110+EC110</f>
        <v/>
      </c>
      <c r="EE110" s="4">
        <f>ED110+N(DF110)</f>
        <v/>
      </c>
      <c r="EF110" s="3">
        <f>MAX(0,ED110-TOTAL_MAX)</f>
        <v/>
      </c>
      <c r="EG110" s="3">
        <f>EF110/100*PEN_100</f>
        <v/>
      </c>
      <c r="EH110" s="3">
        <f>IF(R110="particular",ED110+IF(AND(DA110&lt;&gt;"cadena",X110&lt;&gt;"sí"),RES_CORREA,0)+IF(AND(BJ110&lt;&gt;"sí",BW110&gt;=RES_NEUM_EDAD),RES_NEUM,0),"")</f>
        <v/>
      </c>
      <c r="EI110" s="3">
        <f>IF(ED110&lt;=TOTAL_MAX,"sí",IF(ED110&lt;=TECHO,"negociar","no"))</f>
        <v/>
      </c>
      <c r="EJ110" s="4">
        <f>ROUND(DX110,9)</f>
        <v/>
      </c>
      <c r="EK110" s="4">
        <f>IF(EI110&lt;&gt;"no",SUMPRODUCT(($EI$2:$EI$209&lt;&gt;"no")*($EJ$2:$EJ$209&gt;EJ110))+SUMPRODUCT(($EI$2:EI110&lt;&gt;"no")*($EJ$2:EJ110=EJ110)),"")</f>
        <v/>
      </c>
    </row>
    <row r="111">
      <c r="A111" s="2" t="inlineStr">
        <is>
          <t>cochesnet:70833137</t>
        </is>
      </c>
      <c r="B111" s="2" t="inlineStr">
        <is>
          <t>cochesnet</t>
        </is>
      </c>
      <c r="C111" s="2" t="inlineStr">
        <is>
          <t>https://www.coches.net/fiat-500-09-turbo-twinair-85cv-blackjack-3p-gasolina-2007-en-castellon-70833137-covo.aspx</t>
        </is>
      </c>
      <c r="D111" s="2" t="inlineStr">
        <is>
          <t>FIAT 500 0.9 Turbo TwinAir Blackjack</t>
        </is>
      </c>
      <c r="E111" s="2" t="inlineStr">
        <is>
          <t>Fiat</t>
        </is>
      </c>
      <c r="F111" s="2" t="inlineStr">
        <is>
          <t>Fiat 500</t>
        </is>
      </c>
      <c r="G111" s="2" t="inlineStr">
        <is>
          <t>0.9 Turbo</t>
        </is>
      </c>
      <c r="H111" s="2" t="inlineStr">
        <is>
          <t>0.9 Turbo TwinAir 85cv Blackjack</t>
        </is>
      </c>
      <c r="I111" s="2" t="n"/>
      <c r="J111" s="2" t="n">
        <v>85</v>
      </c>
      <c r="K111" s="2" t="inlineStr">
        <is>
          <t>gasolina</t>
        </is>
      </c>
      <c r="L111" s="2" t="inlineStr">
        <is>
          <t>utilitario</t>
        </is>
      </c>
      <c r="M111" s="2" t="n">
        <v>2011</v>
      </c>
      <c r="N111" s="2" t="n">
        <v>131000</v>
      </c>
      <c r="O111" s="2" t="n">
        <v>5200</v>
      </c>
      <c r="P111" s="2" t="inlineStr">
        <is>
          <t>manual</t>
        </is>
      </c>
      <c r="Q111" s="2" t="inlineStr">
        <is>
          <t>no</t>
        </is>
      </c>
      <c r="R111" s="2" t="inlineStr">
        <is>
          <t>profesional</t>
        </is>
      </c>
      <c r="S111" s="2" t="inlineStr">
        <is>
          <t>Automoviles Llorens  Almazora</t>
        </is>
      </c>
      <c r="T111" s="2" t="inlineStr">
        <is>
          <t>2026-09-07T18:31:01Z</t>
        </is>
      </c>
      <c r="U111" s="2" t="n">
        <v>17</v>
      </c>
      <c r="V111" s="2" t="inlineStr">
        <is>
          <t>sí</t>
        </is>
      </c>
      <c r="W111" s="2" t="inlineStr">
        <is>
          <t>sí</t>
        </is>
      </c>
      <c r="X111" s="2" t="n"/>
      <c r="Y111" s="2" t="n"/>
      <c r="Z111" s="2" t="inlineStr">
        <is>
          <t>sí</t>
        </is>
      </c>
      <c r="AA111" s="2" t="n"/>
      <c r="AB111" s="2" t="n">
        <v>12</v>
      </c>
      <c r="AC111" s="2" t="n"/>
      <c r="AD111" s="2" t="n"/>
      <c r="AE111" s="2" t="n"/>
      <c r="AF111" s="2" t="n"/>
      <c r="AG111" s="2" t="n"/>
      <c r="AH111" s="2" t="n">
        <v>5200</v>
      </c>
      <c r="AI111" s="2" t="n"/>
      <c r="AJ111" s="2" t="n"/>
      <c r="AK111" s="2" t="n"/>
      <c r="AL111" s="2" t="n"/>
      <c r="AM111" s="2" t="n"/>
      <c r="AN111" s="2" t="n"/>
      <c r="AO111" s="2" t="inlineStr">
        <is>
          <t>2011</t>
        </is>
      </c>
      <c r="AP111" s="2" t="n">
        <v>2011</v>
      </c>
      <c r="AQ111" s="2" t="n"/>
      <c r="AR111" s="2" t="inlineStr">
        <is>
          <t>C</t>
        </is>
      </c>
      <c r="AS111" s="2" t="inlineStr">
        <is>
          <t>anuncio</t>
        </is>
      </c>
      <c r="AT111" s="2" t="n">
        <v>2007</v>
      </c>
      <c r="AU111" s="2" t="inlineStr">
        <is>
          <t>no</t>
        </is>
      </c>
      <c r="AV111" s="2" t="inlineStr">
        <is>
          <t>C</t>
        </is>
      </c>
      <c r="AW111" s="2" t="n"/>
      <c r="AX111" s="2" t="inlineStr">
        <is>
          <t>no</t>
        </is>
      </c>
      <c r="AY111" s="2" t="inlineStr">
        <is>
          <t>no</t>
        </is>
      </c>
      <c r="AZ111" s="2" t="inlineStr">
        <is>
          <t>COMMON.COLOR_BLUE</t>
        </is>
      </c>
      <c r="BA111" s="2" t="inlineStr">
        <is>
          <t>azul</t>
        </is>
      </c>
      <c r="BB111" s="3" t="n">
        <v>2</v>
      </c>
      <c r="BC111" s="3" t="inlineStr">
        <is>
          <t>(por segmento)</t>
        </is>
      </c>
      <c r="BD111" s="2" t="n"/>
      <c r="BE111" s="2" t="inlineStr">
        <is>
          <t>sí</t>
        </is>
      </c>
      <c r="BF111" s="2" t="n"/>
      <c r="BG111" s="2" t="n"/>
      <c r="BH111" s="2" t="n"/>
      <c r="BI111" s="2" t="n"/>
      <c r="BJ111" s="2" t="n"/>
      <c r="BK111" s="2" t="n"/>
      <c r="BL111" s="2" t="n"/>
      <c r="BM111" s="2" t="n">
        <v>232</v>
      </c>
      <c r="BN111" s="2" t="n">
        <v>0.05126157402992249</v>
      </c>
      <c r="BO111" s="2" t="n">
        <v>3</v>
      </c>
      <c r="BP111" s="2" t="n">
        <v>5500</v>
      </c>
      <c r="BQ111" s="2" t="n">
        <v>7</v>
      </c>
      <c r="BR111" s="2" t="inlineStr">
        <is>
          <t>modelo+año+km</t>
        </is>
      </c>
      <c r="BS111" s="2" t="n"/>
      <c r="BT111" s="2" t="inlineStr">
        <is>
          <t>año a confirmar: la URL/título dice 2007; por encima del presupuesto: negociar 264 € (coste 5264 €; -5.3 puntos); vendedor profesional: sin ITP (operación con IVA/REBU, confirmar en factura); gastos de gestión del vendedor no indicados: se suma la tasa DGT; preguntar el precio final; Euro NCAP de la generación PENDIENTE (seguridad neutra); distancia no verificable (el anuncio solo indica la provincia): confirmar que está a &lt;= 70 km</t>
        </is>
      </c>
      <c r="BU111" s="2" t="inlineStr">
        <is>
          <t>FIAT 500 .AÑO 2011.
SUPER PRECIO.
Llantas de aluminio.2 juegos de llaves.cierre.elevalunas.A/A.itv en vigor.
Impecable estado.mantenimiento al dia.
Garantia un año.contacte con nosotros para confirmar disponibilidad.
Transferencia/gestoria/no incluido en el precio.
Aceptamos tu vehiculo como parte del pago.
QUIERES VENDER TU COCHE.PONTE EN CONTACTO CON NOSOTROS Y TE LO TASAREMOS SIN COMPROMISO.</t>
        </is>
      </c>
      <c r="BV111" s="2" t="inlineStr">
        <is>
          <t>https://www.coches.net/fiat-500-09-turbo-twinair-85cv-blackjack-3p-gasolina-2007-en-castellon-70833137-covo.aspx (window.__INITIAL_PROPS__.ad) /home/user/Alopecia/buscador-coches/raw/cochesnet/2b91e3171b4f1026.json</t>
        </is>
      </c>
      <c r="BW111" s="3">
        <f>MAX(ANIO_ACTUAL-M111,0)</f>
        <v/>
      </c>
      <c r="BX111" s="4">
        <f>N111/MAX(BW111,0.5)</f>
        <v/>
      </c>
      <c r="BY111" s="4">
        <f>F111</f>
        <v/>
      </c>
      <c r="BZ111" s="3">
        <f>BY111&amp;"|"&amp;INT(M111/SEG_ANIO)*SEG_ANIO</f>
        <v/>
      </c>
      <c r="CA111" s="3">
        <f>BZ111&amp;"|"&amp;INT(N111/SEG_KM)*SEG_KM</f>
        <v/>
      </c>
      <c r="CB111" s="4">
        <f>COUNTIF($BY$2:$BY$209,BY111)</f>
        <v/>
      </c>
      <c r="CC111" s="4">
        <f>COUNTIF($BZ$2:$BZ$209,BZ111)</f>
        <v/>
      </c>
      <c r="CD111" s="4">
        <f>COUNTIF($CA$2:$CA$209,CA111)</f>
        <v/>
      </c>
      <c r="CE111" s="3">
        <f t="array" ref="CE111">IF(N(BQ111)&gt;=MIN_N,BP111,IF(CD111&gt;=MIN_N,MEDIAN(IF($CA$2:$CA$209=CA111,$O$2:$O$209)),IF(CC111&gt;=MIN_N,MEDIAN(IF($BZ$2:$BZ$209=BZ111,$O$2:$O$209)),MEDIAN(IF($BY$2:$BY$209=BY111,$O$2:$O$209)))))</f>
        <v/>
      </c>
      <c r="CF111" s="3">
        <f>IF(N(BQ111)&gt;=MIN_N,"mercado "&amp;BR111,IF(CD111&gt;=MIN_N,"modelo+año+km",IF(CC111&gt;=MIN_N,"modelo+año","modelo")))</f>
        <v/>
      </c>
      <c r="CG111" s="4">
        <f>(CE111-O111)/CE111</f>
        <v/>
      </c>
      <c r="CH111" s="3">
        <f>IF(COUNTIFS(FR_FUEL,K111,FR_YEAR,AP111)&gt;0,1,0)</f>
        <v/>
      </c>
      <c r="CI111" s="3">
        <f>IF(COUNTIFS(FR_FUEL,K111,FR_YEAR,AP111-1)&gt;0,1,0)</f>
        <v/>
      </c>
      <c r="CJ111" s="4">
        <f>IF(N(AQ111)&gt;0,AP111*100+AQ111,IF(AND(CH111=1,CI111=1),(AP111-1)*100+1,AP111*100+1))</f>
        <v/>
      </c>
      <c r="CK111" s="3">
        <f>IF(OR(K111="hibrido",K111="glp",K111="gnc",K111="phev"),"ECO",IF(K111="electrico","CERO",IF(K111="gasolina",IF(CJ111&gt;=GAS_C_YM,"C",IF(CJ111&gt;=GAS_B_YM,"B","A")),IF(K111="diesel",IF(CJ111&gt;=DIE_C_YM,"C",IF(CJ111&gt;=DIE_B_YM,"B","A")),""))))</f>
        <v/>
      </c>
      <c r="CL111" s="2" t="inlineStr">
        <is>
          <t>C</t>
        </is>
      </c>
      <c r="CM111" s="4">
        <f>IF(AU111="sí","sí",IF(AS111="regla",IF(AND(N(AQ111)=0,CH111=1),"sí","no"),"no"))</f>
        <v/>
      </c>
      <c r="CN111" s="3">
        <f>IFERROR(VLOOKUP(F111,MOD_TBL,16,0),IFERROR(VLOOKUP(E111,OCU_TBL,2,0),NEUTRO))</f>
        <v/>
      </c>
      <c r="CO111" s="3">
        <f>SUMIFS(MOT_AJUSTE,MOT_MOTOR,G111,MOT_MARCA,E111,MOT_DESDE,"&lt;="&amp;M111,MOT_HASTA,"&gt;="&amp;M111)+SUMIFS(MOT_AJUSTE,MOT_MOTOR,G111,MOT_MARCA,"(todas)",MOT_DESDE,"&lt;="&amp;M111,MOT_HASTA,"&gt;="&amp;M111)+SUMIFS(MOT_AJUSTE,MOT_MOTOR,"(cualquiera)",MOT_MARCA,E111,MOT_DESDE,"&lt;="&amp;M111,MOT_HASTA,"&gt;="&amp;M111)</f>
        <v/>
      </c>
      <c r="CP111" s="3">
        <f>SUMIFS(COMB_AJUSTE,COMB_COMB,K111)</f>
        <v/>
      </c>
      <c r="CQ111" s="3">
        <f>COUNTIFS(MOT_MOTOR,G111,MOT_MARCA,E111,MOT_DESDE,"&lt;="&amp;M111,MOT_HASTA,"&gt;="&amp;M111)+COUNTIFS(MOT_MOTOR,G111,MOT_MARCA,"(todas)",MOT_DESDE,"&lt;="&amp;M111,MOT_HASTA,"&gt;="&amp;M111)+COUNTIFS(MOT_MOTOR,"(cualquiera)",MOT_MARCA,E111,MOT_DESDE,"&lt;="&amp;M111,MOT_HASTA,"&gt;="&amp;M111)</f>
        <v/>
      </c>
      <c r="CR111" s="3">
        <f>IF(AND(K111="diesel",CQ111=0),MIN(CN111,NEUTRO),CN111)</f>
        <v/>
      </c>
      <c r="CS111" s="3">
        <f>MAX(0,MIN(100,CR111+CO111+CP111-IF(AX111="sí",ROB_PEN,0)))</f>
        <v/>
      </c>
      <c r="CT111" s="3">
        <f>100-MAX(0,N111-KM_TOPE_DESDE)/1000*KM_TOPE_PTS</f>
        <v/>
      </c>
      <c r="CU111" s="3">
        <f>MAX(0,MIN(100,50+CG111*PRECIO_PEND,CT111))</f>
        <v/>
      </c>
      <c r="CV111" s="3">
        <f>MAX(0,100*(1-N111/KM_MAX))</f>
        <v/>
      </c>
      <c r="CW111" s="3">
        <f>IF(BX111&lt;KMA_SOSP,IF(AA111="sí",100,KMA_PEN),IF(BX111&lt;=KMA_IDEAL_MAX,100,MAX(0,100*(KMA_CERO-BX111)/(KMA_CERO-KMA_IDEAL_MAX))))</f>
        <v/>
      </c>
      <c r="CX111" s="3">
        <f>MAX(0,MIN(100,100*(M111-ANIO_MIN)/(ANIO_ACTUAL-ANIO_MIN)))</f>
        <v/>
      </c>
      <c r="CY111" s="3">
        <f>W_KMT*CV111+W_KMA*CW111+W_EDAD*CX111</f>
        <v/>
      </c>
      <c r="CZ111" s="4">
        <f>E111&amp;"|"&amp;G111</f>
        <v/>
      </c>
      <c r="DA111" s="3">
        <f>IFERROR(VLOOKUP(CZ111,DIST_TBL,2,0),"")</f>
        <v/>
      </c>
      <c r="DB111" s="3">
        <f>E_ITV*(V111="sí")+E_LIBRO*(W111="sí")+E_PROP*IF(Y111=1,1,IF(Y111=2,0.5,0))+E_CORREA*IF(OR(DA111="cadena",AND(X111="sí",BH111="sí")),1,IF(X111="sí",0.5,0))+E_FACT*(BI111="sí")</f>
        <v/>
      </c>
      <c r="DC111" s="3">
        <f>MAX(0,MIN(100,IFERROR(VLOOKUP(CL111,ETQ_TBL,2,0),0)-IF(CM111="sí",ETQ_PEN_DUD,IF(AS111="regla",ETQ_PEN_REGLA,0))))</f>
        <v/>
      </c>
      <c r="DD111" s="3">
        <f>IF(K111&lt;&gt;"gasolina","",IFERROR(VLOOKUP(F111,CONS_MOD_TBL,2,0),IFERROR(VLOOKUP(L111,CONS_SEG_TBL,2,0),"")))</f>
        <v/>
      </c>
      <c r="DE111" s="3">
        <f>IF(DD111="",NEUTRO,MAX(0,MIN(100,100*(CONS_REF_MAX-DD111)/(CONS_REF_MAX-CONS_REF_MIN))))</f>
        <v/>
      </c>
      <c r="DF111" s="3">
        <f>IFERROR(VLOOKUP(L111,SEGURO_TBL,3,0),"")</f>
        <v/>
      </c>
      <c r="DG111" s="3">
        <f>IF(DF111="",NEUTRO,MAX(0,MIN(100,100*(SEG_REF_MAX-DF111)/(SEG_REF_MAX-SEG_REF_MIN))))</f>
        <v/>
      </c>
      <c r="DH111" s="3">
        <f>IFERROR(VLOOKUP(E111,MANT_MARCA_TBL,2,0)+0,NEUTRO)</f>
        <v/>
      </c>
      <c r="DI111" s="3">
        <f>IF(DA111="",NEUTRO,IFERROR(VLOOKUP(DA111,DIST_PTS_TBL,2,0)+0,NEUTRO))</f>
        <v/>
      </c>
      <c r="DJ111" s="4">
        <f>(DH111+DI111)/2</f>
        <v/>
      </c>
      <c r="DK111" s="3">
        <f>W_CONS*DE111+W_SEG*DG111+W_MANT*DJ111</f>
        <v/>
      </c>
      <c r="DL111" s="3">
        <f>IF(N(AB111)&gt;0,AB111,IF(AND(R111="profesional",SG_LEGAL_ON=1),GAR_LEGAL,0))</f>
        <v/>
      </c>
      <c r="DM111" s="3">
        <f>MAX(0,MIN(100,SG_GAR*MIN(1,DL111/SG_GAR_FULL)+SG_AMPL*(AC111="sí")+SG_KMC*(AF111="sí")+SG_REV*(N(AE111)&gt;0)+SG_DEV*MIN(1,N(AG111)/SG_DEV_FULL)+SG_HIST*(W111="sí")-IF(AND(R111="particular",DL111=0),SG_PART_PEN,0)))</f>
        <v/>
      </c>
      <c r="DN111" s="3">
        <f>IF(BK111="",NEUTRO,MAX(0,MIN(100,BK111/5*100)))</f>
        <v/>
      </c>
      <c r="DO111" s="3">
        <f>IF(BL111="sí",100,IF(BL111="no",0,NEUTRO))</f>
        <v/>
      </c>
      <c r="DP111" s="3">
        <f>SV_W_NCAP*DN111+SV_W_ESP*DO111</f>
        <v/>
      </c>
      <c r="DQ111" s="3">
        <f>MAX(0,MIN(100,ATR_BASE+ATR_ACAB*(BD111&lt;&gt;"")+IF(BE111="16+",ATR_LL16,IF(BE111="sí",ATR_LL,0))+ATR_FAROS*(BF111="sí")+ATR_TINT*(BG111="sí")-ATR_CHAPA*(BE111="chapa")))</f>
        <v/>
      </c>
      <c r="DR111" s="3">
        <f>EST_W_MOD*(BB111-1)/4*100+EST_W_ATR*DQ111</f>
        <v/>
      </c>
      <c r="DS111" s="3">
        <f>IF(BA111="",NEUTRO,IFERROR(VLOOKUP(BA111,COLOR_TBL,2,0)+0,NEUTRO))</f>
        <v/>
      </c>
      <c r="DT111" s="3">
        <f>MAX(0,MIN(100,100*N(BM111)/RV_N_FULL))</f>
        <v/>
      </c>
      <c r="DU111" s="3">
        <f>IF(OR(BN111="",N(BO111)&lt;RV_DIAS_MIN),NEUTRO,MAX(0,MIN(100,100*(RV_DIAS_CERO-BN111)/(RV_DIAS_CERO-RV_DIAS_FULL))))</f>
        <v/>
      </c>
      <c r="DV111" s="3">
        <f>RV_W_LIQ*DT111+RV_W_DIAS*DU111+RV_W_ETQ*DC111</f>
        <v/>
      </c>
      <c r="DW111" s="3">
        <f>IFERROR(VLOOKUP(L111,CARR_PEN_TBL,2,0),0)</f>
        <v/>
      </c>
      <c r="DX111" s="3">
        <f>W_FIAB*CS111+W_PRECIO*CU111+W_KMEDAD*CY111+W_ESTADO*DB111+W_USO*DK111+W_SEGURIDAD*DM111+W_SEGVIAL*DP111+W_ESTETICA*DR111+W_COLOR*DS111+W_REVENTA*DV111-DW111-EG111</f>
        <v/>
      </c>
      <c r="DY111" s="4">
        <f>IF(N(I111)&gt;0,I111,IFERROR(ROUND(_xlfn.NUMBERVALUE(LEFT(G111,FIND(" ",G111&amp;" ")-1),".")*1000,0),99999))</f>
        <v/>
      </c>
      <c r="DZ111" s="3">
        <f>IF(R111="profesional",0,IF(O111&lt;CUOTA_VALOR_MAX,IF(BW111&gt;ITP_TRAMO_ALTO,SUMIFS(CF_CUOTA,CF_MAS,ITP_TRAMO_ALTO,CF_CCMIN,"&lt;="&amp;DY111,CF_CCMAX,"&gt;="&amp;DY111),IF(BW111&gt;ITP_TRAMO_BAJO,SUMIFS(CF_CUOTA,CF_MAS,ITP_TRAMO_BAJO,CF_CCMIN,"&lt;="&amp;DY111,CF_CCMAX,"&gt;="&amp;DY111),O111*ITP_TIPO)),O111*ITP_TIPO))</f>
        <v/>
      </c>
      <c r="EA111" s="4">
        <f>IF(R111="profesional",N(AK111),0)</f>
        <v/>
      </c>
      <c r="EB111" s="3">
        <f>IF(AND(R111="profesional",ISNUMBER(AK111),AL111="sí"),0,TASA_DGT)</f>
        <v/>
      </c>
      <c r="EC111" s="3">
        <f>INFORME_DGT</f>
        <v/>
      </c>
      <c r="ED111" s="4">
        <f>O111+EA111+DZ111+EB111+EC111</f>
        <v/>
      </c>
      <c r="EE111" s="4">
        <f>ED111+N(DF111)</f>
        <v/>
      </c>
      <c r="EF111" s="3">
        <f>MAX(0,ED111-TOTAL_MAX)</f>
        <v/>
      </c>
      <c r="EG111" s="3">
        <f>EF111/100*PEN_100</f>
        <v/>
      </c>
      <c r="EH111" s="3">
        <f>IF(R111="particular",ED111+IF(AND(DA111&lt;&gt;"cadena",X111&lt;&gt;"sí"),RES_CORREA,0)+IF(AND(BJ111&lt;&gt;"sí",BW111&gt;=RES_NEUM_EDAD),RES_NEUM,0),"")</f>
        <v/>
      </c>
      <c r="EI111" s="3">
        <f>IF(ED111&lt;=TOTAL_MAX,"sí",IF(ED111&lt;=TECHO,"negociar","no"))</f>
        <v/>
      </c>
      <c r="EJ111" s="4">
        <f>ROUND(DX111,9)</f>
        <v/>
      </c>
      <c r="EK111" s="4">
        <f>IF(EI111&lt;&gt;"no",SUMPRODUCT(($EI$2:$EI$209&lt;&gt;"no")*($EJ$2:$EJ$209&gt;EJ111))+SUMPRODUCT(($EI$2:EI111&lt;&gt;"no")*($EJ$2:EJ111=EJ111)),"")</f>
        <v/>
      </c>
    </row>
    <row r="112">
      <c r="A112" s="2" t="inlineStr">
        <is>
          <t>cochesnet:71789822</t>
        </is>
      </c>
      <c r="B112" s="2" t="inlineStr">
        <is>
          <t>cochesnet</t>
        </is>
      </c>
      <c r="C112" s="2" t="inlineStr">
        <is>
          <t>https://www.coches.net/chevrolet-aveo-12-16v-ls-5p-gasolina-2011-en-castellon-71789822-covo.aspx</t>
        </is>
      </c>
      <c r="D112" s="2" t="inlineStr">
        <is>
          <t>CHEVROLET Aveo 1.2 16v LS</t>
        </is>
      </c>
      <c r="E112" s="2" t="inlineStr">
        <is>
          <t>Chevrolet</t>
        </is>
      </c>
      <c r="F112" s="2" t="inlineStr">
        <is>
          <t>Chevrolet Aveo</t>
        </is>
      </c>
      <c r="G112" s="2" t="inlineStr">
        <is>
          <t>1.2</t>
        </is>
      </c>
      <c r="H112" s="2" t="inlineStr">
        <is>
          <t>1.2 16v LS</t>
        </is>
      </c>
      <c r="I112" s="2" t="n"/>
      <c r="J112" s="2" t="n"/>
      <c r="K112" s="2" t="inlineStr">
        <is>
          <t>gasolina</t>
        </is>
      </c>
      <c r="L112" s="2" t="inlineStr">
        <is>
          <t>utilitario</t>
        </is>
      </c>
      <c r="M112" s="2" t="n">
        <v>2011</v>
      </c>
      <c r="N112" s="2" t="n">
        <v>80000</v>
      </c>
      <c r="O112" s="2" t="n">
        <v>5100</v>
      </c>
      <c r="P112" s="2" t="inlineStr">
        <is>
          <t>manual</t>
        </is>
      </c>
      <c r="Q112" s="2" t="inlineStr">
        <is>
          <t>no</t>
        </is>
      </c>
      <c r="R112" s="2" t="inlineStr">
        <is>
          <t>profesional</t>
        </is>
      </c>
      <c r="S112" s="2" t="inlineStr">
        <is>
          <t>Zapra Motor Almazora / Almassora</t>
        </is>
      </c>
      <c r="T112" s="2" t="inlineStr">
        <is>
          <t>2026-10-20T12:46:17Z</t>
        </is>
      </c>
      <c r="U112" s="2" t="n">
        <v>17</v>
      </c>
      <c r="V112" s="2" t="n"/>
      <c r="W112" s="2" t="n"/>
      <c r="X112" s="2" t="n"/>
      <c r="Y112" s="2" t="n"/>
      <c r="Z112" s="2" t="inlineStr">
        <is>
          <t>sí</t>
        </is>
      </c>
      <c r="AA112" s="2" t="n"/>
      <c r="AB112" s="2" t="n">
        <v>12</v>
      </c>
      <c r="AC112" s="2" t="n"/>
      <c r="AD112" s="2" t="n"/>
      <c r="AE112" s="2" t="n"/>
      <c r="AF112" s="2" t="n"/>
      <c r="AG112" s="2" t="n"/>
      <c r="AH112" s="2" t="n">
        <v>5100</v>
      </c>
      <c r="AI112" s="2" t="n">
        <v>5100</v>
      </c>
      <c r="AJ112" s="2" t="n"/>
      <c r="AK112" s="2" t="n"/>
      <c r="AL112" s="2" t="n"/>
      <c r="AM112" s="2" t="n"/>
      <c r="AN112" s="2" t="n"/>
      <c r="AO112" s="2" t="inlineStr">
        <is>
          <t>2011</t>
        </is>
      </c>
      <c r="AP112" s="2" t="n">
        <v>2011</v>
      </c>
      <c r="AQ112" s="2" t="n"/>
      <c r="AR112" s="2" t="inlineStr">
        <is>
          <t>C</t>
        </is>
      </c>
      <c r="AS112" s="2" t="inlineStr">
        <is>
          <t>anuncio</t>
        </is>
      </c>
      <c r="AT112" s="2" t="n"/>
      <c r="AU112" s="2" t="inlineStr">
        <is>
          <t>no</t>
        </is>
      </c>
      <c r="AV112" s="2" t="inlineStr">
        <is>
          <t>C</t>
        </is>
      </c>
      <c r="AW112" s="2" t="n"/>
      <c r="AX112" s="2" t="inlineStr">
        <is>
          <t>no</t>
        </is>
      </c>
      <c r="AY112" s="2" t="inlineStr">
        <is>
          <t>no</t>
        </is>
      </c>
      <c r="AZ112" s="2" t="inlineStr">
        <is>
          <t>COMMON.COLOR_GRAY</t>
        </is>
      </c>
      <c r="BA112" s="2" t="inlineStr">
        <is>
          <t>gris_medio</t>
        </is>
      </c>
      <c r="BB112" s="3" t="n">
        <v>2</v>
      </c>
      <c r="BC112" s="3" t="inlineStr">
        <is>
          <t>(por segmento)</t>
        </is>
      </c>
      <c r="BD112" s="2" t="n"/>
      <c r="BE112" s="2" t="n"/>
      <c r="BF112" s="2" t="n"/>
      <c r="BG112" s="2" t="n"/>
      <c r="BH112" s="2" t="n"/>
      <c r="BI112" s="2" t="n"/>
      <c r="BJ112" s="2" t="n"/>
      <c r="BK112" s="2" t="n">
        <v>2</v>
      </c>
      <c r="BL112" s="2" t="inlineStr">
        <is>
          <t>no</t>
        </is>
      </c>
      <c r="BM112" s="2" t="n">
        <v>27</v>
      </c>
      <c r="BN112" s="2" t="n"/>
      <c r="BO112" s="2" t="n">
        <v>0</v>
      </c>
      <c r="BP112" s="2" t="n">
        <v>4990</v>
      </c>
      <c r="BQ112" s="2" t="n">
        <v>5</v>
      </c>
      <c r="BR112" s="2" t="inlineStr">
        <is>
          <t>modelo+año+km</t>
        </is>
      </c>
      <c r="BS112" s="2" t="n"/>
      <c r="BT112" s="2" t="inlineStr">
        <is>
          <t>por encima del presupuesto: negociar 164 € (coste 5164 €; -3.3 puntos); vendedor profesional: sin ITP (operación con IVA/REBU, confirmar en factura); gastos de gestión del vendedor no indicados: se suma la tasa DGT; preguntar el precio final; revisar: no menciona la ITV; distancia no verificable (el anuncio solo indica la provincia): confirmar que está a &lt;= 70 km; fiabilidad del modelo PENDIENTE de fuente (puntuación neutra)</t>
        </is>
      </c>
      <c r="BU112" s="2" t="inlineStr">
        <is>
          <t xml:space="preserve">CAMBIO DE NOMBRE 200€
CAMARA DE VISION TRASERA
AIRE ACONDICIONADO
DIRECCION ASISTIDA
CIERRE CENTRALIZADO
Este Chevrolet Aveo se presenta como un berlina compacta de cinco puertas con tracción delantera, equipado con un motor de 1.2 litros de gasolina que ofrece un comportamiento ágil en ciudad gracias a su tamaño contenido y su dirección asistida. Con 84 CV de potencia y cambio manual de cinco marchas, proporciona una conducción directa y controlable, especialmente apropiada para quienes valoran la simplicidad mecánica y el manejo intuitivo.
El espacio interior resulta funcional para el uso diario, con capacidad para cinco ocupantes y un maletero de 220 litros que se amplía a 980 litros con los asientos traseros plegados, permitiendo una versatilidad razonable en desplazamientos cotidianos y viajes ocasionales. Los asientos traseros disponen de respaldo abatible asimétrico, facilitando la combinación entre pasajeros y carga.
En materia de seguridad, este vehículo incorpora airbags frontales y laterales delanteros, cinturones de seguridad con pretensores en los asientos delanteros y preparación Isofix para sistemas de retención infantil. El sistema de frenado combina discos ventilados delanteros con ABS, proporcionando una buena capacidad de detención.
El equipamiento de confort incluye cierre centralizado con mando a distancia, elevalunas eléctricos delanteros, retrovisores exteriores eléctricos y desempañables, dirección asistida y volante regulable en altura. El sistema </t>
        </is>
      </c>
      <c r="BV112" s="2" t="inlineStr">
        <is>
          <t>https://www.coches.net/chevrolet-aveo-12-16v-ls-5p-gasolina-2011-en-castellon-71789822-covo.aspx (window.__INITIAL_PROPS__.ad) /home/user/Alopecia/buscador-coches/raw/cochesnet/2ae76fad9ca2d05b.json</t>
        </is>
      </c>
      <c r="BW112" s="3">
        <f>MAX(ANIO_ACTUAL-M112,0)</f>
        <v/>
      </c>
      <c r="BX112" s="4">
        <f>N112/MAX(BW112,0.5)</f>
        <v/>
      </c>
      <c r="BY112" s="4">
        <f>F112</f>
        <v/>
      </c>
      <c r="BZ112" s="3">
        <f>BY112&amp;"|"&amp;INT(M112/SEG_ANIO)*SEG_ANIO</f>
        <v/>
      </c>
      <c r="CA112" s="3">
        <f>BZ112&amp;"|"&amp;INT(N112/SEG_KM)*SEG_KM</f>
        <v/>
      </c>
      <c r="CB112" s="4">
        <f>COUNTIF($BY$2:$BY$209,BY112)</f>
        <v/>
      </c>
      <c r="CC112" s="4">
        <f>COUNTIF($BZ$2:$BZ$209,BZ112)</f>
        <v/>
      </c>
      <c r="CD112" s="4">
        <f>COUNTIF($CA$2:$CA$209,CA112)</f>
        <v/>
      </c>
      <c r="CE112" s="3">
        <f t="array" ref="CE112">IF(N(BQ112)&gt;=MIN_N,BP112,IF(CD112&gt;=MIN_N,MEDIAN(IF($CA$2:$CA$209=CA112,$O$2:$O$209)),IF(CC112&gt;=MIN_N,MEDIAN(IF($BZ$2:$BZ$209=BZ112,$O$2:$O$209)),MEDIAN(IF($BY$2:$BY$209=BY112,$O$2:$O$209)))))</f>
        <v/>
      </c>
      <c r="CF112" s="3">
        <f>IF(N(BQ112)&gt;=MIN_N,"mercado "&amp;BR112,IF(CD112&gt;=MIN_N,"modelo+año+km",IF(CC112&gt;=MIN_N,"modelo+año","modelo")))</f>
        <v/>
      </c>
      <c r="CG112" s="4">
        <f>(CE112-O112)/CE112</f>
        <v/>
      </c>
      <c r="CH112" s="3">
        <f>IF(COUNTIFS(FR_FUEL,K112,FR_YEAR,AP112)&gt;0,1,0)</f>
        <v/>
      </c>
      <c r="CI112" s="3">
        <f>IF(COUNTIFS(FR_FUEL,K112,FR_YEAR,AP112-1)&gt;0,1,0)</f>
        <v/>
      </c>
      <c r="CJ112" s="4">
        <f>IF(N(AQ112)&gt;0,AP112*100+AQ112,IF(AND(CH112=1,CI112=1),(AP112-1)*100+1,AP112*100+1))</f>
        <v/>
      </c>
      <c r="CK112" s="3">
        <f>IF(OR(K112="hibrido",K112="glp",K112="gnc",K112="phev"),"ECO",IF(K112="electrico","CERO",IF(K112="gasolina",IF(CJ112&gt;=GAS_C_YM,"C",IF(CJ112&gt;=GAS_B_YM,"B","A")),IF(K112="diesel",IF(CJ112&gt;=DIE_C_YM,"C",IF(CJ112&gt;=DIE_B_YM,"B","A")),""))))</f>
        <v/>
      </c>
      <c r="CL112" s="2" t="inlineStr">
        <is>
          <t>C</t>
        </is>
      </c>
      <c r="CM112" s="4">
        <f>IF(AU112="sí","sí",IF(AS112="regla",IF(AND(N(AQ112)=0,CH112=1),"sí","no"),"no"))</f>
        <v/>
      </c>
      <c r="CN112" s="3">
        <f>IFERROR(VLOOKUP(F112,MOD_TBL,16,0),IFERROR(VLOOKUP(E112,OCU_TBL,2,0),NEUTRO))</f>
        <v/>
      </c>
      <c r="CO112" s="3">
        <f>SUMIFS(MOT_AJUSTE,MOT_MOTOR,G112,MOT_MARCA,E112,MOT_DESDE,"&lt;="&amp;M112,MOT_HASTA,"&gt;="&amp;M112)+SUMIFS(MOT_AJUSTE,MOT_MOTOR,G112,MOT_MARCA,"(todas)",MOT_DESDE,"&lt;="&amp;M112,MOT_HASTA,"&gt;="&amp;M112)+SUMIFS(MOT_AJUSTE,MOT_MOTOR,"(cualquiera)",MOT_MARCA,E112,MOT_DESDE,"&lt;="&amp;M112,MOT_HASTA,"&gt;="&amp;M112)</f>
        <v/>
      </c>
      <c r="CP112" s="3">
        <f>SUMIFS(COMB_AJUSTE,COMB_COMB,K112)</f>
        <v/>
      </c>
      <c r="CQ112" s="3">
        <f>COUNTIFS(MOT_MOTOR,G112,MOT_MARCA,E112,MOT_DESDE,"&lt;="&amp;M112,MOT_HASTA,"&gt;="&amp;M112)+COUNTIFS(MOT_MOTOR,G112,MOT_MARCA,"(todas)",MOT_DESDE,"&lt;="&amp;M112,MOT_HASTA,"&gt;="&amp;M112)+COUNTIFS(MOT_MOTOR,"(cualquiera)",MOT_MARCA,E112,MOT_DESDE,"&lt;="&amp;M112,MOT_HASTA,"&gt;="&amp;M112)</f>
        <v/>
      </c>
      <c r="CR112" s="3">
        <f>IF(AND(K112="diesel",CQ112=0),MIN(CN112,NEUTRO),CN112)</f>
        <v/>
      </c>
      <c r="CS112" s="3">
        <f>MAX(0,MIN(100,CR112+CO112+CP112-IF(AX112="sí",ROB_PEN,0)))</f>
        <v/>
      </c>
      <c r="CT112" s="3">
        <f>100-MAX(0,N112-KM_TOPE_DESDE)/1000*KM_TOPE_PTS</f>
        <v/>
      </c>
      <c r="CU112" s="3">
        <f>MAX(0,MIN(100,50+CG112*PRECIO_PEND,CT112))</f>
        <v/>
      </c>
      <c r="CV112" s="3">
        <f>MAX(0,100*(1-N112/KM_MAX))</f>
        <v/>
      </c>
      <c r="CW112" s="3">
        <f>IF(BX112&lt;KMA_SOSP,IF(AA112="sí",100,KMA_PEN),IF(BX112&lt;=KMA_IDEAL_MAX,100,MAX(0,100*(KMA_CERO-BX112)/(KMA_CERO-KMA_IDEAL_MAX))))</f>
        <v/>
      </c>
      <c r="CX112" s="3">
        <f>MAX(0,MIN(100,100*(M112-ANIO_MIN)/(ANIO_ACTUAL-ANIO_MIN)))</f>
        <v/>
      </c>
      <c r="CY112" s="3">
        <f>W_KMT*CV112+W_KMA*CW112+W_EDAD*CX112</f>
        <v/>
      </c>
      <c r="CZ112" s="4">
        <f>E112&amp;"|"&amp;G112</f>
        <v/>
      </c>
      <c r="DA112" s="3">
        <f>IFERROR(VLOOKUP(CZ112,DIST_TBL,2,0),"")</f>
        <v/>
      </c>
      <c r="DB112" s="3">
        <f>E_ITV*(V112="sí")+E_LIBRO*(W112="sí")+E_PROP*IF(Y112=1,1,IF(Y112=2,0.5,0))+E_CORREA*IF(OR(DA112="cadena",AND(X112="sí",BH112="sí")),1,IF(X112="sí",0.5,0))+E_FACT*(BI112="sí")</f>
        <v/>
      </c>
      <c r="DC112" s="3">
        <f>MAX(0,MIN(100,IFERROR(VLOOKUP(CL112,ETQ_TBL,2,0),0)-IF(CM112="sí",ETQ_PEN_DUD,IF(AS112="regla",ETQ_PEN_REGLA,0))))</f>
        <v/>
      </c>
      <c r="DD112" s="3">
        <f>IF(K112&lt;&gt;"gasolina","",IFERROR(VLOOKUP(F112,CONS_MOD_TBL,2,0),IFERROR(VLOOKUP(L112,CONS_SEG_TBL,2,0),"")))</f>
        <v/>
      </c>
      <c r="DE112" s="3">
        <f>IF(DD112="",NEUTRO,MAX(0,MIN(100,100*(CONS_REF_MAX-DD112)/(CONS_REF_MAX-CONS_REF_MIN))))</f>
        <v/>
      </c>
      <c r="DF112" s="3">
        <f>IFERROR(VLOOKUP(L112,SEGURO_TBL,3,0),"")</f>
        <v/>
      </c>
      <c r="DG112" s="3">
        <f>IF(DF112="",NEUTRO,MAX(0,MIN(100,100*(SEG_REF_MAX-DF112)/(SEG_REF_MAX-SEG_REF_MIN))))</f>
        <v/>
      </c>
      <c r="DH112" s="3">
        <f>IFERROR(VLOOKUP(E112,MANT_MARCA_TBL,2,0)+0,NEUTRO)</f>
        <v/>
      </c>
      <c r="DI112" s="3">
        <f>IF(DA112="",NEUTRO,IFERROR(VLOOKUP(DA112,DIST_PTS_TBL,2,0)+0,NEUTRO))</f>
        <v/>
      </c>
      <c r="DJ112" s="4">
        <f>(DH112+DI112)/2</f>
        <v/>
      </c>
      <c r="DK112" s="3">
        <f>W_CONS*DE112+W_SEG*DG112+W_MANT*DJ112</f>
        <v/>
      </c>
      <c r="DL112" s="3">
        <f>IF(N(AB112)&gt;0,AB112,IF(AND(R112="profesional",SG_LEGAL_ON=1),GAR_LEGAL,0))</f>
        <v/>
      </c>
      <c r="DM112" s="3">
        <f>MAX(0,MIN(100,SG_GAR*MIN(1,DL112/SG_GAR_FULL)+SG_AMPL*(AC112="sí")+SG_KMC*(AF112="sí")+SG_REV*(N(AE112)&gt;0)+SG_DEV*MIN(1,N(AG112)/SG_DEV_FULL)+SG_HIST*(W112="sí")-IF(AND(R112="particular",DL112=0),SG_PART_PEN,0)))</f>
        <v/>
      </c>
      <c r="DN112" s="3">
        <f>IF(BK112="",NEUTRO,MAX(0,MIN(100,BK112/5*100)))</f>
        <v/>
      </c>
      <c r="DO112" s="3">
        <f>IF(BL112="sí",100,IF(BL112="no",0,NEUTRO))</f>
        <v/>
      </c>
      <c r="DP112" s="3">
        <f>SV_W_NCAP*DN112+SV_W_ESP*DO112</f>
        <v/>
      </c>
      <c r="DQ112" s="3">
        <f>MAX(0,MIN(100,ATR_BASE+ATR_ACAB*(BD112&lt;&gt;"")+IF(BE112="16+",ATR_LL16,IF(BE112="sí",ATR_LL,0))+ATR_FAROS*(BF112="sí")+ATR_TINT*(BG112="sí")-ATR_CHAPA*(BE112="chapa")))</f>
        <v/>
      </c>
      <c r="DR112" s="3">
        <f>EST_W_MOD*(BB112-1)/4*100+EST_W_ATR*DQ112</f>
        <v/>
      </c>
      <c r="DS112" s="3">
        <f>IF(BA112="",NEUTRO,IFERROR(VLOOKUP(BA112,COLOR_TBL,2,0)+0,NEUTRO))</f>
        <v/>
      </c>
      <c r="DT112" s="3">
        <f>MAX(0,MIN(100,100*N(BM112)/RV_N_FULL))</f>
        <v/>
      </c>
      <c r="DU112" s="3">
        <f>IF(OR(BN112="",N(BO112)&lt;RV_DIAS_MIN),NEUTRO,MAX(0,MIN(100,100*(RV_DIAS_CERO-BN112)/(RV_DIAS_CERO-RV_DIAS_FULL))))</f>
        <v/>
      </c>
      <c r="DV112" s="3">
        <f>RV_W_LIQ*DT112+RV_W_DIAS*DU112+RV_W_ETQ*DC112</f>
        <v/>
      </c>
      <c r="DW112" s="3">
        <f>IFERROR(VLOOKUP(L112,CARR_PEN_TBL,2,0),0)</f>
        <v/>
      </c>
      <c r="DX112" s="3">
        <f>W_FIAB*CS112+W_PRECIO*CU112+W_KMEDAD*CY112+W_ESTADO*DB112+W_USO*DK112+W_SEGURIDAD*DM112+W_SEGVIAL*DP112+W_ESTETICA*DR112+W_COLOR*DS112+W_REVENTA*DV112-DW112-EG112</f>
        <v/>
      </c>
      <c r="DY112" s="4">
        <f>IF(N(I112)&gt;0,I112,IFERROR(ROUND(_xlfn.NUMBERVALUE(LEFT(G112,FIND(" ",G112&amp;" ")-1),".")*1000,0),99999))</f>
        <v/>
      </c>
      <c r="DZ112" s="3">
        <f>IF(R112="profesional",0,IF(O112&lt;CUOTA_VALOR_MAX,IF(BW112&gt;ITP_TRAMO_ALTO,SUMIFS(CF_CUOTA,CF_MAS,ITP_TRAMO_ALTO,CF_CCMIN,"&lt;="&amp;DY112,CF_CCMAX,"&gt;="&amp;DY112),IF(BW112&gt;ITP_TRAMO_BAJO,SUMIFS(CF_CUOTA,CF_MAS,ITP_TRAMO_BAJO,CF_CCMIN,"&lt;="&amp;DY112,CF_CCMAX,"&gt;="&amp;DY112),O112*ITP_TIPO)),O112*ITP_TIPO))</f>
        <v/>
      </c>
      <c r="EA112" s="4">
        <f>IF(R112="profesional",N(AK112),0)</f>
        <v/>
      </c>
      <c r="EB112" s="3">
        <f>IF(AND(R112="profesional",ISNUMBER(AK112),AL112="sí"),0,TASA_DGT)</f>
        <v/>
      </c>
      <c r="EC112" s="3">
        <f>INFORME_DGT</f>
        <v/>
      </c>
      <c r="ED112" s="4">
        <f>O112+EA112+DZ112+EB112+EC112</f>
        <v/>
      </c>
      <c r="EE112" s="4">
        <f>ED112+N(DF112)</f>
        <v/>
      </c>
      <c r="EF112" s="3">
        <f>MAX(0,ED112-TOTAL_MAX)</f>
        <v/>
      </c>
      <c r="EG112" s="3">
        <f>EF112/100*PEN_100</f>
        <v/>
      </c>
      <c r="EH112" s="3">
        <f>IF(R112="particular",ED112+IF(AND(DA112&lt;&gt;"cadena",X112&lt;&gt;"sí"),RES_CORREA,0)+IF(AND(BJ112&lt;&gt;"sí",BW112&gt;=RES_NEUM_EDAD),RES_NEUM,0),"")</f>
        <v/>
      </c>
      <c r="EI112" s="3">
        <f>IF(ED112&lt;=TOTAL_MAX,"sí",IF(ED112&lt;=TECHO,"negociar","no"))</f>
        <v/>
      </c>
      <c r="EJ112" s="4">
        <f>ROUND(DX112,9)</f>
        <v/>
      </c>
      <c r="EK112" s="4">
        <f>IF(EI112&lt;&gt;"no",SUMPRODUCT(($EI$2:$EI$209&lt;&gt;"no")*($EJ$2:$EJ$209&gt;EJ112))+SUMPRODUCT(($EI$2:EI112&lt;&gt;"no")*($EJ$2:EJ112=EJ112)),"")</f>
        <v/>
      </c>
    </row>
    <row r="113">
      <c r="A113" s="2" t="inlineStr">
        <is>
          <t>cochesnet:71686041</t>
        </is>
      </c>
      <c r="B113" s="2" t="inlineStr">
        <is>
          <t>cochesnet</t>
        </is>
      </c>
      <c r="C113" s="2" t="inlineStr">
        <is>
          <t>https://www.coches.net/chevrolet-matiz-10-s-5p-gasolina-2006-en-castellon-71686041-covo.aspx</t>
        </is>
      </c>
      <c r="D113" s="2" t="inlineStr">
        <is>
          <t>CHEVROLET Matiz 1.0 S</t>
        </is>
      </c>
      <c r="E113" s="2" t="inlineStr">
        <is>
          <t>Chevrolet</t>
        </is>
      </c>
      <c r="F113" s="2" t="inlineStr">
        <is>
          <t>Chevrolet Matiz</t>
        </is>
      </c>
      <c r="G113" s="2" t="inlineStr">
        <is>
          <t>1.0</t>
        </is>
      </c>
      <c r="H113" s="2" t="inlineStr">
        <is>
          <t>1.0 S</t>
        </is>
      </c>
      <c r="I113" s="2" t="n"/>
      <c r="J113" s="2" t="n"/>
      <c r="K113" s="2" t="inlineStr">
        <is>
          <t>gasolina</t>
        </is>
      </c>
      <c r="L113" s="2" t="inlineStr">
        <is>
          <t>utilitario</t>
        </is>
      </c>
      <c r="M113" s="2" t="n">
        <v>2006</v>
      </c>
      <c r="N113" s="2" t="n">
        <v>61400</v>
      </c>
      <c r="O113" s="2" t="n">
        <v>3750</v>
      </c>
      <c r="P113" s="2" t="inlineStr">
        <is>
          <t>manual</t>
        </is>
      </c>
      <c r="Q113" s="2" t="inlineStr">
        <is>
          <t>no</t>
        </is>
      </c>
      <c r="R113" s="2" t="inlineStr">
        <is>
          <t>profesional</t>
        </is>
      </c>
      <c r="S113" s="2" t="inlineStr">
        <is>
          <t>Andrés Cars Castellón de la Plana / Castelló de la Plana</t>
        </is>
      </c>
      <c r="T113" s="2" t="inlineStr">
        <is>
          <t>2026-10-06T14:49:48Z</t>
        </is>
      </c>
      <c r="U113" s="2" t="n">
        <v>44</v>
      </c>
      <c r="V113" s="2" t="n"/>
      <c r="W113" s="2" t="n"/>
      <c r="X113" s="2" t="n"/>
      <c r="Y113" s="2" t="n"/>
      <c r="Z113" s="2" t="inlineStr">
        <is>
          <t>sí</t>
        </is>
      </c>
      <c r="AA113" s="2" t="n"/>
      <c r="AB113" s="2" t="n">
        <v>12</v>
      </c>
      <c r="AC113" s="2" t="n"/>
      <c r="AD113" s="2" t="n"/>
      <c r="AE113" s="2" t="n"/>
      <c r="AF113" s="2" t="n"/>
      <c r="AG113" s="2" t="n"/>
      <c r="AH113" s="2" t="n">
        <v>3750</v>
      </c>
      <c r="AI113" s="2" t="n"/>
      <c r="AJ113" s="2" t="n"/>
      <c r="AK113" s="2" t="n"/>
      <c r="AL113" s="2" t="n"/>
      <c r="AM113" s="2" t="n"/>
      <c r="AN113" s="2" t="n"/>
      <c r="AO113" s="2" t="inlineStr">
        <is>
          <t>2006</t>
        </is>
      </c>
      <c r="AP113" s="2" t="n">
        <v>2006</v>
      </c>
      <c r="AQ113" s="2" t="n"/>
      <c r="AR113" s="2" t="n"/>
      <c r="AS113" s="2" t="inlineStr">
        <is>
          <t>regla</t>
        </is>
      </c>
      <c r="AT113" s="2" t="n"/>
      <c r="AU113" s="2" t="inlineStr">
        <is>
          <t>no</t>
        </is>
      </c>
      <c r="AV113" s="2" t="inlineStr">
        <is>
          <t>C</t>
        </is>
      </c>
      <c r="AW113" s="2" t="inlineStr">
        <is>
          <t>B</t>
        </is>
      </c>
      <c r="AX113" s="2" t="inlineStr">
        <is>
          <t>no</t>
        </is>
      </c>
      <c r="AY113" s="2" t="inlineStr">
        <is>
          <t>no</t>
        </is>
      </c>
      <c r="AZ113" s="2" t="inlineStr">
        <is>
          <t>COMMON.COLOR_BLUE</t>
        </is>
      </c>
      <c r="BA113" s="2" t="inlineStr">
        <is>
          <t>azul</t>
        </is>
      </c>
      <c r="BB113" s="3" t="n">
        <v>2</v>
      </c>
      <c r="BC113" s="3" t="inlineStr">
        <is>
          <t>(por segmento)</t>
        </is>
      </c>
      <c r="BD113" s="2" t="n"/>
      <c r="BE113" s="2" t="n"/>
      <c r="BF113" s="2" t="n"/>
      <c r="BG113" s="2" t="n"/>
      <c r="BH113" s="2" t="n"/>
      <c r="BI113" s="2" t="n"/>
      <c r="BJ113" s="2" t="n"/>
      <c r="BK113" s="2" t="n"/>
      <c r="BL113" s="2" t="n"/>
      <c r="BM113" s="2" t="n">
        <v>5</v>
      </c>
      <c r="BN113" s="2" t="n"/>
      <c r="BO113" s="2" t="n">
        <v>0</v>
      </c>
      <c r="BP113" s="2" t="n"/>
      <c r="BQ113" s="2" t="n"/>
      <c r="BR113" s="2" t="n"/>
      <c r="BS113" s="2" t="n"/>
      <c r="BT113" s="2" t="inlineStr">
        <is>
          <t>anuncio incoherente: dice etiqueta B y por fecha corresponde C; se usa la regla; vendedor profesional: sin ITP (operación con IVA/REBU, confirmar en factura); gastos de gestión del vendedor no indicados: se suma la tasa DGT; preguntar el precio final; Euro NCAP de la generación PENDIENTE (seguridad neutra); etiqueta C deducida por fecha (sin matrícula ni dato del anuncio); distancia no verificable (el anuncio solo indica la provincia): confirmar que está a &lt;= 70 km; fiabilidad del modelo PENDIENTE de fuente (puntuación neutra); mediana con solo 1 anuncio(s)</t>
        </is>
      </c>
      <c r="BU113" s="2" t="inlineStr">
        <is>
          <t xml:space="preserve">      ----- POCOS KILÓMETROS ----
      Etiqueta medio ambiental B.
   Vehículo nacional con muy pocos kilómetros , ideal para la ciudad  , de dia a dia por su tamaño pequeño y el consumo reducido 4,5 por % .
  Vehículo en perfecto estado , con las 4 ruedas al 90 % ,prácticamente un reestreno de vehículo.
Lleva motor 1,0 con 65 CV de potencia.
Itv y documentación al dia.
No hay que hacerle nada.
Admitió prueba de taller.
Precio NO negociable.
Cambio de nombre aparte 150 euros.
Puedo recibir vehículo como forma de pago .
</t>
        </is>
      </c>
      <c r="BV113" s="2" t="inlineStr">
        <is>
          <t>https://www.coches.net/chevrolet-matiz-10-s-5p-gasolina-2006-en-castellon-71686041-covo.aspx (window.__INITIAL_PROPS__.ad) /home/user/Alopecia/buscador-coches/raw/cochesnet/aa809b0e3f8323da.json</t>
        </is>
      </c>
      <c r="BW113" s="3">
        <f>MAX(ANIO_ACTUAL-M113,0)</f>
        <v/>
      </c>
      <c r="BX113" s="4">
        <f>N113/MAX(BW113,0.5)</f>
        <v/>
      </c>
      <c r="BY113" s="4">
        <f>F113</f>
        <v/>
      </c>
      <c r="BZ113" s="3">
        <f>BY113&amp;"|"&amp;INT(M113/SEG_ANIO)*SEG_ANIO</f>
        <v/>
      </c>
      <c r="CA113" s="3">
        <f>BZ113&amp;"|"&amp;INT(N113/SEG_KM)*SEG_KM</f>
        <v/>
      </c>
      <c r="CB113" s="4">
        <f>COUNTIF($BY$2:$BY$209,BY113)</f>
        <v/>
      </c>
      <c r="CC113" s="4">
        <f>COUNTIF($BZ$2:$BZ$209,BZ113)</f>
        <v/>
      </c>
      <c r="CD113" s="4">
        <f>COUNTIF($CA$2:$CA$209,CA113)</f>
        <v/>
      </c>
      <c r="CE113" s="3">
        <f t="array" ref="CE113">IF(N(BQ113)&gt;=MIN_N,BP113,IF(CD113&gt;=MIN_N,MEDIAN(IF($CA$2:$CA$209=CA113,$O$2:$O$209)),IF(CC113&gt;=MIN_N,MEDIAN(IF($BZ$2:$BZ$209=BZ113,$O$2:$O$209)),MEDIAN(IF($BY$2:$BY$209=BY113,$O$2:$O$209)))))</f>
        <v/>
      </c>
      <c r="CF113" s="3">
        <f>IF(N(BQ113)&gt;=MIN_N,"mercado "&amp;BR113,IF(CD113&gt;=MIN_N,"modelo+año+km",IF(CC113&gt;=MIN_N,"modelo+año","modelo")))</f>
        <v/>
      </c>
      <c r="CG113" s="4">
        <f>(CE113-O113)/CE113</f>
        <v/>
      </c>
      <c r="CH113" s="3">
        <f>IF(COUNTIFS(FR_FUEL,K113,FR_YEAR,AP113)&gt;0,1,0)</f>
        <v/>
      </c>
      <c r="CI113" s="3">
        <f>IF(COUNTIFS(FR_FUEL,K113,FR_YEAR,AP113-1)&gt;0,1,0)</f>
        <v/>
      </c>
      <c r="CJ113" s="4">
        <f>IF(N(AQ113)&gt;0,AP113*100+AQ113,IF(AND(CH113=1,CI113=1),(AP113-1)*100+1,AP113*100+1))</f>
        <v/>
      </c>
      <c r="CK113" s="3">
        <f>IF(OR(K113="hibrido",K113="glp",K113="gnc",K113="phev"),"ECO",IF(K113="electrico","CERO",IF(K113="gasolina",IF(CJ113&gt;=GAS_C_YM,"C",IF(CJ113&gt;=GAS_B_YM,"B","A")),IF(K113="diesel",IF(CJ113&gt;=DIE_C_YM,"C",IF(CJ113&gt;=DIE_B_YM,"B","A")),""))))</f>
        <v/>
      </c>
      <c r="CL113" s="4">
        <f>CK113</f>
        <v/>
      </c>
      <c r="CM113" s="4">
        <f>IF(AU113="sí","sí",IF(AS113="regla",IF(AND(N(AQ113)=0,CH113=1),"sí","no"),"no"))</f>
        <v/>
      </c>
      <c r="CN113" s="3">
        <f>IFERROR(VLOOKUP(F113,MOD_TBL,16,0),IFERROR(VLOOKUP(E113,OCU_TBL,2,0),NEUTRO))</f>
        <v/>
      </c>
      <c r="CO113" s="3">
        <f>SUMIFS(MOT_AJUSTE,MOT_MOTOR,G113,MOT_MARCA,E113,MOT_DESDE,"&lt;="&amp;M113,MOT_HASTA,"&gt;="&amp;M113)+SUMIFS(MOT_AJUSTE,MOT_MOTOR,G113,MOT_MARCA,"(todas)",MOT_DESDE,"&lt;="&amp;M113,MOT_HASTA,"&gt;="&amp;M113)+SUMIFS(MOT_AJUSTE,MOT_MOTOR,"(cualquiera)",MOT_MARCA,E113,MOT_DESDE,"&lt;="&amp;M113,MOT_HASTA,"&gt;="&amp;M113)</f>
        <v/>
      </c>
      <c r="CP113" s="3">
        <f>SUMIFS(COMB_AJUSTE,COMB_COMB,K113)</f>
        <v/>
      </c>
      <c r="CQ113" s="3">
        <f>COUNTIFS(MOT_MOTOR,G113,MOT_MARCA,E113,MOT_DESDE,"&lt;="&amp;M113,MOT_HASTA,"&gt;="&amp;M113)+COUNTIFS(MOT_MOTOR,G113,MOT_MARCA,"(todas)",MOT_DESDE,"&lt;="&amp;M113,MOT_HASTA,"&gt;="&amp;M113)+COUNTIFS(MOT_MOTOR,"(cualquiera)",MOT_MARCA,E113,MOT_DESDE,"&lt;="&amp;M113,MOT_HASTA,"&gt;="&amp;M113)</f>
        <v/>
      </c>
      <c r="CR113" s="3">
        <f>IF(AND(K113="diesel",CQ113=0),MIN(CN113,NEUTRO),CN113)</f>
        <v/>
      </c>
      <c r="CS113" s="3">
        <f>MAX(0,MIN(100,CR113+CO113+CP113-IF(AX113="sí",ROB_PEN,0)))</f>
        <v/>
      </c>
      <c r="CT113" s="3">
        <f>100-MAX(0,N113-KM_TOPE_DESDE)/1000*KM_TOPE_PTS</f>
        <v/>
      </c>
      <c r="CU113" s="3">
        <f>MAX(0,MIN(100,50+CG113*PRECIO_PEND,CT113))</f>
        <v/>
      </c>
      <c r="CV113" s="3">
        <f>MAX(0,100*(1-N113/KM_MAX))</f>
        <v/>
      </c>
      <c r="CW113" s="3">
        <f>IF(BX113&lt;KMA_SOSP,IF(AA113="sí",100,KMA_PEN),IF(BX113&lt;=KMA_IDEAL_MAX,100,MAX(0,100*(KMA_CERO-BX113)/(KMA_CERO-KMA_IDEAL_MAX))))</f>
        <v/>
      </c>
      <c r="CX113" s="3">
        <f>MAX(0,MIN(100,100*(M113-ANIO_MIN)/(ANIO_ACTUAL-ANIO_MIN)))</f>
        <v/>
      </c>
      <c r="CY113" s="3">
        <f>W_KMT*CV113+W_KMA*CW113+W_EDAD*CX113</f>
        <v/>
      </c>
      <c r="CZ113" s="4">
        <f>E113&amp;"|"&amp;G113</f>
        <v/>
      </c>
      <c r="DA113" s="3">
        <f>IFERROR(VLOOKUP(CZ113,DIST_TBL,2,0),"")</f>
        <v/>
      </c>
      <c r="DB113" s="3">
        <f>E_ITV*(V113="sí")+E_LIBRO*(W113="sí")+E_PROP*IF(Y113=1,1,IF(Y113=2,0.5,0))+E_CORREA*IF(OR(DA113="cadena",AND(X113="sí",BH113="sí")),1,IF(X113="sí",0.5,0))+E_FACT*(BI113="sí")</f>
        <v/>
      </c>
      <c r="DC113" s="3">
        <f>MAX(0,MIN(100,IFERROR(VLOOKUP(CL113,ETQ_TBL,2,0),0)-IF(CM113="sí",ETQ_PEN_DUD,IF(AS113="regla",ETQ_PEN_REGLA,0))))</f>
        <v/>
      </c>
      <c r="DD113" s="3">
        <f>IF(K113&lt;&gt;"gasolina","",IFERROR(VLOOKUP(F113,CONS_MOD_TBL,2,0),IFERROR(VLOOKUP(L113,CONS_SEG_TBL,2,0),"")))</f>
        <v/>
      </c>
      <c r="DE113" s="3">
        <f>IF(DD113="",NEUTRO,MAX(0,MIN(100,100*(CONS_REF_MAX-DD113)/(CONS_REF_MAX-CONS_REF_MIN))))</f>
        <v/>
      </c>
      <c r="DF113" s="3">
        <f>IFERROR(VLOOKUP(L113,SEGURO_TBL,3,0),"")</f>
        <v/>
      </c>
      <c r="DG113" s="3">
        <f>IF(DF113="",NEUTRO,MAX(0,MIN(100,100*(SEG_REF_MAX-DF113)/(SEG_REF_MAX-SEG_REF_MIN))))</f>
        <v/>
      </c>
      <c r="DH113" s="3">
        <f>IFERROR(VLOOKUP(E113,MANT_MARCA_TBL,2,0)+0,NEUTRO)</f>
        <v/>
      </c>
      <c r="DI113" s="3">
        <f>IF(DA113="",NEUTRO,IFERROR(VLOOKUP(DA113,DIST_PTS_TBL,2,0)+0,NEUTRO))</f>
        <v/>
      </c>
      <c r="DJ113" s="4">
        <f>(DH113+DI113)/2</f>
        <v/>
      </c>
      <c r="DK113" s="3">
        <f>W_CONS*DE113+W_SEG*DG113+W_MANT*DJ113</f>
        <v/>
      </c>
      <c r="DL113" s="3">
        <f>IF(N(AB113)&gt;0,AB113,IF(AND(R113="profesional",SG_LEGAL_ON=1),GAR_LEGAL,0))</f>
        <v/>
      </c>
      <c r="DM113" s="3">
        <f>MAX(0,MIN(100,SG_GAR*MIN(1,DL113/SG_GAR_FULL)+SG_AMPL*(AC113="sí")+SG_KMC*(AF113="sí")+SG_REV*(N(AE113)&gt;0)+SG_DEV*MIN(1,N(AG113)/SG_DEV_FULL)+SG_HIST*(W113="sí")-IF(AND(R113="particular",DL113=0),SG_PART_PEN,0)))</f>
        <v/>
      </c>
      <c r="DN113" s="3">
        <f>IF(BK113="",NEUTRO,MAX(0,MIN(100,BK113/5*100)))</f>
        <v/>
      </c>
      <c r="DO113" s="3">
        <f>IF(BL113="sí",100,IF(BL113="no",0,NEUTRO))</f>
        <v/>
      </c>
      <c r="DP113" s="3">
        <f>SV_W_NCAP*DN113+SV_W_ESP*DO113</f>
        <v/>
      </c>
      <c r="DQ113" s="3">
        <f>MAX(0,MIN(100,ATR_BASE+ATR_ACAB*(BD113&lt;&gt;"")+IF(BE113="16+",ATR_LL16,IF(BE113="sí",ATR_LL,0))+ATR_FAROS*(BF113="sí")+ATR_TINT*(BG113="sí")-ATR_CHAPA*(BE113="chapa")))</f>
        <v/>
      </c>
      <c r="DR113" s="3">
        <f>EST_W_MOD*(BB113-1)/4*100+EST_W_ATR*DQ113</f>
        <v/>
      </c>
      <c r="DS113" s="3">
        <f>IF(BA113="",NEUTRO,IFERROR(VLOOKUP(BA113,COLOR_TBL,2,0)+0,NEUTRO))</f>
        <v/>
      </c>
      <c r="DT113" s="3">
        <f>MAX(0,MIN(100,100*N(BM113)/RV_N_FULL))</f>
        <v/>
      </c>
      <c r="DU113" s="3">
        <f>IF(OR(BN113="",N(BO113)&lt;RV_DIAS_MIN),NEUTRO,MAX(0,MIN(100,100*(RV_DIAS_CERO-BN113)/(RV_DIAS_CERO-RV_DIAS_FULL))))</f>
        <v/>
      </c>
      <c r="DV113" s="3">
        <f>RV_W_LIQ*DT113+RV_W_DIAS*DU113+RV_W_ETQ*DC113</f>
        <v/>
      </c>
      <c r="DW113" s="3">
        <f>IFERROR(VLOOKUP(L113,CARR_PEN_TBL,2,0),0)</f>
        <v/>
      </c>
      <c r="DX113" s="3">
        <f>W_FIAB*CS113+W_PRECIO*CU113+W_KMEDAD*CY113+W_ESTADO*DB113+W_USO*DK113+W_SEGURIDAD*DM113+W_SEGVIAL*DP113+W_ESTETICA*DR113+W_COLOR*DS113+W_REVENTA*DV113-DW113-EG113</f>
        <v/>
      </c>
      <c r="DY113" s="4">
        <f>IF(N(I113)&gt;0,I113,IFERROR(ROUND(_xlfn.NUMBERVALUE(LEFT(G113,FIND(" ",G113&amp;" ")-1),".")*1000,0),99999))</f>
        <v/>
      </c>
      <c r="DZ113" s="3">
        <f>IF(R113="profesional",0,IF(O113&lt;CUOTA_VALOR_MAX,IF(BW113&gt;ITP_TRAMO_ALTO,SUMIFS(CF_CUOTA,CF_MAS,ITP_TRAMO_ALTO,CF_CCMIN,"&lt;="&amp;DY113,CF_CCMAX,"&gt;="&amp;DY113),IF(BW113&gt;ITP_TRAMO_BAJO,SUMIFS(CF_CUOTA,CF_MAS,ITP_TRAMO_BAJO,CF_CCMIN,"&lt;="&amp;DY113,CF_CCMAX,"&gt;="&amp;DY113),O113*ITP_TIPO)),O113*ITP_TIPO))</f>
        <v/>
      </c>
      <c r="EA113" s="4">
        <f>IF(R113="profesional",N(AK113),0)</f>
        <v/>
      </c>
      <c r="EB113" s="3">
        <f>IF(AND(R113="profesional",ISNUMBER(AK113),AL113="sí"),0,TASA_DGT)</f>
        <v/>
      </c>
      <c r="EC113" s="3">
        <f>INFORME_DGT</f>
        <v/>
      </c>
      <c r="ED113" s="4">
        <f>O113+EA113+DZ113+EB113+EC113</f>
        <v/>
      </c>
      <c r="EE113" s="4">
        <f>ED113+N(DF113)</f>
        <v/>
      </c>
      <c r="EF113" s="3">
        <f>MAX(0,ED113-TOTAL_MAX)</f>
        <v/>
      </c>
      <c r="EG113" s="3">
        <f>EF113/100*PEN_100</f>
        <v/>
      </c>
      <c r="EH113" s="3">
        <f>IF(R113="particular",ED113+IF(AND(DA113&lt;&gt;"cadena",X113&lt;&gt;"sí"),RES_CORREA,0)+IF(AND(BJ113&lt;&gt;"sí",BW113&gt;=RES_NEUM_EDAD),RES_NEUM,0),"")</f>
        <v/>
      </c>
      <c r="EI113" s="3">
        <f>IF(ED113&lt;=TOTAL_MAX,"sí",IF(ED113&lt;=TECHO,"negociar","no"))</f>
        <v/>
      </c>
      <c r="EJ113" s="4">
        <f>ROUND(DX113,9)</f>
        <v/>
      </c>
      <c r="EK113" s="4">
        <f>IF(EI113&lt;&gt;"no",SUMPRODUCT(($EI$2:$EI$209&lt;&gt;"no")*($EJ$2:$EJ$209&gt;EJ113))+SUMPRODUCT(($EI$2:EI113&lt;&gt;"no")*($EJ$2:EJ113=EJ113)),"")</f>
        <v/>
      </c>
    </row>
    <row r="114">
      <c r="A114" s="2" t="inlineStr">
        <is>
          <t>ocasionplus:yk3xrqat</t>
        </is>
      </c>
      <c r="B114" s="2" t="inlineStr">
        <is>
          <t>ocasionplus</t>
        </is>
      </c>
      <c r="C114" s="2" t="inlineStr">
        <is>
          <t>https://www.ocasionplus.com/coches-segunda-mano/opel-corsa-12-blue-line-con-35977km-2004-yk3xrqat</t>
        </is>
      </c>
      <c r="D114" s="2" t="inlineStr">
        <is>
          <t>Opel Corsa 1.2 Blue Line (75 CV)</t>
        </is>
      </c>
      <c r="E114" s="2" t="inlineStr">
        <is>
          <t>Opel</t>
        </is>
      </c>
      <c r="F114" s="2" t="inlineStr">
        <is>
          <t>Opel Corsa</t>
        </is>
      </c>
      <c r="G114" s="2" t="inlineStr">
        <is>
          <t>1.2</t>
        </is>
      </c>
      <c r="H114" s="2" t="inlineStr">
        <is>
          <t>Opel Corsa 1.2 Blue Line (75 CV)</t>
        </is>
      </c>
      <c r="I114" s="2" t="n">
        <v>1199</v>
      </c>
      <c r="J114" s="2" t="n">
        <v>75</v>
      </c>
      <c r="K114" s="2" t="inlineStr">
        <is>
          <t>gasolina</t>
        </is>
      </c>
      <c r="L114" s="2" t="inlineStr">
        <is>
          <t>utilitario</t>
        </is>
      </c>
      <c r="M114" s="2" t="n">
        <v>2004</v>
      </c>
      <c r="N114" s="2" t="n">
        <v>35977</v>
      </c>
      <c r="O114" s="2" t="n">
        <v>3999</v>
      </c>
      <c r="P114" s="2" t="inlineStr">
        <is>
          <t>manual</t>
        </is>
      </c>
      <c r="Q114" s="2" t="inlineStr">
        <is>
          <t>no</t>
        </is>
      </c>
      <c r="R114" s="2" t="inlineStr">
        <is>
          <t>profesional</t>
        </is>
      </c>
      <c r="S114" s="2" t="inlineStr">
        <is>
          <t>Valencia - Paterna (Paterna, 46980)</t>
        </is>
      </c>
      <c r="T114" s="2" t="inlineStr">
        <is>
          <t>2026-09-15T00:00:00.000Z</t>
        </is>
      </c>
      <c r="U114" s="2" t="n">
        <v>23</v>
      </c>
      <c r="V114" s="2" t="inlineStr">
        <is>
          <t>sí</t>
        </is>
      </c>
      <c r="W114" s="2" t="inlineStr">
        <is>
          <t>sí</t>
        </is>
      </c>
      <c r="X114" s="2" t="n"/>
      <c r="Y114" s="2" t="n">
        <v>0</v>
      </c>
      <c r="Z114" s="2" t="n"/>
      <c r="AA114" s="2" t="n"/>
      <c r="AB114" s="2" t="n"/>
      <c r="AC114" s="2" t="inlineStr">
        <is>
          <t>sí</t>
        </is>
      </c>
      <c r="AD114" s="2" t="n">
        <v>500</v>
      </c>
      <c r="AE114" s="2" t="n"/>
      <c r="AF114" s="2" t="inlineStr">
        <is>
          <t>sí</t>
        </is>
      </c>
      <c r="AG114" s="2" t="n"/>
      <c r="AH114" s="2" t="n">
        <v>3999</v>
      </c>
      <c r="AI114" s="2" t="n">
        <v>3990</v>
      </c>
      <c r="AJ114" s="2" t="inlineStr">
        <is>
          <t>sí</t>
        </is>
      </c>
      <c r="AK114" s="2" t="n">
        <v>350</v>
      </c>
      <c r="AL114" s="2" t="inlineStr">
        <is>
          <t>sí</t>
        </is>
      </c>
      <c r="AM114" s="2" t="n">
        <v>5.9</v>
      </c>
      <c r="AN114" s="2" t="inlineStr">
        <is>
          <t>6845CZN</t>
        </is>
      </c>
      <c r="AO114" s="2" t="inlineStr">
        <is>
          <t>2004-08-31</t>
        </is>
      </c>
      <c r="AP114" s="2" t="n">
        <v>2004</v>
      </c>
      <c r="AQ114" s="2" t="n">
        <v>8</v>
      </c>
      <c r="AR114" s="2" t="inlineStr">
        <is>
          <t>B</t>
        </is>
      </c>
      <c r="AS114" s="2" t="inlineStr">
        <is>
          <t>DGT</t>
        </is>
      </c>
      <c r="AT114" s="2" t="n"/>
      <c r="AU114" s="2" t="inlineStr">
        <is>
          <t>no</t>
        </is>
      </c>
      <c r="AV114" s="2" t="inlineStr">
        <is>
          <t>B</t>
        </is>
      </c>
      <c r="AW114" s="2" t="n"/>
      <c r="AX114" s="2" t="inlineStr">
        <is>
          <t>no</t>
        </is>
      </c>
      <c r="AY114" s="2" t="inlineStr">
        <is>
          <t>no</t>
        </is>
      </c>
      <c r="AZ114" s="2" t="inlineStr">
        <is>
          <t>Gris Plata</t>
        </is>
      </c>
      <c r="BA114" s="2" t="inlineStr">
        <is>
          <t>plata</t>
        </is>
      </c>
      <c r="BB114" s="3" t="n">
        <v>2</v>
      </c>
      <c r="BC114" s="3" t="inlineStr">
        <is>
          <t>(por segmento)</t>
        </is>
      </c>
      <c r="BD114" s="2" t="n"/>
      <c r="BE114" s="2" t="inlineStr">
        <is>
          <t>chapa</t>
        </is>
      </c>
      <c r="BF114" s="2" t="n"/>
      <c r="BG114" s="2" t="inlineStr">
        <is>
          <t>sí</t>
        </is>
      </c>
      <c r="BH114" s="2" t="n"/>
      <c r="BI114" s="2" t="n"/>
      <c r="BJ114" s="2" t="n"/>
      <c r="BK114" s="2" t="n">
        <v>4</v>
      </c>
      <c r="BL114" s="2" t="inlineStr">
        <is>
          <t>no</t>
        </is>
      </c>
      <c r="BM114" s="2" t="n">
        <v>456</v>
      </c>
      <c r="BN114" s="2" t="n">
        <v>0.05126157402992249</v>
      </c>
      <c r="BO114" s="2" t="n">
        <v>11</v>
      </c>
      <c r="BP114" s="2" t="n">
        <v>2000</v>
      </c>
      <c r="BQ114" s="2" t="n">
        <v>19</v>
      </c>
      <c r="BR114" s="2" t="inlineStr">
        <is>
          <t>modelo+año</t>
        </is>
      </c>
      <c r="BS114" s="2" t="n"/>
      <c r="BT114" s="2" t="inlineStr">
        <is>
          <t>vendedor profesional: sin ITP (operación con IVA/REBU, confirmar en factura); el precio anunciado (3.990 €) solo vale financiando; se usa el precio al contado; revisar: no menciona la ITV</t>
        </is>
      </c>
      <c r="BU114" s="2" t="inlineStr">
        <is>
          <t>Opel Corsa 1.2 Blue Line (75 CV)</t>
        </is>
      </c>
      <c r="BV114" s="2" t="inlineStr">
        <is>
          <t>https://www.ocasionplus.com/coches-segunda-mano/opel-corsa-12-blue-line-con-35977km-2004-yk3xrqat (payload RSC 'vehicle') /home/user/Alopecia/buscador-coches/raw/ocasionplus/8cab64ac774c00a3.json</t>
        </is>
      </c>
      <c r="BW114" s="3">
        <f>MAX(ANIO_ACTUAL-M114,0)</f>
        <v/>
      </c>
      <c r="BX114" s="4">
        <f>N114/MAX(BW114,0.5)</f>
        <v/>
      </c>
      <c r="BY114" s="4">
        <f>F114</f>
        <v/>
      </c>
      <c r="BZ114" s="3">
        <f>BY114&amp;"|"&amp;INT(M114/SEG_ANIO)*SEG_ANIO</f>
        <v/>
      </c>
      <c r="CA114" s="3">
        <f>BZ114&amp;"|"&amp;INT(N114/SEG_KM)*SEG_KM</f>
        <v/>
      </c>
      <c r="CB114" s="4">
        <f>COUNTIF($BY$2:$BY$209,BY114)</f>
        <v/>
      </c>
      <c r="CC114" s="4">
        <f>COUNTIF($BZ$2:$BZ$209,BZ114)</f>
        <v/>
      </c>
      <c r="CD114" s="4">
        <f>COUNTIF($CA$2:$CA$209,CA114)</f>
        <v/>
      </c>
      <c r="CE114" s="3">
        <f t="array" ref="CE114">IF(N(BQ114)&gt;=MIN_N,BP114,IF(CD114&gt;=MIN_N,MEDIAN(IF($CA$2:$CA$209=CA114,$O$2:$O$209)),IF(CC114&gt;=MIN_N,MEDIAN(IF($BZ$2:$BZ$209=BZ114,$O$2:$O$209)),MEDIAN(IF($BY$2:$BY$209=BY114,$O$2:$O$209)))))</f>
        <v/>
      </c>
      <c r="CF114" s="3">
        <f>IF(N(BQ114)&gt;=MIN_N,"mercado "&amp;BR114,IF(CD114&gt;=MIN_N,"modelo+año+km",IF(CC114&gt;=MIN_N,"modelo+año","modelo")))</f>
        <v/>
      </c>
      <c r="CG114" s="4">
        <f>(CE114-O114)/CE114</f>
        <v/>
      </c>
      <c r="CH114" s="3">
        <f>IF(COUNTIFS(FR_FUEL,K114,FR_YEAR,AP114)&gt;0,1,0)</f>
        <v/>
      </c>
      <c r="CI114" s="3">
        <f>IF(COUNTIFS(FR_FUEL,K114,FR_YEAR,AP114-1)&gt;0,1,0)</f>
        <v/>
      </c>
      <c r="CJ114" s="4">
        <f>IF(N(AQ114)&gt;0,AP114*100+AQ114,IF(AND(CH114=1,CI114=1),(AP114-1)*100+1,AP114*100+1))</f>
        <v/>
      </c>
      <c r="CK114" s="3">
        <f>IF(OR(K114="hibrido",K114="glp",K114="gnc",K114="phev"),"ECO",IF(K114="electrico","CERO",IF(K114="gasolina",IF(CJ114&gt;=GAS_C_YM,"C",IF(CJ114&gt;=GAS_B_YM,"B","A")),IF(K114="diesel",IF(CJ114&gt;=DIE_C_YM,"C",IF(CJ114&gt;=DIE_B_YM,"B","A")),""))))</f>
        <v/>
      </c>
      <c r="CL114" s="2" t="inlineStr">
        <is>
          <t>B</t>
        </is>
      </c>
      <c r="CM114" s="4">
        <f>IF(AU114="sí","sí",IF(AS114="regla",IF(AND(N(AQ114)=0,CH114=1),"sí","no"),"no"))</f>
        <v/>
      </c>
      <c r="CN114" s="3">
        <f>IFERROR(VLOOKUP(F114,MOD_TBL,16,0),IFERROR(VLOOKUP(E114,OCU_TBL,2,0),NEUTRO))</f>
        <v/>
      </c>
      <c r="CO114" s="3">
        <f>SUMIFS(MOT_AJUSTE,MOT_MOTOR,G114,MOT_MARCA,E114,MOT_DESDE,"&lt;="&amp;M114,MOT_HASTA,"&gt;="&amp;M114)+SUMIFS(MOT_AJUSTE,MOT_MOTOR,G114,MOT_MARCA,"(todas)",MOT_DESDE,"&lt;="&amp;M114,MOT_HASTA,"&gt;="&amp;M114)+SUMIFS(MOT_AJUSTE,MOT_MOTOR,"(cualquiera)",MOT_MARCA,E114,MOT_DESDE,"&lt;="&amp;M114,MOT_HASTA,"&gt;="&amp;M114)</f>
        <v/>
      </c>
      <c r="CP114" s="3">
        <f>SUMIFS(COMB_AJUSTE,COMB_COMB,K114)</f>
        <v/>
      </c>
      <c r="CQ114" s="3">
        <f>COUNTIFS(MOT_MOTOR,G114,MOT_MARCA,E114,MOT_DESDE,"&lt;="&amp;M114,MOT_HASTA,"&gt;="&amp;M114)+COUNTIFS(MOT_MOTOR,G114,MOT_MARCA,"(todas)",MOT_DESDE,"&lt;="&amp;M114,MOT_HASTA,"&gt;="&amp;M114)+COUNTIFS(MOT_MOTOR,"(cualquiera)",MOT_MARCA,E114,MOT_DESDE,"&lt;="&amp;M114,MOT_HASTA,"&gt;="&amp;M114)</f>
        <v/>
      </c>
      <c r="CR114" s="3">
        <f>IF(AND(K114="diesel",CQ114=0),MIN(CN114,NEUTRO),CN114)</f>
        <v/>
      </c>
      <c r="CS114" s="3">
        <f>MAX(0,MIN(100,CR114+CO114+CP114-IF(AX114="sí",ROB_PEN,0)))</f>
        <v/>
      </c>
      <c r="CT114" s="3">
        <f>100-MAX(0,N114-KM_TOPE_DESDE)/1000*KM_TOPE_PTS</f>
        <v/>
      </c>
      <c r="CU114" s="3">
        <f>MAX(0,MIN(100,50+CG114*PRECIO_PEND,CT114))</f>
        <v/>
      </c>
      <c r="CV114" s="3">
        <f>MAX(0,100*(1-N114/KM_MAX))</f>
        <v/>
      </c>
      <c r="CW114" s="3">
        <f>IF(BX114&lt;KMA_SOSP,IF(AA114="sí",100,KMA_PEN),IF(BX114&lt;=KMA_IDEAL_MAX,100,MAX(0,100*(KMA_CERO-BX114)/(KMA_CERO-KMA_IDEAL_MAX))))</f>
        <v/>
      </c>
      <c r="CX114" s="3">
        <f>MAX(0,MIN(100,100*(M114-ANIO_MIN)/(ANIO_ACTUAL-ANIO_MIN)))</f>
        <v/>
      </c>
      <c r="CY114" s="3">
        <f>W_KMT*CV114+W_KMA*CW114+W_EDAD*CX114</f>
        <v/>
      </c>
      <c r="CZ114" s="4">
        <f>E114&amp;"|"&amp;G114</f>
        <v/>
      </c>
      <c r="DA114" s="3">
        <f>IFERROR(VLOOKUP(CZ114,DIST_TBL,2,0),"")</f>
        <v/>
      </c>
      <c r="DB114" s="3">
        <f>E_ITV*(V114="sí")+E_LIBRO*(W114="sí")+E_PROP*IF(Y114=1,1,IF(Y114=2,0.5,0))+E_CORREA*IF(OR(DA114="cadena",AND(X114="sí",BH114="sí")),1,IF(X114="sí",0.5,0))+E_FACT*(BI114="sí")</f>
        <v/>
      </c>
      <c r="DC114" s="3">
        <f>MAX(0,MIN(100,IFERROR(VLOOKUP(CL114,ETQ_TBL,2,0),0)-IF(CM114="sí",ETQ_PEN_DUD,IF(AS114="regla",ETQ_PEN_REGLA,0))))</f>
        <v/>
      </c>
      <c r="DD114" s="3">
        <f>IF(K114&lt;&gt;"gasolina","",IFERROR(VLOOKUP(F114,CONS_MOD_TBL,2,0),IFERROR(VLOOKUP(L114,CONS_SEG_TBL,2,0),"")))</f>
        <v/>
      </c>
      <c r="DE114" s="3">
        <f>IF(DD114="",NEUTRO,MAX(0,MIN(100,100*(CONS_REF_MAX-DD114)/(CONS_REF_MAX-CONS_REF_MIN))))</f>
        <v/>
      </c>
      <c r="DF114" s="3">
        <f>IFERROR(VLOOKUP(L114,SEGURO_TBL,3,0),"")</f>
        <v/>
      </c>
      <c r="DG114" s="3">
        <f>IF(DF114="",NEUTRO,MAX(0,MIN(100,100*(SEG_REF_MAX-DF114)/(SEG_REF_MAX-SEG_REF_MIN))))</f>
        <v/>
      </c>
      <c r="DH114" s="3">
        <f>IFERROR(VLOOKUP(E114,MANT_MARCA_TBL,2,0)+0,NEUTRO)</f>
        <v/>
      </c>
      <c r="DI114" s="3">
        <f>IF(DA114="",NEUTRO,IFERROR(VLOOKUP(DA114,DIST_PTS_TBL,2,0)+0,NEUTRO))</f>
        <v/>
      </c>
      <c r="DJ114" s="4">
        <f>(DH114+DI114)/2</f>
        <v/>
      </c>
      <c r="DK114" s="3">
        <f>W_CONS*DE114+W_SEG*DG114+W_MANT*DJ114</f>
        <v/>
      </c>
      <c r="DL114" s="3">
        <f>IF(N(AB114)&gt;0,AB114,IF(AND(R114="profesional",SG_LEGAL_ON=1),GAR_LEGAL,0))</f>
        <v/>
      </c>
      <c r="DM114" s="3">
        <f>MAX(0,MIN(100,SG_GAR*MIN(1,DL114/SG_GAR_FULL)+SG_AMPL*(AC114="sí")+SG_KMC*(AF114="sí")+SG_REV*(N(AE114)&gt;0)+SG_DEV*MIN(1,N(AG114)/SG_DEV_FULL)+SG_HIST*(W114="sí")-IF(AND(R114="particular",DL114=0),SG_PART_PEN,0)))</f>
        <v/>
      </c>
      <c r="DN114" s="3">
        <f>IF(BK114="",NEUTRO,MAX(0,MIN(100,BK114/5*100)))</f>
        <v/>
      </c>
      <c r="DO114" s="3">
        <f>IF(BL114="sí",100,IF(BL114="no",0,NEUTRO))</f>
        <v/>
      </c>
      <c r="DP114" s="3">
        <f>SV_W_NCAP*DN114+SV_W_ESP*DO114</f>
        <v/>
      </c>
      <c r="DQ114" s="3">
        <f>MAX(0,MIN(100,ATR_BASE+ATR_ACAB*(BD114&lt;&gt;"")+IF(BE114="16+",ATR_LL16,IF(BE114="sí",ATR_LL,0))+ATR_FAROS*(BF114="sí")+ATR_TINT*(BG114="sí")-ATR_CHAPA*(BE114="chapa")))</f>
        <v/>
      </c>
      <c r="DR114" s="3">
        <f>EST_W_MOD*(BB114-1)/4*100+EST_W_ATR*DQ114</f>
        <v/>
      </c>
      <c r="DS114" s="3">
        <f>IF(BA114="",NEUTRO,IFERROR(VLOOKUP(BA114,COLOR_TBL,2,0)+0,NEUTRO))</f>
        <v/>
      </c>
      <c r="DT114" s="3">
        <f>MAX(0,MIN(100,100*N(BM114)/RV_N_FULL))</f>
        <v/>
      </c>
      <c r="DU114" s="3">
        <f>IF(OR(BN114="",N(BO114)&lt;RV_DIAS_MIN),NEUTRO,MAX(0,MIN(100,100*(RV_DIAS_CERO-BN114)/(RV_DIAS_CERO-RV_DIAS_FULL))))</f>
        <v/>
      </c>
      <c r="DV114" s="3">
        <f>RV_W_LIQ*DT114+RV_W_DIAS*DU114+RV_W_ETQ*DC114</f>
        <v/>
      </c>
      <c r="DW114" s="3">
        <f>IFERROR(VLOOKUP(L114,CARR_PEN_TBL,2,0),0)</f>
        <v/>
      </c>
      <c r="DX114" s="3">
        <f>W_FIAB*CS114+W_PRECIO*CU114+W_KMEDAD*CY114+W_ESTADO*DB114+W_USO*DK114+W_SEGURIDAD*DM114+W_SEGVIAL*DP114+W_ESTETICA*DR114+W_COLOR*DS114+W_REVENTA*DV114-DW114-EG114</f>
        <v/>
      </c>
      <c r="DY114" s="4">
        <f>IF(N(I114)&gt;0,I114,IFERROR(ROUND(_xlfn.NUMBERVALUE(LEFT(G114,FIND(" ",G114&amp;" ")-1),".")*1000,0),99999))</f>
        <v/>
      </c>
      <c r="DZ114" s="3">
        <f>IF(R114="profesional",0,IF(O114&lt;CUOTA_VALOR_MAX,IF(BW114&gt;ITP_TRAMO_ALTO,SUMIFS(CF_CUOTA,CF_MAS,ITP_TRAMO_ALTO,CF_CCMIN,"&lt;="&amp;DY114,CF_CCMAX,"&gt;="&amp;DY114),IF(BW114&gt;ITP_TRAMO_BAJO,SUMIFS(CF_CUOTA,CF_MAS,ITP_TRAMO_BAJO,CF_CCMIN,"&lt;="&amp;DY114,CF_CCMAX,"&gt;="&amp;DY114),O114*ITP_TIPO)),O114*ITP_TIPO))</f>
        <v/>
      </c>
      <c r="EA114" s="4">
        <f>IF(R114="profesional",N(AK114),0)</f>
        <v/>
      </c>
      <c r="EB114" s="3">
        <f>IF(AND(R114="profesional",ISNUMBER(AK114),AL114="sí"),0,TASA_DGT)</f>
        <v/>
      </c>
      <c r="EC114" s="3">
        <f>INFORME_DGT</f>
        <v/>
      </c>
      <c r="ED114" s="4">
        <f>O114+EA114+DZ114+EB114+EC114</f>
        <v/>
      </c>
      <c r="EE114" s="4">
        <f>ED114+N(DF114)</f>
        <v/>
      </c>
      <c r="EF114" s="3">
        <f>MAX(0,ED114-TOTAL_MAX)</f>
        <v/>
      </c>
      <c r="EG114" s="3">
        <f>EF114/100*PEN_100</f>
        <v/>
      </c>
      <c r="EH114" s="3">
        <f>IF(R114="particular",ED114+IF(AND(DA114&lt;&gt;"cadena",X114&lt;&gt;"sí"),RES_CORREA,0)+IF(AND(BJ114&lt;&gt;"sí",BW114&gt;=RES_NEUM_EDAD),RES_NEUM,0),"")</f>
        <v/>
      </c>
      <c r="EI114" s="3">
        <f>IF(ED114&lt;=TOTAL_MAX,"sí",IF(ED114&lt;=TECHO,"negociar","no"))</f>
        <v/>
      </c>
      <c r="EJ114" s="4">
        <f>ROUND(DX114,9)</f>
        <v/>
      </c>
      <c r="EK114" s="4">
        <f>IF(EI114&lt;&gt;"no",SUMPRODUCT(($EI$2:$EI$209&lt;&gt;"no")*($EJ$2:$EJ$209&gt;EJ114))+SUMPRODUCT(($EI$2:EI114&lt;&gt;"no")*($EJ$2:EJ114=EJ114)),"")</f>
        <v/>
      </c>
    </row>
    <row r="115">
      <c r="A115" s="2" t="inlineStr">
        <is>
          <t>ocasionplus:woyn0qad</t>
        </is>
      </c>
      <c r="B115" s="2" t="inlineStr">
        <is>
          <t>ocasionplus</t>
        </is>
      </c>
      <c r="C115" s="2" t="inlineStr">
        <is>
          <t>https://www.ocasionplus.com/coches-segunda-mano/peugeot-206-75-refri-con-175786km-2004-woyn0qad</t>
        </is>
      </c>
      <c r="D115" s="2" t="inlineStr">
        <is>
          <t>Peugeot 206 75 Refri (75 CV)</t>
        </is>
      </c>
      <c r="E115" s="2" t="inlineStr">
        <is>
          <t>Peugeot</t>
        </is>
      </c>
      <c r="F115" s="2" t="inlineStr">
        <is>
          <t>Peugeot 206</t>
        </is>
      </c>
      <c r="G115" s="2" t="inlineStr">
        <is>
          <t>1.4</t>
        </is>
      </c>
      <c r="H115" s="2" t="inlineStr">
        <is>
          <t>Peugeot 206 75 Refri (75 CV)</t>
        </is>
      </c>
      <c r="I115" s="2" t="n">
        <v>1360</v>
      </c>
      <c r="J115" s="2" t="n">
        <v>75</v>
      </c>
      <c r="K115" s="2" t="inlineStr">
        <is>
          <t>gasolina</t>
        </is>
      </c>
      <c r="L115" s="2" t="inlineStr">
        <is>
          <t>utilitario</t>
        </is>
      </c>
      <c r="M115" s="2" t="n">
        <v>2004</v>
      </c>
      <c r="N115" s="2" t="n">
        <v>175786</v>
      </c>
      <c r="O115" s="2" t="n">
        <v>4190</v>
      </c>
      <c r="P115" s="2" t="inlineStr">
        <is>
          <t>manual</t>
        </is>
      </c>
      <c r="Q115" s="2" t="inlineStr">
        <is>
          <t>no</t>
        </is>
      </c>
      <c r="R115" s="2" t="inlineStr">
        <is>
          <t>profesional</t>
        </is>
      </c>
      <c r="S115" s="2" t="inlineStr">
        <is>
          <t>Valencia - Sagunto (Sagunto, 46500)</t>
        </is>
      </c>
      <c r="T115" s="2" t="inlineStr">
        <is>
          <t>2026-07-27T00:00:00.000Z</t>
        </is>
      </c>
      <c r="U115" s="2" t="n">
        <v>28</v>
      </c>
      <c r="V115" s="2" t="inlineStr">
        <is>
          <t>sí</t>
        </is>
      </c>
      <c r="W115" s="2" t="inlineStr">
        <is>
          <t>sí</t>
        </is>
      </c>
      <c r="X115" s="2" t="n"/>
      <c r="Y115" s="2" t="n">
        <v>0</v>
      </c>
      <c r="Z115" s="2" t="inlineStr">
        <is>
          <t>sí</t>
        </is>
      </c>
      <c r="AA115" s="2" t="n"/>
      <c r="AB115" s="2" t="n">
        <v>12</v>
      </c>
      <c r="AC115" s="2" t="inlineStr">
        <is>
          <t>sí</t>
        </is>
      </c>
      <c r="AD115" s="2" t="n">
        <v>500</v>
      </c>
      <c r="AE115" s="2" t="n">
        <v>200</v>
      </c>
      <c r="AF115" s="2" t="inlineStr">
        <is>
          <t>sí</t>
        </is>
      </c>
      <c r="AG115" s="2" t="n"/>
      <c r="AH115" s="2" t="n">
        <v>4190</v>
      </c>
      <c r="AI115" s="2" t="n">
        <v>3700</v>
      </c>
      <c r="AJ115" s="2" t="inlineStr">
        <is>
          <t>sí</t>
        </is>
      </c>
      <c r="AK115" s="2" t="n">
        <v>350</v>
      </c>
      <c r="AL115" s="2" t="inlineStr">
        <is>
          <t>sí</t>
        </is>
      </c>
      <c r="AM115" s="2" t="n">
        <v>25.5</v>
      </c>
      <c r="AN115" s="2" t="inlineStr">
        <is>
          <t>5931DFD</t>
        </is>
      </c>
      <c r="AO115" s="2" t="inlineStr">
        <is>
          <t>2004-12-30</t>
        </is>
      </c>
      <c r="AP115" s="2" t="n">
        <v>2004</v>
      </c>
      <c r="AQ115" s="2" t="n">
        <v>12</v>
      </c>
      <c r="AR115" s="2" t="inlineStr">
        <is>
          <t>B</t>
        </is>
      </c>
      <c r="AS115" s="2" t="inlineStr">
        <is>
          <t>DGT</t>
        </is>
      </c>
      <c r="AT115" s="2" t="n"/>
      <c r="AU115" s="2" t="inlineStr">
        <is>
          <t>no</t>
        </is>
      </c>
      <c r="AV115" s="2" t="inlineStr">
        <is>
          <t>B</t>
        </is>
      </c>
      <c r="AW115" s="2" t="n"/>
      <c r="AX115" s="2" t="inlineStr">
        <is>
          <t>no</t>
        </is>
      </c>
      <c r="AY115" s="2" t="inlineStr">
        <is>
          <t>no</t>
        </is>
      </c>
      <c r="AZ115" s="2" t="inlineStr">
        <is>
          <t>Rojo</t>
        </is>
      </c>
      <c r="BA115" s="2" t="inlineStr">
        <is>
          <t>rojo</t>
        </is>
      </c>
      <c r="BB115" s="3" t="n">
        <v>2</v>
      </c>
      <c r="BC115" s="3" t="inlineStr">
        <is>
          <t>(por segmento)</t>
        </is>
      </c>
      <c r="BD115" s="2" t="n"/>
      <c r="BE115" s="2" t="inlineStr">
        <is>
          <t>chapa</t>
        </is>
      </c>
      <c r="BF115" s="2" t="n"/>
      <c r="BG115" s="2" t="inlineStr">
        <is>
          <t>sí</t>
        </is>
      </c>
      <c r="BH115" s="2" t="n"/>
      <c r="BI115" s="2" t="n"/>
      <c r="BJ115" s="2" t="n"/>
      <c r="BK115" s="2" t="n"/>
      <c r="BL115" s="2" t="n"/>
      <c r="BM115" s="2" t="n">
        <v>72</v>
      </c>
      <c r="BN115" s="2" t="n"/>
      <c r="BO115" s="2" t="n">
        <v>0</v>
      </c>
      <c r="BP115" s="2" t="n">
        <v>3575</v>
      </c>
      <c r="BQ115" s="2" t="n">
        <v>10</v>
      </c>
      <c r="BR115" s="2" t="inlineStr">
        <is>
          <t>modelo+año+km</t>
        </is>
      </c>
      <c r="BS115" s="2" t="n"/>
      <c r="BT115" s="2" t="inlineStr">
        <is>
          <t>vendedor profesional: sin ITP (operación con IVA/REBU, confirmar en factura); el precio anunciado (3.700 €) solo vale financiando; se usa el precio al contado; Euro NCAP de la generación PENDIENTE (seguridad neutra); revisar: no menciona la ITV; fiabilidad del modelo PENDIENTE de fuente (puntuación neutra)</t>
        </is>
      </c>
      <c r="BU115" s="2" t="inlineStr">
        <is>
          <t>Peugeot 206 75 Refri (75 CV)</t>
        </is>
      </c>
      <c r="BV115" s="2" t="inlineStr">
        <is>
          <t>https://www.ocasionplus.com/coches-segunda-mano/peugeot-206-75-refri-con-175786km-2004-woyn0qad (payload RSC 'vehicle') /home/user/Alopecia/buscador-coches/raw/ocasionplus/6c2878e70486e016.json</t>
        </is>
      </c>
      <c r="BW115" s="3">
        <f>MAX(ANIO_ACTUAL-M115,0)</f>
        <v/>
      </c>
      <c r="BX115" s="4">
        <f>N115/MAX(BW115,0.5)</f>
        <v/>
      </c>
      <c r="BY115" s="4">
        <f>F115</f>
        <v/>
      </c>
      <c r="BZ115" s="3">
        <f>BY115&amp;"|"&amp;INT(M115/SEG_ANIO)*SEG_ANIO</f>
        <v/>
      </c>
      <c r="CA115" s="3">
        <f>BZ115&amp;"|"&amp;INT(N115/SEG_KM)*SEG_KM</f>
        <v/>
      </c>
      <c r="CB115" s="4">
        <f>COUNTIF($BY$2:$BY$209,BY115)</f>
        <v/>
      </c>
      <c r="CC115" s="4">
        <f>COUNTIF($BZ$2:$BZ$209,BZ115)</f>
        <v/>
      </c>
      <c r="CD115" s="4">
        <f>COUNTIF($CA$2:$CA$209,CA115)</f>
        <v/>
      </c>
      <c r="CE115" s="3">
        <f t="array" ref="CE115">IF(N(BQ115)&gt;=MIN_N,BP115,IF(CD115&gt;=MIN_N,MEDIAN(IF($CA$2:$CA$209=CA115,$O$2:$O$209)),IF(CC115&gt;=MIN_N,MEDIAN(IF($BZ$2:$BZ$209=BZ115,$O$2:$O$209)),MEDIAN(IF($BY$2:$BY$209=BY115,$O$2:$O$209)))))</f>
        <v/>
      </c>
      <c r="CF115" s="3">
        <f>IF(N(BQ115)&gt;=MIN_N,"mercado "&amp;BR115,IF(CD115&gt;=MIN_N,"modelo+año+km",IF(CC115&gt;=MIN_N,"modelo+año","modelo")))</f>
        <v/>
      </c>
      <c r="CG115" s="4">
        <f>(CE115-O115)/CE115</f>
        <v/>
      </c>
      <c r="CH115" s="3">
        <f>IF(COUNTIFS(FR_FUEL,K115,FR_YEAR,AP115)&gt;0,1,0)</f>
        <v/>
      </c>
      <c r="CI115" s="3">
        <f>IF(COUNTIFS(FR_FUEL,K115,FR_YEAR,AP115-1)&gt;0,1,0)</f>
        <v/>
      </c>
      <c r="CJ115" s="4">
        <f>IF(N(AQ115)&gt;0,AP115*100+AQ115,IF(AND(CH115=1,CI115=1),(AP115-1)*100+1,AP115*100+1))</f>
        <v/>
      </c>
      <c r="CK115" s="3">
        <f>IF(OR(K115="hibrido",K115="glp",K115="gnc",K115="phev"),"ECO",IF(K115="electrico","CERO",IF(K115="gasolina",IF(CJ115&gt;=GAS_C_YM,"C",IF(CJ115&gt;=GAS_B_YM,"B","A")),IF(K115="diesel",IF(CJ115&gt;=DIE_C_YM,"C",IF(CJ115&gt;=DIE_B_YM,"B","A")),""))))</f>
        <v/>
      </c>
      <c r="CL115" s="2" t="inlineStr">
        <is>
          <t>B</t>
        </is>
      </c>
      <c r="CM115" s="4">
        <f>IF(AU115="sí","sí",IF(AS115="regla",IF(AND(N(AQ115)=0,CH115=1),"sí","no"),"no"))</f>
        <v/>
      </c>
      <c r="CN115" s="3">
        <f>IFERROR(VLOOKUP(F115,MOD_TBL,16,0),IFERROR(VLOOKUP(E115,OCU_TBL,2,0),NEUTRO))</f>
        <v/>
      </c>
      <c r="CO115" s="3">
        <f>SUMIFS(MOT_AJUSTE,MOT_MOTOR,G115,MOT_MARCA,E115,MOT_DESDE,"&lt;="&amp;M115,MOT_HASTA,"&gt;="&amp;M115)+SUMIFS(MOT_AJUSTE,MOT_MOTOR,G115,MOT_MARCA,"(todas)",MOT_DESDE,"&lt;="&amp;M115,MOT_HASTA,"&gt;="&amp;M115)+SUMIFS(MOT_AJUSTE,MOT_MOTOR,"(cualquiera)",MOT_MARCA,E115,MOT_DESDE,"&lt;="&amp;M115,MOT_HASTA,"&gt;="&amp;M115)</f>
        <v/>
      </c>
      <c r="CP115" s="3">
        <f>SUMIFS(COMB_AJUSTE,COMB_COMB,K115)</f>
        <v/>
      </c>
      <c r="CQ115" s="3">
        <f>COUNTIFS(MOT_MOTOR,G115,MOT_MARCA,E115,MOT_DESDE,"&lt;="&amp;M115,MOT_HASTA,"&gt;="&amp;M115)+COUNTIFS(MOT_MOTOR,G115,MOT_MARCA,"(todas)",MOT_DESDE,"&lt;="&amp;M115,MOT_HASTA,"&gt;="&amp;M115)+COUNTIFS(MOT_MOTOR,"(cualquiera)",MOT_MARCA,E115,MOT_DESDE,"&lt;="&amp;M115,MOT_HASTA,"&gt;="&amp;M115)</f>
        <v/>
      </c>
      <c r="CR115" s="3">
        <f>IF(AND(K115="diesel",CQ115=0),MIN(CN115,NEUTRO),CN115)</f>
        <v/>
      </c>
      <c r="CS115" s="3">
        <f>MAX(0,MIN(100,CR115+CO115+CP115-IF(AX115="sí",ROB_PEN,0)))</f>
        <v/>
      </c>
      <c r="CT115" s="3">
        <f>100-MAX(0,N115-KM_TOPE_DESDE)/1000*KM_TOPE_PTS</f>
        <v/>
      </c>
      <c r="CU115" s="3">
        <f>MAX(0,MIN(100,50+CG115*PRECIO_PEND,CT115))</f>
        <v/>
      </c>
      <c r="CV115" s="3">
        <f>MAX(0,100*(1-N115/KM_MAX))</f>
        <v/>
      </c>
      <c r="CW115" s="3">
        <f>IF(BX115&lt;KMA_SOSP,IF(AA115="sí",100,KMA_PEN),IF(BX115&lt;=KMA_IDEAL_MAX,100,MAX(0,100*(KMA_CERO-BX115)/(KMA_CERO-KMA_IDEAL_MAX))))</f>
        <v/>
      </c>
      <c r="CX115" s="3">
        <f>MAX(0,MIN(100,100*(M115-ANIO_MIN)/(ANIO_ACTUAL-ANIO_MIN)))</f>
        <v/>
      </c>
      <c r="CY115" s="3">
        <f>W_KMT*CV115+W_KMA*CW115+W_EDAD*CX115</f>
        <v/>
      </c>
      <c r="CZ115" s="4">
        <f>E115&amp;"|"&amp;G115</f>
        <v/>
      </c>
      <c r="DA115" s="3">
        <f>IFERROR(VLOOKUP(CZ115,DIST_TBL,2,0),"")</f>
        <v/>
      </c>
      <c r="DB115" s="3">
        <f>E_ITV*(V115="sí")+E_LIBRO*(W115="sí")+E_PROP*IF(Y115=1,1,IF(Y115=2,0.5,0))+E_CORREA*IF(OR(DA115="cadena",AND(X115="sí",BH115="sí")),1,IF(X115="sí",0.5,0))+E_FACT*(BI115="sí")</f>
        <v/>
      </c>
      <c r="DC115" s="3">
        <f>MAX(0,MIN(100,IFERROR(VLOOKUP(CL115,ETQ_TBL,2,0),0)-IF(CM115="sí",ETQ_PEN_DUD,IF(AS115="regla",ETQ_PEN_REGLA,0))))</f>
        <v/>
      </c>
      <c r="DD115" s="3">
        <f>IF(K115&lt;&gt;"gasolina","",IFERROR(VLOOKUP(F115,CONS_MOD_TBL,2,0),IFERROR(VLOOKUP(L115,CONS_SEG_TBL,2,0),"")))</f>
        <v/>
      </c>
      <c r="DE115" s="3">
        <f>IF(DD115="",NEUTRO,MAX(0,MIN(100,100*(CONS_REF_MAX-DD115)/(CONS_REF_MAX-CONS_REF_MIN))))</f>
        <v/>
      </c>
      <c r="DF115" s="3">
        <f>IFERROR(VLOOKUP(L115,SEGURO_TBL,3,0),"")</f>
        <v/>
      </c>
      <c r="DG115" s="3">
        <f>IF(DF115="",NEUTRO,MAX(0,MIN(100,100*(SEG_REF_MAX-DF115)/(SEG_REF_MAX-SEG_REF_MIN))))</f>
        <v/>
      </c>
      <c r="DH115" s="3">
        <f>IFERROR(VLOOKUP(E115,MANT_MARCA_TBL,2,0)+0,NEUTRO)</f>
        <v/>
      </c>
      <c r="DI115" s="3">
        <f>IF(DA115="",NEUTRO,IFERROR(VLOOKUP(DA115,DIST_PTS_TBL,2,0)+0,NEUTRO))</f>
        <v/>
      </c>
      <c r="DJ115" s="4">
        <f>(DH115+DI115)/2</f>
        <v/>
      </c>
      <c r="DK115" s="3">
        <f>W_CONS*DE115+W_SEG*DG115+W_MANT*DJ115</f>
        <v/>
      </c>
      <c r="DL115" s="3">
        <f>IF(N(AB115)&gt;0,AB115,IF(AND(R115="profesional",SG_LEGAL_ON=1),GAR_LEGAL,0))</f>
        <v/>
      </c>
      <c r="DM115" s="3">
        <f>MAX(0,MIN(100,SG_GAR*MIN(1,DL115/SG_GAR_FULL)+SG_AMPL*(AC115="sí")+SG_KMC*(AF115="sí")+SG_REV*(N(AE115)&gt;0)+SG_DEV*MIN(1,N(AG115)/SG_DEV_FULL)+SG_HIST*(W115="sí")-IF(AND(R115="particular",DL115=0),SG_PART_PEN,0)))</f>
        <v/>
      </c>
      <c r="DN115" s="3">
        <f>IF(BK115="",NEUTRO,MAX(0,MIN(100,BK115/5*100)))</f>
        <v/>
      </c>
      <c r="DO115" s="3">
        <f>IF(BL115="sí",100,IF(BL115="no",0,NEUTRO))</f>
        <v/>
      </c>
      <c r="DP115" s="3">
        <f>SV_W_NCAP*DN115+SV_W_ESP*DO115</f>
        <v/>
      </c>
      <c r="DQ115" s="3">
        <f>MAX(0,MIN(100,ATR_BASE+ATR_ACAB*(BD115&lt;&gt;"")+IF(BE115="16+",ATR_LL16,IF(BE115="sí",ATR_LL,0))+ATR_FAROS*(BF115="sí")+ATR_TINT*(BG115="sí")-ATR_CHAPA*(BE115="chapa")))</f>
        <v/>
      </c>
      <c r="DR115" s="3">
        <f>EST_W_MOD*(BB115-1)/4*100+EST_W_ATR*DQ115</f>
        <v/>
      </c>
      <c r="DS115" s="3">
        <f>IF(BA115="",NEUTRO,IFERROR(VLOOKUP(BA115,COLOR_TBL,2,0)+0,NEUTRO))</f>
        <v/>
      </c>
      <c r="DT115" s="3">
        <f>MAX(0,MIN(100,100*N(BM115)/RV_N_FULL))</f>
        <v/>
      </c>
      <c r="DU115" s="3">
        <f>IF(OR(BN115="",N(BO115)&lt;RV_DIAS_MIN),NEUTRO,MAX(0,MIN(100,100*(RV_DIAS_CERO-BN115)/(RV_DIAS_CERO-RV_DIAS_FULL))))</f>
        <v/>
      </c>
      <c r="DV115" s="3">
        <f>RV_W_LIQ*DT115+RV_W_DIAS*DU115+RV_W_ETQ*DC115</f>
        <v/>
      </c>
      <c r="DW115" s="3">
        <f>IFERROR(VLOOKUP(L115,CARR_PEN_TBL,2,0),0)</f>
        <v/>
      </c>
      <c r="DX115" s="3">
        <f>W_FIAB*CS115+W_PRECIO*CU115+W_KMEDAD*CY115+W_ESTADO*DB115+W_USO*DK115+W_SEGURIDAD*DM115+W_SEGVIAL*DP115+W_ESTETICA*DR115+W_COLOR*DS115+W_REVENTA*DV115-DW115-EG115</f>
        <v/>
      </c>
      <c r="DY115" s="4">
        <f>IF(N(I115)&gt;0,I115,IFERROR(ROUND(_xlfn.NUMBERVALUE(LEFT(G115,FIND(" ",G115&amp;" ")-1),".")*1000,0),99999))</f>
        <v/>
      </c>
      <c r="DZ115" s="3">
        <f>IF(R115="profesional",0,IF(O115&lt;CUOTA_VALOR_MAX,IF(BW115&gt;ITP_TRAMO_ALTO,SUMIFS(CF_CUOTA,CF_MAS,ITP_TRAMO_ALTO,CF_CCMIN,"&lt;="&amp;DY115,CF_CCMAX,"&gt;="&amp;DY115),IF(BW115&gt;ITP_TRAMO_BAJO,SUMIFS(CF_CUOTA,CF_MAS,ITP_TRAMO_BAJO,CF_CCMIN,"&lt;="&amp;DY115,CF_CCMAX,"&gt;="&amp;DY115),O115*ITP_TIPO)),O115*ITP_TIPO))</f>
        <v/>
      </c>
      <c r="EA115" s="4">
        <f>IF(R115="profesional",N(AK115),0)</f>
        <v/>
      </c>
      <c r="EB115" s="3">
        <f>IF(AND(R115="profesional",ISNUMBER(AK115),AL115="sí"),0,TASA_DGT)</f>
        <v/>
      </c>
      <c r="EC115" s="3">
        <f>INFORME_DGT</f>
        <v/>
      </c>
      <c r="ED115" s="4">
        <f>O115+EA115+DZ115+EB115+EC115</f>
        <v/>
      </c>
      <c r="EE115" s="4">
        <f>ED115+N(DF115)</f>
        <v/>
      </c>
      <c r="EF115" s="3">
        <f>MAX(0,ED115-TOTAL_MAX)</f>
        <v/>
      </c>
      <c r="EG115" s="3">
        <f>EF115/100*PEN_100</f>
        <v/>
      </c>
      <c r="EH115" s="3">
        <f>IF(R115="particular",ED115+IF(AND(DA115&lt;&gt;"cadena",X115&lt;&gt;"sí"),RES_CORREA,0)+IF(AND(BJ115&lt;&gt;"sí",BW115&gt;=RES_NEUM_EDAD),RES_NEUM,0),"")</f>
        <v/>
      </c>
      <c r="EI115" s="3">
        <f>IF(ED115&lt;=TOTAL_MAX,"sí",IF(ED115&lt;=TECHO,"negociar","no"))</f>
        <v/>
      </c>
      <c r="EJ115" s="4">
        <f>ROUND(DX115,9)</f>
        <v/>
      </c>
      <c r="EK115" s="4">
        <f>IF(EI115&lt;&gt;"no",SUMPRODUCT(($EI$2:$EI$209&lt;&gt;"no")*($EJ$2:$EJ$209&gt;EJ115))+SUMPRODUCT(($EI$2:EI115&lt;&gt;"no")*($EJ$2:EJ115=EJ115)),"")</f>
        <v/>
      </c>
    </row>
    <row r="116">
      <c r="A116" s="2" t="inlineStr">
        <is>
          <t>ocasionplus:vvmwmqa1</t>
        </is>
      </c>
      <c r="B116" s="2" t="inlineStr">
        <is>
          <t>ocasionplus</t>
        </is>
      </c>
      <c r="C116" s="2" t="inlineStr">
        <is>
          <t>https://www.ocasionplus.com/coches-segunda-mano/ford-focus-16-trend-con-124702km-2005-vvmwmqa1</t>
        </is>
      </c>
      <c r="D116" s="2" t="inlineStr">
        <is>
          <t>Ford Focus 1.6 Trend (100 CV)</t>
        </is>
      </c>
      <c r="E116" s="2" t="inlineStr">
        <is>
          <t>Ford</t>
        </is>
      </c>
      <c r="F116" s="2" t="inlineStr">
        <is>
          <t>Ford Focus</t>
        </is>
      </c>
      <c r="G116" s="2" t="inlineStr">
        <is>
          <t>1.6</t>
        </is>
      </c>
      <c r="H116" s="2" t="inlineStr">
        <is>
          <t>Ford Focus 1.6 Trend (100 CV)</t>
        </is>
      </c>
      <c r="I116" s="2" t="n">
        <v>1596</v>
      </c>
      <c r="J116" s="2" t="n">
        <v>100</v>
      </c>
      <c r="K116" s="2" t="inlineStr">
        <is>
          <t>gasolina</t>
        </is>
      </c>
      <c r="L116" s="2" t="inlineStr">
        <is>
          <t>compacto</t>
        </is>
      </c>
      <c r="M116" s="2" t="n">
        <v>2005</v>
      </c>
      <c r="N116" s="2" t="n">
        <v>124702</v>
      </c>
      <c r="O116" s="2" t="n">
        <v>4790</v>
      </c>
      <c r="P116" s="2" t="inlineStr">
        <is>
          <t>manual</t>
        </is>
      </c>
      <c r="Q116" s="2" t="inlineStr">
        <is>
          <t>no</t>
        </is>
      </c>
      <c r="R116" s="2" t="inlineStr">
        <is>
          <t>profesional</t>
        </is>
      </c>
      <c r="S116" s="2" t="inlineStr">
        <is>
          <t>Valencia - Paterna (Paterna, 46980)</t>
        </is>
      </c>
      <c r="T116" s="2" t="inlineStr">
        <is>
          <t>2026-07-09T00:00:00.000Z</t>
        </is>
      </c>
      <c r="U116" s="2" t="n">
        <v>27</v>
      </c>
      <c r="V116" s="2" t="inlineStr">
        <is>
          <t>sí</t>
        </is>
      </c>
      <c r="W116" s="2" t="n"/>
      <c r="X116" s="2" t="n"/>
      <c r="Y116" s="2" t="n">
        <v>0</v>
      </c>
      <c r="Z116" s="2" t="inlineStr">
        <is>
          <t>sí</t>
        </is>
      </c>
      <c r="AA116" s="2" t="n"/>
      <c r="AB116" s="2" t="n">
        <v>12</v>
      </c>
      <c r="AC116" s="2" t="inlineStr">
        <is>
          <t>sí</t>
        </is>
      </c>
      <c r="AD116" s="2" t="n">
        <v>600</v>
      </c>
      <c r="AE116" s="2" t="n">
        <v>200</v>
      </c>
      <c r="AF116" s="2" t="inlineStr">
        <is>
          <t>sí</t>
        </is>
      </c>
      <c r="AG116" s="2" t="n"/>
      <c r="AH116" s="2" t="n">
        <v>4790</v>
      </c>
      <c r="AI116" s="2" t="n">
        <v>4140</v>
      </c>
      <c r="AJ116" s="2" t="inlineStr">
        <is>
          <t>sí</t>
        </is>
      </c>
      <c r="AK116" s="2" t="n">
        <v>350</v>
      </c>
      <c r="AL116" s="2" t="inlineStr">
        <is>
          <t>sí</t>
        </is>
      </c>
      <c r="AM116" s="2" t="n">
        <v>5.9</v>
      </c>
      <c r="AN116" s="2" t="inlineStr">
        <is>
          <t>6166DKJ</t>
        </is>
      </c>
      <c r="AO116" s="2" t="inlineStr">
        <is>
          <t>2005-05-12</t>
        </is>
      </c>
      <c r="AP116" s="2" t="n">
        <v>2005</v>
      </c>
      <c r="AQ116" s="2" t="n">
        <v>5</v>
      </c>
      <c r="AR116" s="2" t="inlineStr">
        <is>
          <t>B</t>
        </is>
      </c>
      <c r="AS116" s="2" t="inlineStr">
        <is>
          <t>DGT</t>
        </is>
      </c>
      <c r="AT116" s="2" t="n"/>
      <c r="AU116" s="2" t="inlineStr">
        <is>
          <t>no</t>
        </is>
      </c>
      <c r="AV116" s="2" t="inlineStr">
        <is>
          <t>B</t>
        </is>
      </c>
      <c r="AW116" s="2" t="n"/>
      <c r="AX116" s="2" t="inlineStr">
        <is>
          <t>no</t>
        </is>
      </c>
      <c r="AY116" s="2" t="inlineStr">
        <is>
          <t>no</t>
        </is>
      </c>
      <c r="AZ116" s="2" t="inlineStr">
        <is>
          <t>Gris Plata</t>
        </is>
      </c>
      <c r="BA116" s="2" t="inlineStr">
        <is>
          <t>plata</t>
        </is>
      </c>
      <c r="BB116" s="3" t="n">
        <v>3</v>
      </c>
      <c r="BC116" s="3" t="inlineStr">
        <is>
          <t>(por segmento)</t>
        </is>
      </c>
      <c r="BD116" s="2" t="n"/>
      <c r="BE116" s="2" t="inlineStr">
        <is>
          <t>chapa</t>
        </is>
      </c>
      <c r="BF116" s="2" t="n"/>
      <c r="BG116" s="2" t="inlineStr">
        <is>
          <t>sí</t>
        </is>
      </c>
      <c r="BH116" s="2" t="n"/>
      <c r="BI116" s="2" t="n"/>
      <c r="BJ116" s="2" t="n"/>
      <c r="BK116" s="2" t="n">
        <v>5</v>
      </c>
      <c r="BL116" s="2" t="n"/>
      <c r="BM116" s="2" t="n">
        <v>421</v>
      </c>
      <c r="BN116" s="2" t="n">
        <v>0.05126157402992249</v>
      </c>
      <c r="BO116" s="2" t="n">
        <v>7</v>
      </c>
      <c r="BP116" s="2" t="n">
        <v>4295</v>
      </c>
      <c r="BQ116" s="2" t="n">
        <v>4</v>
      </c>
      <c r="BR116" s="2" t="inlineStr">
        <is>
          <t>modelo+año+km</t>
        </is>
      </c>
      <c r="BS116" s="2" t="n"/>
      <c r="BT116" s="2" t="inlineStr">
        <is>
          <t>por encima del presupuesto: negociar 149 € (coste 5149 €; -3.0 puntos); vendedor profesional: sin ITP (operación con IVA/REBU, confirmar en factura); el precio anunciado (4.140 €) solo vale financiando; se usa el precio al contado; revisar: no menciona la ITV</t>
        </is>
      </c>
      <c r="BU116" s="2" t="inlineStr">
        <is>
          <t>Ford Focus 1.6 Trend (100 CV)</t>
        </is>
      </c>
      <c r="BV116" s="2" t="inlineStr">
        <is>
          <t>https://www.ocasionplus.com/coches-segunda-mano/ford-focus-16-trend-con-124702km-2005-vvmwmqa1 (payload RSC 'vehicle') /home/user/Alopecia/buscador-coches/raw/ocasionplus/50e81a123b3be9d0.json</t>
        </is>
      </c>
      <c r="BW116" s="3">
        <f>MAX(ANIO_ACTUAL-M116,0)</f>
        <v/>
      </c>
      <c r="BX116" s="4">
        <f>N116/MAX(BW116,0.5)</f>
        <v/>
      </c>
      <c r="BY116" s="4">
        <f>F116</f>
        <v/>
      </c>
      <c r="BZ116" s="3">
        <f>BY116&amp;"|"&amp;INT(M116/SEG_ANIO)*SEG_ANIO</f>
        <v/>
      </c>
      <c r="CA116" s="3">
        <f>BZ116&amp;"|"&amp;INT(N116/SEG_KM)*SEG_KM</f>
        <v/>
      </c>
      <c r="CB116" s="4">
        <f>COUNTIF($BY$2:$BY$209,BY116)</f>
        <v/>
      </c>
      <c r="CC116" s="4">
        <f>COUNTIF($BZ$2:$BZ$209,BZ116)</f>
        <v/>
      </c>
      <c r="CD116" s="4">
        <f>COUNTIF($CA$2:$CA$209,CA116)</f>
        <v/>
      </c>
      <c r="CE116" s="3">
        <f t="array" ref="CE116">IF(N(BQ116)&gt;=MIN_N,BP116,IF(CD116&gt;=MIN_N,MEDIAN(IF($CA$2:$CA$209=CA116,$O$2:$O$209)),IF(CC116&gt;=MIN_N,MEDIAN(IF($BZ$2:$BZ$209=BZ116,$O$2:$O$209)),MEDIAN(IF($BY$2:$BY$209=BY116,$O$2:$O$209)))))</f>
        <v/>
      </c>
      <c r="CF116" s="3">
        <f>IF(N(BQ116)&gt;=MIN_N,"mercado "&amp;BR116,IF(CD116&gt;=MIN_N,"modelo+año+km",IF(CC116&gt;=MIN_N,"modelo+año","modelo")))</f>
        <v/>
      </c>
      <c r="CG116" s="4">
        <f>(CE116-O116)/CE116</f>
        <v/>
      </c>
      <c r="CH116" s="3">
        <f>IF(COUNTIFS(FR_FUEL,K116,FR_YEAR,AP116)&gt;0,1,0)</f>
        <v/>
      </c>
      <c r="CI116" s="3">
        <f>IF(COUNTIFS(FR_FUEL,K116,FR_YEAR,AP116-1)&gt;0,1,0)</f>
        <v/>
      </c>
      <c r="CJ116" s="4">
        <f>IF(N(AQ116)&gt;0,AP116*100+AQ116,IF(AND(CH116=1,CI116=1),(AP116-1)*100+1,AP116*100+1))</f>
        <v/>
      </c>
      <c r="CK116" s="3">
        <f>IF(OR(K116="hibrido",K116="glp",K116="gnc",K116="phev"),"ECO",IF(K116="electrico","CERO",IF(K116="gasolina",IF(CJ116&gt;=GAS_C_YM,"C",IF(CJ116&gt;=GAS_B_YM,"B","A")),IF(K116="diesel",IF(CJ116&gt;=DIE_C_YM,"C",IF(CJ116&gt;=DIE_B_YM,"B","A")),""))))</f>
        <v/>
      </c>
      <c r="CL116" s="2" t="inlineStr">
        <is>
          <t>B</t>
        </is>
      </c>
      <c r="CM116" s="4">
        <f>IF(AU116="sí","sí",IF(AS116="regla",IF(AND(N(AQ116)=0,CH116=1),"sí","no"),"no"))</f>
        <v/>
      </c>
      <c r="CN116" s="3">
        <f>IFERROR(VLOOKUP(F116,MOD_TBL,16,0),IFERROR(VLOOKUP(E116,OCU_TBL,2,0),NEUTRO))</f>
        <v/>
      </c>
      <c r="CO116" s="3">
        <f>SUMIFS(MOT_AJUSTE,MOT_MOTOR,G116,MOT_MARCA,E116,MOT_DESDE,"&lt;="&amp;M116,MOT_HASTA,"&gt;="&amp;M116)+SUMIFS(MOT_AJUSTE,MOT_MOTOR,G116,MOT_MARCA,"(todas)",MOT_DESDE,"&lt;="&amp;M116,MOT_HASTA,"&gt;="&amp;M116)+SUMIFS(MOT_AJUSTE,MOT_MOTOR,"(cualquiera)",MOT_MARCA,E116,MOT_DESDE,"&lt;="&amp;M116,MOT_HASTA,"&gt;="&amp;M116)</f>
        <v/>
      </c>
      <c r="CP116" s="3">
        <f>SUMIFS(COMB_AJUSTE,COMB_COMB,K116)</f>
        <v/>
      </c>
      <c r="CQ116" s="3">
        <f>COUNTIFS(MOT_MOTOR,G116,MOT_MARCA,E116,MOT_DESDE,"&lt;="&amp;M116,MOT_HASTA,"&gt;="&amp;M116)+COUNTIFS(MOT_MOTOR,G116,MOT_MARCA,"(todas)",MOT_DESDE,"&lt;="&amp;M116,MOT_HASTA,"&gt;="&amp;M116)+COUNTIFS(MOT_MOTOR,"(cualquiera)",MOT_MARCA,E116,MOT_DESDE,"&lt;="&amp;M116,MOT_HASTA,"&gt;="&amp;M116)</f>
        <v/>
      </c>
      <c r="CR116" s="3">
        <f>IF(AND(K116="diesel",CQ116=0),MIN(CN116,NEUTRO),CN116)</f>
        <v/>
      </c>
      <c r="CS116" s="3">
        <f>MAX(0,MIN(100,CR116+CO116+CP116-IF(AX116="sí",ROB_PEN,0)))</f>
        <v/>
      </c>
      <c r="CT116" s="3">
        <f>100-MAX(0,N116-KM_TOPE_DESDE)/1000*KM_TOPE_PTS</f>
        <v/>
      </c>
      <c r="CU116" s="3">
        <f>MAX(0,MIN(100,50+CG116*PRECIO_PEND,CT116))</f>
        <v/>
      </c>
      <c r="CV116" s="3">
        <f>MAX(0,100*(1-N116/KM_MAX))</f>
        <v/>
      </c>
      <c r="CW116" s="3">
        <f>IF(BX116&lt;KMA_SOSP,IF(AA116="sí",100,KMA_PEN),IF(BX116&lt;=KMA_IDEAL_MAX,100,MAX(0,100*(KMA_CERO-BX116)/(KMA_CERO-KMA_IDEAL_MAX))))</f>
        <v/>
      </c>
      <c r="CX116" s="3">
        <f>MAX(0,MIN(100,100*(M116-ANIO_MIN)/(ANIO_ACTUAL-ANIO_MIN)))</f>
        <v/>
      </c>
      <c r="CY116" s="3">
        <f>W_KMT*CV116+W_KMA*CW116+W_EDAD*CX116</f>
        <v/>
      </c>
      <c r="CZ116" s="4">
        <f>E116&amp;"|"&amp;G116</f>
        <v/>
      </c>
      <c r="DA116" s="3">
        <f>IFERROR(VLOOKUP(CZ116,DIST_TBL,2,0),"")</f>
        <v/>
      </c>
      <c r="DB116" s="3">
        <f>E_ITV*(V116="sí")+E_LIBRO*(W116="sí")+E_PROP*IF(Y116=1,1,IF(Y116=2,0.5,0))+E_CORREA*IF(OR(DA116="cadena",AND(X116="sí",BH116="sí")),1,IF(X116="sí",0.5,0))+E_FACT*(BI116="sí")</f>
        <v/>
      </c>
      <c r="DC116" s="3">
        <f>MAX(0,MIN(100,IFERROR(VLOOKUP(CL116,ETQ_TBL,2,0),0)-IF(CM116="sí",ETQ_PEN_DUD,IF(AS116="regla",ETQ_PEN_REGLA,0))))</f>
        <v/>
      </c>
      <c r="DD116" s="3">
        <f>IF(K116&lt;&gt;"gasolina","",IFERROR(VLOOKUP(F116,CONS_MOD_TBL,2,0),IFERROR(VLOOKUP(L116,CONS_SEG_TBL,2,0),"")))</f>
        <v/>
      </c>
      <c r="DE116" s="3">
        <f>IF(DD116="",NEUTRO,MAX(0,MIN(100,100*(CONS_REF_MAX-DD116)/(CONS_REF_MAX-CONS_REF_MIN))))</f>
        <v/>
      </c>
      <c r="DF116" s="3">
        <f>IFERROR(VLOOKUP(L116,SEGURO_TBL,3,0),"")</f>
        <v/>
      </c>
      <c r="DG116" s="3">
        <f>IF(DF116="",NEUTRO,MAX(0,MIN(100,100*(SEG_REF_MAX-DF116)/(SEG_REF_MAX-SEG_REF_MIN))))</f>
        <v/>
      </c>
      <c r="DH116" s="3">
        <f>IFERROR(VLOOKUP(E116,MANT_MARCA_TBL,2,0)+0,NEUTRO)</f>
        <v/>
      </c>
      <c r="DI116" s="3">
        <f>IF(DA116="",NEUTRO,IFERROR(VLOOKUP(DA116,DIST_PTS_TBL,2,0)+0,NEUTRO))</f>
        <v/>
      </c>
      <c r="DJ116" s="4">
        <f>(DH116+DI116)/2</f>
        <v/>
      </c>
      <c r="DK116" s="3">
        <f>W_CONS*DE116+W_SEG*DG116+W_MANT*DJ116</f>
        <v/>
      </c>
      <c r="DL116" s="3">
        <f>IF(N(AB116)&gt;0,AB116,IF(AND(R116="profesional",SG_LEGAL_ON=1),GAR_LEGAL,0))</f>
        <v/>
      </c>
      <c r="DM116" s="3">
        <f>MAX(0,MIN(100,SG_GAR*MIN(1,DL116/SG_GAR_FULL)+SG_AMPL*(AC116="sí")+SG_KMC*(AF116="sí")+SG_REV*(N(AE116)&gt;0)+SG_DEV*MIN(1,N(AG116)/SG_DEV_FULL)+SG_HIST*(W116="sí")-IF(AND(R116="particular",DL116=0),SG_PART_PEN,0)))</f>
        <v/>
      </c>
      <c r="DN116" s="3">
        <f>IF(BK116="",NEUTRO,MAX(0,MIN(100,BK116/5*100)))</f>
        <v/>
      </c>
      <c r="DO116" s="3">
        <f>IF(BL116="sí",100,IF(BL116="no",0,NEUTRO))</f>
        <v/>
      </c>
      <c r="DP116" s="3">
        <f>SV_W_NCAP*DN116+SV_W_ESP*DO116</f>
        <v/>
      </c>
      <c r="DQ116" s="3">
        <f>MAX(0,MIN(100,ATR_BASE+ATR_ACAB*(BD116&lt;&gt;"")+IF(BE116="16+",ATR_LL16,IF(BE116="sí",ATR_LL,0))+ATR_FAROS*(BF116="sí")+ATR_TINT*(BG116="sí")-ATR_CHAPA*(BE116="chapa")))</f>
        <v/>
      </c>
      <c r="DR116" s="3">
        <f>EST_W_MOD*(BB116-1)/4*100+EST_W_ATR*DQ116</f>
        <v/>
      </c>
      <c r="DS116" s="3">
        <f>IF(BA116="",NEUTRO,IFERROR(VLOOKUP(BA116,COLOR_TBL,2,0)+0,NEUTRO))</f>
        <v/>
      </c>
      <c r="DT116" s="3">
        <f>MAX(0,MIN(100,100*N(BM116)/RV_N_FULL))</f>
        <v/>
      </c>
      <c r="DU116" s="3">
        <f>IF(OR(BN116="",N(BO116)&lt;RV_DIAS_MIN),NEUTRO,MAX(0,MIN(100,100*(RV_DIAS_CERO-BN116)/(RV_DIAS_CERO-RV_DIAS_FULL))))</f>
        <v/>
      </c>
      <c r="DV116" s="3">
        <f>RV_W_LIQ*DT116+RV_W_DIAS*DU116+RV_W_ETQ*DC116</f>
        <v/>
      </c>
      <c r="DW116" s="3">
        <f>IFERROR(VLOOKUP(L116,CARR_PEN_TBL,2,0),0)</f>
        <v/>
      </c>
      <c r="DX116" s="3">
        <f>W_FIAB*CS116+W_PRECIO*CU116+W_KMEDAD*CY116+W_ESTADO*DB116+W_USO*DK116+W_SEGURIDAD*DM116+W_SEGVIAL*DP116+W_ESTETICA*DR116+W_COLOR*DS116+W_REVENTA*DV116-DW116-EG116</f>
        <v/>
      </c>
      <c r="DY116" s="4">
        <f>IF(N(I116)&gt;0,I116,IFERROR(ROUND(_xlfn.NUMBERVALUE(LEFT(G116,FIND(" ",G116&amp;" ")-1),".")*1000,0),99999))</f>
        <v/>
      </c>
      <c r="DZ116" s="3">
        <f>IF(R116="profesional",0,IF(O116&lt;CUOTA_VALOR_MAX,IF(BW116&gt;ITP_TRAMO_ALTO,SUMIFS(CF_CUOTA,CF_MAS,ITP_TRAMO_ALTO,CF_CCMIN,"&lt;="&amp;DY116,CF_CCMAX,"&gt;="&amp;DY116),IF(BW116&gt;ITP_TRAMO_BAJO,SUMIFS(CF_CUOTA,CF_MAS,ITP_TRAMO_BAJO,CF_CCMIN,"&lt;="&amp;DY116,CF_CCMAX,"&gt;="&amp;DY116),O116*ITP_TIPO)),O116*ITP_TIPO))</f>
        <v/>
      </c>
      <c r="EA116" s="4">
        <f>IF(R116="profesional",N(AK116),0)</f>
        <v/>
      </c>
      <c r="EB116" s="3">
        <f>IF(AND(R116="profesional",ISNUMBER(AK116),AL116="sí"),0,TASA_DGT)</f>
        <v/>
      </c>
      <c r="EC116" s="3">
        <f>INFORME_DGT</f>
        <v/>
      </c>
      <c r="ED116" s="4">
        <f>O116+EA116+DZ116+EB116+EC116</f>
        <v/>
      </c>
      <c r="EE116" s="4">
        <f>ED116+N(DF116)</f>
        <v/>
      </c>
      <c r="EF116" s="3">
        <f>MAX(0,ED116-TOTAL_MAX)</f>
        <v/>
      </c>
      <c r="EG116" s="3">
        <f>EF116/100*PEN_100</f>
        <v/>
      </c>
      <c r="EH116" s="3">
        <f>IF(R116="particular",ED116+IF(AND(DA116&lt;&gt;"cadena",X116&lt;&gt;"sí"),RES_CORREA,0)+IF(AND(BJ116&lt;&gt;"sí",BW116&gt;=RES_NEUM_EDAD),RES_NEUM,0),"")</f>
        <v/>
      </c>
      <c r="EI116" s="3">
        <f>IF(ED116&lt;=TOTAL_MAX,"sí",IF(ED116&lt;=TECHO,"negociar","no"))</f>
        <v/>
      </c>
      <c r="EJ116" s="4">
        <f>ROUND(DX116,9)</f>
        <v/>
      </c>
      <c r="EK116" s="4">
        <f>IF(EI116&lt;&gt;"no",SUMPRODUCT(($EI$2:$EI$209&lt;&gt;"no")*($EJ$2:$EJ$209&gt;EJ116))+SUMPRODUCT(($EI$2:EI116&lt;&gt;"no")*($EJ$2:EJ116=EJ116)),"")</f>
        <v/>
      </c>
    </row>
    <row r="117">
      <c r="A117" s="2" t="inlineStr">
        <is>
          <t>autoscout24:a5f130c9-c592-4650-9de1-2b5e7248cf67</t>
        </is>
      </c>
      <c r="B117" s="2" t="inlineStr">
        <is>
          <t>autoscout24</t>
        </is>
      </c>
      <c r="C117" s="2" t="inlineStr">
        <is>
          <t>https://www.autoscout24.es/anuncios/kia-picanto-1-1-ex-gasolina-azul-cat_ma39mo18417-a5f130c9-c592-4650-9de1-2b5e7248cf67</t>
        </is>
      </c>
      <c r="D117" s="2" t="inlineStr">
        <is>
          <t>Kia Picanto 1.1 EX</t>
        </is>
      </c>
      <c r="E117" s="2" t="inlineStr">
        <is>
          <t>Kia</t>
        </is>
      </c>
      <c r="F117" s="2" t="inlineStr">
        <is>
          <t>Kia Picanto</t>
        </is>
      </c>
      <c r="G117" s="2" t="inlineStr">
        <is>
          <t>1.1</t>
        </is>
      </c>
      <c r="H117" s="2" t="inlineStr">
        <is>
          <t>1.1 EX 1.1</t>
        </is>
      </c>
      <c r="I117" s="2" t="n">
        <v>1086</v>
      </c>
      <c r="J117" s="2" t="n">
        <v>65</v>
      </c>
      <c r="K117" s="2" t="inlineStr">
        <is>
          <t>gasolina</t>
        </is>
      </c>
      <c r="L117" s="2" t="inlineStr">
        <is>
          <t>utilitario</t>
        </is>
      </c>
      <c r="M117" s="2" t="n">
        <v>2004</v>
      </c>
      <c r="N117" s="2" t="n">
        <v>189000</v>
      </c>
      <c r="O117" s="2" t="n">
        <v>2200</v>
      </c>
      <c r="P117" s="2" t="inlineStr">
        <is>
          <t>manual</t>
        </is>
      </c>
      <c r="Q117" s="2" t="inlineStr">
        <is>
          <t>no</t>
        </is>
      </c>
      <c r="R117" s="2" t="inlineStr">
        <is>
          <t>profesional</t>
        </is>
      </c>
      <c r="S117" s="2" t="inlineStr">
        <is>
          <t>Cañada 29 Automóviles — VALENCIA (46017)</t>
        </is>
      </c>
      <c r="T117" s="2" t="n"/>
      <c r="U117" s="2" t="n">
        <v>19</v>
      </c>
      <c r="V117" s="2" t="n"/>
      <c r="W117" s="2" t="n"/>
      <c r="X117" s="2" t="n"/>
      <c r="Y117" s="2" t="n"/>
      <c r="Z117" s="2" t="n"/>
      <c r="AA117" s="2" t="n"/>
      <c r="AB117" s="2" t="n"/>
      <c r="AC117" s="2" t="n"/>
      <c r="AD117" s="2" t="n"/>
      <c r="AE117" s="2" t="n"/>
      <c r="AF117" s="2" t="n"/>
      <c r="AG117" s="2" t="n"/>
      <c r="AH117" s="2" t="n"/>
      <c r="AI117" s="2" t="n"/>
      <c r="AJ117" s="2" t="n"/>
      <c r="AK117" s="2" t="n"/>
      <c r="AL117" s="2" t="n"/>
      <c r="AM117" s="2" t="n">
        <v>2.9</v>
      </c>
      <c r="AN117" s="2" t="n"/>
      <c r="AO117" s="2" t="inlineStr">
        <is>
          <t>2004-11</t>
        </is>
      </c>
      <c r="AP117" s="2" t="n">
        <v>2004</v>
      </c>
      <c r="AQ117" s="2" t="n">
        <v>11</v>
      </c>
      <c r="AR117" s="2" t="n"/>
      <c r="AS117" s="2" t="inlineStr">
        <is>
          <t>regla</t>
        </is>
      </c>
      <c r="AT117" s="2" t="n"/>
      <c r="AU117" s="2" t="inlineStr">
        <is>
          <t>no</t>
        </is>
      </c>
      <c r="AV117" s="2" t="inlineStr">
        <is>
          <t>B</t>
        </is>
      </c>
      <c r="AW117" s="2" t="n"/>
      <c r="AX117" s="2" t="inlineStr">
        <is>
          <t>no</t>
        </is>
      </c>
      <c r="AY117" s="2" t="inlineStr">
        <is>
          <t>no</t>
        </is>
      </c>
      <c r="AZ117" s="2" t="inlineStr">
        <is>
          <t>Azul</t>
        </is>
      </c>
      <c r="BA117" s="2" t="inlineStr">
        <is>
          <t>azul</t>
        </is>
      </c>
      <c r="BB117" s="3" t="n">
        <v>2</v>
      </c>
      <c r="BC117" s="3" t="inlineStr">
        <is>
          <t>(por segmento)</t>
        </is>
      </c>
      <c r="BD117" s="2" t="n"/>
      <c r="BE117" s="2" t="n"/>
      <c r="BF117" s="2" t="n"/>
      <c r="BG117" s="2" t="n"/>
      <c r="BH117" s="2" t="n"/>
      <c r="BI117" s="2" t="n"/>
      <c r="BJ117" s="2" t="n"/>
      <c r="BK117" s="2" t="n">
        <v>3</v>
      </c>
      <c r="BL117" s="2" t="inlineStr">
        <is>
          <t>no</t>
        </is>
      </c>
      <c r="BM117" s="2" t="n">
        <v>130</v>
      </c>
      <c r="BN117" s="2" t="n"/>
      <c r="BO117" s="2" t="n">
        <v>0</v>
      </c>
      <c r="BP117" s="2" t="n">
        <v>2800</v>
      </c>
      <c r="BQ117" s="2" t="n">
        <v>7</v>
      </c>
      <c r="BR117" s="2" t="inlineStr">
        <is>
          <t>modelo+año</t>
        </is>
      </c>
      <c r="BS117" s="2" t="inlineStr">
        <is>
          <t>wallapop:1306731159 (https://es.wallapop.com/item/kia-picanto-2004-1306731159)</t>
        </is>
      </c>
      <c r="BT117" s="2" t="inlineStr">
        <is>
          <t>vendedor profesional: sin ITP (operación con IVA/REBU, confirmar en factura); gastos de gestión del vendedor no indicados: se suma la tasa DGT; preguntar el precio final; etiqueta B deducida por fecha (sin matrícula ni dato del anuncio)</t>
        </is>
      </c>
      <c r="BU117" s="2" t="inlineStr">
        <is>
          <t>buen estado general , revisiones al dia se entrega con itv para un año !&lt;br /&gt;aire acondiccionado , elevalunas y retrovisores electicos , cierre con mando , radio cd, direccion asistida !&lt;br /&gt;COMPRAMOS TODO TIPO DE VEHICULOS ! PAGO AL INSTANTE !&lt;br /&gt;OFERTA CON CARACTER INFORMATIVO ,PUEDE CONTENER ERRORES Y NO ES VINCULANTE !&lt;br /&gt;</t>
        </is>
      </c>
      <c r="BV117" s="2" t="inlineStr">
        <is>
          <t>https://www.autoscout24.es/anuncios/kia-picanto-1-1-ex-gasolina-azul-cat_ma39mo18417-a5f130c9-c592-4650-9de1-2b5e7248cf67 (__NEXT_DATA__ listingDetails) /home/user/Alopecia/buscador-coches/raw/autoscout24/ca28760691529236.json</t>
        </is>
      </c>
      <c r="BW117" s="3">
        <f>MAX(ANIO_ACTUAL-M117,0)</f>
        <v/>
      </c>
      <c r="BX117" s="4">
        <f>N117/MAX(BW117,0.5)</f>
        <v/>
      </c>
      <c r="BY117" s="4">
        <f>F117</f>
        <v/>
      </c>
      <c r="BZ117" s="3">
        <f>BY117&amp;"|"&amp;INT(M117/SEG_ANIO)*SEG_ANIO</f>
        <v/>
      </c>
      <c r="CA117" s="3">
        <f>BZ117&amp;"|"&amp;INT(N117/SEG_KM)*SEG_KM</f>
        <v/>
      </c>
      <c r="CB117" s="4">
        <f>COUNTIF($BY$2:$BY$209,BY117)</f>
        <v/>
      </c>
      <c r="CC117" s="4">
        <f>COUNTIF($BZ$2:$BZ$209,BZ117)</f>
        <v/>
      </c>
      <c r="CD117" s="4">
        <f>COUNTIF($CA$2:$CA$209,CA117)</f>
        <v/>
      </c>
      <c r="CE117" s="3">
        <f t="array" ref="CE117">IF(N(BQ117)&gt;=MIN_N,BP117,IF(CD117&gt;=MIN_N,MEDIAN(IF($CA$2:$CA$209=CA117,$O$2:$O$209)),IF(CC117&gt;=MIN_N,MEDIAN(IF($BZ$2:$BZ$209=BZ117,$O$2:$O$209)),MEDIAN(IF($BY$2:$BY$209=BY117,$O$2:$O$209)))))</f>
        <v/>
      </c>
      <c r="CF117" s="3">
        <f>IF(N(BQ117)&gt;=MIN_N,"mercado "&amp;BR117,IF(CD117&gt;=MIN_N,"modelo+año+km",IF(CC117&gt;=MIN_N,"modelo+año","modelo")))</f>
        <v/>
      </c>
      <c r="CG117" s="4">
        <f>(CE117-O117)/CE117</f>
        <v/>
      </c>
      <c r="CH117" s="3">
        <f>IF(COUNTIFS(FR_FUEL,K117,FR_YEAR,AP117)&gt;0,1,0)</f>
        <v/>
      </c>
      <c r="CI117" s="3">
        <f>IF(COUNTIFS(FR_FUEL,K117,FR_YEAR,AP117-1)&gt;0,1,0)</f>
        <v/>
      </c>
      <c r="CJ117" s="4">
        <f>IF(N(AQ117)&gt;0,AP117*100+AQ117,IF(AND(CH117=1,CI117=1),(AP117-1)*100+1,AP117*100+1))</f>
        <v/>
      </c>
      <c r="CK117" s="3">
        <f>IF(OR(K117="hibrido",K117="glp",K117="gnc",K117="phev"),"ECO",IF(K117="electrico","CERO",IF(K117="gasolina",IF(CJ117&gt;=GAS_C_YM,"C",IF(CJ117&gt;=GAS_B_YM,"B","A")),IF(K117="diesel",IF(CJ117&gt;=DIE_C_YM,"C",IF(CJ117&gt;=DIE_B_YM,"B","A")),""))))</f>
        <v/>
      </c>
      <c r="CL117" s="4">
        <f>CK117</f>
        <v/>
      </c>
      <c r="CM117" s="4">
        <f>IF(AU117="sí","sí",IF(AS117="regla",IF(AND(N(AQ117)=0,CH117=1),"sí","no"),"no"))</f>
        <v/>
      </c>
      <c r="CN117" s="3">
        <f>IFERROR(VLOOKUP(F117,MOD_TBL,16,0),IFERROR(VLOOKUP(E117,OCU_TBL,2,0),NEUTRO))</f>
        <v/>
      </c>
      <c r="CO117" s="3">
        <f>SUMIFS(MOT_AJUSTE,MOT_MOTOR,G117,MOT_MARCA,E117,MOT_DESDE,"&lt;="&amp;M117,MOT_HASTA,"&gt;="&amp;M117)+SUMIFS(MOT_AJUSTE,MOT_MOTOR,G117,MOT_MARCA,"(todas)",MOT_DESDE,"&lt;="&amp;M117,MOT_HASTA,"&gt;="&amp;M117)+SUMIFS(MOT_AJUSTE,MOT_MOTOR,"(cualquiera)",MOT_MARCA,E117,MOT_DESDE,"&lt;="&amp;M117,MOT_HASTA,"&gt;="&amp;M117)</f>
        <v/>
      </c>
      <c r="CP117" s="3">
        <f>SUMIFS(COMB_AJUSTE,COMB_COMB,K117)</f>
        <v/>
      </c>
      <c r="CQ117" s="3">
        <f>COUNTIFS(MOT_MOTOR,G117,MOT_MARCA,E117,MOT_DESDE,"&lt;="&amp;M117,MOT_HASTA,"&gt;="&amp;M117)+COUNTIFS(MOT_MOTOR,G117,MOT_MARCA,"(todas)",MOT_DESDE,"&lt;="&amp;M117,MOT_HASTA,"&gt;="&amp;M117)+COUNTIFS(MOT_MOTOR,"(cualquiera)",MOT_MARCA,E117,MOT_DESDE,"&lt;="&amp;M117,MOT_HASTA,"&gt;="&amp;M117)</f>
        <v/>
      </c>
      <c r="CR117" s="3">
        <f>IF(AND(K117="diesel",CQ117=0),MIN(CN117,NEUTRO),CN117)</f>
        <v/>
      </c>
      <c r="CS117" s="3">
        <f>MAX(0,MIN(100,CR117+CO117+CP117-IF(AX117="sí",ROB_PEN,0)))</f>
        <v/>
      </c>
      <c r="CT117" s="3">
        <f>100-MAX(0,N117-KM_TOPE_DESDE)/1000*KM_TOPE_PTS</f>
        <v/>
      </c>
      <c r="CU117" s="3">
        <f>MAX(0,MIN(100,50+CG117*PRECIO_PEND,CT117))</f>
        <v/>
      </c>
      <c r="CV117" s="3">
        <f>MAX(0,100*(1-N117/KM_MAX))</f>
        <v/>
      </c>
      <c r="CW117" s="3">
        <f>IF(BX117&lt;KMA_SOSP,IF(AA117="sí",100,KMA_PEN),IF(BX117&lt;=KMA_IDEAL_MAX,100,MAX(0,100*(KMA_CERO-BX117)/(KMA_CERO-KMA_IDEAL_MAX))))</f>
        <v/>
      </c>
      <c r="CX117" s="3">
        <f>MAX(0,MIN(100,100*(M117-ANIO_MIN)/(ANIO_ACTUAL-ANIO_MIN)))</f>
        <v/>
      </c>
      <c r="CY117" s="3">
        <f>W_KMT*CV117+W_KMA*CW117+W_EDAD*CX117</f>
        <v/>
      </c>
      <c r="CZ117" s="4">
        <f>E117&amp;"|"&amp;G117</f>
        <v/>
      </c>
      <c r="DA117" s="3">
        <f>IFERROR(VLOOKUP(CZ117,DIST_TBL,2,0),"")</f>
        <v/>
      </c>
      <c r="DB117" s="3">
        <f>E_ITV*(V117="sí")+E_LIBRO*(W117="sí")+E_PROP*IF(Y117=1,1,IF(Y117=2,0.5,0))+E_CORREA*IF(OR(DA117="cadena",AND(X117="sí",BH117="sí")),1,IF(X117="sí",0.5,0))+E_FACT*(BI117="sí")</f>
        <v/>
      </c>
      <c r="DC117" s="3">
        <f>MAX(0,MIN(100,IFERROR(VLOOKUP(CL117,ETQ_TBL,2,0),0)-IF(CM117="sí",ETQ_PEN_DUD,IF(AS117="regla",ETQ_PEN_REGLA,0))))</f>
        <v/>
      </c>
      <c r="DD117" s="3">
        <f>IF(K117&lt;&gt;"gasolina","",IFERROR(VLOOKUP(F117,CONS_MOD_TBL,2,0),IFERROR(VLOOKUP(L117,CONS_SEG_TBL,2,0),"")))</f>
        <v/>
      </c>
      <c r="DE117" s="3">
        <f>IF(DD117="",NEUTRO,MAX(0,MIN(100,100*(CONS_REF_MAX-DD117)/(CONS_REF_MAX-CONS_REF_MIN))))</f>
        <v/>
      </c>
      <c r="DF117" s="3">
        <f>IFERROR(VLOOKUP(L117,SEGURO_TBL,3,0),"")</f>
        <v/>
      </c>
      <c r="DG117" s="3">
        <f>IF(DF117="",NEUTRO,MAX(0,MIN(100,100*(SEG_REF_MAX-DF117)/(SEG_REF_MAX-SEG_REF_MIN))))</f>
        <v/>
      </c>
      <c r="DH117" s="3">
        <f>IFERROR(VLOOKUP(E117,MANT_MARCA_TBL,2,0)+0,NEUTRO)</f>
        <v/>
      </c>
      <c r="DI117" s="3">
        <f>IF(DA117="",NEUTRO,IFERROR(VLOOKUP(DA117,DIST_PTS_TBL,2,0)+0,NEUTRO))</f>
        <v/>
      </c>
      <c r="DJ117" s="4">
        <f>(DH117+DI117)/2</f>
        <v/>
      </c>
      <c r="DK117" s="3">
        <f>W_CONS*DE117+W_SEG*DG117+W_MANT*DJ117</f>
        <v/>
      </c>
      <c r="DL117" s="3">
        <f>IF(N(AB117)&gt;0,AB117,IF(AND(R117="profesional",SG_LEGAL_ON=1),GAR_LEGAL,0))</f>
        <v/>
      </c>
      <c r="DM117" s="3">
        <f>MAX(0,MIN(100,SG_GAR*MIN(1,DL117/SG_GAR_FULL)+SG_AMPL*(AC117="sí")+SG_KMC*(AF117="sí")+SG_REV*(N(AE117)&gt;0)+SG_DEV*MIN(1,N(AG117)/SG_DEV_FULL)+SG_HIST*(W117="sí")-IF(AND(R117="particular",DL117=0),SG_PART_PEN,0)))</f>
        <v/>
      </c>
      <c r="DN117" s="3">
        <f>IF(BK117="",NEUTRO,MAX(0,MIN(100,BK117/5*100)))</f>
        <v/>
      </c>
      <c r="DO117" s="3">
        <f>IF(BL117="sí",100,IF(BL117="no",0,NEUTRO))</f>
        <v/>
      </c>
      <c r="DP117" s="3">
        <f>SV_W_NCAP*DN117+SV_W_ESP*DO117</f>
        <v/>
      </c>
      <c r="DQ117" s="3">
        <f>MAX(0,MIN(100,ATR_BASE+ATR_ACAB*(BD117&lt;&gt;"")+IF(BE117="16+",ATR_LL16,IF(BE117="sí",ATR_LL,0))+ATR_FAROS*(BF117="sí")+ATR_TINT*(BG117="sí")-ATR_CHAPA*(BE117="chapa")))</f>
        <v/>
      </c>
      <c r="DR117" s="3">
        <f>EST_W_MOD*(BB117-1)/4*100+EST_W_ATR*DQ117</f>
        <v/>
      </c>
      <c r="DS117" s="3">
        <f>IF(BA117="",NEUTRO,IFERROR(VLOOKUP(BA117,COLOR_TBL,2,0)+0,NEUTRO))</f>
        <v/>
      </c>
      <c r="DT117" s="3">
        <f>MAX(0,MIN(100,100*N(BM117)/RV_N_FULL))</f>
        <v/>
      </c>
      <c r="DU117" s="3">
        <f>IF(OR(BN117="",N(BO117)&lt;RV_DIAS_MIN),NEUTRO,MAX(0,MIN(100,100*(RV_DIAS_CERO-BN117)/(RV_DIAS_CERO-RV_DIAS_FULL))))</f>
        <v/>
      </c>
      <c r="DV117" s="3">
        <f>RV_W_LIQ*DT117+RV_W_DIAS*DU117+RV_W_ETQ*DC117</f>
        <v/>
      </c>
      <c r="DW117" s="3">
        <f>IFERROR(VLOOKUP(L117,CARR_PEN_TBL,2,0),0)</f>
        <v/>
      </c>
      <c r="DX117" s="3">
        <f>W_FIAB*CS117+W_PRECIO*CU117+W_KMEDAD*CY117+W_ESTADO*DB117+W_USO*DK117+W_SEGURIDAD*DM117+W_SEGVIAL*DP117+W_ESTETICA*DR117+W_COLOR*DS117+W_REVENTA*DV117-DW117-EG117</f>
        <v/>
      </c>
      <c r="DY117" s="4">
        <f>IF(N(I117)&gt;0,I117,IFERROR(ROUND(_xlfn.NUMBERVALUE(LEFT(G117,FIND(" ",G117&amp;" ")-1),".")*1000,0),99999))</f>
        <v/>
      </c>
      <c r="DZ117" s="3">
        <f>IF(R117="profesional",0,IF(O117&lt;CUOTA_VALOR_MAX,IF(BW117&gt;ITP_TRAMO_ALTO,SUMIFS(CF_CUOTA,CF_MAS,ITP_TRAMO_ALTO,CF_CCMIN,"&lt;="&amp;DY117,CF_CCMAX,"&gt;="&amp;DY117),IF(BW117&gt;ITP_TRAMO_BAJO,SUMIFS(CF_CUOTA,CF_MAS,ITP_TRAMO_BAJO,CF_CCMIN,"&lt;="&amp;DY117,CF_CCMAX,"&gt;="&amp;DY117),O117*ITP_TIPO)),O117*ITP_TIPO))</f>
        <v/>
      </c>
      <c r="EA117" s="4">
        <f>IF(R117="profesional",N(AK117),0)</f>
        <v/>
      </c>
      <c r="EB117" s="3">
        <f>IF(AND(R117="profesional",ISNUMBER(AK117),AL117="sí"),0,TASA_DGT)</f>
        <v/>
      </c>
      <c r="EC117" s="3">
        <f>INFORME_DGT</f>
        <v/>
      </c>
      <c r="ED117" s="4">
        <f>O117+EA117+DZ117+EB117+EC117</f>
        <v/>
      </c>
      <c r="EE117" s="4">
        <f>ED117+N(DF117)</f>
        <v/>
      </c>
      <c r="EF117" s="3">
        <f>MAX(0,ED117-TOTAL_MAX)</f>
        <v/>
      </c>
      <c r="EG117" s="3">
        <f>EF117/100*PEN_100</f>
        <v/>
      </c>
      <c r="EH117" s="3">
        <f>IF(R117="particular",ED117+IF(AND(DA117&lt;&gt;"cadena",X117&lt;&gt;"sí"),RES_CORREA,0)+IF(AND(BJ117&lt;&gt;"sí",BW117&gt;=RES_NEUM_EDAD),RES_NEUM,0),"")</f>
        <v/>
      </c>
      <c r="EI117" s="3">
        <f>IF(ED117&lt;=TOTAL_MAX,"sí",IF(ED117&lt;=TECHO,"negociar","no"))</f>
        <v/>
      </c>
      <c r="EJ117" s="4">
        <f>ROUND(DX117,9)</f>
        <v/>
      </c>
      <c r="EK117" s="4">
        <f>IF(EI117&lt;&gt;"no",SUMPRODUCT(($EI$2:$EI$209&lt;&gt;"no")*($EJ$2:$EJ$209&gt;EJ117))+SUMPRODUCT(($EI$2:EI117&lt;&gt;"no")*($EJ$2:EJ117=EJ117)),"")</f>
        <v/>
      </c>
    </row>
    <row r="118">
      <c r="A118" s="2" t="inlineStr">
        <is>
          <t>autoscout24:04d015db-2d48-4b66-9cad-7ee189965ecc</t>
        </is>
      </c>
      <c r="B118" s="2" t="inlineStr">
        <is>
          <t>autoscout24</t>
        </is>
      </c>
      <c r="C118" s="2" t="inlineStr">
        <is>
          <t>https://www.autoscout24.es/anuncios/peugeot-206-1-4-x-line-gasolina-rojo-cat_ma55mo15401-04d015db-2d48-4b66-9cad-7ee189965ecc</t>
        </is>
      </c>
      <c r="D118" s="2" t="inlineStr">
        <is>
          <t>Peugeot 206 1.4 X-Line</t>
        </is>
      </c>
      <c r="E118" s="2" t="inlineStr">
        <is>
          <t>Peugeot</t>
        </is>
      </c>
      <c r="F118" s="2" t="inlineStr">
        <is>
          <t>Peugeot 206</t>
        </is>
      </c>
      <c r="G118" s="2" t="inlineStr">
        <is>
          <t>1.4</t>
        </is>
      </c>
      <c r="H118" s="2" t="inlineStr">
        <is>
          <t>1.4 X-Line 75</t>
        </is>
      </c>
      <c r="I118" s="2" t="n">
        <v>1360</v>
      </c>
      <c r="J118" s="2" t="n">
        <v>75</v>
      </c>
      <c r="K118" s="2" t="inlineStr">
        <is>
          <t>gasolina</t>
        </is>
      </c>
      <c r="L118" s="2" t="inlineStr">
        <is>
          <t>utilitario</t>
        </is>
      </c>
      <c r="M118" s="2" t="n">
        <v>2004</v>
      </c>
      <c r="N118" s="2" t="n">
        <v>175786</v>
      </c>
      <c r="O118" s="2" t="n">
        <v>3700</v>
      </c>
      <c r="P118" s="2" t="inlineStr">
        <is>
          <t>manual</t>
        </is>
      </c>
      <c r="Q118" s="2" t="inlineStr">
        <is>
          <t>no</t>
        </is>
      </c>
      <c r="R118" s="2" t="inlineStr">
        <is>
          <t>profesional</t>
        </is>
      </c>
      <c r="S118" s="2" t="inlineStr">
        <is>
          <t>OCASIONPLUS SAGUNTO — SAGUNTO (46500)</t>
        </is>
      </c>
      <c r="T118" s="2" t="n"/>
      <c r="U118" s="2" t="n">
        <v>10</v>
      </c>
      <c r="V118" s="2" t="n"/>
      <c r="W118" s="2" t="inlineStr">
        <is>
          <t>sí</t>
        </is>
      </c>
      <c r="X118" s="2" t="n"/>
      <c r="Y118" s="2" t="n"/>
      <c r="Z118" s="2" t="inlineStr">
        <is>
          <t>sí</t>
        </is>
      </c>
      <c r="AA118" s="2" t="n"/>
      <c r="AB118" s="2" t="n">
        <v>12</v>
      </c>
      <c r="AC118" s="2" t="n"/>
      <c r="AD118" s="2" t="n"/>
      <c r="AE118" s="2" t="n"/>
      <c r="AF118" s="2" t="inlineStr">
        <is>
          <t>sí</t>
        </is>
      </c>
      <c r="AG118" s="2" t="n"/>
      <c r="AH118" s="2" t="n">
        <v>3700</v>
      </c>
      <c r="AI118" s="2" t="n"/>
      <c r="AJ118" s="2" t="n"/>
      <c r="AK118" s="2" t="n"/>
      <c r="AL118" s="2" t="n"/>
      <c r="AM118" s="2" t="n">
        <v>25</v>
      </c>
      <c r="AN118" s="2" t="inlineStr">
        <is>
          <t>1000KMS</t>
        </is>
      </c>
      <c r="AO118" s="2" t="inlineStr">
        <is>
          <t>2004-12</t>
        </is>
      </c>
      <c r="AP118" s="2" t="n">
        <v>2004</v>
      </c>
      <c r="AQ118" s="2" t="n">
        <v>12</v>
      </c>
      <c r="AR118" s="2" t="inlineStr">
        <is>
          <t>B</t>
        </is>
      </c>
      <c r="AS118" s="2" t="inlineStr">
        <is>
          <t>DGT</t>
        </is>
      </c>
      <c r="AT118" s="2" t="n"/>
      <c r="AU118" s="2" t="inlineStr">
        <is>
          <t>no</t>
        </is>
      </c>
      <c r="AV118" s="2" t="inlineStr">
        <is>
          <t>B</t>
        </is>
      </c>
      <c r="AW118" s="2" t="n"/>
      <c r="AX118" s="2" t="inlineStr">
        <is>
          <t>no</t>
        </is>
      </c>
      <c r="AY118" s="2" t="inlineStr">
        <is>
          <t>no</t>
        </is>
      </c>
      <c r="AZ118" s="2" t="inlineStr">
        <is>
          <t>Rojo</t>
        </is>
      </c>
      <c r="BA118" s="2" t="inlineStr">
        <is>
          <t>rojo</t>
        </is>
      </c>
      <c r="BB118" s="3" t="n">
        <v>2</v>
      </c>
      <c r="BC118" s="3" t="inlineStr">
        <is>
          <t>(por segmento)</t>
        </is>
      </c>
      <c r="BD118" s="2" t="n"/>
      <c r="BE118" s="2" t="inlineStr">
        <is>
          <t>sí</t>
        </is>
      </c>
      <c r="BF118" s="2" t="n"/>
      <c r="BG118" s="2" t="n"/>
      <c r="BH118" s="2" t="n"/>
      <c r="BI118" s="2" t="n"/>
      <c r="BJ118" s="2" t="n"/>
      <c r="BK118" s="2" t="n"/>
      <c r="BL118" s="2" t="inlineStr">
        <is>
          <t>sí</t>
        </is>
      </c>
      <c r="BM118" s="2" t="n">
        <v>72</v>
      </c>
      <c r="BN118" s="2" t="n"/>
      <c r="BO118" s="2" t="n">
        <v>0</v>
      </c>
      <c r="BP118" s="2" t="n">
        <v>3575</v>
      </c>
      <c r="BQ118" s="2" t="n">
        <v>10</v>
      </c>
      <c r="BR118" s="2" t="inlineStr">
        <is>
          <t>modelo+año+km</t>
        </is>
      </c>
      <c r="BS118" s="2" t="inlineStr">
        <is>
          <t>cochesnet:71170656 (https://www.coches.net/peugeot-206-xline-75-refri-3p-gasolina-2005-en-valencia-71170656-covo.aspx)</t>
        </is>
      </c>
      <c r="BT118" s="2" t="inlineStr">
        <is>
          <t>vendedor profesional: sin ITP (operación con IVA/REBU, confirmar en factura); gastos de gestión del vendedor no indicados: se suma la tasa DGT; preguntar el precio final; Euro NCAP de la generación PENDIENTE (seguridad neutra); revisar: no menciona la ITV; fiabilidad del modelo PENDIENTE de fuente (puntuación neutra)</t>
        </is>
      </c>
      <c r="BU118" s="2" t="inlineStr">
        <is>
          <t>&lt;strong&gt;Precio al contado: 3700 euros&lt;/strong&gt; &lt;br /&gt;&lt;br /&gt;&lt;strong&gt;Condiciones de la financiación&lt;/strong&gt; &lt;br /&gt;&lt;br /&gt;Consultar condiciones de financiación en este anuncio o contactando con el anunciante &lt;br /&gt;&lt;br /&gt;¡VILLA TAMBIÉN FICHA POR OCASIONPLUS!&lt;br /&gt;VEN A GANAR. ¡VEN A OCASIONPLUS!&lt;br /&gt;&lt;br /&gt;OCASIONPLUS - 20.000 COCHES  - 120 CENTROS&lt;br /&gt;OCASIONPLUS Nº1 CALIDAD - PRECIO&lt;br /&gt;&lt;br /&gt;Elige el coche que te guste y te lo llevamos a tu ciudad sólo con reservarlo&lt;br /&gt;15 DÍAS / 1000 KMS DE PRUEBA&lt;br /&gt;&lt;br /&gt;Hasta 490€ de descuento en este coche&lt;br /&gt;&lt;br /&gt;ADEMÁS, HACEMOS LAS MEJORES FINANCIACIONES DEL MERCADO, PREGÚNTANOS!!&lt;br /&gt;&lt;br /&gt;            Equipamiento destacado: Aire Acondicionado, Radio, Llantas de aleación (15&amp;quot;).&lt;br /&gt;&lt;br /&gt;                - Coche Nacional, Historial Mantenimiento.&lt;br /&gt;                - Garantía total 1 año, con cobertura nacional, ampliable a 24 meses.&lt;br /&gt;                - Certificado de Kilómetros y ausencia de golpes estructurales.&lt;br /&gt;            - Sobrevaloramos tu coche en operaciones de cambio. Tásalo ahora en ocasionplus.com&lt;br /&gt;            - Entregamos cualquier coche en cualquier centro&lt;br /&gt;            - Abierto Domingo y Festivos.&lt;br /&gt; &lt;strong&gt;Extras&lt;/strong&gt; &lt;br /&gt; &lt;strong&gt;Equipamiento destacado seleccionado por el usuario&lt;/strong&gt; &lt;br /&gt; &lt;br /&gt;- Aire Acondicionado&lt;br /&gt;-  Radio&lt;br /&gt;-  Llantas de aleación&lt;br /&gt;-  15&amp;quot;&lt;br /&gt;</t>
        </is>
      </c>
      <c r="BV118" s="2" t="inlineStr">
        <is>
          <t>https://www.autoscout24.es/anuncios/peugeot-206-1-4-x-line-gasolina-rojo-cat_ma55mo15401-04d015db-2d48-4b66-9cad-7ee189965ecc (__NEXT_DATA__ listingDetails) /home/user/Alopecia/buscador-coches/raw/autoscout24/c3f962d27b174fe9.json</t>
        </is>
      </c>
      <c r="BW118" s="3">
        <f>MAX(ANIO_ACTUAL-M118,0)</f>
        <v/>
      </c>
      <c r="BX118" s="4">
        <f>N118/MAX(BW118,0.5)</f>
        <v/>
      </c>
      <c r="BY118" s="4">
        <f>F118</f>
        <v/>
      </c>
      <c r="BZ118" s="3">
        <f>BY118&amp;"|"&amp;INT(M118/SEG_ANIO)*SEG_ANIO</f>
        <v/>
      </c>
      <c r="CA118" s="3">
        <f>BZ118&amp;"|"&amp;INT(N118/SEG_KM)*SEG_KM</f>
        <v/>
      </c>
      <c r="CB118" s="4">
        <f>COUNTIF($BY$2:$BY$209,BY118)</f>
        <v/>
      </c>
      <c r="CC118" s="4">
        <f>COUNTIF($BZ$2:$BZ$209,BZ118)</f>
        <v/>
      </c>
      <c r="CD118" s="4">
        <f>COUNTIF($CA$2:$CA$209,CA118)</f>
        <v/>
      </c>
      <c r="CE118" s="3">
        <f t="array" ref="CE118">IF(N(BQ118)&gt;=MIN_N,BP118,IF(CD118&gt;=MIN_N,MEDIAN(IF($CA$2:$CA$209=CA118,$O$2:$O$209)),IF(CC118&gt;=MIN_N,MEDIAN(IF($BZ$2:$BZ$209=BZ118,$O$2:$O$209)),MEDIAN(IF($BY$2:$BY$209=BY118,$O$2:$O$209)))))</f>
        <v/>
      </c>
      <c r="CF118" s="3">
        <f>IF(N(BQ118)&gt;=MIN_N,"mercado "&amp;BR118,IF(CD118&gt;=MIN_N,"modelo+año+km",IF(CC118&gt;=MIN_N,"modelo+año","modelo")))</f>
        <v/>
      </c>
      <c r="CG118" s="4">
        <f>(CE118-O118)/CE118</f>
        <v/>
      </c>
      <c r="CH118" s="3">
        <f>IF(COUNTIFS(FR_FUEL,K118,FR_YEAR,AP118)&gt;0,1,0)</f>
        <v/>
      </c>
      <c r="CI118" s="3">
        <f>IF(COUNTIFS(FR_FUEL,K118,FR_YEAR,AP118-1)&gt;0,1,0)</f>
        <v/>
      </c>
      <c r="CJ118" s="4">
        <f>IF(N(AQ118)&gt;0,AP118*100+AQ118,IF(AND(CH118=1,CI118=1),(AP118-1)*100+1,AP118*100+1))</f>
        <v/>
      </c>
      <c r="CK118" s="3">
        <f>IF(OR(K118="hibrido",K118="glp",K118="gnc",K118="phev"),"ECO",IF(K118="electrico","CERO",IF(K118="gasolina",IF(CJ118&gt;=GAS_C_YM,"C",IF(CJ118&gt;=GAS_B_YM,"B","A")),IF(K118="diesel",IF(CJ118&gt;=DIE_C_YM,"C",IF(CJ118&gt;=DIE_B_YM,"B","A")),""))))</f>
        <v/>
      </c>
      <c r="CL118" s="2" t="inlineStr">
        <is>
          <t>B</t>
        </is>
      </c>
      <c r="CM118" s="4">
        <f>IF(AU118="sí","sí",IF(AS118="regla",IF(AND(N(AQ118)=0,CH118=1),"sí","no"),"no"))</f>
        <v/>
      </c>
      <c r="CN118" s="3">
        <f>IFERROR(VLOOKUP(F118,MOD_TBL,16,0),IFERROR(VLOOKUP(E118,OCU_TBL,2,0),NEUTRO))</f>
        <v/>
      </c>
      <c r="CO118" s="3">
        <f>SUMIFS(MOT_AJUSTE,MOT_MOTOR,G118,MOT_MARCA,E118,MOT_DESDE,"&lt;="&amp;M118,MOT_HASTA,"&gt;="&amp;M118)+SUMIFS(MOT_AJUSTE,MOT_MOTOR,G118,MOT_MARCA,"(todas)",MOT_DESDE,"&lt;="&amp;M118,MOT_HASTA,"&gt;="&amp;M118)+SUMIFS(MOT_AJUSTE,MOT_MOTOR,"(cualquiera)",MOT_MARCA,E118,MOT_DESDE,"&lt;="&amp;M118,MOT_HASTA,"&gt;="&amp;M118)</f>
        <v/>
      </c>
      <c r="CP118" s="3">
        <f>SUMIFS(COMB_AJUSTE,COMB_COMB,K118)</f>
        <v/>
      </c>
      <c r="CQ118" s="3">
        <f>COUNTIFS(MOT_MOTOR,G118,MOT_MARCA,E118,MOT_DESDE,"&lt;="&amp;M118,MOT_HASTA,"&gt;="&amp;M118)+COUNTIFS(MOT_MOTOR,G118,MOT_MARCA,"(todas)",MOT_DESDE,"&lt;="&amp;M118,MOT_HASTA,"&gt;="&amp;M118)+COUNTIFS(MOT_MOTOR,"(cualquiera)",MOT_MARCA,E118,MOT_DESDE,"&lt;="&amp;M118,MOT_HASTA,"&gt;="&amp;M118)</f>
        <v/>
      </c>
      <c r="CR118" s="3">
        <f>IF(AND(K118="diesel",CQ118=0),MIN(CN118,NEUTRO),CN118)</f>
        <v/>
      </c>
      <c r="CS118" s="3">
        <f>MAX(0,MIN(100,CR118+CO118+CP118-IF(AX118="sí",ROB_PEN,0)))</f>
        <v/>
      </c>
      <c r="CT118" s="3">
        <f>100-MAX(0,N118-KM_TOPE_DESDE)/1000*KM_TOPE_PTS</f>
        <v/>
      </c>
      <c r="CU118" s="3">
        <f>MAX(0,MIN(100,50+CG118*PRECIO_PEND,CT118))</f>
        <v/>
      </c>
      <c r="CV118" s="3">
        <f>MAX(0,100*(1-N118/KM_MAX))</f>
        <v/>
      </c>
      <c r="CW118" s="3">
        <f>IF(BX118&lt;KMA_SOSP,IF(AA118="sí",100,KMA_PEN),IF(BX118&lt;=KMA_IDEAL_MAX,100,MAX(0,100*(KMA_CERO-BX118)/(KMA_CERO-KMA_IDEAL_MAX))))</f>
        <v/>
      </c>
      <c r="CX118" s="3">
        <f>MAX(0,MIN(100,100*(M118-ANIO_MIN)/(ANIO_ACTUAL-ANIO_MIN)))</f>
        <v/>
      </c>
      <c r="CY118" s="3">
        <f>W_KMT*CV118+W_KMA*CW118+W_EDAD*CX118</f>
        <v/>
      </c>
      <c r="CZ118" s="4">
        <f>E118&amp;"|"&amp;G118</f>
        <v/>
      </c>
      <c r="DA118" s="3">
        <f>IFERROR(VLOOKUP(CZ118,DIST_TBL,2,0),"")</f>
        <v/>
      </c>
      <c r="DB118" s="3">
        <f>E_ITV*(V118="sí")+E_LIBRO*(W118="sí")+E_PROP*IF(Y118=1,1,IF(Y118=2,0.5,0))+E_CORREA*IF(OR(DA118="cadena",AND(X118="sí",BH118="sí")),1,IF(X118="sí",0.5,0))+E_FACT*(BI118="sí")</f>
        <v/>
      </c>
      <c r="DC118" s="3">
        <f>MAX(0,MIN(100,IFERROR(VLOOKUP(CL118,ETQ_TBL,2,0),0)-IF(CM118="sí",ETQ_PEN_DUD,IF(AS118="regla",ETQ_PEN_REGLA,0))))</f>
        <v/>
      </c>
      <c r="DD118" s="3">
        <f>IF(K118&lt;&gt;"gasolina","",IFERROR(VLOOKUP(F118,CONS_MOD_TBL,2,0),IFERROR(VLOOKUP(L118,CONS_SEG_TBL,2,0),"")))</f>
        <v/>
      </c>
      <c r="DE118" s="3">
        <f>IF(DD118="",NEUTRO,MAX(0,MIN(100,100*(CONS_REF_MAX-DD118)/(CONS_REF_MAX-CONS_REF_MIN))))</f>
        <v/>
      </c>
      <c r="DF118" s="3">
        <f>IFERROR(VLOOKUP(L118,SEGURO_TBL,3,0),"")</f>
        <v/>
      </c>
      <c r="DG118" s="3">
        <f>IF(DF118="",NEUTRO,MAX(0,MIN(100,100*(SEG_REF_MAX-DF118)/(SEG_REF_MAX-SEG_REF_MIN))))</f>
        <v/>
      </c>
      <c r="DH118" s="3">
        <f>IFERROR(VLOOKUP(E118,MANT_MARCA_TBL,2,0)+0,NEUTRO)</f>
        <v/>
      </c>
      <c r="DI118" s="3">
        <f>IF(DA118="",NEUTRO,IFERROR(VLOOKUP(DA118,DIST_PTS_TBL,2,0)+0,NEUTRO))</f>
        <v/>
      </c>
      <c r="DJ118" s="4">
        <f>(DH118+DI118)/2</f>
        <v/>
      </c>
      <c r="DK118" s="3">
        <f>W_CONS*DE118+W_SEG*DG118+W_MANT*DJ118</f>
        <v/>
      </c>
      <c r="DL118" s="3">
        <f>IF(N(AB118)&gt;0,AB118,IF(AND(R118="profesional",SG_LEGAL_ON=1),GAR_LEGAL,0))</f>
        <v/>
      </c>
      <c r="DM118" s="3">
        <f>MAX(0,MIN(100,SG_GAR*MIN(1,DL118/SG_GAR_FULL)+SG_AMPL*(AC118="sí")+SG_KMC*(AF118="sí")+SG_REV*(N(AE118)&gt;0)+SG_DEV*MIN(1,N(AG118)/SG_DEV_FULL)+SG_HIST*(W118="sí")-IF(AND(R118="particular",DL118=0),SG_PART_PEN,0)))</f>
        <v/>
      </c>
      <c r="DN118" s="3">
        <f>IF(BK118="",NEUTRO,MAX(0,MIN(100,BK118/5*100)))</f>
        <v/>
      </c>
      <c r="DO118" s="3">
        <f>IF(BL118="sí",100,IF(BL118="no",0,NEUTRO))</f>
        <v/>
      </c>
      <c r="DP118" s="3">
        <f>SV_W_NCAP*DN118+SV_W_ESP*DO118</f>
        <v/>
      </c>
      <c r="DQ118" s="3">
        <f>MAX(0,MIN(100,ATR_BASE+ATR_ACAB*(BD118&lt;&gt;"")+IF(BE118="16+",ATR_LL16,IF(BE118="sí",ATR_LL,0))+ATR_FAROS*(BF118="sí")+ATR_TINT*(BG118="sí")-ATR_CHAPA*(BE118="chapa")))</f>
        <v/>
      </c>
      <c r="DR118" s="3">
        <f>EST_W_MOD*(BB118-1)/4*100+EST_W_ATR*DQ118</f>
        <v/>
      </c>
      <c r="DS118" s="3">
        <f>IF(BA118="",NEUTRO,IFERROR(VLOOKUP(BA118,COLOR_TBL,2,0)+0,NEUTRO))</f>
        <v/>
      </c>
      <c r="DT118" s="3">
        <f>MAX(0,MIN(100,100*N(BM118)/RV_N_FULL))</f>
        <v/>
      </c>
      <c r="DU118" s="3">
        <f>IF(OR(BN118="",N(BO118)&lt;RV_DIAS_MIN),NEUTRO,MAX(0,MIN(100,100*(RV_DIAS_CERO-BN118)/(RV_DIAS_CERO-RV_DIAS_FULL))))</f>
        <v/>
      </c>
      <c r="DV118" s="3">
        <f>RV_W_LIQ*DT118+RV_W_DIAS*DU118+RV_W_ETQ*DC118</f>
        <v/>
      </c>
      <c r="DW118" s="3">
        <f>IFERROR(VLOOKUP(L118,CARR_PEN_TBL,2,0),0)</f>
        <v/>
      </c>
      <c r="DX118" s="3">
        <f>W_FIAB*CS118+W_PRECIO*CU118+W_KMEDAD*CY118+W_ESTADO*DB118+W_USO*DK118+W_SEGURIDAD*DM118+W_SEGVIAL*DP118+W_ESTETICA*DR118+W_COLOR*DS118+W_REVENTA*DV118-DW118-EG118</f>
        <v/>
      </c>
      <c r="DY118" s="4">
        <f>IF(N(I118)&gt;0,I118,IFERROR(ROUND(_xlfn.NUMBERVALUE(LEFT(G118,FIND(" ",G118&amp;" ")-1),".")*1000,0),99999))</f>
        <v/>
      </c>
      <c r="DZ118" s="3">
        <f>IF(R118="profesional",0,IF(O118&lt;CUOTA_VALOR_MAX,IF(BW118&gt;ITP_TRAMO_ALTO,SUMIFS(CF_CUOTA,CF_MAS,ITP_TRAMO_ALTO,CF_CCMIN,"&lt;="&amp;DY118,CF_CCMAX,"&gt;="&amp;DY118),IF(BW118&gt;ITP_TRAMO_BAJO,SUMIFS(CF_CUOTA,CF_MAS,ITP_TRAMO_BAJO,CF_CCMIN,"&lt;="&amp;DY118,CF_CCMAX,"&gt;="&amp;DY118),O118*ITP_TIPO)),O118*ITP_TIPO))</f>
        <v/>
      </c>
      <c r="EA118" s="4">
        <f>IF(R118="profesional",N(AK118),0)</f>
        <v/>
      </c>
      <c r="EB118" s="3">
        <f>IF(AND(R118="profesional",ISNUMBER(AK118),AL118="sí"),0,TASA_DGT)</f>
        <v/>
      </c>
      <c r="EC118" s="3">
        <f>INFORME_DGT</f>
        <v/>
      </c>
      <c r="ED118" s="4">
        <f>O118+EA118+DZ118+EB118+EC118</f>
        <v/>
      </c>
      <c r="EE118" s="4">
        <f>ED118+N(DF118)</f>
        <v/>
      </c>
      <c r="EF118" s="3">
        <f>MAX(0,ED118-TOTAL_MAX)</f>
        <v/>
      </c>
      <c r="EG118" s="3">
        <f>EF118/100*PEN_100</f>
        <v/>
      </c>
      <c r="EH118" s="3">
        <f>IF(R118="particular",ED118+IF(AND(DA118&lt;&gt;"cadena",X118&lt;&gt;"sí"),RES_CORREA,0)+IF(AND(BJ118&lt;&gt;"sí",BW118&gt;=RES_NEUM_EDAD),RES_NEUM,0),"")</f>
        <v/>
      </c>
      <c r="EI118" s="3">
        <f>IF(ED118&lt;=TOTAL_MAX,"sí",IF(ED118&lt;=TECHO,"negociar","no"))</f>
        <v/>
      </c>
      <c r="EJ118" s="4">
        <f>ROUND(DX118,9)</f>
        <v/>
      </c>
      <c r="EK118" s="4">
        <f>IF(EI118&lt;&gt;"no",SUMPRODUCT(($EI$2:$EI$209&lt;&gt;"no")*($EJ$2:$EJ$209&gt;EJ118))+SUMPRODUCT(($EI$2:EI118&lt;&gt;"no")*($EJ$2:EJ118=EJ118)),"")</f>
        <v/>
      </c>
    </row>
    <row r="119">
      <c r="A119" s="2" t="inlineStr">
        <is>
          <t>autoscout24:b89b62f8-cd4b-44d1-86d7-99a0f0262148</t>
        </is>
      </c>
      <c r="B119" s="2" t="inlineStr">
        <is>
          <t>autoscout24</t>
        </is>
      </c>
      <c r="C119" s="2" t="inlineStr">
        <is>
          <t>https://www.autoscout24.es/anuncios/ford-focus-1-6-trend-gasolina-plateado-cat_ma29mo15537-b89b62f8-cd4b-44d1-86d7-99a0f0262148</t>
        </is>
      </c>
      <c r="D119" s="2" t="inlineStr">
        <is>
          <t>Ford Focus 1.6 Trend</t>
        </is>
      </c>
      <c r="E119" s="2" t="inlineStr">
        <is>
          <t>Ford</t>
        </is>
      </c>
      <c r="F119" s="2" t="inlineStr">
        <is>
          <t>Ford Focus</t>
        </is>
      </c>
      <c r="G119" s="2" t="inlineStr">
        <is>
          <t>1.6</t>
        </is>
      </c>
      <c r="H119" s="2" t="inlineStr">
        <is>
          <t>1.6 Trend 1.6</t>
        </is>
      </c>
      <c r="I119" s="2" t="n">
        <v>1596</v>
      </c>
      <c r="J119" s="2" t="n">
        <v>101</v>
      </c>
      <c r="K119" s="2" t="inlineStr">
        <is>
          <t>gasolina</t>
        </is>
      </c>
      <c r="L119" s="2" t="inlineStr">
        <is>
          <t>compacto</t>
        </is>
      </c>
      <c r="M119" s="2" t="n">
        <v>2005</v>
      </c>
      <c r="N119" s="2" t="n">
        <v>130000</v>
      </c>
      <c r="O119" s="2" t="n">
        <v>4550</v>
      </c>
      <c r="P119" s="2" t="inlineStr">
        <is>
          <t>manual</t>
        </is>
      </c>
      <c r="Q119" s="2" t="inlineStr">
        <is>
          <t>no</t>
        </is>
      </c>
      <c r="R119" s="2" t="inlineStr">
        <is>
          <t>profesional</t>
        </is>
      </c>
      <c r="S119" s="2" t="inlineStr">
        <is>
          <t>Cañada 29 Automóviles — VALENCIA (46017)</t>
        </is>
      </c>
      <c r="T119" s="2" t="n"/>
      <c r="U119" s="2" t="n">
        <v>24</v>
      </c>
      <c r="V119" s="2" t="inlineStr">
        <is>
          <t>sí</t>
        </is>
      </c>
      <c r="W119" s="2" t="n"/>
      <c r="X119" s="2" t="inlineStr">
        <is>
          <t>sí</t>
        </is>
      </c>
      <c r="Y119" s="2" t="n">
        <v>2</v>
      </c>
      <c r="Z119" s="2" t="inlineStr">
        <is>
          <t>sí</t>
        </is>
      </c>
      <c r="AA119" s="2" t="n"/>
      <c r="AB119" s="2" t="n">
        <v>12</v>
      </c>
      <c r="AC119" s="2" t="n"/>
      <c r="AD119" s="2" t="n"/>
      <c r="AE119" s="2" t="n"/>
      <c r="AF119" s="2" t="n"/>
      <c r="AG119" s="2" t="n"/>
      <c r="AH119" s="2" t="n">
        <v>4550</v>
      </c>
      <c r="AI119" s="2" t="n"/>
      <c r="AJ119" s="2" t="n"/>
      <c r="AK119" s="2" t="n"/>
      <c r="AL119" s="2" t="n"/>
      <c r="AM119" s="2" t="n">
        <v>2.9</v>
      </c>
      <c r="AN119" s="2" t="n"/>
      <c r="AO119" s="2" t="inlineStr">
        <is>
          <t>2005-07</t>
        </is>
      </c>
      <c r="AP119" s="2" t="n">
        <v>2005</v>
      </c>
      <c r="AQ119" s="2" t="n">
        <v>7</v>
      </c>
      <c r="AR119" s="2" t="n"/>
      <c r="AS119" s="2" t="inlineStr">
        <is>
          <t>regla</t>
        </is>
      </c>
      <c r="AT119" s="2" t="n"/>
      <c r="AU119" s="2" t="inlineStr">
        <is>
          <t>no</t>
        </is>
      </c>
      <c r="AV119" s="2" t="inlineStr">
        <is>
          <t>B</t>
        </is>
      </c>
      <c r="AW119" s="2" t="n"/>
      <c r="AX119" s="2" t="inlineStr">
        <is>
          <t>no</t>
        </is>
      </c>
      <c r="AY119" s="2" t="inlineStr">
        <is>
          <t>no</t>
        </is>
      </c>
      <c r="AZ119" s="2" t="inlineStr">
        <is>
          <t>Plateado Metalizado</t>
        </is>
      </c>
      <c r="BA119" s="2" t="inlineStr">
        <is>
          <t>plata</t>
        </is>
      </c>
      <c r="BB119" s="3" t="n">
        <v>3</v>
      </c>
      <c r="BC119" s="3" t="inlineStr">
        <is>
          <t>(por segmento)</t>
        </is>
      </c>
      <c r="BD119" s="2" t="n"/>
      <c r="BE119" s="2" t="n"/>
      <c r="BF119" s="2" t="n"/>
      <c r="BG119" s="2" t="n"/>
      <c r="BH119" s="2" t="n"/>
      <c r="BI119" s="2" t="n"/>
      <c r="BJ119" s="2" t="n"/>
      <c r="BK119" s="2" t="n">
        <v>5</v>
      </c>
      <c r="BL119" s="2" t="n"/>
      <c r="BM119" s="2" t="n">
        <v>421</v>
      </c>
      <c r="BN119" s="2" t="n">
        <v>0.05126157402992249</v>
      </c>
      <c r="BO119" s="2" t="n">
        <v>7</v>
      </c>
      <c r="BP119" s="2" t="n">
        <v>4295</v>
      </c>
      <c r="BQ119" s="2" t="n">
        <v>4</v>
      </c>
      <c r="BR119" s="2" t="inlineStr">
        <is>
          <t>modelo+año+km</t>
        </is>
      </c>
      <c r="BS119" s="2" t="n"/>
      <c r="BT119" s="2" t="inlineStr">
        <is>
          <t>vendedor profesional: sin ITP (operación con IVA/REBU, confirmar en factura); gastos de gestión del vendedor no indicados: se suma la tasa DGT; preguntar el precio final; etiqueta B deducida por fecha (sin matrícula ni dato del anuncio)</t>
        </is>
      </c>
      <c r="BU119" s="2" t="inlineStr">
        <is>
          <t>&lt;strong&gt;Precio al contado: 4550 euros&lt;/strong&gt; &lt;br /&gt;&lt;br /&gt;&lt;strong&gt;Condiciones de la financiación&lt;/strong&gt; &lt;br /&gt;&lt;br /&gt;solo con su nomina y sin entrada !&lt;br /&gt; &lt;br /&gt;&lt;br /&gt;muy buen estado general, 2 dueños , itv en vigor, distribucion cambiada, revisiones al dia ! clima, elevalunas electricos , retrovisores electricos, radio cd, volante de cuero multifuncion , velocidad de crucero, ordenador a bordo, cierre con mando , etc ! &lt;br /&gt;posibilidad de financiar ! &lt;br /&gt;aceptamos su coche como parte de pago ! &lt;br /&gt;COMPRAMOS TODO TIPO DE VEHICULOS ! PAGO AL INSTANTE !&lt;br /&gt; oferta con caracter informativo , puede contener errores y no es vinculante ! &lt;br /&gt;Ford Focus en Valencia&lt;br /&gt;&lt;br /&gt;</t>
        </is>
      </c>
      <c r="BV119" s="2" t="inlineStr">
        <is>
          <t>https://www.autoscout24.es/anuncios/ford-focus-1-6-trend-gasolina-plateado-cat_ma29mo15537-b89b62f8-cd4b-44d1-86d7-99a0f0262148 (__NEXT_DATA__ listingDetails) /home/user/Alopecia/buscador-coches/raw/autoscout24/46c3f8ce67903182.json</t>
        </is>
      </c>
      <c r="BW119" s="3">
        <f>MAX(ANIO_ACTUAL-M119,0)</f>
        <v/>
      </c>
      <c r="BX119" s="4">
        <f>N119/MAX(BW119,0.5)</f>
        <v/>
      </c>
      <c r="BY119" s="4">
        <f>F119</f>
        <v/>
      </c>
      <c r="BZ119" s="3">
        <f>BY119&amp;"|"&amp;INT(M119/SEG_ANIO)*SEG_ANIO</f>
        <v/>
      </c>
      <c r="CA119" s="3">
        <f>BZ119&amp;"|"&amp;INT(N119/SEG_KM)*SEG_KM</f>
        <v/>
      </c>
      <c r="CB119" s="4">
        <f>COUNTIF($BY$2:$BY$209,BY119)</f>
        <v/>
      </c>
      <c r="CC119" s="4">
        <f>COUNTIF($BZ$2:$BZ$209,BZ119)</f>
        <v/>
      </c>
      <c r="CD119" s="4">
        <f>COUNTIF($CA$2:$CA$209,CA119)</f>
        <v/>
      </c>
      <c r="CE119" s="3">
        <f t="array" ref="CE119">IF(N(BQ119)&gt;=MIN_N,BP119,IF(CD119&gt;=MIN_N,MEDIAN(IF($CA$2:$CA$209=CA119,$O$2:$O$209)),IF(CC119&gt;=MIN_N,MEDIAN(IF($BZ$2:$BZ$209=BZ119,$O$2:$O$209)),MEDIAN(IF($BY$2:$BY$209=BY119,$O$2:$O$209)))))</f>
        <v/>
      </c>
      <c r="CF119" s="3">
        <f>IF(N(BQ119)&gt;=MIN_N,"mercado "&amp;BR119,IF(CD119&gt;=MIN_N,"modelo+año+km",IF(CC119&gt;=MIN_N,"modelo+año","modelo")))</f>
        <v/>
      </c>
      <c r="CG119" s="4">
        <f>(CE119-O119)/CE119</f>
        <v/>
      </c>
      <c r="CH119" s="3">
        <f>IF(COUNTIFS(FR_FUEL,K119,FR_YEAR,AP119)&gt;0,1,0)</f>
        <v/>
      </c>
      <c r="CI119" s="3">
        <f>IF(COUNTIFS(FR_FUEL,K119,FR_YEAR,AP119-1)&gt;0,1,0)</f>
        <v/>
      </c>
      <c r="CJ119" s="4">
        <f>IF(N(AQ119)&gt;0,AP119*100+AQ119,IF(AND(CH119=1,CI119=1),(AP119-1)*100+1,AP119*100+1))</f>
        <v/>
      </c>
      <c r="CK119" s="3">
        <f>IF(OR(K119="hibrido",K119="glp",K119="gnc",K119="phev"),"ECO",IF(K119="electrico","CERO",IF(K119="gasolina",IF(CJ119&gt;=GAS_C_YM,"C",IF(CJ119&gt;=GAS_B_YM,"B","A")),IF(K119="diesel",IF(CJ119&gt;=DIE_C_YM,"C",IF(CJ119&gt;=DIE_B_YM,"B","A")),""))))</f>
        <v/>
      </c>
      <c r="CL119" s="4">
        <f>CK119</f>
        <v/>
      </c>
      <c r="CM119" s="4">
        <f>IF(AU119="sí","sí",IF(AS119="regla",IF(AND(N(AQ119)=0,CH119=1),"sí","no"),"no"))</f>
        <v/>
      </c>
      <c r="CN119" s="3">
        <f>IFERROR(VLOOKUP(F119,MOD_TBL,16,0),IFERROR(VLOOKUP(E119,OCU_TBL,2,0),NEUTRO))</f>
        <v/>
      </c>
      <c r="CO119" s="3">
        <f>SUMIFS(MOT_AJUSTE,MOT_MOTOR,G119,MOT_MARCA,E119,MOT_DESDE,"&lt;="&amp;M119,MOT_HASTA,"&gt;="&amp;M119)+SUMIFS(MOT_AJUSTE,MOT_MOTOR,G119,MOT_MARCA,"(todas)",MOT_DESDE,"&lt;="&amp;M119,MOT_HASTA,"&gt;="&amp;M119)+SUMIFS(MOT_AJUSTE,MOT_MOTOR,"(cualquiera)",MOT_MARCA,E119,MOT_DESDE,"&lt;="&amp;M119,MOT_HASTA,"&gt;="&amp;M119)</f>
        <v/>
      </c>
      <c r="CP119" s="3">
        <f>SUMIFS(COMB_AJUSTE,COMB_COMB,K119)</f>
        <v/>
      </c>
      <c r="CQ119" s="3">
        <f>COUNTIFS(MOT_MOTOR,G119,MOT_MARCA,E119,MOT_DESDE,"&lt;="&amp;M119,MOT_HASTA,"&gt;="&amp;M119)+COUNTIFS(MOT_MOTOR,G119,MOT_MARCA,"(todas)",MOT_DESDE,"&lt;="&amp;M119,MOT_HASTA,"&gt;="&amp;M119)+COUNTIFS(MOT_MOTOR,"(cualquiera)",MOT_MARCA,E119,MOT_DESDE,"&lt;="&amp;M119,MOT_HASTA,"&gt;="&amp;M119)</f>
        <v/>
      </c>
      <c r="CR119" s="3">
        <f>IF(AND(K119="diesel",CQ119=0),MIN(CN119,NEUTRO),CN119)</f>
        <v/>
      </c>
      <c r="CS119" s="3">
        <f>MAX(0,MIN(100,CR119+CO119+CP119-IF(AX119="sí",ROB_PEN,0)))</f>
        <v/>
      </c>
      <c r="CT119" s="3">
        <f>100-MAX(0,N119-KM_TOPE_DESDE)/1000*KM_TOPE_PTS</f>
        <v/>
      </c>
      <c r="CU119" s="3">
        <f>MAX(0,MIN(100,50+CG119*PRECIO_PEND,CT119))</f>
        <v/>
      </c>
      <c r="CV119" s="3">
        <f>MAX(0,100*(1-N119/KM_MAX))</f>
        <v/>
      </c>
      <c r="CW119" s="3">
        <f>IF(BX119&lt;KMA_SOSP,IF(AA119="sí",100,KMA_PEN),IF(BX119&lt;=KMA_IDEAL_MAX,100,MAX(0,100*(KMA_CERO-BX119)/(KMA_CERO-KMA_IDEAL_MAX))))</f>
        <v/>
      </c>
      <c r="CX119" s="3">
        <f>MAX(0,MIN(100,100*(M119-ANIO_MIN)/(ANIO_ACTUAL-ANIO_MIN)))</f>
        <v/>
      </c>
      <c r="CY119" s="3">
        <f>W_KMT*CV119+W_KMA*CW119+W_EDAD*CX119</f>
        <v/>
      </c>
      <c r="CZ119" s="4">
        <f>E119&amp;"|"&amp;G119</f>
        <v/>
      </c>
      <c r="DA119" s="3">
        <f>IFERROR(VLOOKUP(CZ119,DIST_TBL,2,0),"")</f>
        <v/>
      </c>
      <c r="DB119" s="3">
        <f>E_ITV*(V119="sí")+E_LIBRO*(W119="sí")+E_PROP*IF(Y119=1,1,IF(Y119=2,0.5,0))+E_CORREA*IF(OR(DA119="cadena",AND(X119="sí",BH119="sí")),1,IF(X119="sí",0.5,0))+E_FACT*(BI119="sí")</f>
        <v/>
      </c>
      <c r="DC119" s="3">
        <f>MAX(0,MIN(100,IFERROR(VLOOKUP(CL119,ETQ_TBL,2,0),0)-IF(CM119="sí",ETQ_PEN_DUD,IF(AS119="regla",ETQ_PEN_REGLA,0))))</f>
        <v/>
      </c>
      <c r="DD119" s="3">
        <f>IF(K119&lt;&gt;"gasolina","",IFERROR(VLOOKUP(F119,CONS_MOD_TBL,2,0),IFERROR(VLOOKUP(L119,CONS_SEG_TBL,2,0),"")))</f>
        <v/>
      </c>
      <c r="DE119" s="3">
        <f>IF(DD119="",NEUTRO,MAX(0,MIN(100,100*(CONS_REF_MAX-DD119)/(CONS_REF_MAX-CONS_REF_MIN))))</f>
        <v/>
      </c>
      <c r="DF119" s="3">
        <f>IFERROR(VLOOKUP(L119,SEGURO_TBL,3,0),"")</f>
        <v/>
      </c>
      <c r="DG119" s="3">
        <f>IF(DF119="",NEUTRO,MAX(0,MIN(100,100*(SEG_REF_MAX-DF119)/(SEG_REF_MAX-SEG_REF_MIN))))</f>
        <v/>
      </c>
      <c r="DH119" s="3">
        <f>IFERROR(VLOOKUP(E119,MANT_MARCA_TBL,2,0)+0,NEUTRO)</f>
        <v/>
      </c>
      <c r="DI119" s="3">
        <f>IF(DA119="",NEUTRO,IFERROR(VLOOKUP(DA119,DIST_PTS_TBL,2,0)+0,NEUTRO))</f>
        <v/>
      </c>
      <c r="DJ119" s="4">
        <f>(DH119+DI119)/2</f>
        <v/>
      </c>
      <c r="DK119" s="3">
        <f>W_CONS*DE119+W_SEG*DG119+W_MANT*DJ119</f>
        <v/>
      </c>
      <c r="DL119" s="3">
        <f>IF(N(AB119)&gt;0,AB119,IF(AND(R119="profesional",SG_LEGAL_ON=1),GAR_LEGAL,0))</f>
        <v/>
      </c>
      <c r="DM119" s="3">
        <f>MAX(0,MIN(100,SG_GAR*MIN(1,DL119/SG_GAR_FULL)+SG_AMPL*(AC119="sí")+SG_KMC*(AF119="sí")+SG_REV*(N(AE119)&gt;0)+SG_DEV*MIN(1,N(AG119)/SG_DEV_FULL)+SG_HIST*(W119="sí")-IF(AND(R119="particular",DL119=0),SG_PART_PEN,0)))</f>
        <v/>
      </c>
      <c r="DN119" s="3">
        <f>IF(BK119="",NEUTRO,MAX(0,MIN(100,BK119/5*100)))</f>
        <v/>
      </c>
      <c r="DO119" s="3">
        <f>IF(BL119="sí",100,IF(BL119="no",0,NEUTRO))</f>
        <v/>
      </c>
      <c r="DP119" s="3">
        <f>SV_W_NCAP*DN119+SV_W_ESP*DO119</f>
        <v/>
      </c>
      <c r="DQ119" s="3">
        <f>MAX(0,MIN(100,ATR_BASE+ATR_ACAB*(BD119&lt;&gt;"")+IF(BE119="16+",ATR_LL16,IF(BE119="sí",ATR_LL,0))+ATR_FAROS*(BF119="sí")+ATR_TINT*(BG119="sí")-ATR_CHAPA*(BE119="chapa")))</f>
        <v/>
      </c>
      <c r="DR119" s="3">
        <f>EST_W_MOD*(BB119-1)/4*100+EST_W_ATR*DQ119</f>
        <v/>
      </c>
      <c r="DS119" s="3">
        <f>IF(BA119="",NEUTRO,IFERROR(VLOOKUP(BA119,COLOR_TBL,2,0)+0,NEUTRO))</f>
        <v/>
      </c>
      <c r="DT119" s="3">
        <f>MAX(0,MIN(100,100*N(BM119)/RV_N_FULL))</f>
        <v/>
      </c>
      <c r="DU119" s="3">
        <f>IF(OR(BN119="",N(BO119)&lt;RV_DIAS_MIN),NEUTRO,MAX(0,MIN(100,100*(RV_DIAS_CERO-BN119)/(RV_DIAS_CERO-RV_DIAS_FULL))))</f>
        <v/>
      </c>
      <c r="DV119" s="3">
        <f>RV_W_LIQ*DT119+RV_W_DIAS*DU119+RV_W_ETQ*DC119</f>
        <v/>
      </c>
      <c r="DW119" s="3">
        <f>IFERROR(VLOOKUP(L119,CARR_PEN_TBL,2,0),0)</f>
        <v/>
      </c>
      <c r="DX119" s="3">
        <f>W_FIAB*CS119+W_PRECIO*CU119+W_KMEDAD*CY119+W_ESTADO*DB119+W_USO*DK119+W_SEGURIDAD*DM119+W_SEGVIAL*DP119+W_ESTETICA*DR119+W_COLOR*DS119+W_REVENTA*DV119-DW119-EG119</f>
        <v/>
      </c>
      <c r="DY119" s="4">
        <f>IF(N(I119)&gt;0,I119,IFERROR(ROUND(_xlfn.NUMBERVALUE(LEFT(G119,FIND(" ",G119&amp;" ")-1),".")*1000,0),99999))</f>
        <v/>
      </c>
      <c r="DZ119" s="3">
        <f>IF(R119="profesional",0,IF(O119&lt;CUOTA_VALOR_MAX,IF(BW119&gt;ITP_TRAMO_ALTO,SUMIFS(CF_CUOTA,CF_MAS,ITP_TRAMO_ALTO,CF_CCMIN,"&lt;="&amp;DY119,CF_CCMAX,"&gt;="&amp;DY119),IF(BW119&gt;ITP_TRAMO_BAJO,SUMIFS(CF_CUOTA,CF_MAS,ITP_TRAMO_BAJO,CF_CCMIN,"&lt;="&amp;DY119,CF_CCMAX,"&gt;="&amp;DY119),O119*ITP_TIPO)),O119*ITP_TIPO))</f>
        <v/>
      </c>
      <c r="EA119" s="4">
        <f>IF(R119="profesional",N(AK119),0)</f>
        <v/>
      </c>
      <c r="EB119" s="3">
        <f>IF(AND(R119="profesional",ISNUMBER(AK119),AL119="sí"),0,TASA_DGT)</f>
        <v/>
      </c>
      <c r="EC119" s="3">
        <f>INFORME_DGT</f>
        <v/>
      </c>
      <c r="ED119" s="4">
        <f>O119+EA119+DZ119+EB119+EC119</f>
        <v/>
      </c>
      <c r="EE119" s="4">
        <f>ED119+N(DF119)</f>
        <v/>
      </c>
      <c r="EF119" s="3">
        <f>MAX(0,ED119-TOTAL_MAX)</f>
        <v/>
      </c>
      <c r="EG119" s="3">
        <f>EF119/100*PEN_100</f>
        <v/>
      </c>
      <c r="EH119" s="3">
        <f>IF(R119="particular",ED119+IF(AND(DA119&lt;&gt;"cadena",X119&lt;&gt;"sí"),RES_CORREA,0)+IF(AND(BJ119&lt;&gt;"sí",BW119&gt;=RES_NEUM_EDAD),RES_NEUM,0),"")</f>
        <v/>
      </c>
      <c r="EI119" s="3">
        <f>IF(ED119&lt;=TOTAL_MAX,"sí",IF(ED119&lt;=TECHO,"negociar","no"))</f>
        <v/>
      </c>
      <c r="EJ119" s="4">
        <f>ROUND(DX119,9)</f>
        <v/>
      </c>
      <c r="EK119" s="4">
        <f>IF(EI119&lt;&gt;"no",SUMPRODUCT(($EI$2:$EI$209&lt;&gt;"no")*($EJ$2:$EJ$209&gt;EJ119))+SUMPRODUCT(($EI$2:EI119&lt;&gt;"no")*($EJ$2:EJ119=EJ119)),"")</f>
        <v/>
      </c>
    </row>
    <row r="120">
      <c r="A120" s="2" t="inlineStr">
        <is>
          <t>autoscout24:1dc4e185-dbb1-4a11-859b-53f72824eaef</t>
        </is>
      </c>
      <c r="B120" s="2" t="inlineStr">
        <is>
          <t>autoscout24</t>
        </is>
      </c>
      <c r="C120" s="2" t="inlineStr">
        <is>
          <t>https://www.autoscout24.es/anuncios/ford-ka-ka+-sport-gasolina-azul-cat_ma29mo1761-1dc4e185-dbb1-4a11-859b-53f72824eaef</t>
        </is>
      </c>
      <c r="D120" s="2" t="inlineStr">
        <is>
          <t>Ford Ka/Ka+ Sport</t>
        </is>
      </c>
      <c r="E120" s="2" t="inlineStr">
        <is>
          <t>Ford</t>
        </is>
      </c>
      <c r="F120" s="2" t="inlineStr">
        <is>
          <t>Ford Ka</t>
        </is>
      </c>
      <c r="G120" s="2" t="inlineStr">
        <is>
          <t>1.6</t>
        </is>
      </c>
      <c r="H120" s="2" t="inlineStr">
        <is>
          <t>Sport 1.6</t>
        </is>
      </c>
      <c r="I120" s="2" t="n">
        <v>1599</v>
      </c>
      <c r="J120" s="2" t="n">
        <v>95</v>
      </c>
      <c r="K120" s="2" t="inlineStr">
        <is>
          <t>gasolina</t>
        </is>
      </c>
      <c r="L120" s="2" t="inlineStr">
        <is>
          <t>utilitario</t>
        </is>
      </c>
      <c r="M120" s="2" t="n">
        <v>2003</v>
      </c>
      <c r="N120" s="2" t="n">
        <v>107000</v>
      </c>
      <c r="O120" s="2" t="n">
        <v>4695</v>
      </c>
      <c r="P120" s="2" t="inlineStr">
        <is>
          <t>manual</t>
        </is>
      </c>
      <c r="Q120" s="2" t="inlineStr">
        <is>
          <t>no</t>
        </is>
      </c>
      <c r="R120" s="2" t="inlineStr">
        <is>
          <t>profesional</t>
        </is>
      </c>
      <c r="S120" s="2" t="inlineStr">
        <is>
          <t>KC CARS — QUART DE POBLET (46930)</t>
        </is>
      </c>
      <c r="T120" s="2" t="n"/>
      <c r="U120" s="2" t="n">
        <v>17</v>
      </c>
      <c r="V120" s="2" t="n"/>
      <c r="W120" s="2" t="n"/>
      <c r="X120" s="2" t="n"/>
      <c r="Y120" s="2" t="n"/>
      <c r="Z120" s="2" t="n"/>
      <c r="AA120" s="2" t="n"/>
      <c r="AB120" s="2" t="n"/>
      <c r="AC120" s="2" t="n"/>
      <c r="AD120" s="2" t="n"/>
      <c r="AE120" s="2" t="n"/>
      <c r="AF120" s="2" t="n"/>
      <c r="AG120" s="2" t="n"/>
      <c r="AH120" s="2" t="n"/>
      <c r="AI120" s="2" t="n"/>
      <c r="AJ120" s="2" t="n"/>
      <c r="AK120" s="2" t="n"/>
      <c r="AL120" s="2" t="n"/>
      <c r="AM120" s="2" t="n">
        <v>5.3</v>
      </c>
      <c r="AN120" s="2" t="n"/>
      <c r="AO120" s="2" t="inlineStr">
        <is>
          <t>2003-07</t>
        </is>
      </c>
      <c r="AP120" s="2" t="n">
        <v>2003</v>
      </c>
      <c r="AQ120" s="2" t="n">
        <v>7</v>
      </c>
      <c r="AR120" s="2" t="n"/>
      <c r="AS120" s="2" t="inlineStr">
        <is>
          <t>regla</t>
        </is>
      </c>
      <c r="AT120" s="2" t="n"/>
      <c r="AU120" s="2" t="inlineStr">
        <is>
          <t>no</t>
        </is>
      </c>
      <c r="AV120" s="2" t="inlineStr">
        <is>
          <t>B</t>
        </is>
      </c>
      <c r="AW120" s="2" t="n"/>
      <c r="AX120" s="2" t="inlineStr">
        <is>
          <t>no</t>
        </is>
      </c>
      <c r="AY120" s="2" t="inlineStr">
        <is>
          <t>no</t>
        </is>
      </c>
      <c r="AZ120" s="2" t="inlineStr">
        <is>
          <t>Azul Metalizado</t>
        </is>
      </c>
      <c r="BA120" s="2" t="inlineStr">
        <is>
          <t>azul</t>
        </is>
      </c>
      <c r="BB120" s="3" t="n">
        <v>2</v>
      </c>
      <c r="BC120" s="3" t="inlineStr">
        <is>
          <t>(por segmento)</t>
        </is>
      </c>
      <c r="BD120" s="2" t="inlineStr">
        <is>
          <t>sport</t>
        </is>
      </c>
      <c r="BE120" s="2" t="inlineStr">
        <is>
          <t>sí</t>
        </is>
      </c>
      <c r="BF120" s="2" t="n"/>
      <c r="BG120" s="2" t="n"/>
      <c r="BH120" s="2" t="n"/>
      <c r="BI120" s="2" t="n"/>
      <c r="BJ120" s="2" t="n"/>
      <c r="BK120" s="2" t="n"/>
      <c r="BL120" s="2" t="n"/>
      <c r="BM120" s="2" t="n">
        <v>50</v>
      </c>
      <c r="BN120" s="2" t="n"/>
      <c r="BO120" s="2" t="n">
        <v>0</v>
      </c>
      <c r="BP120" s="2" t="n">
        <v>1800</v>
      </c>
      <c r="BQ120" s="2" t="n">
        <v>4</v>
      </c>
      <c r="BR120" s="2" t="inlineStr">
        <is>
          <t>modelo+año</t>
        </is>
      </c>
      <c r="BS120" s="2" t="n"/>
      <c r="BT120" s="2" t="inlineStr">
        <is>
          <t>vendedor profesional: sin ITP (operación con IVA/REBU, confirmar en factura); gastos de gestión del vendedor no indicados: se suma la tasa DGT; preguntar el precio final; Euro NCAP de la generación PENDIENTE (seguridad neutra); etiqueta B deducida por fecha (sin matrícula ni dato del anuncio); revisar: no menciona la ITV; fiabilidad del modelo PENDIENTE de fuente (puntuación neutra)</t>
        </is>
      </c>
      <c r="BU120" s="2" t="inlineStr">
        <is>
          <t>SOLO VENTA--- NO CAMBIOS &lt;br /&gt;&lt;br /&gt;Ford Sport KA de 95CV&lt;br /&gt;Año 2003&lt;br /&gt;107.000 KM&lt;br /&gt;5 velocidades&lt;br /&gt;Vehiculo revisado y al día de mantenimiento para la venta.&lt;br /&gt;Correa de distribución + bomba de agua cambiados hace 500km.&lt;br /&gt;Termostato sustituido&lt;br /&gt;Cables de bujía y bujias sustituido&lt;br /&gt;Aceite y filtro de aceite recién cambiados&lt;br /&gt;Bomba de gasolina sustituido&lt;br /&gt;Bobina sustituido&lt;br /&gt;En perfecto estado de chapa, mecánica e interior. Interior en cuero en azul y negro RS, tanto en asientos como en paneles de puerta.&lt;br /&gt;Elevalunas eléctricos&lt;br /&gt;Cierre centralizado&lt;br /&gt;Aire acondicionado&lt;br /&gt;Se entrega con 2 llaves&lt;br /&gt;&lt;br /&gt;&lt;br /&gt; &lt;strong&gt;Extras&lt;/strong&gt; &lt;br /&gt; &lt;strong&gt;Equipamiento destacado seleccionado por el usuario&lt;/strong&gt; &lt;br /&gt; &lt;br /&gt;- Aire acondicionado&lt;br /&gt;</t>
        </is>
      </c>
      <c r="BV120" s="2" t="inlineStr">
        <is>
          <t>https://www.autoscout24.es/anuncios/ford-ka-ka+-sport-gasolina-azul-cat_ma29mo1761-1dc4e185-dbb1-4a11-859b-53f72824eaef (__NEXT_DATA__ listingDetails) /home/user/Alopecia/buscador-coches/raw/autoscout24/b4c09f7edfb4b957.json</t>
        </is>
      </c>
      <c r="BW120" s="3">
        <f>MAX(ANIO_ACTUAL-M120,0)</f>
        <v/>
      </c>
      <c r="BX120" s="4">
        <f>N120/MAX(BW120,0.5)</f>
        <v/>
      </c>
      <c r="BY120" s="4">
        <f>F120</f>
        <v/>
      </c>
      <c r="BZ120" s="3">
        <f>BY120&amp;"|"&amp;INT(M120/SEG_ANIO)*SEG_ANIO</f>
        <v/>
      </c>
      <c r="CA120" s="3">
        <f>BZ120&amp;"|"&amp;INT(N120/SEG_KM)*SEG_KM</f>
        <v/>
      </c>
      <c r="CB120" s="4">
        <f>COUNTIF($BY$2:$BY$209,BY120)</f>
        <v/>
      </c>
      <c r="CC120" s="4">
        <f>COUNTIF($BZ$2:$BZ$209,BZ120)</f>
        <v/>
      </c>
      <c r="CD120" s="4">
        <f>COUNTIF($CA$2:$CA$209,CA120)</f>
        <v/>
      </c>
      <c r="CE120" s="3">
        <f t="array" ref="CE120">IF(N(BQ120)&gt;=MIN_N,BP120,IF(CD120&gt;=MIN_N,MEDIAN(IF($CA$2:$CA$209=CA120,$O$2:$O$209)),IF(CC120&gt;=MIN_N,MEDIAN(IF($BZ$2:$BZ$209=BZ120,$O$2:$O$209)),MEDIAN(IF($BY$2:$BY$209=BY120,$O$2:$O$209)))))</f>
        <v/>
      </c>
      <c r="CF120" s="3">
        <f>IF(N(BQ120)&gt;=MIN_N,"mercado "&amp;BR120,IF(CD120&gt;=MIN_N,"modelo+año+km",IF(CC120&gt;=MIN_N,"modelo+año","modelo")))</f>
        <v/>
      </c>
      <c r="CG120" s="4">
        <f>(CE120-O120)/CE120</f>
        <v/>
      </c>
      <c r="CH120" s="3">
        <f>IF(COUNTIFS(FR_FUEL,K120,FR_YEAR,AP120)&gt;0,1,0)</f>
        <v/>
      </c>
      <c r="CI120" s="3">
        <f>IF(COUNTIFS(FR_FUEL,K120,FR_YEAR,AP120-1)&gt;0,1,0)</f>
        <v/>
      </c>
      <c r="CJ120" s="4">
        <f>IF(N(AQ120)&gt;0,AP120*100+AQ120,IF(AND(CH120=1,CI120=1),(AP120-1)*100+1,AP120*100+1))</f>
        <v/>
      </c>
      <c r="CK120" s="3">
        <f>IF(OR(K120="hibrido",K120="glp",K120="gnc",K120="phev"),"ECO",IF(K120="electrico","CERO",IF(K120="gasolina",IF(CJ120&gt;=GAS_C_YM,"C",IF(CJ120&gt;=GAS_B_YM,"B","A")),IF(K120="diesel",IF(CJ120&gt;=DIE_C_YM,"C",IF(CJ120&gt;=DIE_B_YM,"B","A")),""))))</f>
        <v/>
      </c>
      <c r="CL120" s="4">
        <f>CK120</f>
        <v/>
      </c>
      <c r="CM120" s="4">
        <f>IF(AU120="sí","sí",IF(AS120="regla",IF(AND(N(AQ120)=0,CH120=1),"sí","no"),"no"))</f>
        <v/>
      </c>
      <c r="CN120" s="3">
        <f>IFERROR(VLOOKUP(F120,MOD_TBL,16,0),IFERROR(VLOOKUP(E120,OCU_TBL,2,0),NEUTRO))</f>
        <v/>
      </c>
      <c r="CO120" s="3">
        <f>SUMIFS(MOT_AJUSTE,MOT_MOTOR,G120,MOT_MARCA,E120,MOT_DESDE,"&lt;="&amp;M120,MOT_HASTA,"&gt;="&amp;M120)+SUMIFS(MOT_AJUSTE,MOT_MOTOR,G120,MOT_MARCA,"(todas)",MOT_DESDE,"&lt;="&amp;M120,MOT_HASTA,"&gt;="&amp;M120)+SUMIFS(MOT_AJUSTE,MOT_MOTOR,"(cualquiera)",MOT_MARCA,E120,MOT_DESDE,"&lt;="&amp;M120,MOT_HASTA,"&gt;="&amp;M120)</f>
        <v/>
      </c>
      <c r="CP120" s="3">
        <f>SUMIFS(COMB_AJUSTE,COMB_COMB,K120)</f>
        <v/>
      </c>
      <c r="CQ120" s="3">
        <f>COUNTIFS(MOT_MOTOR,G120,MOT_MARCA,E120,MOT_DESDE,"&lt;="&amp;M120,MOT_HASTA,"&gt;="&amp;M120)+COUNTIFS(MOT_MOTOR,G120,MOT_MARCA,"(todas)",MOT_DESDE,"&lt;="&amp;M120,MOT_HASTA,"&gt;="&amp;M120)+COUNTIFS(MOT_MOTOR,"(cualquiera)",MOT_MARCA,E120,MOT_DESDE,"&lt;="&amp;M120,MOT_HASTA,"&gt;="&amp;M120)</f>
        <v/>
      </c>
      <c r="CR120" s="3">
        <f>IF(AND(K120="diesel",CQ120=0),MIN(CN120,NEUTRO),CN120)</f>
        <v/>
      </c>
      <c r="CS120" s="3">
        <f>MAX(0,MIN(100,CR120+CO120+CP120-IF(AX120="sí",ROB_PEN,0)))</f>
        <v/>
      </c>
      <c r="CT120" s="3">
        <f>100-MAX(0,N120-KM_TOPE_DESDE)/1000*KM_TOPE_PTS</f>
        <v/>
      </c>
      <c r="CU120" s="3">
        <f>MAX(0,MIN(100,50+CG120*PRECIO_PEND,CT120))</f>
        <v/>
      </c>
      <c r="CV120" s="3">
        <f>MAX(0,100*(1-N120/KM_MAX))</f>
        <v/>
      </c>
      <c r="CW120" s="3">
        <f>IF(BX120&lt;KMA_SOSP,IF(AA120="sí",100,KMA_PEN),IF(BX120&lt;=KMA_IDEAL_MAX,100,MAX(0,100*(KMA_CERO-BX120)/(KMA_CERO-KMA_IDEAL_MAX))))</f>
        <v/>
      </c>
      <c r="CX120" s="3">
        <f>MAX(0,MIN(100,100*(M120-ANIO_MIN)/(ANIO_ACTUAL-ANIO_MIN)))</f>
        <v/>
      </c>
      <c r="CY120" s="3">
        <f>W_KMT*CV120+W_KMA*CW120+W_EDAD*CX120</f>
        <v/>
      </c>
      <c r="CZ120" s="4">
        <f>E120&amp;"|"&amp;G120</f>
        <v/>
      </c>
      <c r="DA120" s="3">
        <f>IFERROR(VLOOKUP(CZ120,DIST_TBL,2,0),"")</f>
        <v/>
      </c>
      <c r="DB120" s="3">
        <f>E_ITV*(V120="sí")+E_LIBRO*(W120="sí")+E_PROP*IF(Y120=1,1,IF(Y120=2,0.5,0))+E_CORREA*IF(OR(DA120="cadena",AND(X120="sí",BH120="sí")),1,IF(X120="sí",0.5,0))+E_FACT*(BI120="sí")</f>
        <v/>
      </c>
      <c r="DC120" s="3">
        <f>MAX(0,MIN(100,IFERROR(VLOOKUP(CL120,ETQ_TBL,2,0),0)-IF(CM120="sí",ETQ_PEN_DUD,IF(AS120="regla",ETQ_PEN_REGLA,0))))</f>
        <v/>
      </c>
      <c r="DD120" s="3">
        <f>IF(K120&lt;&gt;"gasolina","",IFERROR(VLOOKUP(F120,CONS_MOD_TBL,2,0),IFERROR(VLOOKUP(L120,CONS_SEG_TBL,2,0),"")))</f>
        <v/>
      </c>
      <c r="DE120" s="3">
        <f>IF(DD120="",NEUTRO,MAX(0,MIN(100,100*(CONS_REF_MAX-DD120)/(CONS_REF_MAX-CONS_REF_MIN))))</f>
        <v/>
      </c>
      <c r="DF120" s="3">
        <f>IFERROR(VLOOKUP(L120,SEGURO_TBL,3,0),"")</f>
        <v/>
      </c>
      <c r="DG120" s="3">
        <f>IF(DF120="",NEUTRO,MAX(0,MIN(100,100*(SEG_REF_MAX-DF120)/(SEG_REF_MAX-SEG_REF_MIN))))</f>
        <v/>
      </c>
      <c r="DH120" s="3">
        <f>IFERROR(VLOOKUP(E120,MANT_MARCA_TBL,2,0)+0,NEUTRO)</f>
        <v/>
      </c>
      <c r="DI120" s="3">
        <f>IF(DA120="",NEUTRO,IFERROR(VLOOKUP(DA120,DIST_PTS_TBL,2,0)+0,NEUTRO))</f>
        <v/>
      </c>
      <c r="DJ120" s="4">
        <f>(DH120+DI120)/2</f>
        <v/>
      </c>
      <c r="DK120" s="3">
        <f>W_CONS*DE120+W_SEG*DG120+W_MANT*DJ120</f>
        <v/>
      </c>
      <c r="DL120" s="3">
        <f>IF(N(AB120)&gt;0,AB120,IF(AND(R120="profesional",SG_LEGAL_ON=1),GAR_LEGAL,0))</f>
        <v/>
      </c>
      <c r="DM120" s="3">
        <f>MAX(0,MIN(100,SG_GAR*MIN(1,DL120/SG_GAR_FULL)+SG_AMPL*(AC120="sí")+SG_KMC*(AF120="sí")+SG_REV*(N(AE120)&gt;0)+SG_DEV*MIN(1,N(AG120)/SG_DEV_FULL)+SG_HIST*(W120="sí")-IF(AND(R120="particular",DL120=0),SG_PART_PEN,0)))</f>
        <v/>
      </c>
      <c r="DN120" s="3">
        <f>IF(BK120="",NEUTRO,MAX(0,MIN(100,BK120/5*100)))</f>
        <v/>
      </c>
      <c r="DO120" s="3">
        <f>IF(BL120="sí",100,IF(BL120="no",0,NEUTRO))</f>
        <v/>
      </c>
      <c r="DP120" s="3">
        <f>SV_W_NCAP*DN120+SV_W_ESP*DO120</f>
        <v/>
      </c>
      <c r="DQ120" s="3">
        <f>MAX(0,MIN(100,ATR_BASE+ATR_ACAB*(BD120&lt;&gt;"")+IF(BE120="16+",ATR_LL16,IF(BE120="sí",ATR_LL,0))+ATR_FAROS*(BF120="sí")+ATR_TINT*(BG120="sí")-ATR_CHAPA*(BE120="chapa")))</f>
        <v/>
      </c>
      <c r="DR120" s="3">
        <f>EST_W_MOD*(BB120-1)/4*100+EST_W_ATR*DQ120</f>
        <v/>
      </c>
      <c r="DS120" s="3">
        <f>IF(BA120="",NEUTRO,IFERROR(VLOOKUP(BA120,COLOR_TBL,2,0)+0,NEUTRO))</f>
        <v/>
      </c>
      <c r="DT120" s="3">
        <f>MAX(0,MIN(100,100*N(BM120)/RV_N_FULL))</f>
        <v/>
      </c>
      <c r="DU120" s="3">
        <f>IF(OR(BN120="",N(BO120)&lt;RV_DIAS_MIN),NEUTRO,MAX(0,MIN(100,100*(RV_DIAS_CERO-BN120)/(RV_DIAS_CERO-RV_DIAS_FULL))))</f>
        <v/>
      </c>
      <c r="DV120" s="3">
        <f>RV_W_LIQ*DT120+RV_W_DIAS*DU120+RV_W_ETQ*DC120</f>
        <v/>
      </c>
      <c r="DW120" s="3">
        <f>IFERROR(VLOOKUP(L120,CARR_PEN_TBL,2,0),0)</f>
        <v/>
      </c>
      <c r="DX120" s="3">
        <f>W_FIAB*CS120+W_PRECIO*CU120+W_KMEDAD*CY120+W_ESTADO*DB120+W_USO*DK120+W_SEGURIDAD*DM120+W_SEGVIAL*DP120+W_ESTETICA*DR120+W_COLOR*DS120+W_REVENTA*DV120-DW120-EG120</f>
        <v/>
      </c>
      <c r="DY120" s="4">
        <f>IF(N(I120)&gt;0,I120,IFERROR(ROUND(_xlfn.NUMBERVALUE(LEFT(G120,FIND(" ",G120&amp;" ")-1),".")*1000,0),99999))</f>
        <v/>
      </c>
      <c r="DZ120" s="3">
        <f>IF(R120="profesional",0,IF(O120&lt;CUOTA_VALOR_MAX,IF(BW120&gt;ITP_TRAMO_ALTO,SUMIFS(CF_CUOTA,CF_MAS,ITP_TRAMO_ALTO,CF_CCMIN,"&lt;="&amp;DY120,CF_CCMAX,"&gt;="&amp;DY120),IF(BW120&gt;ITP_TRAMO_BAJO,SUMIFS(CF_CUOTA,CF_MAS,ITP_TRAMO_BAJO,CF_CCMIN,"&lt;="&amp;DY120,CF_CCMAX,"&gt;="&amp;DY120),O120*ITP_TIPO)),O120*ITP_TIPO))</f>
        <v/>
      </c>
      <c r="EA120" s="4">
        <f>IF(R120="profesional",N(AK120),0)</f>
        <v/>
      </c>
      <c r="EB120" s="3">
        <f>IF(AND(R120="profesional",ISNUMBER(AK120),AL120="sí"),0,TASA_DGT)</f>
        <v/>
      </c>
      <c r="EC120" s="3">
        <f>INFORME_DGT</f>
        <v/>
      </c>
      <c r="ED120" s="4">
        <f>O120+EA120+DZ120+EB120+EC120</f>
        <v/>
      </c>
      <c r="EE120" s="4">
        <f>ED120+N(DF120)</f>
        <v/>
      </c>
      <c r="EF120" s="3">
        <f>MAX(0,ED120-TOTAL_MAX)</f>
        <v/>
      </c>
      <c r="EG120" s="3">
        <f>EF120/100*PEN_100</f>
        <v/>
      </c>
      <c r="EH120" s="3">
        <f>IF(R120="particular",ED120+IF(AND(DA120&lt;&gt;"cadena",X120&lt;&gt;"sí"),RES_CORREA,0)+IF(AND(BJ120&lt;&gt;"sí",BW120&gt;=RES_NEUM_EDAD),RES_NEUM,0),"")</f>
        <v/>
      </c>
      <c r="EI120" s="3">
        <f>IF(ED120&lt;=TOTAL_MAX,"sí",IF(ED120&lt;=TECHO,"negociar","no"))</f>
        <v/>
      </c>
      <c r="EJ120" s="4">
        <f>ROUND(DX120,9)</f>
        <v/>
      </c>
      <c r="EK120" s="4">
        <f>IF(EI120&lt;&gt;"no",SUMPRODUCT(($EI$2:$EI$209&lt;&gt;"no")*($EJ$2:$EJ$209&gt;EJ120))+SUMPRODUCT(($EI$2:EI120&lt;&gt;"no")*($EJ$2:EJ120=EJ120)),"")</f>
        <v/>
      </c>
    </row>
    <row r="121">
      <c r="A121" s="2" t="inlineStr">
        <is>
          <t>autoscout24:d5b27dfd-fed8-4a0b-82b9-c2080acadd7a</t>
        </is>
      </c>
      <c r="B121" s="2" t="inlineStr">
        <is>
          <t>autoscout24</t>
        </is>
      </c>
      <c r="C121" s="2" t="inlineStr">
        <is>
          <t>https://www.autoscout24.es/anuncios/audi-a3-1-6-ambition-gasolina-cat_ma9mo1624-d5b27dfd-fed8-4a0b-82b9-c2080acadd7a</t>
        </is>
      </c>
      <c r="D121" s="2" t="inlineStr">
        <is>
          <t>Audi A3 1.6 Ambition</t>
        </is>
      </c>
      <c r="E121" s="2" t="inlineStr">
        <is>
          <t>Audi</t>
        </is>
      </c>
      <c r="F121" s="2" t="inlineStr">
        <is>
          <t>Audi A3</t>
        </is>
      </c>
      <c r="G121" s="2" t="inlineStr">
        <is>
          <t>1.6</t>
        </is>
      </c>
      <c r="H121" s="2" t="inlineStr">
        <is>
          <t>1.6 Ambition 1.6</t>
        </is>
      </c>
      <c r="I121" s="2" t="n">
        <v>1595</v>
      </c>
      <c r="J121" s="2" t="n">
        <v>102</v>
      </c>
      <c r="K121" s="2" t="inlineStr">
        <is>
          <t>gasolina</t>
        </is>
      </c>
      <c r="L121" s="2" t="inlineStr">
        <is>
          <t>compacto</t>
        </is>
      </c>
      <c r="M121" s="2" t="n">
        <v>2004</v>
      </c>
      <c r="N121" s="2" t="n">
        <v>113685</v>
      </c>
      <c r="O121" s="2" t="n">
        <v>5000</v>
      </c>
      <c r="P121" s="2" t="inlineStr">
        <is>
          <t>manual</t>
        </is>
      </c>
      <c r="Q121" s="2" t="inlineStr">
        <is>
          <t>no</t>
        </is>
      </c>
      <c r="R121" s="2" t="inlineStr">
        <is>
          <t>profesional</t>
        </is>
      </c>
      <c r="S121" s="2" t="inlineStr">
        <is>
          <t>JMMGENIUS — VALENCIA (46016)</t>
        </is>
      </c>
      <c r="T121" s="2" t="n"/>
      <c r="U121" s="2" t="n">
        <v>13</v>
      </c>
      <c r="V121" s="2" t="n"/>
      <c r="W121" s="2" t="n"/>
      <c r="X121" s="2" t="n"/>
      <c r="Y121" s="2" t="n"/>
      <c r="Z121" s="2" t="inlineStr">
        <is>
          <t>sí</t>
        </is>
      </c>
      <c r="AA121" s="2" t="n"/>
      <c r="AB121" s="2" t="n">
        <v>12</v>
      </c>
      <c r="AC121" s="2" t="n"/>
      <c r="AD121" s="2" t="n"/>
      <c r="AE121" s="2" t="n"/>
      <c r="AF121" s="2" t="n"/>
      <c r="AG121" s="2" t="n"/>
      <c r="AH121" s="2" t="n"/>
      <c r="AI121" s="2" t="n"/>
      <c r="AJ121" s="2" t="n"/>
      <c r="AK121" s="2" t="n"/>
      <c r="AL121" s="2" t="n"/>
      <c r="AM121" s="2" t="n">
        <v>5</v>
      </c>
      <c r="AN121" s="2" t="n"/>
      <c r="AO121" s="2" t="inlineStr">
        <is>
          <t>2004-08</t>
        </is>
      </c>
      <c r="AP121" s="2" t="n">
        <v>2004</v>
      </c>
      <c r="AQ121" s="2" t="n">
        <v>8</v>
      </c>
      <c r="AR121" s="2" t="n"/>
      <c r="AS121" s="2" t="inlineStr">
        <is>
          <t>regla</t>
        </is>
      </c>
      <c r="AT121" s="2" t="n"/>
      <c r="AU121" s="2" t="inlineStr">
        <is>
          <t>no</t>
        </is>
      </c>
      <c r="AV121" s="2" t="inlineStr">
        <is>
          <t>B</t>
        </is>
      </c>
      <c r="AW121" s="2" t="n"/>
      <c r="AX121" s="2" t="inlineStr">
        <is>
          <t>no</t>
        </is>
      </c>
      <c r="AY121" s="2" t="inlineStr">
        <is>
          <t>sí</t>
        </is>
      </c>
      <c r="AZ121" s="2" t="n"/>
      <c r="BA121" s="2" t="n"/>
      <c r="BB121" s="3" t="n">
        <v>5</v>
      </c>
      <c r="BC121" s="3" t="inlineStr">
        <is>
          <t>Audi A3 8P 1.6 2003-2012</t>
        </is>
      </c>
      <c r="BD121" s="2" t="n"/>
      <c r="BE121" s="2" t="inlineStr">
        <is>
          <t>sí</t>
        </is>
      </c>
      <c r="BF121" s="2" t="n"/>
      <c r="BG121" s="2" t="n"/>
      <c r="BH121" s="2" t="n"/>
      <c r="BI121" s="2" t="n"/>
      <c r="BJ121" s="2" t="n"/>
      <c r="BK121" s="2" t="n">
        <v>4</v>
      </c>
      <c r="BL121" s="2" t="inlineStr">
        <is>
          <t>sí</t>
        </is>
      </c>
      <c r="BM121" s="2" t="n">
        <v>381</v>
      </c>
      <c r="BN121" s="2" t="n">
        <v>0</v>
      </c>
      <c r="BO121" s="2" t="n">
        <v>2</v>
      </c>
      <c r="BP121" s="2" t="n">
        <v>4150</v>
      </c>
      <c r="BQ121" s="2" t="n">
        <v>4</v>
      </c>
      <c r="BR121" s="2" t="inlineStr">
        <is>
          <t>modelo+año+km</t>
        </is>
      </c>
      <c r="BS121" s="2" t="inlineStr">
        <is>
          <t>cochesnet:71492732 (https://www.coches.net/audi-a3-16-ambition-3p-gasolina-2005-en-valencia-71492732-covo.aspx)</t>
        </is>
      </c>
      <c r="BT121" s="2" t="inlineStr">
        <is>
          <t>por encima del presupuesto: negociar 64 € (coste 5064 €; -1.3 puntos); vendedor profesional: sin ITP (operación con IVA/REBU, confirmar en factura); gastos de gestión del vendedor no indicados: se suma la tasa DGT; preguntar el precio final; etiqueta B deducida por fecha (sin matrícula ni dato del anuncio); revisar: no menciona la ITV; fiabilidad del modelo PENDIENTE de fuente (puntuación neutra)</t>
        </is>
      </c>
      <c r="BU121" s="2" t="inlineStr">
        <is>
          <t>Este Audi A3 Ambition combina confort y tecnología con aire acondicionado bizona automático, asientos deportivos ajustables en altura y volante de cuero regulable. Dispone de sistema de audio con ocho altavoces, ordenador de viaje con datos de consumo e instantáneo, faros dobles con lentes complejas y luces antiniebla. Climatización con filtro de partículas y carbón activo, retrovisores eléctricos con eliminación de ángulo muerto, elevalunas de un solo toque y cierre centralizado con mando a distancia. Etiqueta ecológica B que facilita acceso a zonas de tráfico restringido.&lt;br /&gt;&lt;br /&gt;</t>
        </is>
      </c>
      <c r="BV121" s="2" t="inlineStr">
        <is>
          <t>https://www.autoscout24.es/anuncios/audi-a3-1-6-ambition-gasolina-cat_ma9mo1624-d5b27dfd-fed8-4a0b-82b9-c2080acadd7a (__NEXT_DATA__ listingDetails) /home/user/Alopecia/buscador-coches/raw/autoscout24/177aa83b9883f184.json</t>
        </is>
      </c>
      <c r="BW121" s="3">
        <f>MAX(ANIO_ACTUAL-M121,0)</f>
        <v/>
      </c>
      <c r="BX121" s="4">
        <f>N121/MAX(BW121,0.5)</f>
        <v/>
      </c>
      <c r="BY121" s="4">
        <f>F121</f>
        <v/>
      </c>
      <c r="BZ121" s="3">
        <f>BY121&amp;"|"&amp;INT(M121/SEG_ANIO)*SEG_ANIO</f>
        <v/>
      </c>
      <c r="CA121" s="3">
        <f>BZ121&amp;"|"&amp;INT(N121/SEG_KM)*SEG_KM</f>
        <v/>
      </c>
      <c r="CB121" s="4">
        <f>COUNTIF($BY$2:$BY$209,BY121)</f>
        <v/>
      </c>
      <c r="CC121" s="4">
        <f>COUNTIF($BZ$2:$BZ$209,BZ121)</f>
        <v/>
      </c>
      <c r="CD121" s="4">
        <f>COUNTIF($CA$2:$CA$209,CA121)</f>
        <v/>
      </c>
      <c r="CE121" s="3">
        <f t="array" ref="CE121">IF(N(BQ121)&gt;=MIN_N,BP121,IF(CD121&gt;=MIN_N,MEDIAN(IF($CA$2:$CA$209=CA121,$O$2:$O$209)),IF(CC121&gt;=MIN_N,MEDIAN(IF($BZ$2:$BZ$209=BZ121,$O$2:$O$209)),MEDIAN(IF($BY$2:$BY$209=BY121,$O$2:$O$209)))))</f>
        <v/>
      </c>
      <c r="CF121" s="3">
        <f>IF(N(BQ121)&gt;=MIN_N,"mercado "&amp;BR121,IF(CD121&gt;=MIN_N,"modelo+año+km",IF(CC121&gt;=MIN_N,"modelo+año","modelo")))</f>
        <v/>
      </c>
      <c r="CG121" s="4">
        <f>(CE121-O121)/CE121</f>
        <v/>
      </c>
      <c r="CH121" s="3">
        <f>IF(COUNTIFS(FR_FUEL,K121,FR_YEAR,AP121)&gt;0,1,0)</f>
        <v/>
      </c>
      <c r="CI121" s="3">
        <f>IF(COUNTIFS(FR_FUEL,K121,FR_YEAR,AP121-1)&gt;0,1,0)</f>
        <v/>
      </c>
      <c r="CJ121" s="4">
        <f>IF(N(AQ121)&gt;0,AP121*100+AQ121,IF(AND(CH121=1,CI121=1),(AP121-1)*100+1,AP121*100+1))</f>
        <v/>
      </c>
      <c r="CK121" s="3">
        <f>IF(OR(K121="hibrido",K121="glp",K121="gnc",K121="phev"),"ECO",IF(K121="electrico","CERO",IF(K121="gasolina",IF(CJ121&gt;=GAS_C_YM,"C",IF(CJ121&gt;=GAS_B_YM,"B","A")),IF(K121="diesel",IF(CJ121&gt;=DIE_C_YM,"C",IF(CJ121&gt;=DIE_B_YM,"B","A")),""))))</f>
        <v/>
      </c>
      <c r="CL121" s="4">
        <f>CK121</f>
        <v/>
      </c>
      <c r="CM121" s="4">
        <f>IF(AU121="sí","sí",IF(AS121="regla",IF(AND(N(AQ121)=0,CH121=1),"sí","no"),"no"))</f>
        <v/>
      </c>
      <c r="CN121" s="3">
        <f>IFERROR(VLOOKUP(F121,MOD_TBL,16,0),IFERROR(VLOOKUP(E121,OCU_TBL,2,0),NEUTRO))</f>
        <v/>
      </c>
      <c r="CO121" s="3">
        <f>SUMIFS(MOT_AJUSTE,MOT_MOTOR,G121,MOT_MARCA,E121,MOT_DESDE,"&lt;="&amp;M121,MOT_HASTA,"&gt;="&amp;M121)+SUMIFS(MOT_AJUSTE,MOT_MOTOR,G121,MOT_MARCA,"(todas)",MOT_DESDE,"&lt;="&amp;M121,MOT_HASTA,"&gt;="&amp;M121)+SUMIFS(MOT_AJUSTE,MOT_MOTOR,"(cualquiera)",MOT_MARCA,E121,MOT_DESDE,"&lt;="&amp;M121,MOT_HASTA,"&gt;="&amp;M121)</f>
        <v/>
      </c>
      <c r="CP121" s="3">
        <f>SUMIFS(COMB_AJUSTE,COMB_COMB,K121)</f>
        <v/>
      </c>
      <c r="CQ121" s="3">
        <f>COUNTIFS(MOT_MOTOR,G121,MOT_MARCA,E121,MOT_DESDE,"&lt;="&amp;M121,MOT_HASTA,"&gt;="&amp;M121)+COUNTIFS(MOT_MOTOR,G121,MOT_MARCA,"(todas)",MOT_DESDE,"&lt;="&amp;M121,MOT_HASTA,"&gt;="&amp;M121)+COUNTIFS(MOT_MOTOR,"(cualquiera)",MOT_MARCA,E121,MOT_DESDE,"&lt;="&amp;M121,MOT_HASTA,"&gt;="&amp;M121)</f>
        <v/>
      </c>
      <c r="CR121" s="3">
        <f>IF(AND(K121="diesel",CQ121=0),MIN(CN121,NEUTRO),CN121)</f>
        <v/>
      </c>
      <c r="CS121" s="3">
        <f>MAX(0,MIN(100,CR121+CO121+CP121-IF(AX121="sí",ROB_PEN,0)))</f>
        <v/>
      </c>
      <c r="CT121" s="3">
        <f>100-MAX(0,N121-KM_TOPE_DESDE)/1000*KM_TOPE_PTS</f>
        <v/>
      </c>
      <c r="CU121" s="3">
        <f>MAX(0,MIN(100,50+CG121*PRECIO_PEND,CT121))</f>
        <v/>
      </c>
      <c r="CV121" s="3">
        <f>MAX(0,100*(1-N121/KM_MAX))</f>
        <v/>
      </c>
      <c r="CW121" s="3">
        <f>IF(BX121&lt;KMA_SOSP,IF(AA121="sí",100,KMA_PEN),IF(BX121&lt;=KMA_IDEAL_MAX,100,MAX(0,100*(KMA_CERO-BX121)/(KMA_CERO-KMA_IDEAL_MAX))))</f>
        <v/>
      </c>
      <c r="CX121" s="3">
        <f>MAX(0,MIN(100,100*(M121-ANIO_MIN)/(ANIO_ACTUAL-ANIO_MIN)))</f>
        <v/>
      </c>
      <c r="CY121" s="3">
        <f>W_KMT*CV121+W_KMA*CW121+W_EDAD*CX121</f>
        <v/>
      </c>
      <c r="CZ121" s="4">
        <f>E121&amp;"|"&amp;G121</f>
        <v/>
      </c>
      <c r="DA121" s="3">
        <f>IFERROR(VLOOKUP(CZ121,DIST_TBL,2,0),"")</f>
        <v/>
      </c>
      <c r="DB121" s="3">
        <f>E_ITV*(V121="sí")+E_LIBRO*(W121="sí")+E_PROP*IF(Y121=1,1,IF(Y121=2,0.5,0))+E_CORREA*IF(OR(DA121="cadena",AND(X121="sí",BH121="sí")),1,IF(X121="sí",0.5,0))+E_FACT*(BI121="sí")</f>
        <v/>
      </c>
      <c r="DC121" s="3">
        <f>MAX(0,MIN(100,IFERROR(VLOOKUP(CL121,ETQ_TBL,2,0),0)-IF(CM121="sí",ETQ_PEN_DUD,IF(AS121="regla",ETQ_PEN_REGLA,0))))</f>
        <v/>
      </c>
      <c r="DD121" s="3">
        <f>IF(K121&lt;&gt;"gasolina","",IFERROR(VLOOKUP(F121,CONS_MOD_TBL,2,0),IFERROR(VLOOKUP(L121,CONS_SEG_TBL,2,0),"")))</f>
        <v/>
      </c>
      <c r="DE121" s="3">
        <f>IF(DD121="",NEUTRO,MAX(0,MIN(100,100*(CONS_REF_MAX-DD121)/(CONS_REF_MAX-CONS_REF_MIN))))</f>
        <v/>
      </c>
      <c r="DF121" s="3">
        <f>IFERROR(VLOOKUP(L121,SEGURO_TBL,3,0),"")</f>
        <v/>
      </c>
      <c r="DG121" s="3">
        <f>IF(DF121="",NEUTRO,MAX(0,MIN(100,100*(SEG_REF_MAX-DF121)/(SEG_REF_MAX-SEG_REF_MIN))))</f>
        <v/>
      </c>
      <c r="DH121" s="3">
        <f>IFERROR(VLOOKUP(E121,MANT_MARCA_TBL,2,0)+0,NEUTRO)</f>
        <v/>
      </c>
      <c r="DI121" s="3">
        <f>IF(DA121="",NEUTRO,IFERROR(VLOOKUP(DA121,DIST_PTS_TBL,2,0)+0,NEUTRO))</f>
        <v/>
      </c>
      <c r="DJ121" s="4">
        <f>(DH121+DI121)/2</f>
        <v/>
      </c>
      <c r="DK121" s="3">
        <f>W_CONS*DE121+W_SEG*DG121+W_MANT*DJ121</f>
        <v/>
      </c>
      <c r="DL121" s="3">
        <f>IF(N(AB121)&gt;0,AB121,IF(AND(R121="profesional",SG_LEGAL_ON=1),GAR_LEGAL,0))</f>
        <v/>
      </c>
      <c r="DM121" s="3">
        <f>MAX(0,MIN(100,SG_GAR*MIN(1,DL121/SG_GAR_FULL)+SG_AMPL*(AC121="sí")+SG_KMC*(AF121="sí")+SG_REV*(N(AE121)&gt;0)+SG_DEV*MIN(1,N(AG121)/SG_DEV_FULL)+SG_HIST*(W121="sí")-IF(AND(R121="particular",DL121=0),SG_PART_PEN,0)))</f>
        <v/>
      </c>
      <c r="DN121" s="3">
        <f>IF(BK121="",NEUTRO,MAX(0,MIN(100,BK121/5*100)))</f>
        <v/>
      </c>
      <c r="DO121" s="3">
        <f>IF(BL121="sí",100,IF(BL121="no",0,NEUTRO))</f>
        <v/>
      </c>
      <c r="DP121" s="3">
        <f>SV_W_NCAP*DN121+SV_W_ESP*DO121</f>
        <v/>
      </c>
      <c r="DQ121" s="3">
        <f>MAX(0,MIN(100,ATR_BASE+ATR_ACAB*(BD121&lt;&gt;"")+IF(BE121="16+",ATR_LL16,IF(BE121="sí",ATR_LL,0))+ATR_FAROS*(BF121="sí")+ATR_TINT*(BG121="sí")-ATR_CHAPA*(BE121="chapa")))</f>
        <v/>
      </c>
      <c r="DR121" s="3">
        <f>EST_W_MOD*(BB121-1)/4*100+EST_W_ATR*DQ121</f>
        <v/>
      </c>
      <c r="DS121" s="3">
        <f>IF(BA121="",NEUTRO,IFERROR(VLOOKUP(BA121,COLOR_TBL,2,0)+0,NEUTRO))</f>
        <v/>
      </c>
      <c r="DT121" s="3">
        <f>MAX(0,MIN(100,100*N(BM121)/RV_N_FULL))</f>
        <v/>
      </c>
      <c r="DU121" s="3">
        <f>IF(OR(BN121="",N(BO121)&lt;RV_DIAS_MIN),NEUTRO,MAX(0,MIN(100,100*(RV_DIAS_CERO-BN121)/(RV_DIAS_CERO-RV_DIAS_FULL))))</f>
        <v/>
      </c>
      <c r="DV121" s="3">
        <f>RV_W_LIQ*DT121+RV_W_DIAS*DU121+RV_W_ETQ*DC121</f>
        <v/>
      </c>
      <c r="DW121" s="3">
        <f>IFERROR(VLOOKUP(L121,CARR_PEN_TBL,2,0),0)</f>
        <v/>
      </c>
      <c r="DX121" s="3">
        <f>W_FIAB*CS121+W_PRECIO*CU121+W_KMEDAD*CY121+W_ESTADO*DB121+W_USO*DK121+W_SEGURIDAD*DM121+W_SEGVIAL*DP121+W_ESTETICA*DR121+W_COLOR*DS121+W_REVENTA*DV121-DW121-EG121</f>
        <v/>
      </c>
      <c r="DY121" s="4">
        <f>IF(N(I121)&gt;0,I121,IFERROR(ROUND(_xlfn.NUMBERVALUE(LEFT(G121,FIND(" ",G121&amp;" ")-1),".")*1000,0),99999))</f>
        <v/>
      </c>
      <c r="DZ121" s="3">
        <f>IF(R121="profesional",0,IF(O121&lt;CUOTA_VALOR_MAX,IF(BW121&gt;ITP_TRAMO_ALTO,SUMIFS(CF_CUOTA,CF_MAS,ITP_TRAMO_ALTO,CF_CCMIN,"&lt;="&amp;DY121,CF_CCMAX,"&gt;="&amp;DY121),IF(BW121&gt;ITP_TRAMO_BAJO,SUMIFS(CF_CUOTA,CF_MAS,ITP_TRAMO_BAJO,CF_CCMIN,"&lt;="&amp;DY121,CF_CCMAX,"&gt;="&amp;DY121),O121*ITP_TIPO)),O121*ITP_TIPO))</f>
        <v/>
      </c>
      <c r="EA121" s="4">
        <f>IF(R121="profesional",N(AK121),0)</f>
        <v/>
      </c>
      <c r="EB121" s="3">
        <f>IF(AND(R121="profesional",ISNUMBER(AK121),AL121="sí"),0,TASA_DGT)</f>
        <v/>
      </c>
      <c r="EC121" s="3">
        <f>INFORME_DGT</f>
        <v/>
      </c>
      <c r="ED121" s="4">
        <f>O121+EA121+DZ121+EB121+EC121</f>
        <v/>
      </c>
      <c r="EE121" s="4">
        <f>ED121+N(DF121)</f>
        <v/>
      </c>
      <c r="EF121" s="3">
        <f>MAX(0,ED121-TOTAL_MAX)</f>
        <v/>
      </c>
      <c r="EG121" s="3">
        <f>EF121/100*PEN_100</f>
        <v/>
      </c>
      <c r="EH121" s="3">
        <f>IF(R121="particular",ED121+IF(AND(DA121&lt;&gt;"cadena",X121&lt;&gt;"sí"),RES_CORREA,0)+IF(AND(BJ121&lt;&gt;"sí",BW121&gt;=RES_NEUM_EDAD),RES_NEUM,0),"")</f>
        <v/>
      </c>
      <c r="EI121" s="3">
        <f>IF(ED121&lt;=TOTAL_MAX,"sí",IF(ED121&lt;=TECHO,"negociar","no"))</f>
        <v/>
      </c>
      <c r="EJ121" s="4">
        <f>ROUND(DX121,9)</f>
        <v/>
      </c>
      <c r="EK121" s="4">
        <f>IF(EI121&lt;&gt;"no",SUMPRODUCT(($EI$2:$EI$209&lt;&gt;"no")*($EJ$2:$EJ$209&gt;EJ121))+SUMPRODUCT(($EI$2:EI121&lt;&gt;"no")*($EJ$2:EJ121=EJ121)),"")</f>
        <v/>
      </c>
    </row>
    <row r="122">
      <c r="A122" s="2" t="inlineStr">
        <is>
          <t>autoscout24:fa3cefd8-4f00-49cd-8e6b-90310eb4e1c6</t>
        </is>
      </c>
      <c r="B122" s="2" t="inlineStr">
        <is>
          <t>autoscout24</t>
        </is>
      </c>
      <c r="C122" s="2" t="inlineStr">
        <is>
          <t>https://www.autoscout24.es/anuncios/mini-one-gasolina-rojo-cat_ma16338mo16602-fa3cefd8-4f00-49cd-8e6b-90310eb4e1c6</t>
        </is>
      </c>
      <c r="D122" s="2" t="inlineStr">
        <is>
          <t>MINI One</t>
        </is>
      </c>
      <c r="E122" s="2" t="inlineStr">
        <is>
          <t>MINI</t>
        </is>
      </c>
      <c r="F122" s="2" t="inlineStr">
        <is>
          <t>MINI MINI</t>
        </is>
      </c>
      <c r="G122" s="2" t="inlineStr">
        <is>
          <t>1.6</t>
        </is>
      </c>
      <c r="H122" s="2" t="inlineStr">
        <is>
          <t>One</t>
        </is>
      </c>
      <c r="I122" s="2" t="n">
        <v>1598</v>
      </c>
      <c r="J122" s="2" t="n">
        <v>90</v>
      </c>
      <c r="K122" s="2" t="inlineStr">
        <is>
          <t>gasolina</t>
        </is>
      </c>
      <c r="L122" s="2" t="inlineStr">
        <is>
          <t>utilitario</t>
        </is>
      </c>
      <c r="M122" s="2" t="n">
        <v>2005</v>
      </c>
      <c r="N122" s="2" t="n">
        <v>194000</v>
      </c>
      <c r="O122" s="2" t="n">
        <v>4500</v>
      </c>
      <c r="P122" s="2" t="inlineStr">
        <is>
          <t>manual</t>
        </is>
      </c>
      <c r="Q122" s="2" t="inlineStr">
        <is>
          <t>no</t>
        </is>
      </c>
      <c r="R122" s="2" t="inlineStr">
        <is>
          <t>profesional</t>
        </is>
      </c>
      <c r="S122" s="2" t="inlineStr">
        <is>
          <t>GRUPO AGUSTINA — BUÑOL (46360)</t>
        </is>
      </c>
      <c r="T122" s="2" t="n"/>
      <c r="U122" s="2" t="n">
        <v>11</v>
      </c>
      <c r="V122" s="2" t="n"/>
      <c r="W122" s="2" t="n"/>
      <c r="X122" s="2" t="n"/>
      <c r="Y122" s="2" t="n"/>
      <c r="Z122" s="2" t="inlineStr">
        <is>
          <t>sí</t>
        </is>
      </c>
      <c r="AA122" s="2" t="n"/>
      <c r="AB122" s="2" t="n">
        <v>12</v>
      </c>
      <c r="AC122" s="2" t="n"/>
      <c r="AD122" s="2" t="n"/>
      <c r="AE122" s="2" t="n"/>
      <c r="AF122" s="2" t="n"/>
      <c r="AG122" s="2" t="n"/>
      <c r="AH122" s="2" t="n"/>
      <c r="AI122" s="2" t="n"/>
      <c r="AJ122" s="2" t="n"/>
      <c r="AK122" s="2" t="n"/>
      <c r="AL122" s="2" t="n"/>
      <c r="AM122" s="2" t="n">
        <v>33.7</v>
      </c>
      <c r="AN122" s="2" t="n"/>
      <c r="AO122" s="2" t="inlineStr">
        <is>
          <t>2005-04</t>
        </is>
      </c>
      <c r="AP122" s="2" t="n">
        <v>2005</v>
      </c>
      <c r="AQ122" s="2" t="n">
        <v>4</v>
      </c>
      <c r="AR122" s="2" t="n"/>
      <c r="AS122" s="2" t="inlineStr">
        <is>
          <t>regla</t>
        </is>
      </c>
      <c r="AT122" s="2" t="n"/>
      <c r="AU122" s="2" t="inlineStr">
        <is>
          <t>no</t>
        </is>
      </c>
      <c r="AV122" s="2" t="inlineStr">
        <is>
          <t>B</t>
        </is>
      </c>
      <c r="AW122" s="2" t="n"/>
      <c r="AX122" s="2" t="inlineStr">
        <is>
          <t>no</t>
        </is>
      </c>
      <c r="AY122" s="2" t="inlineStr">
        <is>
          <t>no</t>
        </is>
      </c>
      <c r="AZ122" s="2" t="inlineStr">
        <is>
          <t>Rojo</t>
        </is>
      </c>
      <c r="BA122" s="2" t="inlineStr">
        <is>
          <t>rojo</t>
        </is>
      </c>
      <c r="BB122" s="3" t="n">
        <v>2</v>
      </c>
      <c r="BC122" s="3" t="inlineStr">
        <is>
          <t>(por segmento)</t>
        </is>
      </c>
      <c r="BD122" s="2" t="n"/>
      <c r="BE122" s="2" t="n"/>
      <c r="BF122" s="2" t="n"/>
      <c r="BG122" s="2" t="n"/>
      <c r="BH122" s="2" t="n"/>
      <c r="BI122" s="2" t="n"/>
      <c r="BJ122" s="2" t="n"/>
      <c r="BK122" s="2" t="n"/>
      <c r="BL122" s="2" t="n"/>
      <c r="BM122" s="2" t="n">
        <v>299</v>
      </c>
      <c r="BN122" s="2" t="n">
        <v>0</v>
      </c>
      <c r="BO122" s="2" t="n">
        <v>1</v>
      </c>
      <c r="BP122" s="2" t="n">
        <v>4650</v>
      </c>
      <c r="BQ122" s="2" t="n">
        <v>8</v>
      </c>
      <c r="BR122" s="2" t="inlineStr">
        <is>
          <t>modelo+año+km</t>
        </is>
      </c>
      <c r="BS122" s="2" t="n"/>
      <c r="BT122" s="2" t="inlineStr">
        <is>
          <t>vendedor profesional: sin ITP (operación con IVA/REBU, confirmar en factura); gastos de gestión del vendedor no indicados: se suma la tasa DGT; preguntar el precio final; Euro NCAP de la generación PENDIENTE (seguridad neutra); etiqueta B deducida por fecha (sin matrícula ni dato del anuncio); revisar: no menciona la ITV; fiabilidad del modelo PENDIENTE de fuente (puntuación neutra)</t>
        </is>
      </c>
      <c r="BU122" s="2" t="inlineStr">
        <is>
          <t>GARANTIA AMPLIADA EN COBERTURAS POR 280 € MAS Y EL CAMBIO DE NOMBRE SON 180 € MAS.&lt;br /&gt;CONTACTENOS EN EL TELEFONO MOVIL (LLAMADAS O WHASSAPS) O EN LOS TELEFONOS FIJOS -- EN HORARIO DE OFICINA. TAMBIEN PUEDE VISITAR NUESTRA WEB: www.grupoagustina.com&lt;br /&gt;PODEMOS LLEVARLE CASI TODOS NUESTROS VEHICULOS A SU DOMICILIO PARA QUE LO VEA Y LO PRUEBE, DE FORMA GRATUITA Y SIN COMPROMISO, LLAMENOS Y LE EXPLICAMOS ESTE SERVICIO.&lt;br /&gt; &lt;strong&gt;Extras&lt;/strong&gt; &lt;br /&gt; &lt;strong&gt;Equipamiento destacado seleccionado por el usuario&lt;/strong&gt; &lt;br /&gt; &lt;br /&gt;- Tela Octagon&lt;br /&gt;</t>
        </is>
      </c>
      <c r="BV122" s="2" t="inlineStr">
        <is>
          <t>https://www.autoscout24.es/anuncios/mini-one-gasolina-rojo-cat_ma16338mo16602-fa3cefd8-4f00-49cd-8e6b-90310eb4e1c6 (__NEXT_DATA__ listingDetails) /home/user/Alopecia/buscador-coches/raw/autoscout24/8a13438b95245d7c.json</t>
        </is>
      </c>
      <c r="BW122" s="3">
        <f>MAX(ANIO_ACTUAL-M122,0)</f>
        <v/>
      </c>
      <c r="BX122" s="4">
        <f>N122/MAX(BW122,0.5)</f>
        <v/>
      </c>
      <c r="BY122" s="4">
        <f>F122</f>
        <v/>
      </c>
      <c r="BZ122" s="3">
        <f>BY122&amp;"|"&amp;INT(M122/SEG_ANIO)*SEG_ANIO</f>
        <v/>
      </c>
      <c r="CA122" s="3">
        <f>BZ122&amp;"|"&amp;INT(N122/SEG_KM)*SEG_KM</f>
        <v/>
      </c>
      <c r="CB122" s="4">
        <f>COUNTIF($BY$2:$BY$209,BY122)</f>
        <v/>
      </c>
      <c r="CC122" s="4">
        <f>COUNTIF($BZ$2:$BZ$209,BZ122)</f>
        <v/>
      </c>
      <c r="CD122" s="4">
        <f>COUNTIF($CA$2:$CA$209,CA122)</f>
        <v/>
      </c>
      <c r="CE122" s="3">
        <f t="array" ref="CE122">IF(N(BQ122)&gt;=MIN_N,BP122,IF(CD122&gt;=MIN_N,MEDIAN(IF($CA$2:$CA$209=CA122,$O$2:$O$209)),IF(CC122&gt;=MIN_N,MEDIAN(IF($BZ$2:$BZ$209=BZ122,$O$2:$O$209)),MEDIAN(IF($BY$2:$BY$209=BY122,$O$2:$O$209)))))</f>
        <v/>
      </c>
      <c r="CF122" s="3">
        <f>IF(N(BQ122)&gt;=MIN_N,"mercado "&amp;BR122,IF(CD122&gt;=MIN_N,"modelo+año+km",IF(CC122&gt;=MIN_N,"modelo+año","modelo")))</f>
        <v/>
      </c>
      <c r="CG122" s="4">
        <f>(CE122-O122)/CE122</f>
        <v/>
      </c>
      <c r="CH122" s="3">
        <f>IF(COUNTIFS(FR_FUEL,K122,FR_YEAR,AP122)&gt;0,1,0)</f>
        <v/>
      </c>
      <c r="CI122" s="3">
        <f>IF(COUNTIFS(FR_FUEL,K122,FR_YEAR,AP122-1)&gt;0,1,0)</f>
        <v/>
      </c>
      <c r="CJ122" s="4">
        <f>IF(N(AQ122)&gt;0,AP122*100+AQ122,IF(AND(CH122=1,CI122=1),(AP122-1)*100+1,AP122*100+1))</f>
        <v/>
      </c>
      <c r="CK122" s="3">
        <f>IF(OR(K122="hibrido",K122="glp",K122="gnc",K122="phev"),"ECO",IF(K122="electrico","CERO",IF(K122="gasolina",IF(CJ122&gt;=GAS_C_YM,"C",IF(CJ122&gt;=GAS_B_YM,"B","A")),IF(K122="diesel",IF(CJ122&gt;=DIE_C_YM,"C",IF(CJ122&gt;=DIE_B_YM,"B","A")),""))))</f>
        <v/>
      </c>
      <c r="CL122" s="4">
        <f>CK122</f>
        <v/>
      </c>
      <c r="CM122" s="4">
        <f>IF(AU122="sí","sí",IF(AS122="regla",IF(AND(N(AQ122)=0,CH122=1),"sí","no"),"no"))</f>
        <v/>
      </c>
      <c r="CN122" s="3">
        <f>IFERROR(VLOOKUP(F122,MOD_TBL,16,0),IFERROR(VLOOKUP(E122,OCU_TBL,2,0),NEUTRO))</f>
        <v/>
      </c>
      <c r="CO122" s="3">
        <f>SUMIFS(MOT_AJUSTE,MOT_MOTOR,G122,MOT_MARCA,E122,MOT_DESDE,"&lt;="&amp;M122,MOT_HASTA,"&gt;="&amp;M122)+SUMIFS(MOT_AJUSTE,MOT_MOTOR,G122,MOT_MARCA,"(todas)",MOT_DESDE,"&lt;="&amp;M122,MOT_HASTA,"&gt;="&amp;M122)+SUMIFS(MOT_AJUSTE,MOT_MOTOR,"(cualquiera)",MOT_MARCA,E122,MOT_DESDE,"&lt;="&amp;M122,MOT_HASTA,"&gt;="&amp;M122)</f>
        <v/>
      </c>
      <c r="CP122" s="3">
        <f>SUMIFS(COMB_AJUSTE,COMB_COMB,K122)</f>
        <v/>
      </c>
      <c r="CQ122" s="3">
        <f>COUNTIFS(MOT_MOTOR,G122,MOT_MARCA,E122,MOT_DESDE,"&lt;="&amp;M122,MOT_HASTA,"&gt;="&amp;M122)+COUNTIFS(MOT_MOTOR,G122,MOT_MARCA,"(todas)",MOT_DESDE,"&lt;="&amp;M122,MOT_HASTA,"&gt;="&amp;M122)+COUNTIFS(MOT_MOTOR,"(cualquiera)",MOT_MARCA,E122,MOT_DESDE,"&lt;="&amp;M122,MOT_HASTA,"&gt;="&amp;M122)</f>
        <v/>
      </c>
      <c r="CR122" s="3">
        <f>IF(AND(K122="diesel",CQ122=0),MIN(CN122,NEUTRO),CN122)</f>
        <v/>
      </c>
      <c r="CS122" s="3">
        <f>MAX(0,MIN(100,CR122+CO122+CP122-IF(AX122="sí",ROB_PEN,0)))</f>
        <v/>
      </c>
      <c r="CT122" s="3">
        <f>100-MAX(0,N122-KM_TOPE_DESDE)/1000*KM_TOPE_PTS</f>
        <v/>
      </c>
      <c r="CU122" s="3">
        <f>MAX(0,MIN(100,50+CG122*PRECIO_PEND,CT122))</f>
        <v/>
      </c>
      <c r="CV122" s="3">
        <f>MAX(0,100*(1-N122/KM_MAX))</f>
        <v/>
      </c>
      <c r="CW122" s="3">
        <f>IF(BX122&lt;KMA_SOSP,IF(AA122="sí",100,KMA_PEN),IF(BX122&lt;=KMA_IDEAL_MAX,100,MAX(0,100*(KMA_CERO-BX122)/(KMA_CERO-KMA_IDEAL_MAX))))</f>
        <v/>
      </c>
      <c r="CX122" s="3">
        <f>MAX(0,MIN(100,100*(M122-ANIO_MIN)/(ANIO_ACTUAL-ANIO_MIN)))</f>
        <v/>
      </c>
      <c r="CY122" s="3">
        <f>W_KMT*CV122+W_KMA*CW122+W_EDAD*CX122</f>
        <v/>
      </c>
      <c r="CZ122" s="4">
        <f>E122&amp;"|"&amp;G122</f>
        <v/>
      </c>
      <c r="DA122" s="3">
        <f>IFERROR(VLOOKUP(CZ122,DIST_TBL,2,0),"")</f>
        <v/>
      </c>
      <c r="DB122" s="3">
        <f>E_ITV*(V122="sí")+E_LIBRO*(W122="sí")+E_PROP*IF(Y122=1,1,IF(Y122=2,0.5,0))+E_CORREA*IF(OR(DA122="cadena",AND(X122="sí",BH122="sí")),1,IF(X122="sí",0.5,0))+E_FACT*(BI122="sí")</f>
        <v/>
      </c>
      <c r="DC122" s="3">
        <f>MAX(0,MIN(100,IFERROR(VLOOKUP(CL122,ETQ_TBL,2,0),0)-IF(CM122="sí",ETQ_PEN_DUD,IF(AS122="regla",ETQ_PEN_REGLA,0))))</f>
        <v/>
      </c>
      <c r="DD122" s="3">
        <f>IF(K122&lt;&gt;"gasolina","",IFERROR(VLOOKUP(F122,CONS_MOD_TBL,2,0),IFERROR(VLOOKUP(L122,CONS_SEG_TBL,2,0),"")))</f>
        <v/>
      </c>
      <c r="DE122" s="3">
        <f>IF(DD122="",NEUTRO,MAX(0,MIN(100,100*(CONS_REF_MAX-DD122)/(CONS_REF_MAX-CONS_REF_MIN))))</f>
        <v/>
      </c>
      <c r="DF122" s="3">
        <f>IFERROR(VLOOKUP(L122,SEGURO_TBL,3,0),"")</f>
        <v/>
      </c>
      <c r="DG122" s="3">
        <f>IF(DF122="",NEUTRO,MAX(0,MIN(100,100*(SEG_REF_MAX-DF122)/(SEG_REF_MAX-SEG_REF_MIN))))</f>
        <v/>
      </c>
      <c r="DH122" s="3">
        <f>IFERROR(VLOOKUP(E122,MANT_MARCA_TBL,2,0)+0,NEUTRO)</f>
        <v/>
      </c>
      <c r="DI122" s="3">
        <f>IF(DA122="",NEUTRO,IFERROR(VLOOKUP(DA122,DIST_PTS_TBL,2,0)+0,NEUTRO))</f>
        <v/>
      </c>
      <c r="DJ122" s="4">
        <f>(DH122+DI122)/2</f>
        <v/>
      </c>
      <c r="DK122" s="3">
        <f>W_CONS*DE122+W_SEG*DG122+W_MANT*DJ122</f>
        <v/>
      </c>
      <c r="DL122" s="3">
        <f>IF(N(AB122)&gt;0,AB122,IF(AND(R122="profesional",SG_LEGAL_ON=1),GAR_LEGAL,0))</f>
        <v/>
      </c>
      <c r="DM122" s="3">
        <f>MAX(0,MIN(100,SG_GAR*MIN(1,DL122/SG_GAR_FULL)+SG_AMPL*(AC122="sí")+SG_KMC*(AF122="sí")+SG_REV*(N(AE122)&gt;0)+SG_DEV*MIN(1,N(AG122)/SG_DEV_FULL)+SG_HIST*(W122="sí")-IF(AND(R122="particular",DL122=0),SG_PART_PEN,0)))</f>
        <v/>
      </c>
      <c r="DN122" s="3">
        <f>IF(BK122="",NEUTRO,MAX(0,MIN(100,BK122/5*100)))</f>
        <v/>
      </c>
      <c r="DO122" s="3">
        <f>IF(BL122="sí",100,IF(BL122="no",0,NEUTRO))</f>
        <v/>
      </c>
      <c r="DP122" s="3">
        <f>SV_W_NCAP*DN122+SV_W_ESP*DO122</f>
        <v/>
      </c>
      <c r="DQ122" s="3">
        <f>MAX(0,MIN(100,ATR_BASE+ATR_ACAB*(BD122&lt;&gt;"")+IF(BE122="16+",ATR_LL16,IF(BE122="sí",ATR_LL,0))+ATR_FAROS*(BF122="sí")+ATR_TINT*(BG122="sí")-ATR_CHAPA*(BE122="chapa")))</f>
        <v/>
      </c>
      <c r="DR122" s="3">
        <f>EST_W_MOD*(BB122-1)/4*100+EST_W_ATR*DQ122</f>
        <v/>
      </c>
      <c r="DS122" s="3">
        <f>IF(BA122="",NEUTRO,IFERROR(VLOOKUP(BA122,COLOR_TBL,2,0)+0,NEUTRO))</f>
        <v/>
      </c>
      <c r="DT122" s="3">
        <f>MAX(0,MIN(100,100*N(BM122)/RV_N_FULL))</f>
        <v/>
      </c>
      <c r="DU122" s="3">
        <f>IF(OR(BN122="",N(BO122)&lt;RV_DIAS_MIN),NEUTRO,MAX(0,MIN(100,100*(RV_DIAS_CERO-BN122)/(RV_DIAS_CERO-RV_DIAS_FULL))))</f>
        <v/>
      </c>
      <c r="DV122" s="3">
        <f>RV_W_LIQ*DT122+RV_W_DIAS*DU122+RV_W_ETQ*DC122</f>
        <v/>
      </c>
      <c r="DW122" s="3">
        <f>IFERROR(VLOOKUP(L122,CARR_PEN_TBL,2,0),0)</f>
        <v/>
      </c>
      <c r="DX122" s="3">
        <f>W_FIAB*CS122+W_PRECIO*CU122+W_KMEDAD*CY122+W_ESTADO*DB122+W_USO*DK122+W_SEGURIDAD*DM122+W_SEGVIAL*DP122+W_ESTETICA*DR122+W_COLOR*DS122+W_REVENTA*DV122-DW122-EG122</f>
        <v/>
      </c>
      <c r="DY122" s="4">
        <f>IF(N(I122)&gt;0,I122,IFERROR(ROUND(_xlfn.NUMBERVALUE(LEFT(G122,FIND(" ",G122&amp;" ")-1),".")*1000,0),99999))</f>
        <v/>
      </c>
      <c r="DZ122" s="3">
        <f>IF(R122="profesional",0,IF(O122&lt;CUOTA_VALOR_MAX,IF(BW122&gt;ITP_TRAMO_ALTO,SUMIFS(CF_CUOTA,CF_MAS,ITP_TRAMO_ALTO,CF_CCMIN,"&lt;="&amp;DY122,CF_CCMAX,"&gt;="&amp;DY122),IF(BW122&gt;ITP_TRAMO_BAJO,SUMIFS(CF_CUOTA,CF_MAS,ITP_TRAMO_BAJO,CF_CCMIN,"&lt;="&amp;DY122,CF_CCMAX,"&gt;="&amp;DY122),O122*ITP_TIPO)),O122*ITP_TIPO))</f>
        <v/>
      </c>
      <c r="EA122" s="4">
        <f>IF(R122="profesional",N(AK122),0)</f>
        <v/>
      </c>
      <c r="EB122" s="3">
        <f>IF(AND(R122="profesional",ISNUMBER(AK122),AL122="sí"),0,TASA_DGT)</f>
        <v/>
      </c>
      <c r="EC122" s="3">
        <f>INFORME_DGT</f>
        <v/>
      </c>
      <c r="ED122" s="4">
        <f>O122+EA122+DZ122+EB122+EC122</f>
        <v/>
      </c>
      <c r="EE122" s="4">
        <f>ED122+N(DF122)</f>
        <v/>
      </c>
      <c r="EF122" s="3">
        <f>MAX(0,ED122-TOTAL_MAX)</f>
        <v/>
      </c>
      <c r="EG122" s="3">
        <f>EF122/100*PEN_100</f>
        <v/>
      </c>
      <c r="EH122" s="3">
        <f>IF(R122="particular",ED122+IF(AND(DA122&lt;&gt;"cadena",X122&lt;&gt;"sí"),RES_CORREA,0)+IF(AND(BJ122&lt;&gt;"sí",BW122&gt;=RES_NEUM_EDAD),RES_NEUM,0),"")</f>
        <v/>
      </c>
      <c r="EI122" s="3">
        <f>IF(ED122&lt;=TOTAL_MAX,"sí",IF(ED122&lt;=TECHO,"negociar","no"))</f>
        <v/>
      </c>
      <c r="EJ122" s="4">
        <f>ROUND(DX122,9)</f>
        <v/>
      </c>
      <c r="EK122" s="4">
        <f>IF(EI122&lt;&gt;"no",SUMPRODUCT(($EI$2:$EI$209&lt;&gt;"no")*($EJ$2:$EJ$209&gt;EJ122))+SUMPRODUCT(($EI$2:EI122&lt;&gt;"no")*($EJ$2:EJ122=EJ122)),"")</f>
        <v/>
      </c>
    </row>
    <row r="123">
      <c r="A123" s="2" t="inlineStr">
        <is>
          <t>cochesnet:71021641</t>
        </is>
      </c>
      <c r="B123" s="2" t="inlineStr">
        <is>
          <t>cochesnet</t>
        </is>
      </c>
      <c r="C123" s="2" t="inlineStr">
        <is>
          <t>https://www.coches.net/kia-rio-15-16v-ls-5p-gasolina-2004-en-valencia-71021641-covo.aspx</t>
        </is>
      </c>
      <c r="D123" s="2" t="inlineStr">
        <is>
          <t>KIA Rio 1.5 16v LS</t>
        </is>
      </c>
      <c r="E123" s="2" t="inlineStr">
        <is>
          <t>Kia</t>
        </is>
      </c>
      <c r="F123" s="2" t="inlineStr">
        <is>
          <t>Kia Rio</t>
        </is>
      </c>
      <c r="G123" s="2" t="inlineStr">
        <is>
          <t>1.5</t>
        </is>
      </c>
      <c r="H123" s="2" t="inlineStr">
        <is>
          <t>1.5 16v LS</t>
        </is>
      </c>
      <c r="I123" s="2" t="n"/>
      <c r="J123" s="2" t="n"/>
      <c r="K123" s="2" t="inlineStr">
        <is>
          <t>gasolina</t>
        </is>
      </c>
      <c r="L123" s="2" t="inlineStr">
        <is>
          <t>utilitario</t>
        </is>
      </c>
      <c r="M123" s="2" t="n">
        <v>2004</v>
      </c>
      <c r="N123" s="2" t="n">
        <v>119000</v>
      </c>
      <c r="O123" s="2" t="n">
        <v>2500</v>
      </c>
      <c r="P123" s="2" t="inlineStr">
        <is>
          <t>manual</t>
        </is>
      </c>
      <c r="Q123" s="2" t="inlineStr">
        <is>
          <t>no</t>
        </is>
      </c>
      <c r="R123" s="2" t="inlineStr">
        <is>
          <t>profesional</t>
        </is>
      </c>
      <c r="S123" s="2" t="inlineStr">
        <is>
          <t>Beniparrell</t>
        </is>
      </c>
      <c r="T123" s="2" t="inlineStr">
        <is>
          <t>2026-10-05T12:34:52Z</t>
        </is>
      </c>
      <c r="U123" s="2" t="n">
        <v>13</v>
      </c>
      <c r="V123" s="2" t="n"/>
      <c r="W123" s="2" t="n"/>
      <c r="X123" s="2" t="n"/>
      <c r="Y123" s="2" t="n"/>
      <c r="Z123" s="2" t="inlineStr">
        <is>
          <t>sí</t>
        </is>
      </c>
      <c r="AA123" s="2" t="n"/>
      <c r="AB123" s="2" t="n">
        <v>12</v>
      </c>
      <c r="AC123" s="2" t="n"/>
      <c r="AD123" s="2" t="n"/>
      <c r="AE123" s="2" t="n"/>
      <c r="AF123" s="2" t="n"/>
      <c r="AG123" s="2" t="n"/>
      <c r="AH123" s="2" t="n">
        <v>2500</v>
      </c>
      <c r="AI123" s="2" t="n"/>
      <c r="AJ123" s="2" t="n"/>
      <c r="AK123" s="2" t="n"/>
      <c r="AL123" s="2" t="n"/>
      <c r="AM123" s="2" t="n">
        <v>10.2</v>
      </c>
      <c r="AN123" s="2" t="n"/>
      <c r="AO123" s="2" t="inlineStr">
        <is>
          <t>2004</t>
        </is>
      </c>
      <c r="AP123" s="2" t="n">
        <v>2004</v>
      </c>
      <c r="AQ123" s="2" t="n"/>
      <c r="AR123" s="2" t="inlineStr">
        <is>
          <t>B</t>
        </is>
      </c>
      <c r="AS123" s="2" t="inlineStr">
        <is>
          <t>anuncio</t>
        </is>
      </c>
      <c r="AT123" s="2" t="n"/>
      <c r="AU123" s="2" t="inlineStr">
        <is>
          <t>no</t>
        </is>
      </c>
      <c r="AV123" s="2" t="inlineStr">
        <is>
          <t>B</t>
        </is>
      </c>
      <c r="AW123" s="2" t="n"/>
      <c r="AX123" s="2" t="inlineStr">
        <is>
          <t>no</t>
        </is>
      </c>
      <c r="AY123" s="2" t="inlineStr">
        <is>
          <t>no</t>
        </is>
      </c>
      <c r="AZ123" s="2" t="inlineStr">
        <is>
          <t>COMMON.COLOR_GRAY</t>
        </is>
      </c>
      <c r="BA123" s="2" t="inlineStr">
        <is>
          <t>gris_medio</t>
        </is>
      </c>
      <c r="BB123" s="3" t="n">
        <v>2</v>
      </c>
      <c r="BC123" s="3" t="inlineStr">
        <is>
          <t>(por segmento)</t>
        </is>
      </c>
      <c r="BD123" s="2" t="n"/>
      <c r="BE123" s="2" t="n"/>
      <c r="BF123" s="2" t="n"/>
      <c r="BG123" s="2" t="inlineStr">
        <is>
          <t>sí</t>
        </is>
      </c>
      <c r="BH123" s="2" t="n"/>
      <c r="BI123" s="2" t="n"/>
      <c r="BJ123" s="2" t="n"/>
      <c r="BK123" s="2" t="n"/>
      <c r="BL123" s="2" t="n"/>
      <c r="BM123" s="2" t="n">
        <v>95</v>
      </c>
      <c r="BN123" s="2" t="n">
        <v>0.06280092592351139</v>
      </c>
      <c r="BO123" s="2" t="n">
        <v>2</v>
      </c>
      <c r="BP123" s="2" t="n">
        <v>2950</v>
      </c>
      <c r="BQ123" s="2" t="n">
        <v>4</v>
      </c>
      <c r="BR123" s="2" t="inlineStr">
        <is>
          <t>modelo+año</t>
        </is>
      </c>
      <c r="BS123" s="2" t="n"/>
      <c r="BT123" s="2" t="inlineStr">
        <is>
          <t>vendedor profesional: sin ITP (operación con IVA/REBU, confirmar en factura); gastos de gestión del vendedor no indicados: se suma la tasa DGT; preguntar el precio final; Euro NCAP de la generación PENDIENTE (seguridad neutra); revisar: no menciona la ITV; fiabilidad del modelo PENDIENTE de fuente (puntuación neutra)</t>
        </is>
      </c>
      <c r="BU123" s="2" t="inlineStr">
        <is>
          <t>Este Kia Rio es un berlina compacto de cinco puertas con tracción delantera, equipado con un motor de 1,5 litros y transmisión manual que ofrece un comportamiento ágil en ciudad. Con 97 CV de potencia y un consumo combinado de 7,3 litros cada 100 kilómetros, resulta eficiente para desplazamientos diarios tanto en entornos urbanos como en carretera.
El interior aprovecha bien el espacio disponible con asientos delanteros individuales —el del conductor con ajuste lumbar— y una banqueta trasera de tres plazas con respaldo abatible asimétrico. El maletero ofrece 449 litros de capacidad, ampliables a 870 litros con los asientos traseros plegados, lo que lo hace versátil para diferentes necesidades de carga.
En cuanto a seguridad, este vehículo incorpora airbags frontales, ABS en las cuatro ruedas, cinturones de seguridad de tres puntos en todas las posiciones y un sistema de check control. La dirección asistida y la suspensión independiente delantera tipo McPherson proporcionan una conducción cómoda y controlada.
El equipamiento incluye climatización, cierre centralizado con mando a distancia y apertura del maletero, elevalunas eléctricos delanteros y traseros, retrovisores exteriores eléctricos desempañables, y cristales tintados. Los faros cuentan con lentes de superficie compleja y luces antiniebla delanteras. El volante es ajustable en altura y está revestido de cuero.
Posee etiqueta medioambiental B, que facilita el acceso a zonas de circulación restringida en ciudades co</t>
        </is>
      </c>
      <c r="BV123" s="2" t="inlineStr">
        <is>
          <t>https://www.coches.net/kia-rio-15-16v-ls-5p-gasolina-2004-en-valencia-71021641-covo.aspx (window.__INITIAL_PROPS__.ad) /home/user/Alopecia/buscador-coches/raw/cochesnet/fba6c8a68a2b5012.json</t>
        </is>
      </c>
      <c r="BW123" s="3">
        <f>MAX(ANIO_ACTUAL-M123,0)</f>
        <v/>
      </c>
      <c r="BX123" s="4">
        <f>N123/MAX(BW123,0.5)</f>
        <v/>
      </c>
      <c r="BY123" s="4">
        <f>F123</f>
        <v/>
      </c>
      <c r="BZ123" s="3">
        <f>BY123&amp;"|"&amp;INT(M123/SEG_ANIO)*SEG_ANIO</f>
        <v/>
      </c>
      <c r="CA123" s="3">
        <f>BZ123&amp;"|"&amp;INT(N123/SEG_KM)*SEG_KM</f>
        <v/>
      </c>
      <c r="CB123" s="4">
        <f>COUNTIF($BY$2:$BY$209,BY123)</f>
        <v/>
      </c>
      <c r="CC123" s="4">
        <f>COUNTIF($BZ$2:$BZ$209,BZ123)</f>
        <v/>
      </c>
      <c r="CD123" s="4">
        <f>COUNTIF($CA$2:$CA$209,CA123)</f>
        <v/>
      </c>
      <c r="CE123" s="3">
        <f t="array" ref="CE123">IF(N(BQ123)&gt;=MIN_N,BP123,IF(CD123&gt;=MIN_N,MEDIAN(IF($CA$2:$CA$209=CA123,$O$2:$O$209)),IF(CC123&gt;=MIN_N,MEDIAN(IF($BZ$2:$BZ$209=BZ123,$O$2:$O$209)),MEDIAN(IF($BY$2:$BY$209=BY123,$O$2:$O$209)))))</f>
        <v/>
      </c>
      <c r="CF123" s="3">
        <f>IF(N(BQ123)&gt;=MIN_N,"mercado "&amp;BR123,IF(CD123&gt;=MIN_N,"modelo+año+km",IF(CC123&gt;=MIN_N,"modelo+año","modelo")))</f>
        <v/>
      </c>
      <c r="CG123" s="4">
        <f>(CE123-O123)/CE123</f>
        <v/>
      </c>
      <c r="CH123" s="3">
        <f>IF(COUNTIFS(FR_FUEL,K123,FR_YEAR,AP123)&gt;0,1,0)</f>
        <v/>
      </c>
      <c r="CI123" s="3">
        <f>IF(COUNTIFS(FR_FUEL,K123,FR_YEAR,AP123-1)&gt;0,1,0)</f>
        <v/>
      </c>
      <c r="CJ123" s="4">
        <f>IF(N(AQ123)&gt;0,AP123*100+AQ123,IF(AND(CH123=1,CI123=1),(AP123-1)*100+1,AP123*100+1))</f>
        <v/>
      </c>
      <c r="CK123" s="3">
        <f>IF(OR(K123="hibrido",K123="glp",K123="gnc",K123="phev"),"ECO",IF(K123="electrico","CERO",IF(K123="gasolina",IF(CJ123&gt;=GAS_C_YM,"C",IF(CJ123&gt;=GAS_B_YM,"B","A")),IF(K123="diesel",IF(CJ123&gt;=DIE_C_YM,"C",IF(CJ123&gt;=DIE_B_YM,"B","A")),""))))</f>
        <v/>
      </c>
      <c r="CL123" s="2" t="inlineStr">
        <is>
          <t>B</t>
        </is>
      </c>
      <c r="CM123" s="4">
        <f>IF(AU123="sí","sí",IF(AS123="regla",IF(AND(N(AQ123)=0,CH123=1),"sí","no"),"no"))</f>
        <v/>
      </c>
      <c r="CN123" s="3">
        <f>IFERROR(VLOOKUP(F123,MOD_TBL,16,0),IFERROR(VLOOKUP(E123,OCU_TBL,2,0),NEUTRO))</f>
        <v/>
      </c>
      <c r="CO123" s="3">
        <f>SUMIFS(MOT_AJUSTE,MOT_MOTOR,G123,MOT_MARCA,E123,MOT_DESDE,"&lt;="&amp;M123,MOT_HASTA,"&gt;="&amp;M123)+SUMIFS(MOT_AJUSTE,MOT_MOTOR,G123,MOT_MARCA,"(todas)",MOT_DESDE,"&lt;="&amp;M123,MOT_HASTA,"&gt;="&amp;M123)+SUMIFS(MOT_AJUSTE,MOT_MOTOR,"(cualquiera)",MOT_MARCA,E123,MOT_DESDE,"&lt;="&amp;M123,MOT_HASTA,"&gt;="&amp;M123)</f>
        <v/>
      </c>
      <c r="CP123" s="3">
        <f>SUMIFS(COMB_AJUSTE,COMB_COMB,K123)</f>
        <v/>
      </c>
      <c r="CQ123" s="3">
        <f>COUNTIFS(MOT_MOTOR,G123,MOT_MARCA,E123,MOT_DESDE,"&lt;="&amp;M123,MOT_HASTA,"&gt;="&amp;M123)+COUNTIFS(MOT_MOTOR,G123,MOT_MARCA,"(todas)",MOT_DESDE,"&lt;="&amp;M123,MOT_HASTA,"&gt;="&amp;M123)+COUNTIFS(MOT_MOTOR,"(cualquiera)",MOT_MARCA,E123,MOT_DESDE,"&lt;="&amp;M123,MOT_HASTA,"&gt;="&amp;M123)</f>
        <v/>
      </c>
      <c r="CR123" s="3">
        <f>IF(AND(K123="diesel",CQ123=0),MIN(CN123,NEUTRO),CN123)</f>
        <v/>
      </c>
      <c r="CS123" s="3">
        <f>MAX(0,MIN(100,CR123+CO123+CP123-IF(AX123="sí",ROB_PEN,0)))</f>
        <v/>
      </c>
      <c r="CT123" s="3">
        <f>100-MAX(0,N123-KM_TOPE_DESDE)/1000*KM_TOPE_PTS</f>
        <v/>
      </c>
      <c r="CU123" s="3">
        <f>MAX(0,MIN(100,50+CG123*PRECIO_PEND,CT123))</f>
        <v/>
      </c>
      <c r="CV123" s="3">
        <f>MAX(0,100*(1-N123/KM_MAX))</f>
        <v/>
      </c>
      <c r="CW123" s="3">
        <f>IF(BX123&lt;KMA_SOSP,IF(AA123="sí",100,KMA_PEN),IF(BX123&lt;=KMA_IDEAL_MAX,100,MAX(0,100*(KMA_CERO-BX123)/(KMA_CERO-KMA_IDEAL_MAX))))</f>
        <v/>
      </c>
      <c r="CX123" s="3">
        <f>MAX(0,MIN(100,100*(M123-ANIO_MIN)/(ANIO_ACTUAL-ANIO_MIN)))</f>
        <v/>
      </c>
      <c r="CY123" s="3">
        <f>W_KMT*CV123+W_KMA*CW123+W_EDAD*CX123</f>
        <v/>
      </c>
      <c r="CZ123" s="4">
        <f>E123&amp;"|"&amp;G123</f>
        <v/>
      </c>
      <c r="DA123" s="3">
        <f>IFERROR(VLOOKUP(CZ123,DIST_TBL,2,0),"")</f>
        <v/>
      </c>
      <c r="DB123" s="3">
        <f>E_ITV*(V123="sí")+E_LIBRO*(W123="sí")+E_PROP*IF(Y123=1,1,IF(Y123=2,0.5,0))+E_CORREA*IF(OR(DA123="cadena",AND(X123="sí",BH123="sí")),1,IF(X123="sí",0.5,0))+E_FACT*(BI123="sí")</f>
        <v/>
      </c>
      <c r="DC123" s="3">
        <f>MAX(0,MIN(100,IFERROR(VLOOKUP(CL123,ETQ_TBL,2,0),0)-IF(CM123="sí",ETQ_PEN_DUD,IF(AS123="regla",ETQ_PEN_REGLA,0))))</f>
        <v/>
      </c>
      <c r="DD123" s="3">
        <f>IF(K123&lt;&gt;"gasolina","",IFERROR(VLOOKUP(F123,CONS_MOD_TBL,2,0),IFERROR(VLOOKUP(L123,CONS_SEG_TBL,2,0),"")))</f>
        <v/>
      </c>
      <c r="DE123" s="3">
        <f>IF(DD123="",NEUTRO,MAX(0,MIN(100,100*(CONS_REF_MAX-DD123)/(CONS_REF_MAX-CONS_REF_MIN))))</f>
        <v/>
      </c>
      <c r="DF123" s="3">
        <f>IFERROR(VLOOKUP(L123,SEGURO_TBL,3,0),"")</f>
        <v/>
      </c>
      <c r="DG123" s="3">
        <f>IF(DF123="",NEUTRO,MAX(0,MIN(100,100*(SEG_REF_MAX-DF123)/(SEG_REF_MAX-SEG_REF_MIN))))</f>
        <v/>
      </c>
      <c r="DH123" s="3">
        <f>IFERROR(VLOOKUP(E123,MANT_MARCA_TBL,2,0)+0,NEUTRO)</f>
        <v/>
      </c>
      <c r="DI123" s="3">
        <f>IF(DA123="",NEUTRO,IFERROR(VLOOKUP(DA123,DIST_PTS_TBL,2,0)+0,NEUTRO))</f>
        <v/>
      </c>
      <c r="DJ123" s="4">
        <f>(DH123+DI123)/2</f>
        <v/>
      </c>
      <c r="DK123" s="3">
        <f>W_CONS*DE123+W_SEG*DG123+W_MANT*DJ123</f>
        <v/>
      </c>
      <c r="DL123" s="3">
        <f>IF(N(AB123)&gt;0,AB123,IF(AND(R123="profesional",SG_LEGAL_ON=1),GAR_LEGAL,0))</f>
        <v/>
      </c>
      <c r="DM123" s="3">
        <f>MAX(0,MIN(100,SG_GAR*MIN(1,DL123/SG_GAR_FULL)+SG_AMPL*(AC123="sí")+SG_KMC*(AF123="sí")+SG_REV*(N(AE123)&gt;0)+SG_DEV*MIN(1,N(AG123)/SG_DEV_FULL)+SG_HIST*(W123="sí")-IF(AND(R123="particular",DL123=0),SG_PART_PEN,0)))</f>
        <v/>
      </c>
      <c r="DN123" s="3">
        <f>IF(BK123="",NEUTRO,MAX(0,MIN(100,BK123/5*100)))</f>
        <v/>
      </c>
      <c r="DO123" s="3">
        <f>IF(BL123="sí",100,IF(BL123="no",0,NEUTRO))</f>
        <v/>
      </c>
      <c r="DP123" s="3">
        <f>SV_W_NCAP*DN123+SV_W_ESP*DO123</f>
        <v/>
      </c>
      <c r="DQ123" s="3">
        <f>MAX(0,MIN(100,ATR_BASE+ATR_ACAB*(BD123&lt;&gt;"")+IF(BE123="16+",ATR_LL16,IF(BE123="sí",ATR_LL,0))+ATR_FAROS*(BF123="sí")+ATR_TINT*(BG123="sí")-ATR_CHAPA*(BE123="chapa")))</f>
        <v/>
      </c>
      <c r="DR123" s="3">
        <f>EST_W_MOD*(BB123-1)/4*100+EST_W_ATR*DQ123</f>
        <v/>
      </c>
      <c r="DS123" s="3">
        <f>IF(BA123="",NEUTRO,IFERROR(VLOOKUP(BA123,COLOR_TBL,2,0)+0,NEUTRO))</f>
        <v/>
      </c>
      <c r="DT123" s="3">
        <f>MAX(0,MIN(100,100*N(BM123)/RV_N_FULL))</f>
        <v/>
      </c>
      <c r="DU123" s="3">
        <f>IF(OR(BN123="",N(BO123)&lt;RV_DIAS_MIN),NEUTRO,MAX(0,MIN(100,100*(RV_DIAS_CERO-BN123)/(RV_DIAS_CERO-RV_DIAS_FULL))))</f>
        <v/>
      </c>
      <c r="DV123" s="3">
        <f>RV_W_LIQ*DT123+RV_W_DIAS*DU123+RV_W_ETQ*DC123</f>
        <v/>
      </c>
      <c r="DW123" s="3">
        <f>IFERROR(VLOOKUP(L123,CARR_PEN_TBL,2,0),0)</f>
        <v/>
      </c>
      <c r="DX123" s="3">
        <f>W_FIAB*CS123+W_PRECIO*CU123+W_KMEDAD*CY123+W_ESTADO*DB123+W_USO*DK123+W_SEGURIDAD*DM123+W_SEGVIAL*DP123+W_ESTETICA*DR123+W_COLOR*DS123+W_REVENTA*DV123-DW123-EG123</f>
        <v/>
      </c>
      <c r="DY123" s="4">
        <f>IF(N(I123)&gt;0,I123,IFERROR(ROUND(_xlfn.NUMBERVALUE(LEFT(G123,FIND(" ",G123&amp;" ")-1),".")*1000,0),99999))</f>
        <v/>
      </c>
      <c r="DZ123" s="3">
        <f>IF(R123="profesional",0,IF(O123&lt;CUOTA_VALOR_MAX,IF(BW123&gt;ITP_TRAMO_ALTO,SUMIFS(CF_CUOTA,CF_MAS,ITP_TRAMO_ALTO,CF_CCMIN,"&lt;="&amp;DY123,CF_CCMAX,"&gt;="&amp;DY123),IF(BW123&gt;ITP_TRAMO_BAJO,SUMIFS(CF_CUOTA,CF_MAS,ITP_TRAMO_BAJO,CF_CCMIN,"&lt;="&amp;DY123,CF_CCMAX,"&gt;="&amp;DY123),O123*ITP_TIPO)),O123*ITP_TIPO))</f>
        <v/>
      </c>
      <c r="EA123" s="4">
        <f>IF(R123="profesional",N(AK123),0)</f>
        <v/>
      </c>
      <c r="EB123" s="3">
        <f>IF(AND(R123="profesional",ISNUMBER(AK123),AL123="sí"),0,TASA_DGT)</f>
        <v/>
      </c>
      <c r="EC123" s="3">
        <f>INFORME_DGT</f>
        <v/>
      </c>
      <c r="ED123" s="4">
        <f>O123+EA123+DZ123+EB123+EC123</f>
        <v/>
      </c>
      <c r="EE123" s="4">
        <f>ED123+N(DF123)</f>
        <v/>
      </c>
      <c r="EF123" s="3">
        <f>MAX(0,ED123-TOTAL_MAX)</f>
        <v/>
      </c>
      <c r="EG123" s="3">
        <f>EF123/100*PEN_100</f>
        <v/>
      </c>
      <c r="EH123" s="3">
        <f>IF(R123="particular",ED123+IF(AND(DA123&lt;&gt;"cadena",X123&lt;&gt;"sí"),RES_CORREA,0)+IF(AND(BJ123&lt;&gt;"sí",BW123&gt;=RES_NEUM_EDAD),RES_NEUM,0),"")</f>
        <v/>
      </c>
      <c r="EI123" s="3">
        <f>IF(ED123&lt;=TOTAL_MAX,"sí",IF(ED123&lt;=TECHO,"negociar","no"))</f>
        <v/>
      </c>
      <c r="EJ123" s="4">
        <f>ROUND(DX123,9)</f>
        <v/>
      </c>
      <c r="EK123" s="4">
        <f>IF(EI123&lt;&gt;"no",SUMPRODUCT(($EI$2:$EI$209&lt;&gt;"no")*($EJ$2:$EJ$209&gt;EJ123))+SUMPRODUCT(($EI$2:EI123&lt;&gt;"no")*($EJ$2:EJ123=EJ123)),"")</f>
        <v/>
      </c>
    </row>
    <row r="124">
      <c r="A124" s="2" t="inlineStr">
        <is>
          <t>cochesnet:71596757</t>
        </is>
      </c>
      <c r="B124" s="2" t="inlineStr">
        <is>
          <t>cochesnet</t>
        </is>
      </c>
      <c r="C124" s="2" t="inlineStr">
        <is>
          <t>https://www.coches.net/kia-picanto-11-sohc-lx-5p-gasolina-2006-en-valencia-71596757-covo.aspx</t>
        </is>
      </c>
      <c r="D124" s="2" t="inlineStr">
        <is>
          <t>KIA Picanto 1.1 SOHC LX</t>
        </is>
      </c>
      <c r="E124" s="2" t="inlineStr">
        <is>
          <t>Kia</t>
        </is>
      </c>
      <c r="F124" s="2" t="inlineStr">
        <is>
          <t>Kia Picanto</t>
        </is>
      </c>
      <c r="G124" s="2" t="inlineStr">
        <is>
          <t>1.1</t>
        </is>
      </c>
      <c r="H124" s="2" t="inlineStr">
        <is>
          <t>1.1 SOHC LX</t>
        </is>
      </c>
      <c r="I124" s="2" t="n"/>
      <c r="J124" s="2" t="n"/>
      <c r="K124" s="2" t="inlineStr">
        <is>
          <t>gasolina</t>
        </is>
      </c>
      <c r="L124" s="2" t="inlineStr">
        <is>
          <t>utilitario</t>
        </is>
      </c>
      <c r="M124" s="2" t="n">
        <v>2005</v>
      </c>
      <c r="N124" s="2" t="n">
        <v>121495</v>
      </c>
      <c r="O124" s="2" t="n">
        <v>3490</v>
      </c>
      <c r="P124" s="2" t="inlineStr">
        <is>
          <t>manual</t>
        </is>
      </c>
      <c r="Q124" s="2" t="inlineStr">
        <is>
          <t>no</t>
        </is>
      </c>
      <c r="R124" s="2" t="inlineStr">
        <is>
          <t>profesional</t>
        </is>
      </c>
      <c r="S124" s="2" t="inlineStr">
        <is>
          <t>Autofira Picanya-Torrent Torrent</t>
        </is>
      </c>
      <c r="T124" s="2" t="inlineStr">
        <is>
          <t>2026-09-25T11:59:33Z</t>
        </is>
      </c>
      <c r="U124" s="2" t="n">
        <v>25</v>
      </c>
      <c r="V124" s="2" t="n"/>
      <c r="W124" s="2" t="n"/>
      <c r="X124" s="2" t="n"/>
      <c r="Y124" s="2" t="n">
        <v>1</v>
      </c>
      <c r="Z124" s="2" t="inlineStr">
        <is>
          <t>sí</t>
        </is>
      </c>
      <c r="AA124" s="2" t="n"/>
      <c r="AB124" s="2" t="n">
        <v>12</v>
      </c>
      <c r="AC124" s="2" t="n"/>
      <c r="AD124" s="2" t="n"/>
      <c r="AE124" s="2" t="n"/>
      <c r="AF124" s="2" t="inlineStr">
        <is>
          <t>sí</t>
        </is>
      </c>
      <c r="AG124" s="2" t="n"/>
      <c r="AH124" s="2" t="n">
        <v>3490</v>
      </c>
      <c r="AI124" s="2" t="n"/>
      <c r="AJ124" s="2" t="n"/>
      <c r="AK124" s="2" t="n"/>
      <c r="AL124" s="2" t="n"/>
      <c r="AM124" s="2" t="n">
        <v>8.800000000000001</v>
      </c>
      <c r="AN124" s="2" t="n"/>
      <c r="AO124" s="2" t="inlineStr">
        <is>
          <t>2005</t>
        </is>
      </c>
      <c r="AP124" s="2" t="n">
        <v>2005</v>
      </c>
      <c r="AQ124" s="2" t="n"/>
      <c r="AR124" s="2" t="n"/>
      <c r="AS124" s="2" t="inlineStr">
        <is>
          <t>regla</t>
        </is>
      </c>
      <c r="AT124" s="2" t="n">
        <v>2006</v>
      </c>
      <c r="AU124" s="2" t="inlineStr">
        <is>
          <t>sí</t>
        </is>
      </c>
      <c r="AV124" s="2" t="inlineStr">
        <is>
          <t>B/C</t>
        </is>
      </c>
      <c r="AW124" s="2" t="inlineStr">
        <is>
          <t>C</t>
        </is>
      </c>
      <c r="AX124" s="2" t="inlineStr">
        <is>
          <t>no</t>
        </is>
      </c>
      <c r="AY124" s="2" t="inlineStr">
        <is>
          <t>no</t>
        </is>
      </c>
      <c r="AZ124" s="2" t="inlineStr">
        <is>
          <t>COMMON.COLOR_RED</t>
        </is>
      </c>
      <c r="BA124" s="2" t="inlineStr">
        <is>
          <t>rojo</t>
        </is>
      </c>
      <c r="BB124" s="3" t="n">
        <v>2</v>
      </c>
      <c r="BC124" s="3" t="inlineStr">
        <is>
          <t>(por segmento)</t>
        </is>
      </c>
      <c r="BD124" s="2" t="n"/>
      <c r="BE124" s="2" t="n"/>
      <c r="BF124" s="2" t="n"/>
      <c r="BG124" s="2" t="n"/>
      <c r="BH124" s="2" t="n"/>
      <c r="BI124" s="2" t="n"/>
      <c r="BJ124" s="2" t="n"/>
      <c r="BK124" s="2" t="n">
        <v>3</v>
      </c>
      <c r="BL124" s="2" t="inlineStr">
        <is>
          <t>no</t>
        </is>
      </c>
      <c r="BM124" s="2" t="n">
        <v>130</v>
      </c>
      <c r="BN124" s="2" t="n"/>
      <c r="BO124" s="2" t="n">
        <v>0</v>
      </c>
      <c r="BP124" s="2" t="n">
        <v>2800</v>
      </c>
      <c r="BQ124" s="2" t="n">
        <v>7</v>
      </c>
      <c r="BR124" s="2" t="inlineStr">
        <is>
          <t>modelo+año</t>
        </is>
      </c>
      <c r="BS124" s="2" t="n"/>
      <c r="BT124" s="2" t="inlineStr">
        <is>
          <t>etiqueta dudosa (B/C): se puntúa la peor (B); confirmar con la DGT antes de comprar; año a confirmar: la URL/título dice 2006; anuncio incoherente: dice etiqueta C y por fecha corresponde B; se usa la regla; vendedor profesional: sin ITP (operación con IVA/REBU, confirmar en factura); gastos de gestión del vendedor no indicados: se suma la tasa DGT; preguntar el precio final</t>
        </is>
      </c>
      <c r="BU124" s="2" t="inlineStr">
        <is>
          <t xml:space="preserve">Vehiculo de un unico propietario, en muy buen estado y con pocos kilometros.
Extras Significativos:
-MOTOR GASOLINA MUY EFCICIENTE Y ROBUSTO 
-AIRE ACONDICIONADO
-DIRECCION ASISTIDA
-CIERRE CENTRALIZADO
-ETC...........
VEHICULO TOTALMENTE REVISADO (se entrega con cambio de aceite, filtro de aceite, filtro de aire, filtro de gasolina y correa de distribucion) , KILOMETROS GARANTIZADOS. PRECIO CON CAMBIO DE NOMBRE E IMPUESTOS
INCLUIDO+GARANTIA+ITV+REVISION PARA 10000 KMS. SE ADMITE COCHE A CAMBIO COMO PARTE DEL PRECIO. 
En nuestra empresa encontrara los mejores vehiculos de ocasión ,totalmente resvisados y garantizados , a precios inmejorables. Le recomendamos que vean nuestros vehiculos, con descuentos de hasta un 30% en algunos modelos Disponemos de un amplio stock de todo tipo de vehiculos. Garantia incluida en nuestros talleres, si la venta se efectua fuera de la comunidad Valenciana ira aparte del p.v.p. final del anuncio, la cual se contratara con una empresa de exclusiva de garantias mecanicas.
</t>
        </is>
      </c>
      <c r="BV124" s="2" t="inlineStr">
        <is>
          <t>https://www.coches.net/kia-picanto-11-sohc-lx-5p-gasolina-2006-en-valencia-71596757-covo.aspx (window.__INITIAL_PROPS__.ad) /home/user/Alopecia/buscador-coches/raw/cochesnet/9dc20671137a7b2a.json</t>
        </is>
      </c>
      <c r="BW124" s="3">
        <f>MAX(ANIO_ACTUAL-M124,0)</f>
        <v/>
      </c>
      <c r="BX124" s="4">
        <f>N124/MAX(BW124,0.5)</f>
        <v/>
      </c>
      <c r="BY124" s="4">
        <f>F124</f>
        <v/>
      </c>
      <c r="BZ124" s="3">
        <f>BY124&amp;"|"&amp;INT(M124/SEG_ANIO)*SEG_ANIO</f>
        <v/>
      </c>
      <c r="CA124" s="3">
        <f>BZ124&amp;"|"&amp;INT(N124/SEG_KM)*SEG_KM</f>
        <v/>
      </c>
      <c r="CB124" s="4">
        <f>COUNTIF($BY$2:$BY$209,BY124)</f>
        <v/>
      </c>
      <c r="CC124" s="4">
        <f>COUNTIF($BZ$2:$BZ$209,BZ124)</f>
        <v/>
      </c>
      <c r="CD124" s="4">
        <f>COUNTIF($CA$2:$CA$209,CA124)</f>
        <v/>
      </c>
      <c r="CE124" s="3">
        <f t="array" ref="CE124">IF(N(BQ124)&gt;=MIN_N,BP124,IF(CD124&gt;=MIN_N,MEDIAN(IF($CA$2:$CA$209=CA124,$O$2:$O$209)),IF(CC124&gt;=MIN_N,MEDIAN(IF($BZ$2:$BZ$209=BZ124,$O$2:$O$209)),MEDIAN(IF($BY$2:$BY$209=BY124,$O$2:$O$209)))))</f>
        <v/>
      </c>
      <c r="CF124" s="3">
        <f>IF(N(BQ124)&gt;=MIN_N,"mercado "&amp;BR124,IF(CD124&gt;=MIN_N,"modelo+año+km",IF(CC124&gt;=MIN_N,"modelo+año","modelo")))</f>
        <v/>
      </c>
      <c r="CG124" s="4">
        <f>(CE124-O124)/CE124</f>
        <v/>
      </c>
      <c r="CH124" s="3">
        <f>IF(COUNTIFS(FR_FUEL,K124,FR_YEAR,AP124)&gt;0,1,0)</f>
        <v/>
      </c>
      <c r="CI124" s="3">
        <f>IF(COUNTIFS(FR_FUEL,K124,FR_YEAR,AP124-1)&gt;0,1,0)</f>
        <v/>
      </c>
      <c r="CJ124" s="4">
        <f>IF(N(AQ124)&gt;0,AP124*100+AQ124,IF(AND(CH124=1,CI124=1),(AP124-1)*100+1,AP124*100+1))</f>
        <v/>
      </c>
      <c r="CK124" s="3">
        <f>IF(OR(K124="hibrido",K124="glp",K124="gnc",K124="phev"),"ECO",IF(K124="electrico","CERO",IF(K124="gasolina",IF(CJ124&gt;=GAS_C_YM,"C",IF(CJ124&gt;=GAS_B_YM,"B","A")),IF(K124="diesel",IF(CJ124&gt;=DIE_C_YM,"C",IF(CJ124&gt;=DIE_B_YM,"B","A")),""))))</f>
        <v/>
      </c>
      <c r="CL124" s="2" t="inlineStr">
        <is>
          <t>B</t>
        </is>
      </c>
      <c r="CM124" s="4">
        <f>IF(AU124="sí","sí",IF(AS124="regla",IF(AND(N(AQ124)=0,CH124=1),"sí","no"),"no"))</f>
        <v/>
      </c>
      <c r="CN124" s="3">
        <f>IFERROR(VLOOKUP(F124,MOD_TBL,16,0),IFERROR(VLOOKUP(E124,OCU_TBL,2,0),NEUTRO))</f>
        <v/>
      </c>
      <c r="CO124" s="3">
        <f>SUMIFS(MOT_AJUSTE,MOT_MOTOR,G124,MOT_MARCA,E124,MOT_DESDE,"&lt;="&amp;M124,MOT_HASTA,"&gt;="&amp;M124)+SUMIFS(MOT_AJUSTE,MOT_MOTOR,G124,MOT_MARCA,"(todas)",MOT_DESDE,"&lt;="&amp;M124,MOT_HASTA,"&gt;="&amp;M124)+SUMIFS(MOT_AJUSTE,MOT_MOTOR,"(cualquiera)",MOT_MARCA,E124,MOT_DESDE,"&lt;="&amp;M124,MOT_HASTA,"&gt;="&amp;M124)</f>
        <v/>
      </c>
      <c r="CP124" s="3">
        <f>SUMIFS(COMB_AJUSTE,COMB_COMB,K124)</f>
        <v/>
      </c>
      <c r="CQ124" s="3">
        <f>COUNTIFS(MOT_MOTOR,G124,MOT_MARCA,E124,MOT_DESDE,"&lt;="&amp;M124,MOT_HASTA,"&gt;="&amp;M124)+COUNTIFS(MOT_MOTOR,G124,MOT_MARCA,"(todas)",MOT_DESDE,"&lt;="&amp;M124,MOT_HASTA,"&gt;="&amp;M124)+COUNTIFS(MOT_MOTOR,"(cualquiera)",MOT_MARCA,E124,MOT_DESDE,"&lt;="&amp;M124,MOT_HASTA,"&gt;="&amp;M124)</f>
        <v/>
      </c>
      <c r="CR124" s="3">
        <f>IF(AND(K124="diesel",CQ124=0),MIN(CN124,NEUTRO),CN124)</f>
        <v/>
      </c>
      <c r="CS124" s="3">
        <f>MAX(0,MIN(100,CR124+CO124+CP124-IF(AX124="sí",ROB_PEN,0)))</f>
        <v/>
      </c>
      <c r="CT124" s="3">
        <f>100-MAX(0,N124-KM_TOPE_DESDE)/1000*KM_TOPE_PTS</f>
        <v/>
      </c>
      <c r="CU124" s="3">
        <f>MAX(0,MIN(100,50+CG124*PRECIO_PEND,CT124))</f>
        <v/>
      </c>
      <c r="CV124" s="3">
        <f>MAX(0,100*(1-N124/KM_MAX))</f>
        <v/>
      </c>
      <c r="CW124" s="3">
        <f>IF(BX124&lt;KMA_SOSP,IF(AA124="sí",100,KMA_PEN),IF(BX124&lt;=KMA_IDEAL_MAX,100,MAX(0,100*(KMA_CERO-BX124)/(KMA_CERO-KMA_IDEAL_MAX))))</f>
        <v/>
      </c>
      <c r="CX124" s="3">
        <f>MAX(0,MIN(100,100*(M124-ANIO_MIN)/(ANIO_ACTUAL-ANIO_MIN)))</f>
        <v/>
      </c>
      <c r="CY124" s="3">
        <f>W_KMT*CV124+W_KMA*CW124+W_EDAD*CX124</f>
        <v/>
      </c>
      <c r="CZ124" s="4">
        <f>E124&amp;"|"&amp;G124</f>
        <v/>
      </c>
      <c r="DA124" s="3">
        <f>IFERROR(VLOOKUP(CZ124,DIST_TBL,2,0),"")</f>
        <v/>
      </c>
      <c r="DB124" s="3">
        <f>E_ITV*(V124="sí")+E_LIBRO*(W124="sí")+E_PROP*IF(Y124=1,1,IF(Y124=2,0.5,0))+E_CORREA*IF(OR(DA124="cadena",AND(X124="sí",BH124="sí")),1,IF(X124="sí",0.5,0))+E_FACT*(BI124="sí")</f>
        <v/>
      </c>
      <c r="DC124" s="3">
        <f>MAX(0,MIN(100,IFERROR(VLOOKUP(CL124,ETQ_TBL,2,0),0)-IF(CM124="sí",ETQ_PEN_DUD,IF(AS124="regla",ETQ_PEN_REGLA,0))))</f>
        <v/>
      </c>
      <c r="DD124" s="3">
        <f>IF(K124&lt;&gt;"gasolina","",IFERROR(VLOOKUP(F124,CONS_MOD_TBL,2,0),IFERROR(VLOOKUP(L124,CONS_SEG_TBL,2,0),"")))</f>
        <v/>
      </c>
      <c r="DE124" s="3">
        <f>IF(DD124="",NEUTRO,MAX(0,MIN(100,100*(CONS_REF_MAX-DD124)/(CONS_REF_MAX-CONS_REF_MIN))))</f>
        <v/>
      </c>
      <c r="DF124" s="3">
        <f>IFERROR(VLOOKUP(L124,SEGURO_TBL,3,0),"")</f>
        <v/>
      </c>
      <c r="DG124" s="3">
        <f>IF(DF124="",NEUTRO,MAX(0,MIN(100,100*(SEG_REF_MAX-DF124)/(SEG_REF_MAX-SEG_REF_MIN))))</f>
        <v/>
      </c>
      <c r="DH124" s="3">
        <f>IFERROR(VLOOKUP(E124,MANT_MARCA_TBL,2,0)+0,NEUTRO)</f>
        <v/>
      </c>
      <c r="DI124" s="3">
        <f>IF(DA124="",NEUTRO,IFERROR(VLOOKUP(DA124,DIST_PTS_TBL,2,0)+0,NEUTRO))</f>
        <v/>
      </c>
      <c r="DJ124" s="4">
        <f>(DH124+DI124)/2</f>
        <v/>
      </c>
      <c r="DK124" s="3">
        <f>W_CONS*DE124+W_SEG*DG124+W_MANT*DJ124</f>
        <v/>
      </c>
      <c r="DL124" s="3">
        <f>IF(N(AB124)&gt;0,AB124,IF(AND(R124="profesional",SG_LEGAL_ON=1),GAR_LEGAL,0))</f>
        <v/>
      </c>
      <c r="DM124" s="3">
        <f>MAX(0,MIN(100,SG_GAR*MIN(1,DL124/SG_GAR_FULL)+SG_AMPL*(AC124="sí")+SG_KMC*(AF124="sí")+SG_REV*(N(AE124)&gt;0)+SG_DEV*MIN(1,N(AG124)/SG_DEV_FULL)+SG_HIST*(W124="sí")-IF(AND(R124="particular",DL124=0),SG_PART_PEN,0)))</f>
        <v/>
      </c>
      <c r="DN124" s="3">
        <f>IF(BK124="",NEUTRO,MAX(0,MIN(100,BK124/5*100)))</f>
        <v/>
      </c>
      <c r="DO124" s="3">
        <f>IF(BL124="sí",100,IF(BL124="no",0,NEUTRO))</f>
        <v/>
      </c>
      <c r="DP124" s="3">
        <f>SV_W_NCAP*DN124+SV_W_ESP*DO124</f>
        <v/>
      </c>
      <c r="DQ124" s="3">
        <f>MAX(0,MIN(100,ATR_BASE+ATR_ACAB*(BD124&lt;&gt;"")+IF(BE124="16+",ATR_LL16,IF(BE124="sí",ATR_LL,0))+ATR_FAROS*(BF124="sí")+ATR_TINT*(BG124="sí")-ATR_CHAPA*(BE124="chapa")))</f>
        <v/>
      </c>
      <c r="DR124" s="3">
        <f>EST_W_MOD*(BB124-1)/4*100+EST_W_ATR*DQ124</f>
        <v/>
      </c>
      <c r="DS124" s="3">
        <f>IF(BA124="",NEUTRO,IFERROR(VLOOKUP(BA124,COLOR_TBL,2,0)+0,NEUTRO))</f>
        <v/>
      </c>
      <c r="DT124" s="3">
        <f>MAX(0,MIN(100,100*N(BM124)/RV_N_FULL))</f>
        <v/>
      </c>
      <c r="DU124" s="3">
        <f>IF(OR(BN124="",N(BO124)&lt;RV_DIAS_MIN),NEUTRO,MAX(0,MIN(100,100*(RV_DIAS_CERO-BN124)/(RV_DIAS_CERO-RV_DIAS_FULL))))</f>
        <v/>
      </c>
      <c r="DV124" s="3">
        <f>RV_W_LIQ*DT124+RV_W_DIAS*DU124+RV_W_ETQ*DC124</f>
        <v/>
      </c>
      <c r="DW124" s="3">
        <f>IFERROR(VLOOKUP(L124,CARR_PEN_TBL,2,0),0)</f>
        <v/>
      </c>
      <c r="DX124" s="3">
        <f>W_FIAB*CS124+W_PRECIO*CU124+W_KMEDAD*CY124+W_ESTADO*DB124+W_USO*DK124+W_SEGURIDAD*DM124+W_SEGVIAL*DP124+W_ESTETICA*DR124+W_COLOR*DS124+W_REVENTA*DV124-DW124-EG124</f>
        <v/>
      </c>
      <c r="DY124" s="4">
        <f>IF(N(I124)&gt;0,I124,IFERROR(ROUND(_xlfn.NUMBERVALUE(LEFT(G124,FIND(" ",G124&amp;" ")-1),".")*1000,0),99999))</f>
        <v/>
      </c>
      <c r="DZ124" s="3">
        <f>IF(R124="profesional",0,IF(O124&lt;CUOTA_VALOR_MAX,IF(BW124&gt;ITP_TRAMO_ALTO,SUMIFS(CF_CUOTA,CF_MAS,ITP_TRAMO_ALTO,CF_CCMIN,"&lt;="&amp;DY124,CF_CCMAX,"&gt;="&amp;DY124),IF(BW124&gt;ITP_TRAMO_BAJO,SUMIFS(CF_CUOTA,CF_MAS,ITP_TRAMO_BAJO,CF_CCMIN,"&lt;="&amp;DY124,CF_CCMAX,"&gt;="&amp;DY124),O124*ITP_TIPO)),O124*ITP_TIPO))</f>
        <v/>
      </c>
      <c r="EA124" s="4">
        <f>IF(R124="profesional",N(AK124),0)</f>
        <v/>
      </c>
      <c r="EB124" s="3">
        <f>IF(AND(R124="profesional",ISNUMBER(AK124),AL124="sí"),0,TASA_DGT)</f>
        <v/>
      </c>
      <c r="EC124" s="3">
        <f>INFORME_DGT</f>
        <v/>
      </c>
      <c r="ED124" s="4">
        <f>O124+EA124+DZ124+EB124+EC124</f>
        <v/>
      </c>
      <c r="EE124" s="4">
        <f>ED124+N(DF124)</f>
        <v/>
      </c>
      <c r="EF124" s="3">
        <f>MAX(0,ED124-TOTAL_MAX)</f>
        <v/>
      </c>
      <c r="EG124" s="3">
        <f>EF124/100*PEN_100</f>
        <v/>
      </c>
      <c r="EH124" s="3">
        <f>IF(R124="particular",ED124+IF(AND(DA124&lt;&gt;"cadena",X124&lt;&gt;"sí"),RES_CORREA,0)+IF(AND(BJ124&lt;&gt;"sí",BW124&gt;=RES_NEUM_EDAD),RES_NEUM,0),"")</f>
        <v/>
      </c>
      <c r="EI124" s="3">
        <f>IF(ED124&lt;=TOTAL_MAX,"sí",IF(ED124&lt;=TECHO,"negociar","no"))</f>
        <v/>
      </c>
      <c r="EJ124" s="4">
        <f>ROUND(DX124,9)</f>
        <v/>
      </c>
      <c r="EK124" s="4">
        <f>IF(EI124&lt;&gt;"no",SUMPRODUCT(($EI$2:$EI$209&lt;&gt;"no")*($EJ$2:$EJ$209&gt;EJ124))+SUMPRODUCT(($EI$2:EI124&lt;&gt;"no")*($EJ$2:EJ124=EJ124)),"")</f>
        <v/>
      </c>
    </row>
    <row r="125">
      <c r="A125" s="2" t="inlineStr">
        <is>
          <t>cochesnet:71476718</t>
        </is>
      </c>
      <c r="B125" s="2" t="inlineStr">
        <is>
          <t>cochesnet</t>
        </is>
      </c>
      <c r="C125" s="2" t="inlineStr">
        <is>
          <t>https://www.coches.net/kia-rio-13-rs-5p-gasolina-2004-en-valencia-71476718-covo.aspx</t>
        </is>
      </c>
      <c r="D125" s="2" t="inlineStr">
        <is>
          <t>KIA Rio 1.3 RS</t>
        </is>
      </c>
      <c r="E125" s="2" t="inlineStr">
        <is>
          <t>Kia</t>
        </is>
      </c>
      <c r="F125" s="2" t="inlineStr">
        <is>
          <t>Kia Rio</t>
        </is>
      </c>
      <c r="G125" s="2" t="inlineStr">
        <is>
          <t>1.3</t>
        </is>
      </c>
      <c r="H125" s="2" t="inlineStr">
        <is>
          <t>1.3 RS</t>
        </is>
      </c>
      <c r="I125" s="2" t="n"/>
      <c r="J125" s="2" t="n"/>
      <c r="K125" s="2" t="inlineStr">
        <is>
          <t>gasolina</t>
        </is>
      </c>
      <c r="L125" s="2" t="inlineStr">
        <is>
          <t>utilitario</t>
        </is>
      </c>
      <c r="M125" s="2" t="n">
        <v>2004</v>
      </c>
      <c r="N125" s="2" t="n">
        <v>72000</v>
      </c>
      <c r="O125" s="2" t="n">
        <v>3000</v>
      </c>
      <c r="P125" s="2" t="inlineStr">
        <is>
          <t>manual</t>
        </is>
      </c>
      <c r="Q125" s="2" t="inlineStr">
        <is>
          <t>no</t>
        </is>
      </c>
      <c r="R125" s="2" t="inlineStr">
        <is>
          <t>profesional</t>
        </is>
      </c>
      <c r="S125" s="2" t="inlineStr">
        <is>
          <t>Beniparrell</t>
        </is>
      </c>
      <c r="T125" s="2" t="inlineStr">
        <is>
          <t>2026-09-09T15:52:29Z</t>
        </is>
      </c>
      <c r="U125" s="2" t="n">
        <v>13</v>
      </c>
      <c r="V125" s="2" t="n"/>
      <c r="W125" s="2" t="n"/>
      <c r="X125" s="2" t="n"/>
      <c r="Y125" s="2" t="n"/>
      <c r="Z125" s="2" t="inlineStr">
        <is>
          <t>sí</t>
        </is>
      </c>
      <c r="AA125" s="2" t="n"/>
      <c r="AB125" s="2" t="n">
        <v>12</v>
      </c>
      <c r="AC125" s="2" t="n"/>
      <c r="AD125" s="2" t="n"/>
      <c r="AE125" s="2" t="n"/>
      <c r="AF125" s="2" t="n"/>
      <c r="AG125" s="2" t="n"/>
      <c r="AH125" s="2" t="n">
        <v>3000</v>
      </c>
      <c r="AI125" s="2" t="n"/>
      <c r="AJ125" s="2" t="n"/>
      <c r="AK125" s="2" t="n"/>
      <c r="AL125" s="2" t="n"/>
      <c r="AM125" s="2" t="n">
        <v>10.2</v>
      </c>
      <c r="AN125" s="2" t="n"/>
      <c r="AO125" s="2" t="inlineStr">
        <is>
          <t>2004</t>
        </is>
      </c>
      <c r="AP125" s="2" t="n">
        <v>2004</v>
      </c>
      <c r="AQ125" s="2" t="n"/>
      <c r="AR125" s="2" t="inlineStr">
        <is>
          <t>B</t>
        </is>
      </c>
      <c r="AS125" s="2" t="inlineStr">
        <is>
          <t>anuncio</t>
        </is>
      </c>
      <c r="AT125" s="2" t="n"/>
      <c r="AU125" s="2" t="inlineStr">
        <is>
          <t>no</t>
        </is>
      </c>
      <c r="AV125" s="2" t="inlineStr">
        <is>
          <t>B</t>
        </is>
      </c>
      <c r="AW125" s="2" t="n"/>
      <c r="AX125" s="2" t="inlineStr">
        <is>
          <t>no</t>
        </is>
      </c>
      <c r="AY125" s="2" t="inlineStr">
        <is>
          <t>no</t>
        </is>
      </c>
      <c r="AZ125" s="2" t="inlineStr">
        <is>
          <t>COMMON.COLOR_GRAY</t>
        </is>
      </c>
      <c r="BA125" s="2" t="inlineStr">
        <is>
          <t>gris_medio</t>
        </is>
      </c>
      <c r="BB125" s="3" t="n">
        <v>2</v>
      </c>
      <c r="BC125" s="3" t="inlineStr">
        <is>
          <t>(por segmento)</t>
        </is>
      </c>
      <c r="BD125" s="2" t="n"/>
      <c r="BE125" s="2" t="n"/>
      <c r="BF125" s="2" t="n"/>
      <c r="BG125" s="2" t="inlineStr">
        <is>
          <t>sí</t>
        </is>
      </c>
      <c r="BH125" s="2" t="n"/>
      <c r="BI125" s="2" t="n"/>
      <c r="BJ125" s="2" t="n"/>
      <c r="BK125" s="2" t="n"/>
      <c r="BL125" s="2" t="n"/>
      <c r="BM125" s="2" t="n">
        <v>95</v>
      </c>
      <c r="BN125" s="2" t="n">
        <v>0.06280092592351139</v>
      </c>
      <c r="BO125" s="2" t="n">
        <v>2</v>
      </c>
      <c r="BP125" s="2" t="n">
        <v>2950</v>
      </c>
      <c r="BQ125" s="2" t="n">
        <v>4</v>
      </c>
      <c r="BR125" s="2" t="inlineStr">
        <is>
          <t>modelo+año</t>
        </is>
      </c>
      <c r="BS125" s="2" t="n"/>
      <c r="BT125" s="2" t="inlineStr">
        <is>
          <t>vendedor profesional: sin ITP (operación con IVA/REBU, confirmar en factura); gastos de gestión del vendedor no indicados: se suma la tasa DGT; preguntar el precio final; Euro NCAP de la generación PENDIENTE (seguridad neutra); revisar: no menciona la ITV; fiabilidad del modelo PENDIENTE de fuente (puntuación neutra)</t>
        </is>
      </c>
      <c r="BU125" s="2" t="inlineStr">
        <is>
          <t>Este Kia Rio RS combina practicidad y confort con dirección asistida, climatización y elevalunas eléctricos en todas las puertas. Dispone de asientos delanteros con ajuste lumbar, reposacabezas ajustables en toda la cabina y volante regulable en altura. Los retrovisores exteriores eléctricos, cristales tintados y limpiaparabrisas delantero completan el equipamiento. Con etiqueta medioambiental B, este modelo ofrece acceso favorable a zonas de tráfico restringido. Cierre centralizado, inmovilizador y sistema de audio de cuatro altavoces integrado. GARANTÍA 12 meses (cobertura de 25 componentes del vehículo )cobertura de reparación hasta 2.000e en cualquier taller)</t>
        </is>
      </c>
      <c r="BV125" s="2" t="inlineStr">
        <is>
          <t>https://www.coches.net/kia-rio-13-rs-5p-gasolina-2004-en-valencia-71476718-covo.aspx (window.__INITIAL_PROPS__.ad) /home/user/Alopecia/buscador-coches/raw/cochesnet/605eec47f9bcff5f.json</t>
        </is>
      </c>
      <c r="BW125" s="3">
        <f>MAX(ANIO_ACTUAL-M125,0)</f>
        <v/>
      </c>
      <c r="BX125" s="4">
        <f>N125/MAX(BW125,0.5)</f>
        <v/>
      </c>
      <c r="BY125" s="4">
        <f>F125</f>
        <v/>
      </c>
      <c r="BZ125" s="3">
        <f>BY125&amp;"|"&amp;INT(M125/SEG_ANIO)*SEG_ANIO</f>
        <v/>
      </c>
      <c r="CA125" s="3">
        <f>BZ125&amp;"|"&amp;INT(N125/SEG_KM)*SEG_KM</f>
        <v/>
      </c>
      <c r="CB125" s="4">
        <f>COUNTIF($BY$2:$BY$209,BY125)</f>
        <v/>
      </c>
      <c r="CC125" s="4">
        <f>COUNTIF($BZ$2:$BZ$209,BZ125)</f>
        <v/>
      </c>
      <c r="CD125" s="4">
        <f>COUNTIF($CA$2:$CA$209,CA125)</f>
        <v/>
      </c>
      <c r="CE125" s="3">
        <f t="array" ref="CE125">IF(N(BQ125)&gt;=MIN_N,BP125,IF(CD125&gt;=MIN_N,MEDIAN(IF($CA$2:$CA$209=CA125,$O$2:$O$209)),IF(CC125&gt;=MIN_N,MEDIAN(IF($BZ$2:$BZ$209=BZ125,$O$2:$O$209)),MEDIAN(IF($BY$2:$BY$209=BY125,$O$2:$O$209)))))</f>
        <v/>
      </c>
      <c r="CF125" s="3">
        <f>IF(N(BQ125)&gt;=MIN_N,"mercado "&amp;BR125,IF(CD125&gt;=MIN_N,"modelo+año+km",IF(CC125&gt;=MIN_N,"modelo+año","modelo")))</f>
        <v/>
      </c>
      <c r="CG125" s="4">
        <f>(CE125-O125)/CE125</f>
        <v/>
      </c>
      <c r="CH125" s="3">
        <f>IF(COUNTIFS(FR_FUEL,K125,FR_YEAR,AP125)&gt;0,1,0)</f>
        <v/>
      </c>
      <c r="CI125" s="3">
        <f>IF(COUNTIFS(FR_FUEL,K125,FR_YEAR,AP125-1)&gt;0,1,0)</f>
        <v/>
      </c>
      <c r="CJ125" s="4">
        <f>IF(N(AQ125)&gt;0,AP125*100+AQ125,IF(AND(CH125=1,CI125=1),(AP125-1)*100+1,AP125*100+1))</f>
        <v/>
      </c>
      <c r="CK125" s="3">
        <f>IF(OR(K125="hibrido",K125="glp",K125="gnc",K125="phev"),"ECO",IF(K125="electrico","CERO",IF(K125="gasolina",IF(CJ125&gt;=GAS_C_YM,"C",IF(CJ125&gt;=GAS_B_YM,"B","A")),IF(K125="diesel",IF(CJ125&gt;=DIE_C_YM,"C",IF(CJ125&gt;=DIE_B_YM,"B","A")),""))))</f>
        <v/>
      </c>
      <c r="CL125" s="2" t="inlineStr">
        <is>
          <t>B</t>
        </is>
      </c>
      <c r="CM125" s="4">
        <f>IF(AU125="sí","sí",IF(AS125="regla",IF(AND(N(AQ125)=0,CH125=1),"sí","no"),"no"))</f>
        <v/>
      </c>
      <c r="CN125" s="3">
        <f>IFERROR(VLOOKUP(F125,MOD_TBL,16,0),IFERROR(VLOOKUP(E125,OCU_TBL,2,0),NEUTRO))</f>
        <v/>
      </c>
      <c r="CO125" s="3">
        <f>SUMIFS(MOT_AJUSTE,MOT_MOTOR,G125,MOT_MARCA,E125,MOT_DESDE,"&lt;="&amp;M125,MOT_HASTA,"&gt;="&amp;M125)+SUMIFS(MOT_AJUSTE,MOT_MOTOR,G125,MOT_MARCA,"(todas)",MOT_DESDE,"&lt;="&amp;M125,MOT_HASTA,"&gt;="&amp;M125)+SUMIFS(MOT_AJUSTE,MOT_MOTOR,"(cualquiera)",MOT_MARCA,E125,MOT_DESDE,"&lt;="&amp;M125,MOT_HASTA,"&gt;="&amp;M125)</f>
        <v/>
      </c>
      <c r="CP125" s="3">
        <f>SUMIFS(COMB_AJUSTE,COMB_COMB,K125)</f>
        <v/>
      </c>
      <c r="CQ125" s="3">
        <f>COUNTIFS(MOT_MOTOR,G125,MOT_MARCA,E125,MOT_DESDE,"&lt;="&amp;M125,MOT_HASTA,"&gt;="&amp;M125)+COUNTIFS(MOT_MOTOR,G125,MOT_MARCA,"(todas)",MOT_DESDE,"&lt;="&amp;M125,MOT_HASTA,"&gt;="&amp;M125)+COUNTIFS(MOT_MOTOR,"(cualquiera)",MOT_MARCA,E125,MOT_DESDE,"&lt;="&amp;M125,MOT_HASTA,"&gt;="&amp;M125)</f>
        <v/>
      </c>
      <c r="CR125" s="3">
        <f>IF(AND(K125="diesel",CQ125=0),MIN(CN125,NEUTRO),CN125)</f>
        <v/>
      </c>
      <c r="CS125" s="3">
        <f>MAX(0,MIN(100,CR125+CO125+CP125-IF(AX125="sí",ROB_PEN,0)))</f>
        <v/>
      </c>
      <c r="CT125" s="3">
        <f>100-MAX(0,N125-KM_TOPE_DESDE)/1000*KM_TOPE_PTS</f>
        <v/>
      </c>
      <c r="CU125" s="3">
        <f>MAX(0,MIN(100,50+CG125*PRECIO_PEND,CT125))</f>
        <v/>
      </c>
      <c r="CV125" s="3">
        <f>MAX(0,100*(1-N125/KM_MAX))</f>
        <v/>
      </c>
      <c r="CW125" s="3">
        <f>IF(BX125&lt;KMA_SOSP,IF(AA125="sí",100,KMA_PEN),IF(BX125&lt;=KMA_IDEAL_MAX,100,MAX(0,100*(KMA_CERO-BX125)/(KMA_CERO-KMA_IDEAL_MAX))))</f>
        <v/>
      </c>
      <c r="CX125" s="3">
        <f>MAX(0,MIN(100,100*(M125-ANIO_MIN)/(ANIO_ACTUAL-ANIO_MIN)))</f>
        <v/>
      </c>
      <c r="CY125" s="3">
        <f>W_KMT*CV125+W_KMA*CW125+W_EDAD*CX125</f>
        <v/>
      </c>
      <c r="CZ125" s="4">
        <f>E125&amp;"|"&amp;G125</f>
        <v/>
      </c>
      <c r="DA125" s="3">
        <f>IFERROR(VLOOKUP(CZ125,DIST_TBL,2,0),"")</f>
        <v/>
      </c>
      <c r="DB125" s="3">
        <f>E_ITV*(V125="sí")+E_LIBRO*(W125="sí")+E_PROP*IF(Y125=1,1,IF(Y125=2,0.5,0))+E_CORREA*IF(OR(DA125="cadena",AND(X125="sí",BH125="sí")),1,IF(X125="sí",0.5,0))+E_FACT*(BI125="sí")</f>
        <v/>
      </c>
      <c r="DC125" s="3">
        <f>MAX(0,MIN(100,IFERROR(VLOOKUP(CL125,ETQ_TBL,2,0),0)-IF(CM125="sí",ETQ_PEN_DUD,IF(AS125="regla",ETQ_PEN_REGLA,0))))</f>
        <v/>
      </c>
      <c r="DD125" s="3">
        <f>IF(K125&lt;&gt;"gasolina","",IFERROR(VLOOKUP(F125,CONS_MOD_TBL,2,0),IFERROR(VLOOKUP(L125,CONS_SEG_TBL,2,0),"")))</f>
        <v/>
      </c>
      <c r="DE125" s="3">
        <f>IF(DD125="",NEUTRO,MAX(0,MIN(100,100*(CONS_REF_MAX-DD125)/(CONS_REF_MAX-CONS_REF_MIN))))</f>
        <v/>
      </c>
      <c r="DF125" s="3">
        <f>IFERROR(VLOOKUP(L125,SEGURO_TBL,3,0),"")</f>
        <v/>
      </c>
      <c r="DG125" s="3">
        <f>IF(DF125="",NEUTRO,MAX(0,MIN(100,100*(SEG_REF_MAX-DF125)/(SEG_REF_MAX-SEG_REF_MIN))))</f>
        <v/>
      </c>
      <c r="DH125" s="3">
        <f>IFERROR(VLOOKUP(E125,MANT_MARCA_TBL,2,0)+0,NEUTRO)</f>
        <v/>
      </c>
      <c r="DI125" s="3">
        <f>IF(DA125="",NEUTRO,IFERROR(VLOOKUP(DA125,DIST_PTS_TBL,2,0)+0,NEUTRO))</f>
        <v/>
      </c>
      <c r="DJ125" s="4">
        <f>(DH125+DI125)/2</f>
        <v/>
      </c>
      <c r="DK125" s="3">
        <f>W_CONS*DE125+W_SEG*DG125+W_MANT*DJ125</f>
        <v/>
      </c>
      <c r="DL125" s="3">
        <f>IF(N(AB125)&gt;0,AB125,IF(AND(R125="profesional",SG_LEGAL_ON=1),GAR_LEGAL,0))</f>
        <v/>
      </c>
      <c r="DM125" s="3">
        <f>MAX(0,MIN(100,SG_GAR*MIN(1,DL125/SG_GAR_FULL)+SG_AMPL*(AC125="sí")+SG_KMC*(AF125="sí")+SG_REV*(N(AE125)&gt;0)+SG_DEV*MIN(1,N(AG125)/SG_DEV_FULL)+SG_HIST*(W125="sí")-IF(AND(R125="particular",DL125=0),SG_PART_PEN,0)))</f>
        <v/>
      </c>
      <c r="DN125" s="3">
        <f>IF(BK125="",NEUTRO,MAX(0,MIN(100,BK125/5*100)))</f>
        <v/>
      </c>
      <c r="DO125" s="3">
        <f>IF(BL125="sí",100,IF(BL125="no",0,NEUTRO))</f>
        <v/>
      </c>
      <c r="DP125" s="3">
        <f>SV_W_NCAP*DN125+SV_W_ESP*DO125</f>
        <v/>
      </c>
      <c r="DQ125" s="3">
        <f>MAX(0,MIN(100,ATR_BASE+ATR_ACAB*(BD125&lt;&gt;"")+IF(BE125="16+",ATR_LL16,IF(BE125="sí",ATR_LL,0))+ATR_FAROS*(BF125="sí")+ATR_TINT*(BG125="sí")-ATR_CHAPA*(BE125="chapa")))</f>
        <v/>
      </c>
      <c r="DR125" s="3">
        <f>EST_W_MOD*(BB125-1)/4*100+EST_W_ATR*DQ125</f>
        <v/>
      </c>
      <c r="DS125" s="3">
        <f>IF(BA125="",NEUTRO,IFERROR(VLOOKUP(BA125,COLOR_TBL,2,0)+0,NEUTRO))</f>
        <v/>
      </c>
      <c r="DT125" s="3">
        <f>MAX(0,MIN(100,100*N(BM125)/RV_N_FULL))</f>
        <v/>
      </c>
      <c r="DU125" s="3">
        <f>IF(OR(BN125="",N(BO125)&lt;RV_DIAS_MIN),NEUTRO,MAX(0,MIN(100,100*(RV_DIAS_CERO-BN125)/(RV_DIAS_CERO-RV_DIAS_FULL))))</f>
        <v/>
      </c>
      <c r="DV125" s="3">
        <f>RV_W_LIQ*DT125+RV_W_DIAS*DU125+RV_W_ETQ*DC125</f>
        <v/>
      </c>
      <c r="DW125" s="3">
        <f>IFERROR(VLOOKUP(L125,CARR_PEN_TBL,2,0),0)</f>
        <v/>
      </c>
      <c r="DX125" s="3">
        <f>W_FIAB*CS125+W_PRECIO*CU125+W_KMEDAD*CY125+W_ESTADO*DB125+W_USO*DK125+W_SEGURIDAD*DM125+W_SEGVIAL*DP125+W_ESTETICA*DR125+W_COLOR*DS125+W_REVENTA*DV125-DW125-EG125</f>
        <v/>
      </c>
      <c r="DY125" s="4">
        <f>IF(N(I125)&gt;0,I125,IFERROR(ROUND(_xlfn.NUMBERVALUE(LEFT(G125,FIND(" ",G125&amp;" ")-1),".")*1000,0),99999))</f>
        <v/>
      </c>
      <c r="DZ125" s="3">
        <f>IF(R125="profesional",0,IF(O125&lt;CUOTA_VALOR_MAX,IF(BW125&gt;ITP_TRAMO_ALTO,SUMIFS(CF_CUOTA,CF_MAS,ITP_TRAMO_ALTO,CF_CCMIN,"&lt;="&amp;DY125,CF_CCMAX,"&gt;="&amp;DY125),IF(BW125&gt;ITP_TRAMO_BAJO,SUMIFS(CF_CUOTA,CF_MAS,ITP_TRAMO_BAJO,CF_CCMIN,"&lt;="&amp;DY125,CF_CCMAX,"&gt;="&amp;DY125),O125*ITP_TIPO)),O125*ITP_TIPO))</f>
        <v/>
      </c>
      <c r="EA125" s="4">
        <f>IF(R125="profesional",N(AK125),0)</f>
        <v/>
      </c>
      <c r="EB125" s="3">
        <f>IF(AND(R125="profesional",ISNUMBER(AK125),AL125="sí"),0,TASA_DGT)</f>
        <v/>
      </c>
      <c r="EC125" s="3">
        <f>INFORME_DGT</f>
        <v/>
      </c>
      <c r="ED125" s="4">
        <f>O125+EA125+DZ125+EB125+EC125</f>
        <v/>
      </c>
      <c r="EE125" s="4">
        <f>ED125+N(DF125)</f>
        <v/>
      </c>
      <c r="EF125" s="3">
        <f>MAX(0,ED125-TOTAL_MAX)</f>
        <v/>
      </c>
      <c r="EG125" s="3">
        <f>EF125/100*PEN_100</f>
        <v/>
      </c>
      <c r="EH125" s="3">
        <f>IF(R125="particular",ED125+IF(AND(DA125&lt;&gt;"cadena",X125&lt;&gt;"sí"),RES_CORREA,0)+IF(AND(BJ125&lt;&gt;"sí",BW125&gt;=RES_NEUM_EDAD),RES_NEUM,0),"")</f>
        <v/>
      </c>
      <c r="EI125" s="3">
        <f>IF(ED125&lt;=TOTAL_MAX,"sí",IF(ED125&lt;=TECHO,"negociar","no"))</f>
        <v/>
      </c>
      <c r="EJ125" s="4">
        <f>ROUND(DX125,9)</f>
        <v/>
      </c>
      <c r="EK125" s="4">
        <f>IF(EI125&lt;&gt;"no",SUMPRODUCT(($EI$2:$EI$209&lt;&gt;"no")*($EJ$2:$EJ$209&gt;EJ125))+SUMPRODUCT(($EI$2:EI125&lt;&gt;"no")*($EJ$2:EJ125=EJ125)),"")</f>
        <v/>
      </c>
    </row>
    <row r="126">
      <c r="A126" s="2" t="inlineStr">
        <is>
          <t>cochesnet:71758915</t>
        </is>
      </c>
      <c r="B126" s="2" t="inlineStr">
        <is>
          <t>cochesnet</t>
        </is>
      </c>
      <c r="C126" s="2" t="inlineStr">
        <is>
          <t>https://www.coches.net/kia-rio-15-16v-ls-5p-gasolina-2004-en-valencia-71758915-covo.aspx</t>
        </is>
      </c>
      <c r="D126" s="2" t="inlineStr">
        <is>
          <t>KIA Rio 1.5 16v LS</t>
        </is>
      </c>
      <c r="E126" s="2" t="inlineStr">
        <is>
          <t>Kia</t>
        </is>
      </c>
      <c r="F126" s="2" t="inlineStr">
        <is>
          <t>Kia Rio</t>
        </is>
      </c>
      <c r="G126" s="2" t="inlineStr">
        <is>
          <t>1.5</t>
        </is>
      </c>
      <c r="H126" s="2" t="inlineStr">
        <is>
          <t>1.5 16v LS</t>
        </is>
      </c>
      <c r="I126" s="2" t="n"/>
      <c r="J126" s="2" t="n"/>
      <c r="K126" s="2" t="inlineStr">
        <is>
          <t>gasolina</t>
        </is>
      </c>
      <c r="L126" s="2" t="inlineStr">
        <is>
          <t>utilitario</t>
        </is>
      </c>
      <c r="M126" s="2" t="n">
        <v>2005</v>
      </c>
      <c r="N126" s="2" t="n">
        <v>120000</v>
      </c>
      <c r="O126" s="2" t="n">
        <v>3000</v>
      </c>
      <c r="P126" s="2" t="inlineStr">
        <is>
          <t>manual</t>
        </is>
      </c>
      <c r="Q126" s="2" t="inlineStr">
        <is>
          <t>no</t>
        </is>
      </c>
      <c r="R126" s="2" t="inlineStr">
        <is>
          <t>profesional</t>
        </is>
      </c>
      <c r="S126" s="2" t="inlineStr">
        <is>
          <t>Pozas Autos Guadassuar</t>
        </is>
      </c>
      <c r="T126" s="2" t="inlineStr">
        <is>
          <t>2026-10-16T08:26:23Z</t>
        </is>
      </c>
      <c r="U126" s="2" t="n">
        <v>7</v>
      </c>
      <c r="V126" s="2" t="inlineStr">
        <is>
          <t>sí</t>
        </is>
      </c>
      <c r="W126" s="2" t="n"/>
      <c r="X126" s="2" t="n"/>
      <c r="Y126" s="2" t="n"/>
      <c r="Z126" s="2" t="inlineStr">
        <is>
          <t>sí</t>
        </is>
      </c>
      <c r="AA126" s="2" t="n"/>
      <c r="AB126" s="2" t="n">
        <v>12</v>
      </c>
      <c r="AC126" s="2" t="n"/>
      <c r="AD126" s="2" t="n"/>
      <c r="AE126" s="2" t="n"/>
      <c r="AF126" s="2" t="n"/>
      <c r="AG126" s="2" t="n"/>
      <c r="AH126" s="2" t="n">
        <v>3000</v>
      </c>
      <c r="AI126" s="2" t="n"/>
      <c r="AJ126" s="2" t="n"/>
      <c r="AK126" s="2" t="n"/>
      <c r="AL126" s="2" t="n"/>
      <c r="AM126" s="2" t="n">
        <v>32.7</v>
      </c>
      <c r="AN126" s="2" t="n"/>
      <c r="AO126" s="2" t="inlineStr">
        <is>
          <t>2005</t>
        </is>
      </c>
      <c r="AP126" s="2" t="n">
        <v>2005</v>
      </c>
      <c r="AQ126" s="2" t="n"/>
      <c r="AR126" s="2" t="inlineStr">
        <is>
          <t>B</t>
        </is>
      </c>
      <c r="AS126" s="2" t="inlineStr">
        <is>
          <t>anuncio</t>
        </is>
      </c>
      <c r="AT126" s="2" t="n">
        <v>2004</v>
      </c>
      <c r="AU126" s="2" t="inlineStr">
        <is>
          <t>no</t>
        </is>
      </c>
      <c r="AV126" s="2" t="inlineStr">
        <is>
          <t>B</t>
        </is>
      </c>
      <c r="AW126" s="2" t="n"/>
      <c r="AX126" s="2" t="inlineStr">
        <is>
          <t>no</t>
        </is>
      </c>
      <c r="AY126" s="2" t="inlineStr">
        <is>
          <t>no</t>
        </is>
      </c>
      <c r="AZ126" s="2" t="inlineStr">
        <is>
          <t>COMMON.COLOR_GRAY</t>
        </is>
      </c>
      <c r="BA126" s="2" t="inlineStr">
        <is>
          <t>gris_medio</t>
        </is>
      </c>
      <c r="BB126" s="3" t="n">
        <v>2</v>
      </c>
      <c r="BC126" s="3" t="inlineStr">
        <is>
          <t>(por segmento)</t>
        </is>
      </c>
      <c r="BD126" s="2" t="n"/>
      <c r="BE126" s="2" t="n"/>
      <c r="BF126" s="2" t="n"/>
      <c r="BG126" s="2" t="n"/>
      <c r="BH126" s="2" t="n"/>
      <c r="BI126" s="2" t="n"/>
      <c r="BJ126" s="2" t="n"/>
      <c r="BK126" s="2" t="n">
        <v>4</v>
      </c>
      <c r="BL126" s="2" t="inlineStr">
        <is>
          <t>no</t>
        </is>
      </c>
      <c r="BM126" s="2" t="n">
        <v>95</v>
      </c>
      <c r="BN126" s="2" t="n">
        <v>0.06280092592351139</v>
      </c>
      <c r="BO126" s="2" t="n">
        <v>2</v>
      </c>
      <c r="BP126" s="2" t="n">
        <v>2950</v>
      </c>
      <c r="BQ126" s="2" t="n">
        <v>4</v>
      </c>
      <c r="BR126" s="2" t="inlineStr">
        <is>
          <t>modelo+año</t>
        </is>
      </c>
      <c r="BS126" s="2" t="n"/>
      <c r="BT126" s="2" t="inlineStr">
        <is>
          <t>año a confirmar: la URL/título dice 2004; vendedor profesional: sin ITP (operación con IVA/REBU, confirmar en factura); gastos de gestión del vendedor no indicados: se suma la tasa DGT; preguntar el precio final; fiabilidad del modelo PENDIENTE de fuente (puntuación neutra)</t>
        </is>
      </c>
      <c r="BU126" s="2" t="inlineStr">
        <is>
          <t xml:space="preserve">Kia Río Coche en perfecto estado de interior, exterior y motor, filtros y aceite recién cambiado todo revisado, itv en vigor, neumaticos en buen estado. aire acondicionado, cierre centralizado, elevalunas electricos, airbag, abs, radio CD  mp3 asientos comodos  al igual que el Bolante  5 velocidades, etc, mejor ver y probar. </t>
        </is>
      </c>
      <c r="BV126" s="2" t="inlineStr">
        <is>
          <t>https://www.coches.net/kia-rio-15-16v-ls-5p-gasolina-2004-en-valencia-71758915-covo.aspx (window.__INITIAL_PROPS__.ad) /home/user/Alopecia/buscador-coches/raw/cochesnet/d065ed1953002a92.json</t>
        </is>
      </c>
      <c r="BW126" s="3">
        <f>MAX(ANIO_ACTUAL-M126,0)</f>
        <v/>
      </c>
      <c r="BX126" s="4">
        <f>N126/MAX(BW126,0.5)</f>
        <v/>
      </c>
      <c r="BY126" s="4">
        <f>F126</f>
        <v/>
      </c>
      <c r="BZ126" s="3">
        <f>BY126&amp;"|"&amp;INT(M126/SEG_ANIO)*SEG_ANIO</f>
        <v/>
      </c>
      <c r="CA126" s="3">
        <f>BZ126&amp;"|"&amp;INT(N126/SEG_KM)*SEG_KM</f>
        <v/>
      </c>
      <c r="CB126" s="4">
        <f>COUNTIF($BY$2:$BY$209,BY126)</f>
        <v/>
      </c>
      <c r="CC126" s="4">
        <f>COUNTIF($BZ$2:$BZ$209,BZ126)</f>
        <v/>
      </c>
      <c r="CD126" s="4">
        <f>COUNTIF($CA$2:$CA$209,CA126)</f>
        <v/>
      </c>
      <c r="CE126" s="3">
        <f t="array" ref="CE126">IF(N(BQ126)&gt;=MIN_N,BP126,IF(CD126&gt;=MIN_N,MEDIAN(IF($CA$2:$CA$209=CA126,$O$2:$O$209)),IF(CC126&gt;=MIN_N,MEDIAN(IF($BZ$2:$BZ$209=BZ126,$O$2:$O$209)),MEDIAN(IF($BY$2:$BY$209=BY126,$O$2:$O$209)))))</f>
        <v/>
      </c>
      <c r="CF126" s="3">
        <f>IF(N(BQ126)&gt;=MIN_N,"mercado "&amp;BR126,IF(CD126&gt;=MIN_N,"modelo+año+km",IF(CC126&gt;=MIN_N,"modelo+año","modelo")))</f>
        <v/>
      </c>
      <c r="CG126" s="4">
        <f>(CE126-O126)/CE126</f>
        <v/>
      </c>
      <c r="CH126" s="3">
        <f>IF(COUNTIFS(FR_FUEL,K126,FR_YEAR,AP126)&gt;0,1,0)</f>
        <v/>
      </c>
      <c r="CI126" s="3">
        <f>IF(COUNTIFS(FR_FUEL,K126,FR_YEAR,AP126-1)&gt;0,1,0)</f>
        <v/>
      </c>
      <c r="CJ126" s="4">
        <f>IF(N(AQ126)&gt;0,AP126*100+AQ126,IF(AND(CH126=1,CI126=1),(AP126-1)*100+1,AP126*100+1))</f>
        <v/>
      </c>
      <c r="CK126" s="3">
        <f>IF(OR(K126="hibrido",K126="glp",K126="gnc",K126="phev"),"ECO",IF(K126="electrico","CERO",IF(K126="gasolina",IF(CJ126&gt;=GAS_C_YM,"C",IF(CJ126&gt;=GAS_B_YM,"B","A")),IF(K126="diesel",IF(CJ126&gt;=DIE_C_YM,"C",IF(CJ126&gt;=DIE_B_YM,"B","A")),""))))</f>
        <v/>
      </c>
      <c r="CL126" s="2" t="inlineStr">
        <is>
          <t>B</t>
        </is>
      </c>
      <c r="CM126" s="4">
        <f>IF(AU126="sí","sí",IF(AS126="regla",IF(AND(N(AQ126)=0,CH126=1),"sí","no"),"no"))</f>
        <v/>
      </c>
      <c r="CN126" s="3">
        <f>IFERROR(VLOOKUP(F126,MOD_TBL,16,0),IFERROR(VLOOKUP(E126,OCU_TBL,2,0),NEUTRO))</f>
        <v/>
      </c>
      <c r="CO126" s="3">
        <f>SUMIFS(MOT_AJUSTE,MOT_MOTOR,G126,MOT_MARCA,E126,MOT_DESDE,"&lt;="&amp;M126,MOT_HASTA,"&gt;="&amp;M126)+SUMIFS(MOT_AJUSTE,MOT_MOTOR,G126,MOT_MARCA,"(todas)",MOT_DESDE,"&lt;="&amp;M126,MOT_HASTA,"&gt;="&amp;M126)+SUMIFS(MOT_AJUSTE,MOT_MOTOR,"(cualquiera)",MOT_MARCA,E126,MOT_DESDE,"&lt;="&amp;M126,MOT_HASTA,"&gt;="&amp;M126)</f>
        <v/>
      </c>
      <c r="CP126" s="3">
        <f>SUMIFS(COMB_AJUSTE,COMB_COMB,K126)</f>
        <v/>
      </c>
      <c r="CQ126" s="3">
        <f>COUNTIFS(MOT_MOTOR,G126,MOT_MARCA,E126,MOT_DESDE,"&lt;="&amp;M126,MOT_HASTA,"&gt;="&amp;M126)+COUNTIFS(MOT_MOTOR,G126,MOT_MARCA,"(todas)",MOT_DESDE,"&lt;="&amp;M126,MOT_HASTA,"&gt;="&amp;M126)+COUNTIFS(MOT_MOTOR,"(cualquiera)",MOT_MARCA,E126,MOT_DESDE,"&lt;="&amp;M126,MOT_HASTA,"&gt;="&amp;M126)</f>
        <v/>
      </c>
      <c r="CR126" s="3">
        <f>IF(AND(K126="diesel",CQ126=0),MIN(CN126,NEUTRO),CN126)</f>
        <v/>
      </c>
      <c r="CS126" s="3">
        <f>MAX(0,MIN(100,CR126+CO126+CP126-IF(AX126="sí",ROB_PEN,0)))</f>
        <v/>
      </c>
      <c r="CT126" s="3">
        <f>100-MAX(0,N126-KM_TOPE_DESDE)/1000*KM_TOPE_PTS</f>
        <v/>
      </c>
      <c r="CU126" s="3">
        <f>MAX(0,MIN(100,50+CG126*PRECIO_PEND,CT126))</f>
        <v/>
      </c>
      <c r="CV126" s="3">
        <f>MAX(0,100*(1-N126/KM_MAX))</f>
        <v/>
      </c>
      <c r="CW126" s="3">
        <f>IF(BX126&lt;KMA_SOSP,IF(AA126="sí",100,KMA_PEN),IF(BX126&lt;=KMA_IDEAL_MAX,100,MAX(0,100*(KMA_CERO-BX126)/(KMA_CERO-KMA_IDEAL_MAX))))</f>
        <v/>
      </c>
      <c r="CX126" s="3">
        <f>MAX(0,MIN(100,100*(M126-ANIO_MIN)/(ANIO_ACTUAL-ANIO_MIN)))</f>
        <v/>
      </c>
      <c r="CY126" s="3">
        <f>W_KMT*CV126+W_KMA*CW126+W_EDAD*CX126</f>
        <v/>
      </c>
      <c r="CZ126" s="4">
        <f>E126&amp;"|"&amp;G126</f>
        <v/>
      </c>
      <c r="DA126" s="3">
        <f>IFERROR(VLOOKUP(CZ126,DIST_TBL,2,0),"")</f>
        <v/>
      </c>
      <c r="DB126" s="3">
        <f>E_ITV*(V126="sí")+E_LIBRO*(W126="sí")+E_PROP*IF(Y126=1,1,IF(Y126=2,0.5,0))+E_CORREA*IF(OR(DA126="cadena",AND(X126="sí",BH126="sí")),1,IF(X126="sí",0.5,0))+E_FACT*(BI126="sí")</f>
        <v/>
      </c>
      <c r="DC126" s="3">
        <f>MAX(0,MIN(100,IFERROR(VLOOKUP(CL126,ETQ_TBL,2,0),0)-IF(CM126="sí",ETQ_PEN_DUD,IF(AS126="regla",ETQ_PEN_REGLA,0))))</f>
        <v/>
      </c>
      <c r="DD126" s="3">
        <f>IF(K126&lt;&gt;"gasolina","",IFERROR(VLOOKUP(F126,CONS_MOD_TBL,2,0),IFERROR(VLOOKUP(L126,CONS_SEG_TBL,2,0),"")))</f>
        <v/>
      </c>
      <c r="DE126" s="3">
        <f>IF(DD126="",NEUTRO,MAX(0,MIN(100,100*(CONS_REF_MAX-DD126)/(CONS_REF_MAX-CONS_REF_MIN))))</f>
        <v/>
      </c>
      <c r="DF126" s="3">
        <f>IFERROR(VLOOKUP(L126,SEGURO_TBL,3,0),"")</f>
        <v/>
      </c>
      <c r="DG126" s="3">
        <f>IF(DF126="",NEUTRO,MAX(0,MIN(100,100*(SEG_REF_MAX-DF126)/(SEG_REF_MAX-SEG_REF_MIN))))</f>
        <v/>
      </c>
      <c r="DH126" s="3">
        <f>IFERROR(VLOOKUP(E126,MANT_MARCA_TBL,2,0)+0,NEUTRO)</f>
        <v/>
      </c>
      <c r="DI126" s="3">
        <f>IF(DA126="",NEUTRO,IFERROR(VLOOKUP(DA126,DIST_PTS_TBL,2,0)+0,NEUTRO))</f>
        <v/>
      </c>
      <c r="DJ126" s="4">
        <f>(DH126+DI126)/2</f>
        <v/>
      </c>
      <c r="DK126" s="3">
        <f>W_CONS*DE126+W_SEG*DG126+W_MANT*DJ126</f>
        <v/>
      </c>
      <c r="DL126" s="3">
        <f>IF(N(AB126)&gt;0,AB126,IF(AND(R126="profesional",SG_LEGAL_ON=1),GAR_LEGAL,0))</f>
        <v/>
      </c>
      <c r="DM126" s="3">
        <f>MAX(0,MIN(100,SG_GAR*MIN(1,DL126/SG_GAR_FULL)+SG_AMPL*(AC126="sí")+SG_KMC*(AF126="sí")+SG_REV*(N(AE126)&gt;0)+SG_DEV*MIN(1,N(AG126)/SG_DEV_FULL)+SG_HIST*(W126="sí")-IF(AND(R126="particular",DL126=0),SG_PART_PEN,0)))</f>
        <v/>
      </c>
      <c r="DN126" s="3">
        <f>IF(BK126="",NEUTRO,MAX(0,MIN(100,BK126/5*100)))</f>
        <v/>
      </c>
      <c r="DO126" s="3">
        <f>IF(BL126="sí",100,IF(BL126="no",0,NEUTRO))</f>
        <v/>
      </c>
      <c r="DP126" s="3">
        <f>SV_W_NCAP*DN126+SV_W_ESP*DO126</f>
        <v/>
      </c>
      <c r="DQ126" s="3">
        <f>MAX(0,MIN(100,ATR_BASE+ATR_ACAB*(BD126&lt;&gt;"")+IF(BE126="16+",ATR_LL16,IF(BE126="sí",ATR_LL,0))+ATR_FAROS*(BF126="sí")+ATR_TINT*(BG126="sí")-ATR_CHAPA*(BE126="chapa")))</f>
        <v/>
      </c>
      <c r="DR126" s="3">
        <f>EST_W_MOD*(BB126-1)/4*100+EST_W_ATR*DQ126</f>
        <v/>
      </c>
      <c r="DS126" s="3">
        <f>IF(BA126="",NEUTRO,IFERROR(VLOOKUP(BA126,COLOR_TBL,2,0)+0,NEUTRO))</f>
        <v/>
      </c>
      <c r="DT126" s="3">
        <f>MAX(0,MIN(100,100*N(BM126)/RV_N_FULL))</f>
        <v/>
      </c>
      <c r="DU126" s="3">
        <f>IF(OR(BN126="",N(BO126)&lt;RV_DIAS_MIN),NEUTRO,MAX(0,MIN(100,100*(RV_DIAS_CERO-BN126)/(RV_DIAS_CERO-RV_DIAS_FULL))))</f>
        <v/>
      </c>
      <c r="DV126" s="3">
        <f>RV_W_LIQ*DT126+RV_W_DIAS*DU126+RV_W_ETQ*DC126</f>
        <v/>
      </c>
      <c r="DW126" s="3">
        <f>IFERROR(VLOOKUP(L126,CARR_PEN_TBL,2,0),0)</f>
        <v/>
      </c>
      <c r="DX126" s="3">
        <f>W_FIAB*CS126+W_PRECIO*CU126+W_KMEDAD*CY126+W_ESTADO*DB126+W_USO*DK126+W_SEGURIDAD*DM126+W_SEGVIAL*DP126+W_ESTETICA*DR126+W_COLOR*DS126+W_REVENTA*DV126-DW126-EG126</f>
        <v/>
      </c>
      <c r="DY126" s="4">
        <f>IF(N(I126)&gt;0,I126,IFERROR(ROUND(_xlfn.NUMBERVALUE(LEFT(G126,FIND(" ",G126&amp;" ")-1),".")*1000,0),99999))</f>
        <v/>
      </c>
      <c r="DZ126" s="3">
        <f>IF(R126="profesional",0,IF(O126&lt;CUOTA_VALOR_MAX,IF(BW126&gt;ITP_TRAMO_ALTO,SUMIFS(CF_CUOTA,CF_MAS,ITP_TRAMO_ALTO,CF_CCMIN,"&lt;="&amp;DY126,CF_CCMAX,"&gt;="&amp;DY126),IF(BW126&gt;ITP_TRAMO_BAJO,SUMIFS(CF_CUOTA,CF_MAS,ITP_TRAMO_BAJO,CF_CCMIN,"&lt;="&amp;DY126,CF_CCMAX,"&gt;="&amp;DY126),O126*ITP_TIPO)),O126*ITP_TIPO))</f>
        <v/>
      </c>
      <c r="EA126" s="4">
        <f>IF(R126="profesional",N(AK126),0)</f>
        <v/>
      </c>
      <c r="EB126" s="3">
        <f>IF(AND(R126="profesional",ISNUMBER(AK126),AL126="sí"),0,TASA_DGT)</f>
        <v/>
      </c>
      <c r="EC126" s="3">
        <f>INFORME_DGT</f>
        <v/>
      </c>
      <c r="ED126" s="4">
        <f>O126+EA126+DZ126+EB126+EC126</f>
        <v/>
      </c>
      <c r="EE126" s="4">
        <f>ED126+N(DF126)</f>
        <v/>
      </c>
      <c r="EF126" s="3">
        <f>MAX(0,ED126-TOTAL_MAX)</f>
        <v/>
      </c>
      <c r="EG126" s="3">
        <f>EF126/100*PEN_100</f>
        <v/>
      </c>
      <c r="EH126" s="3">
        <f>IF(R126="particular",ED126+IF(AND(DA126&lt;&gt;"cadena",X126&lt;&gt;"sí"),RES_CORREA,0)+IF(AND(BJ126&lt;&gt;"sí",BW126&gt;=RES_NEUM_EDAD),RES_NEUM,0),"")</f>
        <v/>
      </c>
      <c r="EI126" s="3">
        <f>IF(ED126&lt;=TOTAL_MAX,"sí",IF(ED126&lt;=TECHO,"negociar","no"))</f>
        <v/>
      </c>
      <c r="EJ126" s="4">
        <f>ROUND(DX126,9)</f>
        <v/>
      </c>
      <c r="EK126" s="4">
        <f>IF(EI126&lt;&gt;"no",SUMPRODUCT(($EI$2:$EI$209&lt;&gt;"no")*($EJ$2:$EJ$209&gt;EJ126))+SUMPRODUCT(($EI$2:EI126&lt;&gt;"no")*($EJ$2:EJ126=EJ126)),"")</f>
        <v/>
      </c>
    </row>
    <row r="127">
      <c r="A127" s="2" t="inlineStr">
        <is>
          <t>wallapop:1316428326</t>
        </is>
      </c>
      <c r="B127" s="2" t="inlineStr">
        <is>
          <t>wallapop</t>
        </is>
      </c>
      <c r="C127" s="2" t="inlineStr">
        <is>
          <t>https://es.wallapop.com/item/kia-rio-2003-solo-110-000km-1316428326</t>
        </is>
      </c>
      <c r="D127" s="2" t="inlineStr">
        <is>
          <t>KIA Rio 2003 solo 110.000km</t>
        </is>
      </c>
      <c r="E127" s="2" t="inlineStr">
        <is>
          <t>Kia</t>
        </is>
      </c>
      <c r="F127" s="2" t="inlineStr">
        <is>
          <t>Kia Rio</t>
        </is>
      </c>
      <c r="G127" s="2" t="inlineStr">
        <is>
          <t>1.3</t>
        </is>
      </c>
      <c r="H127" s="2" t="inlineStr">
        <is>
          <t>1.3 SOHC 81 RS 5p</t>
        </is>
      </c>
      <c r="I127" s="2" t="n"/>
      <c r="J127" s="2" t="n">
        <v>81</v>
      </c>
      <c r="K127" s="2" t="inlineStr">
        <is>
          <t>gasolina</t>
        </is>
      </c>
      <c r="L127" s="2" t="inlineStr">
        <is>
          <t>utilitario</t>
        </is>
      </c>
      <c r="M127" s="2" t="n">
        <v>2003</v>
      </c>
      <c r="N127" s="2" t="n">
        <v>110000</v>
      </c>
      <c r="O127" s="2" t="n">
        <v>3490</v>
      </c>
      <c r="P127" s="2" t="inlineStr">
        <is>
          <t>manual</t>
        </is>
      </c>
      <c r="Q127" s="2" t="inlineStr">
        <is>
          <t>no</t>
        </is>
      </c>
      <c r="R127" s="2" t="inlineStr">
        <is>
          <t>profesional</t>
        </is>
      </c>
      <c r="S127" s="2" t="inlineStr">
        <is>
          <t>Valencia (46026)</t>
        </is>
      </c>
      <c r="T127" s="2" t="inlineStr">
        <is>
          <t>2026-10-30T22:07:51</t>
        </is>
      </c>
      <c r="U127" s="2" t="n">
        <v>13</v>
      </c>
      <c r="V127" s="2" t="n"/>
      <c r="W127" s="2" t="n"/>
      <c r="X127" s="2" t="n"/>
      <c r="Y127" s="2" t="n"/>
      <c r="Z127" s="2" t="n"/>
      <c r="AA127" s="2" t="n"/>
      <c r="AB127" s="2" t="n"/>
      <c r="AC127" s="2" t="n"/>
      <c r="AD127" s="2" t="n"/>
      <c r="AE127" s="2" t="n"/>
      <c r="AF127" s="2" t="n"/>
      <c r="AG127" s="2" t="n"/>
      <c r="AH127" s="2" t="n"/>
      <c r="AI127" s="2" t="n"/>
      <c r="AJ127" s="2" t="n"/>
      <c r="AK127" s="2" t="n"/>
      <c r="AL127" s="2" t="n"/>
      <c r="AM127" s="2" t="n">
        <v>2.4</v>
      </c>
      <c r="AN127" s="2" t="n"/>
      <c r="AO127" s="2" t="n"/>
      <c r="AP127" s="2" t="n">
        <v>2003</v>
      </c>
      <c r="AQ127" s="2" t="n"/>
      <c r="AR127" s="2" t="n"/>
      <c r="AS127" s="2" t="inlineStr">
        <is>
          <t>regla</t>
        </is>
      </c>
      <c r="AT127" s="2" t="n"/>
      <c r="AU127" s="2" t="inlineStr">
        <is>
          <t>no</t>
        </is>
      </c>
      <c r="AV127" s="2" t="inlineStr">
        <is>
          <t>B</t>
        </is>
      </c>
      <c r="AW127" s="2" t="n"/>
      <c r="AX127" s="2" t="inlineStr">
        <is>
          <t>no</t>
        </is>
      </c>
      <c r="AY127" s="2" t="inlineStr">
        <is>
          <t>no</t>
        </is>
      </c>
      <c r="AZ127" s="2" t="n"/>
      <c r="BA127" s="2" t="n"/>
      <c r="BB127" s="3" t="n">
        <v>2</v>
      </c>
      <c r="BC127" s="3" t="inlineStr">
        <is>
          <t>(por segmento)</t>
        </is>
      </c>
      <c r="BD127" s="2" t="n"/>
      <c r="BE127" s="2" t="n"/>
      <c r="BF127" s="2" t="n"/>
      <c r="BG127" s="2" t="n"/>
      <c r="BH127" s="2" t="n"/>
      <c r="BI127" s="2" t="n"/>
      <c r="BJ127" s="2" t="n"/>
      <c r="BK127" s="2" t="n"/>
      <c r="BL127" s="2" t="n"/>
      <c r="BM127" s="2" t="n">
        <v>95</v>
      </c>
      <c r="BN127" s="2" t="n">
        <v>0.06280092592351139</v>
      </c>
      <c r="BO127" s="2" t="n">
        <v>2</v>
      </c>
      <c r="BP127" s="2" t="n"/>
      <c r="BQ127" s="2" t="n"/>
      <c r="BR127" s="2" t="n"/>
      <c r="BS127" s="2" t="inlineStr">
        <is>
          <t>cochesnet:71659908 (https://www.coches.net/kia-rio-13-rs-5p-gasolina-2004-en-valencia-71659908-covo.aspx)</t>
        </is>
      </c>
      <c r="BT127" s="2" t="inlineStr">
        <is>
          <t>vendedor profesional: sin ITP (operación con IVA/REBU, confirmar en factura); gastos de gestión del vendedor no indicados: se suma la tasa DGT; preguntar el precio final; Euro NCAP de la generación PENDIENTE (seguridad neutra); etiqueta B deducida por fecha (sin matrícula ni dato del anuncio); fiabilidad del modelo PENDIENTE de fuente (puntuación neutra)</t>
        </is>
      </c>
      <c r="BU127" s="2" t="inlineStr">
        <is>
          <t xml:space="preserve">Impecable
Kia Río RS con solo 110.000km Etiqueta ambiental B, ITV vigente 02/27, aire acondicionado, radio, elevalunas electrónicos en las 4 ventanas, excelente estado general, maletero muy amplio
WhatsApp 685435844
</t>
        </is>
      </c>
      <c r="BV127" s="2" t="inlineStr">
        <is>
          <t>https://es.wallapop.com/item/kia-rio-2003-solo-110-000km-1316428326 (__NEXT_DATA__ item) /home/user/Alopecia/buscador-coches/raw/wallapop/ba4ff21146ee356d.json</t>
        </is>
      </c>
      <c r="BW127" s="3">
        <f>MAX(ANIO_ACTUAL-M127,0)</f>
        <v/>
      </c>
      <c r="BX127" s="4">
        <f>N127/MAX(BW127,0.5)</f>
        <v/>
      </c>
      <c r="BY127" s="4">
        <f>F127</f>
        <v/>
      </c>
      <c r="BZ127" s="3">
        <f>BY127&amp;"|"&amp;INT(M127/SEG_ANIO)*SEG_ANIO</f>
        <v/>
      </c>
      <c r="CA127" s="3">
        <f>BZ127&amp;"|"&amp;INT(N127/SEG_KM)*SEG_KM</f>
        <v/>
      </c>
      <c r="CB127" s="4">
        <f>COUNTIF($BY$2:$BY$209,BY127)</f>
        <v/>
      </c>
      <c r="CC127" s="4">
        <f>COUNTIF($BZ$2:$BZ$209,BZ127)</f>
        <v/>
      </c>
      <c r="CD127" s="4">
        <f>COUNTIF($CA$2:$CA$209,CA127)</f>
        <v/>
      </c>
      <c r="CE127" s="3">
        <f t="array" ref="CE127">IF(N(BQ127)&gt;=MIN_N,BP127,IF(CD127&gt;=MIN_N,MEDIAN(IF($CA$2:$CA$209=CA127,$O$2:$O$209)),IF(CC127&gt;=MIN_N,MEDIAN(IF($BZ$2:$BZ$209=BZ127,$O$2:$O$209)),MEDIAN(IF($BY$2:$BY$209=BY127,$O$2:$O$209)))))</f>
        <v/>
      </c>
      <c r="CF127" s="3">
        <f>IF(N(BQ127)&gt;=MIN_N,"mercado "&amp;BR127,IF(CD127&gt;=MIN_N,"modelo+año+km",IF(CC127&gt;=MIN_N,"modelo+año","modelo")))</f>
        <v/>
      </c>
      <c r="CG127" s="4">
        <f>(CE127-O127)/CE127</f>
        <v/>
      </c>
      <c r="CH127" s="3">
        <f>IF(COUNTIFS(FR_FUEL,K127,FR_YEAR,AP127)&gt;0,1,0)</f>
        <v/>
      </c>
      <c r="CI127" s="3">
        <f>IF(COUNTIFS(FR_FUEL,K127,FR_YEAR,AP127-1)&gt;0,1,0)</f>
        <v/>
      </c>
      <c r="CJ127" s="4">
        <f>IF(N(AQ127)&gt;0,AP127*100+AQ127,IF(AND(CH127=1,CI127=1),(AP127-1)*100+1,AP127*100+1))</f>
        <v/>
      </c>
      <c r="CK127" s="3">
        <f>IF(OR(K127="hibrido",K127="glp",K127="gnc",K127="phev"),"ECO",IF(K127="electrico","CERO",IF(K127="gasolina",IF(CJ127&gt;=GAS_C_YM,"C",IF(CJ127&gt;=GAS_B_YM,"B","A")),IF(K127="diesel",IF(CJ127&gt;=DIE_C_YM,"C",IF(CJ127&gt;=DIE_B_YM,"B","A")),""))))</f>
        <v/>
      </c>
      <c r="CL127" s="4">
        <f>CK127</f>
        <v/>
      </c>
      <c r="CM127" s="4">
        <f>IF(AU127="sí","sí",IF(AS127="regla",IF(AND(N(AQ127)=0,CH127=1),"sí","no"),"no"))</f>
        <v/>
      </c>
      <c r="CN127" s="3">
        <f>IFERROR(VLOOKUP(F127,MOD_TBL,16,0),IFERROR(VLOOKUP(E127,OCU_TBL,2,0),NEUTRO))</f>
        <v/>
      </c>
      <c r="CO127" s="3">
        <f>SUMIFS(MOT_AJUSTE,MOT_MOTOR,G127,MOT_MARCA,E127,MOT_DESDE,"&lt;="&amp;M127,MOT_HASTA,"&gt;="&amp;M127)+SUMIFS(MOT_AJUSTE,MOT_MOTOR,G127,MOT_MARCA,"(todas)",MOT_DESDE,"&lt;="&amp;M127,MOT_HASTA,"&gt;="&amp;M127)+SUMIFS(MOT_AJUSTE,MOT_MOTOR,"(cualquiera)",MOT_MARCA,E127,MOT_DESDE,"&lt;="&amp;M127,MOT_HASTA,"&gt;="&amp;M127)</f>
        <v/>
      </c>
      <c r="CP127" s="3">
        <f>SUMIFS(COMB_AJUSTE,COMB_COMB,K127)</f>
        <v/>
      </c>
      <c r="CQ127" s="3">
        <f>COUNTIFS(MOT_MOTOR,G127,MOT_MARCA,E127,MOT_DESDE,"&lt;="&amp;M127,MOT_HASTA,"&gt;="&amp;M127)+COUNTIFS(MOT_MOTOR,G127,MOT_MARCA,"(todas)",MOT_DESDE,"&lt;="&amp;M127,MOT_HASTA,"&gt;="&amp;M127)+COUNTIFS(MOT_MOTOR,"(cualquiera)",MOT_MARCA,E127,MOT_DESDE,"&lt;="&amp;M127,MOT_HASTA,"&gt;="&amp;M127)</f>
        <v/>
      </c>
      <c r="CR127" s="3">
        <f>IF(AND(K127="diesel",CQ127=0),MIN(CN127,NEUTRO),CN127)</f>
        <v/>
      </c>
      <c r="CS127" s="3">
        <f>MAX(0,MIN(100,CR127+CO127+CP127-IF(AX127="sí",ROB_PEN,0)))</f>
        <v/>
      </c>
      <c r="CT127" s="3">
        <f>100-MAX(0,N127-KM_TOPE_DESDE)/1000*KM_TOPE_PTS</f>
        <v/>
      </c>
      <c r="CU127" s="3">
        <f>MAX(0,MIN(100,50+CG127*PRECIO_PEND,CT127))</f>
        <v/>
      </c>
      <c r="CV127" s="3">
        <f>MAX(0,100*(1-N127/KM_MAX))</f>
        <v/>
      </c>
      <c r="CW127" s="3">
        <f>IF(BX127&lt;KMA_SOSP,IF(AA127="sí",100,KMA_PEN),IF(BX127&lt;=KMA_IDEAL_MAX,100,MAX(0,100*(KMA_CERO-BX127)/(KMA_CERO-KMA_IDEAL_MAX))))</f>
        <v/>
      </c>
      <c r="CX127" s="3">
        <f>MAX(0,MIN(100,100*(M127-ANIO_MIN)/(ANIO_ACTUAL-ANIO_MIN)))</f>
        <v/>
      </c>
      <c r="CY127" s="3">
        <f>W_KMT*CV127+W_KMA*CW127+W_EDAD*CX127</f>
        <v/>
      </c>
      <c r="CZ127" s="4">
        <f>E127&amp;"|"&amp;G127</f>
        <v/>
      </c>
      <c r="DA127" s="3">
        <f>IFERROR(VLOOKUP(CZ127,DIST_TBL,2,0),"")</f>
        <v/>
      </c>
      <c r="DB127" s="3">
        <f>E_ITV*(V127="sí")+E_LIBRO*(W127="sí")+E_PROP*IF(Y127=1,1,IF(Y127=2,0.5,0))+E_CORREA*IF(OR(DA127="cadena",AND(X127="sí",BH127="sí")),1,IF(X127="sí",0.5,0))+E_FACT*(BI127="sí")</f>
        <v/>
      </c>
      <c r="DC127" s="3">
        <f>MAX(0,MIN(100,IFERROR(VLOOKUP(CL127,ETQ_TBL,2,0),0)-IF(CM127="sí",ETQ_PEN_DUD,IF(AS127="regla",ETQ_PEN_REGLA,0))))</f>
        <v/>
      </c>
      <c r="DD127" s="3">
        <f>IF(K127&lt;&gt;"gasolina","",IFERROR(VLOOKUP(F127,CONS_MOD_TBL,2,0),IFERROR(VLOOKUP(L127,CONS_SEG_TBL,2,0),"")))</f>
        <v/>
      </c>
      <c r="DE127" s="3">
        <f>IF(DD127="",NEUTRO,MAX(0,MIN(100,100*(CONS_REF_MAX-DD127)/(CONS_REF_MAX-CONS_REF_MIN))))</f>
        <v/>
      </c>
      <c r="DF127" s="3">
        <f>IFERROR(VLOOKUP(L127,SEGURO_TBL,3,0),"")</f>
        <v/>
      </c>
      <c r="DG127" s="3">
        <f>IF(DF127="",NEUTRO,MAX(0,MIN(100,100*(SEG_REF_MAX-DF127)/(SEG_REF_MAX-SEG_REF_MIN))))</f>
        <v/>
      </c>
      <c r="DH127" s="3">
        <f>IFERROR(VLOOKUP(E127,MANT_MARCA_TBL,2,0)+0,NEUTRO)</f>
        <v/>
      </c>
      <c r="DI127" s="3">
        <f>IF(DA127="",NEUTRO,IFERROR(VLOOKUP(DA127,DIST_PTS_TBL,2,0)+0,NEUTRO))</f>
        <v/>
      </c>
      <c r="DJ127" s="4">
        <f>(DH127+DI127)/2</f>
        <v/>
      </c>
      <c r="DK127" s="3">
        <f>W_CONS*DE127+W_SEG*DG127+W_MANT*DJ127</f>
        <v/>
      </c>
      <c r="DL127" s="3">
        <f>IF(N(AB127)&gt;0,AB127,IF(AND(R127="profesional",SG_LEGAL_ON=1),GAR_LEGAL,0))</f>
        <v/>
      </c>
      <c r="DM127" s="3">
        <f>MAX(0,MIN(100,SG_GAR*MIN(1,DL127/SG_GAR_FULL)+SG_AMPL*(AC127="sí")+SG_KMC*(AF127="sí")+SG_REV*(N(AE127)&gt;0)+SG_DEV*MIN(1,N(AG127)/SG_DEV_FULL)+SG_HIST*(W127="sí")-IF(AND(R127="particular",DL127=0),SG_PART_PEN,0)))</f>
        <v/>
      </c>
      <c r="DN127" s="3">
        <f>IF(BK127="",NEUTRO,MAX(0,MIN(100,BK127/5*100)))</f>
        <v/>
      </c>
      <c r="DO127" s="3">
        <f>IF(BL127="sí",100,IF(BL127="no",0,NEUTRO))</f>
        <v/>
      </c>
      <c r="DP127" s="3">
        <f>SV_W_NCAP*DN127+SV_W_ESP*DO127</f>
        <v/>
      </c>
      <c r="DQ127" s="3">
        <f>MAX(0,MIN(100,ATR_BASE+ATR_ACAB*(BD127&lt;&gt;"")+IF(BE127="16+",ATR_LL16,IF(BE127="sí",ATR_LL,0))+ATR_FAROS*(BF127="sí")+ATR_TINT*(BG127="sí")-ATR_CHAPA*(BE127="chapa")))</f>
        <v/>
      </c>
      <c r="DR127" s="3">
        <f>EST_W_MOD*(BB127-1)/4*100+EST_W_ATR*DQ127</f>
        <v/>
      </c>
      <c r="DS127" s="3">
        <f>IF(BA127="",NEUTRO,IFERROR(VLOOKUP(BA127,COLOR_TBL,2,0)+0,NEUTRO))</f>
        <v/>
      </c>
      <c r="DT127" s="3">
        <f>MAX(0,MIN(100,100*N(BM127)/RV_N_FULL))</f>
        <v/>
      </c>
      <c r="DU127" s="3">
        <f>IF(OR(BN127="",N(BO127)&lt;RV_DIAS_MIN),NEUTRO,MAX(0,MIN(100,100*(RV_DIAS_CERO-BN127)/(RV_DIAS_CERO-RV_DIAS_FULL))))</f>
        <v/>
      </c>
      <c r="DV127" s="3">
        <f>RV_W_LIQ*DT127+RV_W_DIAS*DU127+RV_W_ETQ*DC127</f>
        <v/>
      </c>
      <c r="DW127" s="3">
        <f>IFERROR(VLOOKUP(L127,CARR_PEN_TBL,2,0),0)</f>
        <v/>
      </c>
      <c r="DX127" s="3">
        <f>W_FIAB*CS127+W_PRECIO*CU127+W_KMEDAD*CY127+W_ESTADO*DB127+W_USO*DK127+W_SEGURIDAD*DM127+W_SEGVIAL*DP127+W_ESTETICA*DR127+W_COLOR*DS127+W_REVENTA*DV127-DW127-EG127</f>
        <v/>
      </c>
      <c r="DY127" s="4">
        <f>IF(N(I127)&gt;0,I127,IFERROR(ROUND(_xlfn.NUMBERVALUE(LEFT(G127,FIND(" ",G127&amp;" ")-1),".")*1000,0),99999))</f>
        <v/>
      </c>
      <c r="DZ127" s="3">
        <f>IF(R127="profesional",0,IF(O127&lt;CUOTA_VALOR_MAX,IF(BW127&gt;ITP_TRAMO_ALTO,SUMIFS(CF_CUOTA,CF_MAS,ITP_TRAMO_ALTO,CF_CCMIN,"&lt;="&amp;DY127,CF_CCMAX,"&gt;="&amp;DY127),IF(BW127&gt;ITP_TRAMO_BAJO,SUMIFS(CF_CUOTA,CF_MAS,ITP_TRAMO_BAJO,CF_CCMIN,"&lt;="&amp;DY127,CF_CCMAX,"&gt;="&amp;DY127),O127*ITP_TIPO)),O127*ITP_TIPO))</f>
        <v/>
      </c>
      <c r="EA127" s="4">
        <f>IF(R127="profesional",N(AK127),0)</f>
        <v/>
      </c>
      <c r="EB127" s="3">
        <f>IF(AND(R127="profesional",ISNUMBER(AK127),AL127="sí"),0,TASA_DGT)</f>
        <v/>
      </c>
      <c r="EC127" s="3">
        <f>INFORME_DGT</f>
        <v/>
      </c>
      <c r="ED127" s="4">
        <f>O127+EA127+DZ127+EB127+EC127</f>
        <v/>
      </c>
      <c r="EE127" s="4">
        <f>ED127+N(DF127)</f>
        <v/>
      </c>
      <c r="EF127" s="3">
        <f>MAX(0,ED127-TOTAL_MAX)</f>
        <v/>
      </c>
      <c r="EG127" s="3">
        <f>EF127/100*PEN_100</f>
        <v/>
      </c>
      <c r="EH127" s="3">
        <f>IF(R127="particular",ED127+IF(AND(DA127&lt;&gt;"cadena",X127&lt;&gt;"sí"),RES_CORREA,0)+IF(AND(BJ127&lt;&gt;"sí",BW127&gt;=RES_NEUM_EDAD),RES_NEUM,0),"")</f>
        <v/>
      </c>
      <c r="EI127" s="3">
        <f>IF(ED127&lt;=TOTAL_MAX,"sí",IF(ED127&lt;=TECHO,"negociar","no"))</f>
        <v/>
      </c>
      <c r="EJ127" s="4">
        <f>ROUND(DX127,9)</f>
        <v/>
      </c>
      <c r="EK127" s="4">
        <f>IF(EI127&lt;&gt;"no",SUMPRODUCT(($EI$2:$EI$209&lt;&gt;"no")*($EJ$2:$EJ$209&gt;EJ127))+SUMPRODUCT(($EI$2:EI127&lt;&gt;"no")*($EJ$2:EJ127=EJ127)),"")</f>
        <v/>
      </c>
    </row>
    <row r="128">
      <c r="A128" s="2" t="inlineStr">
        <is>
          <t>cochesnet:71755414</t>
        </is>
      </c>
      <c r="B128" s="2" t="inlineStr">
        <is>
          <t>cochesnet</t>
        </is>
      </c>
      <c r="C128" s="2" t="inlineStr">
        <is>
          <t>https://www.coches.net/volkswagen-polo-14-advance-75cv-3p-gasolina-2006-en-valencia-71755414-covo.aspx</t>
        </is>
      </c>
      <c r="D128" s="2" t="inlineStr">
        <is>
          <t>VOLKSWAGEN Polo 1.4 Advance</t>
        </is>
      </c>
      <c r="E128" s="2" t="inlineStr">
        <is>
          <t>Volkswagen</t>
        </is>
      </c>
      <c r="F128" s="2" t="inlineStr">
        <is>
          <t>Volkswagen Polo</t>
        </is>
      </c>
      <c r="G128" s="2" t="inlineStr">
        <is>
          <t>1.4</t>
        </is>
      </c>
      <c r="H128" s="2" t="inlineStr">
        <is>
          <t>1.4 Advance 75CV</t>
        </is>
      </c>
      <c r="I128" s="2" t="n"/>
      <c r="J128" s="2" t="n">
        <v>75</v>
      </c>
      <c r="K128" s="2" t="inlineStr">
        <is>
          <t>gasolina</t>
        </is>
      </c>
      <c r="L128" s="2" t="inlineStr">
        <is>
          <t>utilitario</t>
        </is>
      </c>
      <c r="M128" s="2" t="n">
        <v>2005</v>
      </c>
      <c r="N128" s="2" t="n">
        <v>143092</v>
      </c>
      <c r="O128" s="2" t="n">
        <v>4490</v>
      </c>
      <c r="P128" s="2" t="inlineStr">
        <is>
          <t>manual</t>
        </is>
      </c>
      <c r="Q128" s="2" t="inlineStr">
        <is>
          <t>no</t>
        </is>
      </c>
      <c r="R128" s="2" t="inlineStr">
        <is>
          <t>profesional</t>
        </is>
      </c>
      <c r="S128" s="2" t="inlineStr">
        <is>
          <t>Autofira Picanya-Torrent Torrent</t>
        </is>
      </c>
      <c r="T128" s="2" t="inlineStr">
        <is>
          <t>2026-10-15T18:25:46Z</t>
        </is>
      </c>
      <c r="U128" s="2" t="n">
        <v>1</v>
      </c>
      <c r="V128" s="2" t="n"/>
      <c r="W128" s="2" t="n"/>
      <c r="X128" s="2" t="n"/>
      <c r="Y128" s="2" t="n">
        <v>1</v>
      </c>
      <c r="Z128" s="2" t="inlineStr">
        <is>
          <t>sí</t>
        </is>
      </c>
      <c r="AA128" s="2" t="n"/>
      <c r="AB128" s="2" t="n">
        <v>12</v>
      </c>
      <c r="AC128" s="2" t="n"/>
      <c r="AD128" s="2" t="n"/>
      <c r="AE128" s="2" t="n"/>
      <c r="AF128" s="2" t="inlineStr">
        <is>
          <t>sí</t>
        </is>
      </c>
      <c r="AG128" s="2" t="n"/>
      <c r="AH128" s="2" t="n">
        <v>4490</v>
      </c>
      <c r="AI128" s="2" t="n"/>
      <c r="AJ128" s="2" t="n"/>
      <c r="AK128" s="2" t="n"/>
      <c r="AL128" s="2" t="n"/>
      <c r="AM128" s="2" t="n">
        <v>8.800000000000001</v>
      </c>
      <c r="AN128" s="2" t="n"/>
      <c r="AO128" s="2" t="inlineStr">
        <is>
          <t>2005</t>
        </is>
      </c>
      <c r="AP128" s="2" t="n">
        <v>2005</v>
      </c>
      <c r="AQ128" s="2" t="n"/>
      <c r="AR128" s="2" t="inlineStr">
        <is>
          <t>B</t>
        </is>
      </c>
      <c r="AS128" s="2" t="inlineStr">
        <is>
          <t>anuncio</t>
        </is>
      </c>
      <c r="AT128" s="2" t="n">
        <v>2006</v>
      </c>
      <c r="AU128" s="2" t="inlineStr">
        <is>
          <t>sí</t>
        </is>
      </c>
      <c r="AV128" s="2" t="inlineStr">
        <is>
          <t>B/C</t>
        </is>
      </c>
      <c r="AW128" s="2" t="n"/>
      <c r="AX128" s="2" t="inlineStr">
        <is>
          <t>no</t>
        </is>
      </c>
      <c r="AY128" s="2" t="inlineStr">
        <is>
          <t>no</t>
        </is>
      </c>
      <c r="AZ128" s="2" t="inlineStr">
        <is>
          <t>COMMON.COLOR_RED</t>
        </is>
      </c>
      <c r="BA128" s="2" t="inlineStr">
        <is>
          <t>rojo</t>
        </is>
      </c>
      <c r="BB128" s="3" t="n">
        <v>2</v>
      </c>
      <c r="BC128" s="3" t="inlineStr">
        <is>
          <t>(por segmento)</t>
        </is>
      </c>
      <c r="BD128" s="2" t="n"/>
      <c r="BE128" s="2" t="inlineStr">
        <is>
          <t>sí</t>
        </is>
      </c>
      <c r="BF128" s="2" t="n"/>
      <c r="BG128" s="2" t="n"/>
      <c r="BH128" s="2" t="n"/>
      <c r="BI128" s="2" t="n"/>
      <c r="BJ128" s="2" t="n"/>
      <c r="BK128" s="2" t="n">
        <v>4</v>
      </c>
      <c r="BL128" s="2" t="n"/>
      <c r="BM128" s="2" t="n">
        <v>321</v>
      </c>
      <c r="BN128" s="2" t="n">
        <v>0.05126157402992249</v>
      </c>
      <c r="BO128" s="2" t="n">
        <v>3</v>
      </c>
      <c r="BP128" s="2" t="n">
        <v>4195</v>
      </c>
      <c r="BQ128" s="2" t="n">
        <v>8</v>
      </c>
      <c r="BR128" s="2" t="inlineStr">
        <is>
          <t>modelo+año+km</t>
        </is>
      </c>
      <c r="BS128" s="2" t="n"/>
      <c r="BT128" s="2" t="inlineStr">
        <is>
          <t>etiqueta dudosa (B/C): se puntúa la peor (B); confirmar con la DGT antes de comprar; año a confirmar: la URL/título dice 2006; vendedor profesional: sin ITP (operación con IVA/REBU, confirmar en factura); gastos de gestión del vendedor no indicados: se suma la tasa DGT; preguntar el precio final</t>
        </is>
      </c>
      <c r="BU128" s="2" t="inlineStr">
        <is>
          <t>Vehiculo de un unico dueño , en muy buen estadso y con muy pocos kilometros.
Extras Significativos:
-MOTOR GASOLINA MUY EFCICIENTE, ROBUSTO Y DE BAJO CONSUMO 
-AIRE ACONDICIONADO
-DIRECCION ASISTIDA
-CIERRE CENTRALIZADO
-LLANTAS DE ALEACION LIGERA 14"
-ETC...........
VEHICULO TOTALMENTE REVISADO (se entrega con cambio de aceite, filtro de aceite, filtro de aire, filtro de gasolina y correa de distribucion) , KILOMETROS GARANTIZADOS. PRECIO CON CAMBIO DE NOMBRE E IMPUESTOS
INCLUIDO+GARANTIA+ITV+REVISION PARA 10000 KMS. SE ADMITE COCHE A CAMBIO COMO PARTE DEL PRECIO. 
En nuestra empresa encontrara los mejores vehiculos de ocasión ,totalmente resvisados y garantizados , a precios inmejorables. Le recomendamos que vean nuestros vehiculos, con descuentos de hasta un 30% en algunos modelos Disponemos de un amplio stock de todo tipo de vehiculos. Garantia incluida en nuestros talleres, si la venta se efectua fuera de la comunidad Valenciana ira aparte del p.v.p. final del anuncio, la cual se contratara con una empresa de exclusiva de garantias mecanicas.</t>
        </is>
      </c>
      <c r="BV128" s="2" t="inlineStr">
        <is>
          <t>https://www.coches.net/volkswagen-polo-14-advance-75cv-3p-gasolina-2006-en-valencia-71755414-covo.aspx (window.__INITIAL_PROPS__.ad) /home/user/Alopecia/buscador-coches/raw/cochesnet/d4e0f4b66f6b3fe3.json</t>
        </is>
      </c>
      <c r="BW128" s="3">
        <f>MAX(ANIO_ACTUAL-M128,0)</f>
        <v/>
      </c>
      <c r="BX128" s="4">
        <f>N128/MAX(BW128,0.5)</f>
        <v/>
      </c>
      <c r="BY128" s="4">
        <f>F128</f>
        <v/>
      </c>
      <c r="BZ128" s="3">
        <f>BY128&amp;"|"&amp;INT(M128/SEG_ANIO)*SEG_ANIO</f>
        <v/>
      </c>
      <c r="CA128" s="3">
        <f>BZ128&amp;"|"&amp;INT(N128/SEG_KM)*SEG_KM</f>
        <v/>
      </c>
      <c r="CB128" s="4">
        <f>COUNTIF($BY$2:$BY$209,BY128)</f>
        <v/>
      </c>
      <c r="CC128" s="4">
        <f>COUNTIF($BZ$2:$BZ$209,BZ128)</f>
        <v/>
      </c>
      <c r="CD128" s="4">
        <f>COUNTIF($CA$2:$CA$209,CA128)</f>
        <v/>
      </c>
      <c r="CE128" s="3">
        <f t="array" ref="CE128">IF(N(BQ128)&gt;=MIN_N,BP128,IF(CD128&gt;=MIN_N,MEDIAN(IF($CA$2:$CA$209=CA128,$O$2:$O$209)),IF(CC128&gt;=MIN_N,MEDIAN(IF($BZ$2:$BZ$209=BZ128,$O$2:$O$209)),MEDIAN(IF($BY$2:$BY$209=BY128,$O$2:$O$209)))))</f>
        <v/>
      </c>
      <c r="CF128" s="3">
        <f>IF(N(BQ128)&gt;=MIN_N,"mercado "&amp;BR128,IF(CD128&gt;=MIN_N,"modelo+año+km",IF(CC128&gt;=MIN_N,"modelo+año","modelo")))</f>
        <v/>
      </c>
      <c r="CG128" s="4">
        <f>(CE128-O128)/CE128</f>
        <v/>
      </c>
      <c r="CH128" s="3">
        <f>IF(COUNTIFS(FR_FUEL,K128,FR_YEAR,AP128)&gt;0,1,0)</f>
        <v/>
      </c>
      <c r="CI128" s="3">
        <f>IF(COUNTIFS(FR_FUEL,K128,FR_YEAR,AP128-1)&gt;0,1,0)</f>
        <v/>
      </c>
      <c r="CJ128" s="4">
        <f>IF(N(AQ128)&gt;0,AP128*100+AQ128,IF(AND(CH128=1,CI128=1),(AP128-1)*100+1,AP128*100+1))</f>
        <v/>
      </c>
      <c r="CK128" s="3">
        <f>IF(OR(K128="hibrido",K128="glp",K128="gnc",K128="phev"),"ECO",IF(K128="electrico","CERO",IF(K128="gasolina",IF(CJ128&gt;=GAS_C_YM,"C",IF(CJ128&gt;=GAS_B_YM,"B","A")),IF(K128="diesel",IF(CJ128&gt;=DIE_C_YM,"C",IF(CJ128&gt;=DIE_B_YM,"B","A")),""))))</f>
        <v/>
      </c>
      <c r="CL128" s="2" t="inlineStr">
        <is>
          <t>B</t>
        </is>
      </c>
      <c r="CM128" s="4">
        <f>IF(AU128="sí","sí",IF(AS128="regla",IF(AND(N(AQ128)=0,CH128=1),"sí","no"),"no"))</f>
        <v/>
      </c>
      <c r="CN128" s="3">
        <f>IFERROR(VLOOKUP(F128,MOD_TBL,16,0),IFERROR(VLOOKUP(E128,OCU_TBL,2,0),NEUTRO))</f>
        <v/>
      </c>
      <c r="CO128" s="3">
        <f>SUMIFS(MOT_AJUSTE,MOT_MOTOR,G128,MOT_MARCA,E128,MOT_DESDE,"&lt;="&amp;M128,MOT_HASTA,"&gt;="&amp;M128)+SUMIFS(MOT_AJUSTE,MOT_MOTOR,G128,MOT_MARCA,"(todas)",MOT_DESDE,"&lt;="&amp;M128,MOT_HASTA,"&gt;="&amp;M128)+SUMIFS(MOT_AJUSTE,MOT_MOTOR,"(cualquiera)",MOT_MARCA,E128,MOT_DESDE,"&lt;="&amp;M128,MOT_HASTA,"&gt;="&amp;M128)</f>
        <v/>
      </c>
      <c r="CP128" s="3">
        <f>SUMIFS(COMB_AJUSTE,COMB_COMB,K128)</f>
        <v/>
      </c>
      <c r="CQ128" s="3">
        <f>COUNTIFS(MOT_MOTOR,G128,MOT_MARCA,E128,MOT_DESDE,"&lt;="&amp;M128,MOT_HASTA,"&gt;="&amp;M128)+COUNTIFS(MOT_MOTOR,G128,MOT_MARCA,"(todas)",MOT_DESDE,"&lt;="&amp;M128,MOT_HASTA,"&gt;="&amp;M128)+COUNTIFS(MOT_MOTOR,"(cualquiera)",MOT_MARCA,E128,MOT_DESDE,"&lt;="&amp;M128,MOT_HASTA,"&gt;="&amp;M128)</f>
        <v/>
      </c>
      <c r="CR128" s="3">
        <f>IF(AND(K128="diesel",CQ128=0),MIN(CN128,NEUTRO),CN128)</f>
        <v/>
      </c>
      <c r="CS128" s="3">
        <f>MAX(0,MIN(100,CR128+CO128+CP128-IF(AX128="sí",ROB_PEN,0)))</f>
        <v/>
      </c>
      <c r="CT128" s="3">
        <f>100-MAX(0,N128-KM_TOPE_DESDE)/1000*KM_TOPE_PTS</f>
        <v/>
      </c>
      <c r="CU128" s="3">
        <f>MAX(0,MIN(100,50+CG128*PRECIO_PEND,CT128))</f>
        <v/>
      </c>
      <c r="CV128" s="3">
        <f>MAX(0,100*(1-N128/KM_MAX))</f>
        <v/>
      </c>
      <c r="CW128" s="3">
        <f>IF(BX128&lt;KMA_SOSP,IF(AA128="sí",100,KMA_PEN),IF(BX128&lt;=KMA_IDEAL_MAX,100,MAX(0,100*(KMA_CERO-BX128)/(KMA_CERO-KMA_IDEAL_MAX))))</f>
        <v/>
      </c>
      <c r="CX128" s="3">
        <f>MAX(0,MIN(100,100*(M128-ANIO_MIN)/(ANIO_ACTUAL-ANIO_MIN)))</f>
        <v/>
      </c>
      <c r="CY128" s="3">
        <f>W_KMT*CV128+W_KMA*CW128+W_EDAD*CX128</f>
        <v/>
      </c>
      <c r="CZ128" s="4">
        <f>E128&amp;"|"&amp;G128</f>
        <v/>
      </c>
      <c r="DA128" s="3">
        <f>IFERROR(VLOOKUP(CZ128,DIST_TBL,2,0),"")</f>
        <v/>
      </c>
      <c r="DB128" s="3">
        <f>E_ITV*(V128="sí")+E_LIBRO*(W128="sí")+E_PROP*IF(Y128=1,1,IF(Y128=2,0.5,0))+E_CORREA*IF(OR(DA128="cadena",AND(X128="sí",BH128="sí")),1,IF(X128="sí",0.5,0))+E_FACT*(BI128="sí")</f>
        <v/>
      </c>
      <c r="DC128" s="3">
        <f>MAX(0,MIN(100,IFERROR(VLOOKUP(CL128,ETQ_TBL,2,0),0)-IF(CM128="sí",ETQ_PEN_DUD,IF(AS128="regla",ETQ_PEN_REGLA,0))))</f>
        <v/>
      </c>
      <c r="DD128" s="3">
        <f>IF(K128&lt;&gt;"gasolina","",IFERROR(VLOOKUP(F128,CONS_MOD_TBL,2,0),IFERROR(VLOOKUP(L128,CONS_SEG_TBL,2,0),"")))</f>
        <v/>
      </c>
      <c r="DE128" s="3">
        <f>IF(DD128="",NEUTRO,MAX(0,MIN(100,100*(CONS_REF_MAX-DD128)/(CONS_REF_MAX-CONS_REF_MIN))))</f>
        <v/>
      </c>
      <c r="DF128" s="3">
        <f>IFERROR(VLOOKUP(L128,SEGURO_TBL,3,0),"")</f>
        <v/>
      </c>
      <c r="DG128" s="3">
        <f>IF(DF128="",NEUTRO,MAX(0,MIN(100,100*(SEG_REF_MAX-DF128)/(SEG_REF_MAX-SEG_REF_MIN))))</f>
        <v/>
      </c>
      <c r="DH128" s="3">
        <f>IFERROR(VLOOKUP(E128,MANT_MARCA_TBL,2,0)+0,NEUTRO)</f>
        <v/>
      </c>
      <c r="DI128" s="3">
        <f>IF(DA128="",NEUTRO,IFERROR(VLOOKUP(DA128,DIST_PTS_TBL,2,0)+0,NEUTRO))</f>
        <v/>
      </c>
      <c r="DJ128" s="4">
        <f>(DH128+DI128)/2</f>
        <v/>
      </c>
      <c r="DK128" s="3">
        <f>W_CONS*DE128+W_SEG*DG128+W_MANT*DJ128</f>
        <v/>
      </c>
      <c r="DL128" s="3">
        <f>IF(N(AB128)&gt;0,AB128,IF(AND(R128="profesional",SG_LEGAL_ON=1),GAR_LEGAL,0))</f>
        <v/>
      </c>
      <c r="DM128" s="3">
        <f>MAX(0,MIN(100,SG_GAR*MIN(1,DL128/SG_GAR_FULL)+SG_AMPL*(AC128="sí")+SG_KMC*(AF128="sí")+SG_REV*(N(AE128)&gt;0)+SG_DEV*MIN(1,N(AG128)/SG_DEV_FULL)+SG_HIST*(W128="sí")-IF(AND(R128="particular",DL128=0),SG_PART_PEN,0)))</f>
        <v/>
      </c>
      <c r="DN128" s="3">
        <f>IF(BK128="",NEUTRO,MAX(0,MIN(100,BK128/5*100)))</f>
        <v/>
      </c>
      <c r="DO128" s="3">
        <f>IF(BL128="sí",100,IF(BL128="no",0,NEUTRO))</f>
        <v/>
      </c>
      <c r="DP128" s="3">
        <f>SV_W_NCAP*DN128+SV_W_ESP*DO128</f>
        <v/>
      </c>
      <c r="DQ128" s="3">
        <f>MAX(0,MIN(100,ATR_BASE+ATR_ACAB*(BD128&lt;&gt;"")+IF(BE128="16+",ATR_LL16,IF(BE128="sí",ATR_LL,0))+ATR_FAROS*(BF128="sí")+ATR_TINT*(BG128="sí")-ATR_CHAPA*(BE128="chapa")))</f>
        <v/>
      </c>
      <c r="DR128" s="3">
        <f>EST_W_MOD*(BB128-1)/4*100+EST_W_ATR*DQ128</f>
        <v/>
      </c>
      <c r="DS128" s="3">
        <f>IF(BA128="",NEUTRO,IFERROR(VLOOKUP(BA128,COLOR_TBL,2,0)+0,NEUTRO))</f>
        <v/>
      </c>
      <c r="DT128" s="3">
        <f>MAX(0,MIN(100,100*N(BM128)/RV_N_FULL))</f>
        <v/>
      </c>
      <c r="DU128" s="3">
        <f>IF(OR(BN128="",N(BO128)&lt;RV_DIAS_MIN),NEUTRO,MAX(0,MIN(100,100*(RV_DIAS_CERO-BN128)/(RV_DIAS_CERO-RV_DIAS_FULL))))</f>
        <v/>
      </c>
      <c r="DV128" s="3">
        <f>RV_W_LIQ*DT128+RV_W_DIAS*DU128+RV_W_ETQ*DC128</f>
        <v/>
      </c>
      <c r="DW128" s="3">
        <f>IFERROR(VLOOKUP(L128,CARR_PEN_TBL,2,0),0)</f>
        <v/>
      </c>
      <c r="DX128" s="3">
        <f>W_FIAB*CS128+W_PRECIO*CU128+W_KMEDAD*CY128+W_ESTADO*DB128+W_USO*DK128+W_SEGURIDAD*DM128+W_SEGVIAL*DP128+W_ESTETICA*DR128+W_COLOR*DS128+W_REVENTA*DV128-DW128-EG128</f>
        <v/>
      </c>
      <c r="DY128" s="4">
        <f>IF(N(I128)&gt;0,I128,IFERROR(ROUND(_xlfn.NUMBERVALUE(LEFT(G128,FIND(" ",G128&amp;" ")-1),".")*1000,0),99999))</f>
        <v/>
      </c>
      <c r="DZ128" s="3">
        <f>IF(R128="profesional",0,IF(O128&lt;CUOTA_VALOR_MAX,IF(BW128&gt;ITP_TRAMO_ALTO,SUMIFS(CF_CUOTA,CF_MAS,ITP_TRAMO_ALTO,CF_CCMIN,"&lt;="&amp;DY128,CF_CCMAX,"&gt;="&amp;DY128),IF(BW128&gt;ITP_TRAMO_BAJO,SUMIFS(CF_CUOTA,CF_MAS,ITP_TRAMO_BAJO,CF_CCMIN,"&lt;="&amp;DY128,CF_CCMAX,"&gt;="&amp;DY128),O128*ITP_TIPO)),O128*ITP_TIPO))</f>
        <v/>
      </c>
      <c r="EA128" s="4">
        <f>IF(R128="profesional",N(AK128),0)</f>
        <v/>
      </c>
      <c r="EB128" s="3">
        <f>IF(AND(R128="profesional",ISNUMBER(AK128),AL128="sí"),0,TASA_DGT)</f>
        <v/>
      </c>
      <c r="EC128" s="3">
        <f>INFORME_DGT</f>
        <v/>
      </c>
      <c r="ED128" s="4">
        <f>O128+EA128+DZ128+EB128+EC128</f>
        <v/>
      </c>
      <c r="EE128" s="4">
        <f>ED128+N(DF128)</f>
        <v/>
      </c>
      <c r="EF128" s="3">
        <f>MAX(0,ED128-TOTAL_MAX)</f>
        <v/>
      </c>
      <c r="EG128" s="3">
        <f>EF128/100*PEN_100</f>
        <v/>
      </c>
      <c r="EH128" s="3">
        <f>IF(R128="particular",ED128+IF(AND(DA128&lt;&gt;"cadena",X128&lt;&gt;"sí"),RES_CORREA,0)+IF(AND(BJ128&lt;&gt;"sí",BW128&gt;=RES_NEUM_EDAD),RES_NEUM,0),"")</f>
        <v/>
      </c>
      <c r="EI128" s="3">
        <f>IF(ED128&lt;=TOTAL_MAX,"sí",IF(ED128&lt;=TECHO,"negociar","no"))</f>
        <v/>
      </c>
      <c r="EJ128" s="4">
        <f>ROUND(DX128,9)</f>
        <v/>
      </c>
      <c r="EK128" s="4">
        <f>IF(EI128&lt;&gt;"no",SUMPRODUCT(($EI$2:$EI$209&lt;&gt;"no")*($EJ$2:$EJ$209&gt;EJ128))+SUMPRODUCT(($EI$2:EI128&lt;&gt;"no")*($EJ$2:EJ128=EJ128)),"")</f>
        <v/>
      </c>
    </row>
    <row r="129">
      <c r="A129" s="2" t="inlineStr">
        <is>
          <t>cochesnet:71783945</t>
        </is>
      </c>
      <c r="B129" s="2" t="inlineStr">
        <is>
          <t>cochesnet</t>
        </is>
      </c>
      <c r="C129" s="2" t="inlineStr">
        <is>
          <t>https://www.coches.net/volkswagen-golf-16-trendline-3p-gasolina-2005-en-valencia-71783945-covo.aspx</t>
        </is>
      </c>
      <c r="D129" s="2" t="inlineStr">
        <is>
          <t>VOLKSWAGEN Golf 1.6 Trendline</t>
        </is>
      </c>
      <c r="E129" s="2" t="inlineStr">
        <is>
          <t>Volkswagen</t>
        </is>
      </c>
      <c r="F129" s="2" t="inlineStr">
        <is>
          <t>Volkswagen Golf</t>
        </is>
      </c>
      <c r="G129" s="2" t="inlineStr">
        <is>
          <t>1.6</t>
        </is>
      </c>
      <c r="H129" s="2" t="inlineStr">
        <is>
          <t>1.6 Trendline</t>
        </is>
      </c>
      <c r="I129" s="2" t="n"/>
      <c r="J129" s="2" t="n"/>
      <c r="K129" s="2" t="inlineStr">
        <is>
          <t>gasolina</t>
        </is>
      </c>
      <c r="L129" s="2" t="inlineStr">
        <is>
          <t>compacto</t>
        </is>
      </c>
      <c r="M129" s="2" t="n">
        <v>2005</v>
      </c>
      <c r="N129" s="2" t="n">
        <v>216000</v>
      </c>
      <c r="O129" s="2" t="n">
        <v>3990</v>
      </c>
      <c r="P129" s="2" t="inlineStr">
        <is>
          <t>manual</t>
        </is>
      </c>
      <c r="Q129" s="2" t="inlineStr">
        <is>
          <t>no</t>
        </is>
      </c>
      <c r="R129" s="2" t="inlineStr">
        <is>
          <t>profesional</t>
        </is>
      </c>
      <c r="S129" s="2" t="inlineStr">
        <is>
          <t>Bonrepòs i Mirambell</t>
        </is>
      </c>
      <c r="T129" s="2" t="inlineStr">
        <is>
          <t>2026-10-19T18:35:03Z</t>
        </is>
      </c>
      <c r="U129" s="2" t="n">
        <v>15</v>
      </c>
      <c r="V129" s="2" t="inlineStr">
        <is>
          <t>sí</t>
        </is>
      </c>
      <c r="W129" s="2" t="n"/>
      <c r="X129" s="2" t="n"/>
      <c r="Y129" s="2" t="n"/>
      <c r="Z129" s="2" t="inlineStr">
        <is>
          <t>sí</t>
        </is>
      </c>
      <c r="AA129" s="2" t="n"/>
      <c r="AB129" s="2" t="n">
        <v>12</v>
      </c>
      <c r="AC129" s="2" t="n"/>
      <c r="AD129" s="2" t="n"/>
      <c r="AE129" s="2" t="n"/>
      <c r="AF129" s="2" t="inlineStr">
        <is>
          <t>sí</t>
        </is>
      </c>
      <c r="AG129" s="2" t="n"/>
      <c r="AH129" s="2" t="n">
        <v>3990</v>
      </c>
      <c r="AI129" s="2" t="n"/>
      <c r="AJ129" s="2" t="n"/>
      <c r="AK129" s="2" t="n"/>
      <c r="AL129" s="2" t="n"/>
      <c r="AM129" s="2" t="n">
        <v>5.3</v>
      </c>
      <c r="AN129" s="2" t="n"/>
      <c r="AO129" s="2" t="inlineStr">
        <is>
          <t>2005</t>
        </is>
      </c>
      <c r="AP129" s="2" t="n">
        <v>2005</v>
      </c>
      <c r="AQ129" s="2" t="n"/>
      <c r="AR129" s="2" t="inlineStr">
        <is>
          <t>B</t>
        </is>
      </c>
      <c r="AS129" s="2" t="inlineStr">
        <is>
          <t>anuncio</t>
        </is>
      </c>
      <c r="AT129" s="2" t="n"/>
      <c r="AU129" s="2" t="inlineStr">
        <is>
          <t>no</t>
        </is>
      </c>
      <c r="AV129" s="2" t="inlineStr">
        <is>
          <t>B</t>
        </is>
      </c>
      <c r="AW129" s="2" t="n"/>
      <c r="AX129" s="2" t="inlineStr">
        <is>
          <t>no</t>
        </is>
      </c>
      <c r="AY129" s="2" t="inlineStr">
        <is>
          <t>sí</t>
        </is>
      </c>
      <c r="AZ129" s="2" t="inlineStr">
        <is>
          <t>COMMON.COLOR_GRAY</t>
        </is>
      </c>
      <c r="BA129" s="2" t="inlineStr">
        <is>
          <t>gris_medio</t>
        </is>
      </c>
      <c r="BB129" s="3" t="n">
        <v>4</v>
      </c>
      <c r="BC129" s="3" t="inlineStr">
        <is>
          <t>Volkswagen Golf V 1.6 2003-2008</t>
        </is>
      </c>
      <c r="BD129" s="2" t="n"/>
      <c r="BE129" s="2" t="n"/>
      <c r="BF129" s="2" t="n"/>
      <c r="BG129" s="2" t="n"/>
      <c r="BH129" s="2" t="n"/>
      <c r="BI129" s="2" t="n"/>
      <c r="BJ129" s="2" t="n"/>
      <c r="BK129" s="2" t="n">
        <v>5</v>
      </c>
      <c r="BL129" s="2" t="inlineStr">
        <is>
          <t>sí</t>
        </is>
      </c>
      <c r="BM129" s="2" t="n">
        <v>511</v>
      </c>
      <c r="BN129" s="2" t="n">
        <v>0.07434027781710029</v>
      </c>
      <c r="BO129" s="2" t="n">
        <v>13</v>
      </c>
      <c r="BP129" s="2" t="n">
        <v>4700</v>
      </c>
      <c r="BQ129" s="2" t="n">
        <v>6</v>
      </c>
      <c r="BR129" s="2" t="inlineStr">
        <is>
          <t>modelo+año+km</t>
        </is>
      </c>
      <c r="BS129" s="2" t="n"/>
      <c r="BT129" s="2" t="inlineStr">
        <is>
          <t>vendedor profesional: sin ITP (operación con IVA/REBU, confirmar en factura); gastos de gestión del vendedor no indicados: se suma la tasa DGT; preguntar el precio final; revisar: detalles «detalles»</t>
        </is>
      </c>
      <c r="BU129" s="2" t="inlineStr">
        <is>
          <t>ELEGANZA AUTOMOVILES 
Destacado:
	•	Vehículo nacional
	•	Kilómetros certificados
	•	ITV en vigor
	•	5 plazas
Equipamiento:
	•	Climatización bizona
	•	Volante deportivo 
	•	Sistema de audio profesional
	•	Tapicería en muy buen estado
	•	Anclajes ISOFIX
	•	Posavasos
	•	Sistema antirrobo
	•	Radio
	•	Ordenador de a bordo
Otros detalles:
	•	Posibilidad de recoger vehículo como parte de pago
	•	Más información disponible bajo consulta, sin compromiso</t>
        </is>
      </c>
      <c r="BV129" s="2" t="inlineStr">
        <is>
          <t>https://www.coches.net/volkswagen-golf-16-trendline-3p-gasolina-2005-en-valencia-71783945-covo.aspx (window.__INITIAL_PROPS__.ad) /home/user/Alopecia/buscador-coches/raw/cochesnet/4c10d60408ccf070.json</t>
        </is>
      </c>
      <c r="BW129" s="3">
        <f>MAX(ANIO_ACTUAL-M129,0)</f>
        <v/>
      </c>
      <c r="BX129" s="4">
        <f>N129/MAX(BW129,0.5)</f>
        <v/>
      </c>
      <c r="BY129" s="4">
        <f>F129</f>
        <v/>
      </c>
      <c r="BZ129" s="3">
        <f>BY129&amp;"|"&amp;INT(M129/SEG_ANIO)*SEG_ANIO</f>
        <v/>
      </c>
      <c r="CA129" s="3">
        <f>BZ129&amp;"|"&amp;INT(N129/SEG_KM)*SEG_KM</f>
        <v/>
      </c>
      <c r="CB129" s="4">
        <f>COUNTIF($BY$2:$BY$209,BY129)</f>
        <v/>
      </c>
      <c r="CC129" s="4">
        <f>COUNTIF($BZ$2:$BZ$209,BZ129)</f>
        <v/>
      </c>
      <c r="CD129" s="4">
        <f>COUNTIF($CA$2:$CA$209,CA129)</f>
        <v/>
      </c>
      <c r="CE129" s="3">
        <f t="array" ref="CE129">IF(N(BQ129)&gt;=MIN_N,BP129,IF(CD129&gt;=MIN_N,MEDIAN(IF($CA$2:$CA$209=CA129,$O$2:$O$209)),IF(CC129&gt;=MIN_N,MEDIAN(IF($BZ$2:$BZ$209=BZ129,$O$2:$O$209)),MEDIAN(IF($BY$2:$BY$209=BY129,$O$2:$O$209)))))</f>
        <v/>
      </c>
      <c r="CF129" s="3">
        <f>IF(N(BQ129)&gt;=MIN_N,"mercado "&amp;BR129,IF(CD129&gt;=MIN_N,"modelo+año+km",IF(CC129&gt;=MIN_N,"modelo+año","modelo")))</f>
        <v/>
      </c>
      <c r="CG129" s="4">
        <f>(CE129-O129)/CE129</f>
        <v/>
      </c>
      <c r="CH129" s="3">
        <f>IF(COUNTIFS(FR_FUEL,K129,FR_YEAR,AP129)&gt;0,1,0)</f>
        <v/>
      </c>
      <c r="CI129" s="3">
        <f>IF(COUNTIFS(FR_FUEL,K129,FR_YEAR,AP129-1)&gt;0,1,0)</f>
        <v/>
      </c>
      <c r="CJ129" s="4">
        <f>IF(N(AQ129)&gt;0,AP129*100+AQ129,IF(AND(CH129=1,CI129=1),(AP129-1)*100+1,AP129*100+1))</f>
        <v/>
      </c>
      <c r="CK129" s="3">
        <f>IF(OR(K129="hibrido",K129="glp",K129="gnc",K129="phev"),"ECO",IF(K129="electrico","CERO",IF(K129="gasolina",IF(CJ129&gt;=GAS_C_YM,"C",IF(CJ129&gt;=GAS_B_YM,"B","A")),IF(K129="diesel",IF(CJ129&gt;=DIE_C_YM,"C",IF(CJ129&gt;=DIE_B_YM,"B","A")),""))))</f>
        <v/>
      </c>
      <c r="CL129" s="2" t="inlineStr">
        <is>
          <t>B</t>
        </is>
      </c>
      <c r="CM129" s="4">
        <f>IF(AU129="sí","sí",IF(AS129="regla",IF(AND(N(AQ129)=0,CH129=1),"sí","no"),"no"))</f>
        <v/>
      </c>
      <c r="CN129" s="3">
        <f>IFERROR(VLOOKUP(F129,MOD_TBL,16,0),IFERROR(VLOOKUP(E129,OCU_TBL,2,0),NEUTRO))</f>
        <v/>
      </c>
      <c r="CO129" s="3">
        <f>SUMIFS(MOT_AJUSTE,MOT_MOTOR,G129,MOT_MARCA,E129,MOT_DESDE,"&lt;="&amp;M129,MOT_HASTA,"&gt;="&amp;M129)+SUMIFS(MOT_AJUSTE,MOT_MOTOR,G129,MOT_MARCA,"(todas)",MOT_DESDE,"&lt;="&amp;M129,MOT_HASTA,"&gt;="&amp;M129)+SUMIFS(MOT_AJUSTE,MOT_MOTOR,"(cualquiera)",MOT_MARCA,E129,MOT_DESDE,"&lt;="&amp;M129,MOT_HASTA,"&gt;="&amp;M129)</f>
        <v/>
      </c>
      <c r="CP129" s="3">
        <f>SUMIFS(COMB_AJUSTE,COMB_COMB,K129)</f>
        <v/>
      </c>
      <c r="CQ129" s="3">
        <f>COUNTIFS(MOT_MOTOR,G129,MOT_MARCA,E129,MOT_DESDE,"&lt;="&amp;M129,MOT_HASTA,"&gt;="&amp;M129)+COUNTIFS(MOT_MOTOR,G129,MOT_MARCA,"(todas)",MOT_DESDE,"&lt;="&amp;M129,MOT_HASTA,"&gt;="&amp;M129)+COUNTIFS(MOT_MOTOR,"(cualquiera)",MOT_MARCA,E129,MOT_DESDE,"&lt;="&amp;M129,MOT_HASTA,"&gt;="&amp;M129)</f>
        <v/>
      </c>
      <c r="CR129" s="3">
        <f>IF(AND(K129="diesel",CQ129=0),MIN(CN129,NEUTRO),CN129)</f>
        <v/>
      </c>
      <c r="CS129" s="3">
        <f>MAX(0,MIN(100,CR129+CO129+CP129-IF(AX129="sí",ROB_PEN,0)))</f>
        <v/>
      </c>
      <c r="CT129" s="3">
        <f>100-MAX(0,N129-KM_TOPE_DESDE)/1000*KM_TOPE_PTS</f>
        <v/>
      </c>
      <c r="CU129" s="3">
        <f>MAX(0,MIN(100,50+CG129*PRECIO_PEND,CT129))</f>
        <v/>
      </c>
      <c r="CV129" s="3">
        <f>MAX(0,100*(1-N129/KM_MAX))</f>
        <v/>
      </c>
      <c r="CW129" s="3">
        <f>IF(BX129&lt;KMA_SOSP,IF(AA129="sí",100,KMA_PEN),IF(BX129&lt;=KMA_IDEAL_MAX,100,MAX(0,100*(KMA_CERO-BX129)/(KMA_CERO-KMA_IDEAL_MAX))))</f>
        <v/>
      </c>
      <c r="CX129" s="3">
        <f>MAX(0,MIN(100,100*(M129-ANIO_MIN)/(ANIO_ACTUAL-ANIO_MIN)))</f>
        <v/>
      </c>
      <c r="CY129" s="3">
        <f>W_KMT*CV129+W_KMA*CW129+W_EDAD*CX129</f>
        <v/>
      </c>
      <c r="CZ129" s="4">
        <f>E129&amp;"|"&amp;G129</f>
        <v/>
      </c>
      <c r="DA129" s="3">
        <f>IFERROR(VLOOKUP(CZ129,DIST_TBL,2,0),"")</f>
        <v/>
      </c>
      <c r="DB129" s="3">
        <f>E_ITV*(V129="sí")+E_LIBRO*(W129="sí")+E_PROP*IF(Y129=1,1,IF(Y129=2,0.5,0))+E_CORREA*IF(OR(DA129="cadena",AND(X129="sí",BH129="sí")),1,IF(X129="sí",0.5,0))+E_FACT*(BI129="sí")</f>
        <v/>
      </c>
      <c r="DC129" s="3">
        <f>MAX(0,MIN(100,IFERROR(VLOOKUP(CL129,ETQ_TBL,2,0),0)-IF(CM129="sí",ETQ_PEN_DUD,IF(AS129="regla",ETQ_PEN_REGLA,0))))</f>
        <v/>
      </c>
      <c r="DD129" s="3">
        <f>IF(K129&lt;&gt;"gasolina","",IFERROR(VLOOKUP(F129,CONS_MOD_TBL,2,0),IFERROR(VLOOKUP(L129,CONS_SEG_TBL,2,0),"")))</f>
        <v/>
      </c>
      <c r="DE129" s="3">
        <f>IF(DD129="",NEUTRO,MAX(0,MIN(100,100*(CONS_REF_MAX-DD129)/(CONS_REF_MAX-CONS_REF_MIN))))</f>
        <v/>
      </c>
      <c r="DF129" s="3">
        <f>IFERROR(VLOOKUP(L129,SEGURO_TBL,3,0),"")</f>
        <v/>
      </c>
      <c r="DG129" s="3">
        <f>IF(DF129="",NEUTRO,MAX(0,MIN(100,100*(SEG_REF_MAX-DF129)/(SEG_REF_MAX-SEG_REF_MIN))))</f>
        <v/>
      </c>
      <c r="DH129" s="3">
        <f>IFERROR(VLOOKUP(E129,MANT_MARCA_TBL,2,0)+0,NEUTRO)</f>
        <v/>
      </c>
      <c r="DI129" s="3">
        <f>IF(DA129="",NEUTRO,IFERROR(VLOOKUP(DA129,DIST_PTS_TBL,2,0)+0,NEUTRO))</f>
        <v/>
      </c>
      <c r="DJ129" s="4">
        <f>(DH129+DI129)/2</f>
        <v/>
      </c>
      <c r="DK129" s="3">
        <f>W_CONS*DE129+W_SEG*DG129+W_MANT*DJ129</f>
        <v/>
      </c>
      <c r="DL129" s="3">
        <f>IF(N(AB129)&gt;0,AB129,IF(AND(R129="profesional",SG_LEGAL_ON=1),GAR_LEGAL,0))</f>
        <v/>
      </c>
      <c r="DM129" s="3">
        <f>MAX(0,MIN(100,SG_GAR*MIN(1,DL129/SG_GAR_FULL)+SG_AMPL*(AC129="sí")+SG_KMC*(AF129="sí")+SG_REV*(N(AE129)&gt;0)+SG_DEV*MIN(1,N(AG129)/SG_DEV_FULL)+SG_HIST*(W129="sí")-IF(AND(R129="particular",DL129=0),SG_PART_PEN,0)))</f>
        <v/>
      </c>
      <c r="DN129" s="3">
        <f>IF(BK129="",NEUTRO,MAX(0,MIN(100,BK129/5*100)))</f>
        <v/>
      </c>
      <c r="DO129" s="3">
        <f>IF(BL129="sí",100,IF(BL129="no",0,NEUTRO))</f>
        <v/>
      </c>
      <c r="DP129" s="3">
        <f>SV_W_NCAP*DN129+SV_W_ESP*DO129</f>
        <v/>
      </c>
      <c r="DQ129" s="3">
        <f>MAX(0,MIN(100,ATR_BASE+ATR_ACAB*(BD129&lt;&gt;"")+IF(BE129="16+",ATR_LL16,IF(BE129="sí",ATR_LL,0))+ATR_FAROS*(BF129="sí")+ATR_TINT*(BG129="sí")-ATR_CHAPA*(BE129="chapa")))</f>
        <v/>
      </c>
      <c r="DR129" s="3">
        <f>EST_W_MOD*(BB129-1)/4*100+EST_W_ATR*DQ129</f>
        <v/>
      </c>
      <c r="DS129" s="3">
        <f>IF(BA129="",NEUTRO,IFERROR(VLOOKUP(BA129,COLOR_TBL,2,0)+0,NEUTRO))</f>
        <v/>
      </c>
      <c r="DT129" s="3">
        <f>MAX(0,MIN(100,100*N(BM129)/RV_N_FULL))</f>
        <v/>
      </c>
      <c r="DU129" s="3">
        <f>IF(OR(BN129="",N(BO129)&lt;RV_DIAS_MIN),NEUTRO,MAX(0,MIN(100,100*(RV_DIAS_CERO-BN129)/(RV_DIAS_CERO-RV_DIAS_FULL))))</f>
        <v/>
      </c>
      <c r="DV129" s="3">
        <f>RV_W_LIQ*DT129+RV_W_DIAS*DU129+RV_W_ETQ*DC129</f>
        <v/>
      </c>
      <c r="DW129" s="3">
        <f>IFERROR(VLOOKUP(L129,CARR_PEN_TBL,2,0),0)</f>
        <v/>
      </c>
      <c r="DX129" s="3">
        <f>W_FIAB*CS129+W_PRECIO*CU129+W_KMEDAD*CY129+W_ESTADO*DB129+W_USO*DK129+W_SEGURIDAD*DM129+W_SEGVIAL*DP129+W_ESTETICA*DR129+W_COLOR*DS129+W_REVENTA*DV129-DW129-EG129</f>
        <v/>
      </c>
      <c r="DY129" s="4">
        <f>IF(N(I129)&gt;0,I129,IFERROR(ROUND(_xlfn.NUMBERVALUE(LEFT(G129,FIND(" ",G129&amp;" ")-1),".")*1000,0),99999))</f>
        <v/>
      </c>
      <c r="DZ129" s="3">
        <f>IF(R129="profesional",0,IF(O129&lt;CUOTA_VALOR_MAX,IF(BW129&gt;ITP_TRAMO_ALTO,SUMIFS(CF_CUOTA,CF_MAS,ITP_TRAMO_ALTO,CF_CCMIN,"&lt;="&amp;DY129,CF_CCMAX,"&gt;="&amp;DY129),IF(BW129&gt;ITP_TRAMO_BAJO,SUMIFS(CF_CUOTA,CF_MAS,ITP_TRAMO_BAJO,CF_CCMIN,"&lt;="&amp;DY129,CF_CCMAX,"&gt;="&amp;DY129),O129*ITP_TIPO)),O129*ITP_TIPO))</f>
        <v/>
      </c>
      <c r="EA129" s="4">
        <f>IF(R129="profesional",N(AK129),0)</f>
        <v/>
      </c>
      <c r="EB129" s="3">
        <f>IF(AND(R129="profesional",ISNUMBER(AK129),AL129="sí"),0,TASA_DGT)</f>
        <v/>
      </c>
      <c r="EC129" s="3">
        <f>INFORME_DGT</f>
        <v/>
      </c>
      <c r="ED129" s="4">
        <f>O129+EA129+DZ129+EB129+EC129</f>
        <v/>
      </c>
      <c r="EE129" s="4">
        <f>ED129+N(DF129)</f>
        <v/>
      </c>
      <c r="EF129" s="3">
        <f>MAX(0,ED129-TOTAL_MAX)</f>
        <v/>
      </c>
      <c r="EG129" s="3">
        <f>EF129/100*PEN_100</f>
        <v/>
      </c>
      <c r="EH129" s="3">
        <f>IF(R129="particular",ED129+IF(AND(DA129&lt;&gt;"cadena",X129&lt;&gt;"sí"),RES_CORREA,0)+IF(AND(BJ129&lt;&gt;"sí",BW129&gt;=RES_NEUM_EDAD),RES_NEUM,0),"")</f>
        <v/>
      </c>
      <c r="EI129" s="3">
        <f>IF(ED129&lt;=TOTAL_MAX,"sí",IF(ED129&lt;=TECHO,"negociar","no"))</f>
        <v/>
      </c>
      <c r="EJ129" s="4">
        <f>ROUND(DX129,9)</f>
        <v/>
      </c>
      <c r="EK129" s="4">
        <f>IF(EI129&lt;&gt;"no",SUMPRODUCT(($EI$2:$EI$209&lt;&gt;"no")*($EJ$2:$EJ$209&gt;EJ129))+SUMPRODUCT(($EI$2:EI129&lt;&gt;"no")*($EJ$2:EJ129=EJ129)),"")</f>
        <v/>
      </c>
    </row>
    <row r="130">
      <c r="A130" s="2" t="inlineStr">
        <is>
          <t>cochesnet:71793733</t>
        </is>
      </c>
      <c r="B130" s="2" t="inlineStr">
        <is>
          <t>cochesnet</t>
        </is>
      </c>
      <c r="C130" s="2" t="inlineStr">
        <is>
          <t>https://www.coches.net/renault-megane-confort-dynamique-14-16v-3p-gasolina-2004-en-valencia-71793733-covo.aspx</t>
        </is>
      </c>
      <c r="D130" s="2" t="inlineStr">
        <is>
          <t>RENAULT Mégane CONFORT DYNAMIQUE 1.4 16v</t>
        </is>
      </c>
      <c r="E130" s="2" t="inlineStr">
        <is>
          <t>Renault</t>
        </is>
      </c>
      <c r="F130" s="2" t="inlineStr">
        <is>
          <t>Renault Mégane</t>
        </is>
      </c>
      <c r="G130" s="2" t="inlineStr">
        <is>
          <t>1.4</t>
        </is>
      </c>
      <c r="H130" s="2" t="inlineStr">
        <is>
          <t>CONFORT DYNAMIQUE 1.4 16v</t>
        </is>
      </c>
      <c r="I130" s="2" t="n"/>
      <c r="J130" s="2" t="n"/>
      <c r="K130" s="2" t="inlineStr">
        <is>
          <t>gasolina</t>
        </is>
      </c>
      <c r="L130" s="2" t="inlineStr">
        <is>
          <t>compacto</t>
        </is>
      </c>
      <c r="M130" s="2" t="n">
        <v>2005</v>
      </c>
      <c r="N130" s="2" t="n">
        <v>108000</v>
      </c>
      <c r="O130" s="2" t="n">
        <v>3700</v>
      </c>
      <c r="P130" s="2" t="inlineStr">
        <is>
          <t>manual</t>
        </is>
      </c>
      <c r="Q130" s="2" t="inlineStr">
        <is>
          <t>no</t>
        </is>
      </c>
      <c r="R130" s="2" t="inlineStr">
        <is>
          <t>profesional</t>
        </is>
      </c>
      <c r="S130" s="2" t="inlineStr">
        <is>
          <t>FERNANDO SEBASTIAN Valencia</t>
        </is>
      </c>
      <c r="T130" s="2" t="inlineStr">
        <is>
          <t>2026-10-20T19:07:52Z</t>
        </is>
      </c>
      <c r="U130" s="2" t="n">
        <v>16</v>
      </c>
      <c r="V130" s="2" t="n"/>
      <c r="W130" s="2" t="n"/>
      <c r="X130" s="2" t="n"/>
      <c r="Y130" s="2" t="n"/>
      <c r="Z130" s="2" t="inlineStr">
        <is>
          <t>sí</t>
        </is>
      </c>
      <c r="AA130" s="2" t="n"/>
      <c r="AB130" s="2" t="n">
        <v>12</v>
      </c>
      <c r="AC130" s="2" t="n"/>
      <c r="AD130" s="2" t="n"/>
      <c r="AE130" s="2" t="n"/>
      <c r="AF130" s="2" t="n"/>
      <c r="AG130" s="2" t="n"/>
      <c r="AH130" s="2" t="n">
        <v>3700</v>
      </c>
      <c r="AI130" s="2" t="n"/>
      <c r="AJ130" s="2" t="n"/>
      <c r="AK130" s="2" t="n"/>
      <c r="AL130" s="2" t="n"/>
      <c r="AM130" s="2" t="n">
        <v>0.1</v>
      </c>
      <c r="AN130" s="2" t="n"/>
      <c r="AO130" s="2" t="inlineStr">
        <is>
          <t>2005</t>
        </is>
      </c>
      <c r="AP130" s="2" t="n">
        <v>2005</v>
      </c>
      <c r="AQ130" s="2" t="n"/>
      <c r="AR130" s="2" t="inlineStr">
        <is>
          <t>B</t>
        </is>
      </c>
      <c r="AS130" s="2" t="inlineStr">
        <is>
          <t>anuncio</t>
        </is>
      </c>
      <c r="AT130" s="2" t="n">
        <v>2004</v>
      </c>
      <c r="AU130" s="2" t="inlineStr">
        <is>
          <t>no</t>
        </is>
      </c>
      <c r="AV130" s="2" t="inlineStr">
        <is>
          <t>B</t>
        </is>
      </c>
      <c r="AW130" s="2" t="n"/>
      <c r="AX130" s="2" t="inlineStr">
        <is>
          <t>no</t>
        </is>
      </c>
      <c r="AY130" s="2" t="inlineStr">
        <is>
          <t>no</t>
        </is>
      </c>
      <c r="AZ130" s="2" t="inlineStr">
        <is>
          <t>COMMON.COLOR_GRAY</t>
        </is>
      </c>
      <c r="BA130" s="2" t="inlineStr">
        <is>
          <t>gris_medio</t>
        </is>
      </c>
      <c r="BB130" s="3" t="n">
        <v>3</v>
      </c>
      <c r="BC130" s="3" t="inlineStr">
        <is>
          <t>(por segmento)</t>
        </is>
      </c>
      <c r="BD130" s="2" t="n"/>
      <c r="BE130" s="2" t="n"/>
      <c r="BF130" s="2" t="n"/>
      <c r="BG130" s="2" t="n"/>
      <c r="BH130" s="2" t="n"/>
      <c r="BI130" s="2" t="n"/>
      <c r="BJ130" s="2" t="n"/>
      <c r="BK130" s="2" t="n">
        <v>5</v>
      </c>
      <c r="BL130" s="2" t="n"/>
      <c r="BM130" s="2" t="n">
        <v>387</v>
      </c>
      <c r="BN130" s="2" t="n">
        <v>0.07434027781710029</v>
      </c>
      <c r="BO130" s="2" t="n">
        <v>7</v>
      </c>
      <c r="BP130" s="2" t="n">
        <v>3700</v>
      </c>
      <c r="BQ130" s="2" t="n">
        <v>10</v>
      </c>
      <c r="BR130" s="2" t="inlineStr">
        <is>
          <t>modelo+año+km</t>
        </is>
      </c>
      <c r="BS130" s="2" t="n"/>
      <c r="BT130" s="2" t="inlineStr">
        <is>
          <t>año a confirmar: la URL/título dice 2004; vendedor profesional: sin ITP (operación con IVA/REBU, confirmar en factura); gastos de gestión del vendedor no indicados: se suma la tasa DGT; preguntar el precio final</t>
        </is>
      </c>
      <c r="BU130" s="2" t="inlineStr">
        <is>
          <t>Megane con 108000  ITV vigente 10/27, etiqueta ambiental B, aire acondicionado,  elevalunas electrónicos, faros antinieblas, llantas de fábrica rueda de respuesta sin uso .</t>
        </is>
      </c>
      <c r="BV130" s="2" t="inlineStr">
        <is>
          <t>https://www.coches.net/renault-megane-confort-dynamique-14-16v-3p-gasolina-2004-en-valencia-71793733-covo.aspx (window.__INITIAL_PROPS__.ad) /home/user/Alopecia/buscador-coches/raw/cochesnet/f4108e9e44140832.json</t>
        </is>
      </c>
      <c r="BW130" s="3">
        <f>MAX(ANIO_ACTUAL-M130,0)</f>
        <v/>
      </c>
      <c r="BX130" s="4">
        <f>N130/MAX(BW130,0.5)</f>
        <v/>
      </c>
      <c r="BY130" s="4">
        <f>F130</f>
        <v/>
      </c>
      <c r="BZ130" s="3">
        <f>BY130&amp;"|"&amp;INT(M130/SEG_ANIO)*SEG_ANIO</f>
        <v/>
      </c>
      <c r="CA130" s="3">
        <f>BZ130&amp;"|"&amp;INT(N130/SEG_KM)*SEG_KM</f>
        <v/>
      </c>
      <c r="CB130" s="4">
        <f>COUNTIF($BY$2:$BY$209,BY130)</f>
        <v/>
      </c>
      <c r="CC130" s="4">
        <f>COUNTIF($BZ$2:$BZ$209,BZ130)</f>
        <v/>
      </c>
      <c r="CD130" s="4">
        <f>COUNTIF($CA$2:$CA$209,CA130)</f>
        <v/>
      </c>
      <c r="CE130" s="3">
        <f t="array" ref="CE130">IF(N(BQ130)&gt;=MIN_N,BP130,IF(CD130&gt;=MIN_N,MEDIAN(IF($CA$2:$CA$209=CA130,$O$2:$O$209)),IF(CC130&gt;=MIN_N,MEDIAN(IF($BZ$2:$BZ$209=BZ130,$O$2:$O$209)),MEDIAN(IF($BY$2:$BY$209=BY130,$O$2:$O$209)))))</f>
        <v/>
      </c>
      <c r="CF130" s="3">
        <f>IF(N(BQ130)&gt;=MIN_N,"mercado "&amp;BR130,IF(CD130&gt;=MIN_N,"modelo+año+km",IF(CC130&gt;=MIN_N,"modelo+año","modelo")))</f>
        <v/>
      </c>
      <c r="CG130" s="4">
        <f>(CE130-O130)/CE130</f>
        <v/>
      </c>
      <c r="CH130" s="3">
        <f>IF(COUNTIFS(FR_FUEL,K130,FR_YEAR,AP130)&gt;0,1,0)</f>
        <v/>
      </c>
      <c r="CI130" s="3">
        <f>IF(COUNTIFS(FR_FUEL,K130,FR_YEAR,AP130-1)&gt;0,1,0)</f>
        <v/>
      </c>
      <c r="CJ130" s="4">
        <f>IF(N(AQ130)&gt;0,AP130*100+AQ130,IF(AND(CH130=1,CI130=1),(AP130-1)*100+1,AP130*100+1))</f>
        <v/>
      </c>
      <c r="CK130" s="3">
        <f>IF(OR(K130="hibrido",K130="glp",K130="gnc",K130="phev"),"ECO",IF(K130="electrico","CERO",IF(K130="gasolina",IF(CJ130&gt;=GAS_C_YM,"C",IF(CJ130&gt;=GAS_B_YM,"B","A")),IF(K130="diesel",IF(CJ130&gt;=DIE_C_YM,"C",IF(CJ130&gt;=DIE_B_YM,"B","A")),""))))</f>
        <v/>
      </c>
      <c r="CL130" s="2" t="inlineStr">
        <is>
          <t>B</t>
        </is>
      </c>
      <c r="CM130" s="4">
        <f>IF(AU130="sí","sí",IF(AS130="regla",IF(AND(N(AQ130)=0,CH130=1),"sí","no"),"no"))</f>
        <v/>
      </c>
      <c r="CN130" s="3">
        <f>IFERROR(VLOOKUP(F130,MOD_TBL,16,0),IFERROR(VLOOKUP(E130,OCU_TBL,2,0),NEUTRO))</f>
        <v/>
      </c>
      <c r="CO130" s="3">
        <f>SUMIFS(MOT_AJUSTE,MOT_MOTOR,G130,MOT_MARCA,E130,MOT_DESDE,"&lt;="&amp;M130,MOT_HASTA,"&gt;="&amp;M130)+SUMIFS(MOT_AJUSTE,MOT_MOTOR,G130,MOT_MARCA,"(todas)",MOT_DESDE,"&lt;="&amp;M130,MOT_HASTA,"&gt;="&amp;M130)+SUMIFS(MOT_AJUSTE,MOT_MOTOR,"(cualquiera)",MOT_MARCA,E130,MOT_DESDE,"&lt;="&amp;M130,MOT_HASTA,"&gt;="&amp;M130)</f>
        <v/>
      </c>
      <c r="CP130" s="3">
        <f>SUMIFS(COMB_AJUSTE,COMB_COMB,K130)</f>
        <v/>
      </c>
      <c r="CQ130" s="3">
        <f>COUNTIFS(MOT_MOTOR,G130,MOT_MARCA,E130,MOT_DESDE,"&lt;="&amp;M130,MOT_HASTA,"&gt;="&amp;M130)+COUNTIFS(MOT_MOTOR,G130,MOT_MARCA,"(todas)",MOT_DESDE,"&lt;="&amp;M130,MOT_HASTA,"&gt;="&amp;M130)+COUNTIFS(MOT_MOTOR,"(cualquiera)",MOT_MARCA,E130,MOT_DESDE,"&lt;="&amp;M130,MOT_HASTA,"&gt;="&amp;M130)</f>
        <v/>
      </c>
      <c r="CR130" s="3">
        <f>IF(AND(K130="diesel",CQ130=0),MIN(CN130,NEUTRO),CN130)</f>
        <v/>
      </c>
      <c r="CS130" s="3">
        <f>MAX(0,MIN(100,CR130+CO130+CP130-IF(AX130="sí",ROB_PEN,0)))</f>
        <v/>
      </c>
      <c r="CT130" s="3">
        <f>100-MAX(0,N130-KM_TOPE_DESDE)/1000*KM_TOPE_PTS</f>
        <v/>
      </c>
      <c r="CU130" s="3">
        <f>MAX(0,MIN(100,50+CG130*PRECIO_PEND,CT130))</f>
        <v/>
      </c>
      <c r="CV130" s="3">
        <f>MAX(0,100*(1-N130/KM_MAX))</f>
        <v/>
      </c>
      <c r="CW130" s="3">
        <f>IF(BX130&lt;KMA_SOSP,IF(AA130="sí",100,KMA_PEN),IF(BX130&lt;=KMA_IDEAL_MAX,100,MAX(0,100*(KMA_CERO-BX130)/(KMA_CERO-KMA_IDEAL_MAX))))</f>
        <v/>
      </c>
      <c r="CX130" s="3">
        <f>MAX(0,MIN(100,100*(M130-ANIO_MIN)/(ANIO_ACTUAL-ANIO_MIN)))</f>
        <v/>
      </c>
      <c r="CY130" s="3">
        <f>W_KMT*CV130+W_KMA*CW130+W_EDAD*CX130</f>
        <v/>
      </c>
      <c r="CZ130" s="4">
        <f>E130&amp;"|"&amp;G130</f>
        <v/>
      </c>
      <c r="DA130" s="3">
        <f>IFERROR(VLOOKUP(CZ130,DIST_TBL,2,0),"")</f>
        <v/>
      </c>
      <c r="DB130" s="3">
        <f>E_ITV*(V130="sí")+E_LIBRO*(W130="sí")+E_PROP*IF(Y130=1,1,IF(Y130=2,0.5,0))+E_CORREA*IF(OR(DA130="cadena",AND(X130="sí",BH130="sí")),1,IF(X130="sí",0.5,0))+E_FACT*(BI130="sí")</f>
        <v/>
      </c>
      <c r="DC130" s="3">
        <f>MAX(0,MIN(100,IFERROR(VLOOKUP(CL130,ETQ_TBL,2,0),0)-IF(CM130="sí",ETQ_PEN_DUD,IF(AS130="regla",ETQ_PEN_REGLA,0))))</f>
        <v/>
      </c>
      <c r="DD130" s="3">
        <f>IF(K130&lt;&gt;"gasolina","",IFERROR(VLOOKUP(F130,CONS_MOD_TBL,2,0),IFERROR(VLOOKUP(L130,CONS_SEG_TBL,2,0),"")))</f>
        <v/>
      </c>
      <c r="DE130" s="3">
        <f>IF(DD130="",NEUTRO,MAX(0,MIN(100,100*(CONS_REF_MAX-DD130)/(CONS_REF_MAX-CONS_REF_MIN))))</f>
        <v/>
      </c>
      <c r="DF130" s="3">
        <f>IFERROR(VLOOKUP(L130,SEGURO_TBL,3,0),"")</f>
        <v/>
      </c>
      <c r="DG130" s="3">
        <f>IF(DF130="",NEUTRO,MAX(0,MIN(100,100*(SEG_REF_MAX-DF130)/(SEG_REF_MAX-SEG_REF_MIN))))</f>
        <v/>
      </c>
      <c r="DH130" s="3">
        <f>IFERROR(VLOOKUP(E130,MANT_MARCA_TBL,2,0)+0,NEUTRO)</f>
        <v/>
      </c>
      <c r="DI130" s="3">
        <f>IF(DA130="",NEUTRO,IFERROR(VLOOKUP(DA130,DIST_PTS_TBL,2,0)+0,NEUTRO))</f>
        <v/>
      </c>
      <c r="DJ130" s="4">
        <f>(DH130+DI130)/2</f>
        <v/>
      </c>
      <c r="DK130" s="3">
        <f>W_CONS*DE130+W_SEG*DG130+W_MANT*DJ130</f>
        <v/>
      </c>
      <c r="DL130" s="3">
        <f>IF(N(AB130)&gt;0,AB130,IF(AND(R130="profesional",SG_LEGAL_ON=1),GAR_LEGAL,0))</f>
        <v/>
      </c>
      <c r="DM130" s="3">
        <f>MAX(0,MIN(100,SG_GAR*MIN(1,DL130/SG_GAR_FULL)+SG_AMPL*(AC130="sí")+SG_KMC*(AF130="sí")+SG_REV*(N(AE130)&gt;0)+SG_DEV*MIN(1,N(AG130)/SG_DEV_FULL)+SG_HIST*(W130="sí")-IF(AND(R130="particular",DL130=0),SG_PART_PEN,0)))</f>
        <v/>
      </c>
      <c r="DN130" s="3">
        <f>IF(BK130="",NEUTRO,MAX(0,MIN(100,BK130/5*100)))</f>
        <v/>
      </c>
      <c r="DO130" s="3">
        <f>IF(BL130="sí",100,IF(BL130="no",0,NEUTRO))</f>
        <v/>
      </c>
      <c r="DP130" s="3">
        <f>SV_W_NCAP*DN130+SV_W_ESP*DO130</f>
        <v/>
      </c>
      <c r="DQ130" s="3">
        <f>MAX(0,MIN(100,ATR_BASE+ATR_ACAB*(BD130&lt;&gt;"")+IF(BE130="16+",ATR_LL16,IF(BE130="sí",ATR_LL,0))+ATR_FAROS*(BF130="sí")+ATR_TINT*(BG130="sí")-ATR_CHAPA*(BE130="chapa")))</f>
        <v/>
      </c>
      <c r="DR130" s="3">
        <f>EST_W_MOD*(BB130-1)/4*100+EST_W_ATR*DQ130</f>
        <v/>
      </c>
      <c r="DS130" s="3">
        <f>IF(BA130="",NEUTRO,IFERROR(VLOOKUP(BA130,COLOR_TBL,2,0)+0,NEUTRO))</f>
        <v/>
      </c>
      <c r="DT130" s="3">
        <f>MAX(0,MIN(100,100*N(BM130)/RV_N_FULL))</f>
        <v/>
      </c>
      <c r="DU130" s="3">
        <f>IF(OR(BN130="",N(BO130)&lt;RV_DIAS_MIN),NEUTRO,MAX(0,MIN(100,100*(RV_DIAS_CERO-BN130)/(RV_DIAS_CERO-RV_DIAS_FULL))))</f>
        <v/>
      </c>
      <c r="DV130" s="3">
        <f>RV_W_LIQ*DT130+RV_W_DIAS*DU130+RV_W_ETQ*DC130</f>
        <v/>
      </c>
      <c r="DW130" s="3">
        <f>IFERROR(VLOOKUP(L130,CARR_PEN_TBL,2,0),0)</f>
        <v/>
      </c>
      <c r="DX130" s="3">
        <f>W_FIAB*CS130+W_PRECIO*CU130+W_KMEDAD*CY130+W_ESTADO*DB130+W_USO*DK130+W_SEGURIDAD*DM130+W_SEGVIAL*DP130+W_ESTETICA*DR130+W_COLOR*DS130+W_REVENTA*DV130-DW130-EG130</f>
        <v/>
      </c>
      <c r="DY130" s="4">
        <f>IF(N(I130)&gt;0,I130,IFERROR(ROUND(_xlfn.NUMBERVALUE(LEFT(G130,FIND(" ",G130&amp;" ")-1),".")*1000,0),99999))</f>
        <v/>
      </c>
      <c r="DZ130" s="3">
        <f>IF(R130="profesional",0,IF(O130&lt;CUOTA_VALOR_MAX,IF(BW130&gt;ITP_TRAMO_ALTO,SUMIFS(CF_CUOTA,CF_MAS,ITP_TRAMO_ALTO,CF_CCMIN,"&lt;="&amp;DY130,CF_CCMAX,"&gt;="&amp;DY130),IF(BW130&gt;ITP_TRAMO_BAJO,SUMIFS(CF_CUOTA,CF_MAS,ITP_TRAMO_BAJO,CF_CCMIN,"&lt;="&amp;DY130,CF_CCMAX,"&gt;="&amp;DY130),O130*ITP_TIPO)),O130*ITP_TIPO))</f>
        <v/>
      </c>
      <c r="EA130" s="4">
        <f>IF(R130="profesional",N(AK130),0)</f>
        <v/>
      </c>
      <c r="EB130" s="3">
        <f>IF(AND(R130="profesional",ISNUMBER(AK130),AL130="sí"),0,TASA_DGT)</f>
        <v/>
      </c>
      <c r="EC130" s="3">
        <f>INFORME_DGT</f>
        <v/>
      </c>
      <c r="ED130" s="4">
        <f>O130+EA130+DZ130+EB130+EC130</f>
        <v/>
      </c>
      <c r="EE130" s="4">
        <f>ED130+N(DF130)</f>
        <v/>
      </c>
      <c r="EF130" s="3">
        <f>MAX(0,ED130-TOTAL_MAX)</f>
        <v/>
      </c>
      <c r="EG130" s="3">
        <f>EF130/100*PEN_100</f>
        <v/>
      </c>
      <c r="EH130" s="3">
        <f>IF(R130="particular",ED130+IF(AND(DA130&lt;&gt;"cadena",X130&lt;&gt;"sí"),RES_CORREA,0)+IF(AND(BJ130&lt;&gt;"sí",BW130&gt;=RES_NEUM_EDAD),RES_NEUM,0),"")</f>
        <v/>
      </c>
      <c r="EI130" s="3">
        <f>IF(ED130&lt;=TOTAL_MAX,"sí",IF(ED130&lt;=TECHO,"negociar","no"))</f>
        <v/>
      </c>
      <c r="EJ130" s="4">
        <f>ROUND(DX130,9)</f>
        <v/>
      </c>
      <c r="EK130" s="4">
        <f>IF(EI130&lt;&gt;"no",SUMPRODUCT(($EI$2:$EI$209&lt;&gt;"no")*($EJ$2:$EJ$209&gt;EJ130))+SUMPRODUCT(($EI$2:EI130&lt;&gt;"no")*($EJ$2:EJ130=EJ130)),"")</f>
        <v/>
      </c>
    </row>
    <row r="131">
      <c r="A131" s="2" t="inlineStr">
        <is>
          <t>cochesnet:71766881</t>
        </is>
      </c>
      <c r="B131" s="2" t="inlineStr">
        <is>
          <t>cochesnet</t>
        </is>
      </c>
      <c r="C131" s="2" t="inlineStr">
        <is>
          <t>https://www.coches.net/renault-laguna-dynamique-20-16v-140cv-5p-gasolina-2008-en-valencia-71766881-covo.aspx</t>
        </is>
      </c>
      <c r="D131" s="2" t="inlineStr">
        <is>
          <t>RENAULT Laguna Dynamique 2.0 16V</t>
        </is>
      </c>
      <c r="E131" s="2" t="inlineStr">
        <is>
          <t>Renault</t>
        </is>
      </c>
      <c r="F131" s="2" t="inlineStr">
        <is>
          <t>Renault Laguna</t>
        </is>
      </c>
      <c r="G131" s="2" t="inlineStr">
        <is>
          <t>2.0</t>
        </is>
      </c>
      <c r="H131" s="2" t="inlineStr">
        <is>
          <t>Dynamique 2.0 16V 140CV</t>
        </is>
      </c>
      <c r="I131" s="2" t="n"/>
      <c r="J131" s="2" t="n">
        <v>140</v>
      </c>
      <c r="K131" s="2" t="inlineStr">
        <is>
          <t>gasolina</t>
        </is>
      </c>
      <c r="L131" s="2" t="inlineStr">
        <is>
          <t>berlina_d</t>
        </is>
      </c>
      <c r="M131" s="2" t="n">
        <v>2007</v>
      </c>
      <c r="N131" s="2" t="n">
        <v>149100</v>
      </c>
      <c r="O131" s="2" t="n">
        <v>2990</v>
      </c>
      <c r="P131" s="2" t="inlineStr">
        <is>
          <t>automatico</t>
        </is>
      </c>
      <c r="Q131" s="2" t="inlineStr">
        <is>
          <t>sí</t>
        </is>
      </c>
      <c r="R131" s="2" t="inlineStr">
        <is>
          <t>profesional</t>
        </is>
      </c>
      <c r="S131" s="2" t="inlineStr">
        <is>
          <t>AutoEco Valencia</t>
        </is>
      </c>
      <c r="T131" s="2" t="inlineStr">
        <is>
          <t>2026-10-16T20:18:24Z</t>
        </is>
      </c>
      <c r="U131" s="2" t="n">
        <v>13</v>
      </c>
      <c r="V131" s="2" t="n"/>
      <c r="W131" s="2" t="inlineStr">
        <is>
          <t>sí</t>
        </is>
      </c>
      <c r="X131" s="2" t="n"/>
      <c r="Y131" s="2" t="n"/>
      <c r="Z131" s="2" t="inlineStr">
        <is>
          <t>sí</t>
        </is>
      </c>
      <c r="AA131" s="2" t="n"/>
      <c r="AB131" s="2" t="n">
        <v>12</v>
      </c>
      <c r="AC131" s="2" t="n"/>
      <c r="AD131" s="2" t="n"/>
      <c r="AE131" s="2" t="n"/>
      <c r="AF131" s="2" t="n"/>
      <c r="AG131" s="2" t="n"/>
      <c r="AH131" s="2" t="n">
        <v>2990</v>
      </c>
      <c r="AI131" s="2" t="n">
        <v>2990</v>
      </c>
      <c r="AJ131" s="2" t="n"/>
      <c r="AK131" s="2" t="n"/>
      <c r="AL131" s="2" t="n"/>
      <c r="AM131" s="2" t="n">
        <v>0.1</v>
      </c>
      <c r="AN131" s="2" t="n"/>
      <c r="AO131" s="2" t="inlineStr">
        <is>
          <t>2007</t>
        </is>
      </c>
      <c r="AP131" s="2" t="n">
        <v>2007</v>
      </c>
      <c r="AQ131" s="2" t="n"/>
      <c r="AR131" s="2" t="inlineStr">
        <is>
          <t>C</t>
        </is>
      </c>
      <c r="AS131" s="2" t="inlineStr">
        <is>
          <t>anuncio</t>
        </is>
      </c>
      <c r="AT131" s="2" t="n">
        <v>2008</v>
      </c>
      <c r="AU131" s="2" t="inlineStr">
        <is>
          <t>no</t>
        </is>
      </c>
      <c r="AV131" s="2" t="inlineStr">
        <is>
          <t>C</t>
        </is>
      </c>
      <c r="AW131" s="2" t="n"/>
      <c r="AX131" s="2" t="inlineStr">
        <is>
          <t>no</t>
        </is>
      </c>
      <c r="AY131" s="2" t="inlineStr">
        <is>
          <t>no</t>
        </is>
      </c>
      <c r="AZ131" s="2" t="inlineStr">
        <is>
          <t>COMMON.COLOR_BEIGE</t>
        </is>
      </c>
      <c r="BA131" s="2" t="inlineStr">
        <is>
          <t>beige</t>
        </is>
      </c>
      <c r="BB131" s="3" t="n">
        <v>3</v>
      </c>
      <c r="BC131" s="3" t="inlineStr">
        <is>
          <t>(por segmento)</t>
        </is>
      </c>
      <c r="BD131" s="2" t="n"/>
      <c r="BE131" s="2" t="inlineStr">
        <is>
          <t>16+</t>
        </is>
      </c>
      <c r="BF131" s="2" t="n"/>
      <c r="BG131" s="2" t="n"/>
      <c r="BH131" s="2" t="n"/>
      <c r="BI131" s="2" t="n"/>
      <c r="BJ131" s="2" t="n"/>
      <c r="BK131" s="2" t="n">
        <v>5</v>
      </c>
      <c r="BL131" s="2" t="inlineStr">
        <is>
          <t>sí</t>
        </is>
      </c>
      <c r="BM131" s="2" t="n">
        <v>40</v>
      </c>
      <c r="BN131" s="2" t="n"/>
      <c r="BO131" s="2" t="n">
        <v>0</v>
      </c>
      <c r="BP131" s="2" t="n">
        <v>3245</v>
      </c>
      <c r="BQ131" s="2" t="n">
        <v>6</v>
      </c>
      <c r="BR131" s="2" t="inlineStr">
        <is>
          <t>modelo+año+km</t>
        </is>
      </c>
      <c r="BS131" s="2" t="n"/>
      <c r="BT131" s="2" t="inlineStr">
        <is>
          <t>año a confirmar: la URL/título dice 2008; vendedor profesional: sin ITP (operación con IVA/REBU, confirmar en factura); gastos de gestión del vendedor no indicados: se suma la tasa DGT; preguntar el precio final; fiabilidad del modelo PENDIENTE de fuente (puntuación neutra)</t>
        </is>
      </c>
      <c r="BU131" s="2" t="inlineStr">
        <is>
          <t>-AUTOECO- 
*Concesionario Vehículos Ocasión multimarca. 
*C/ Cases de Bárcena N4 Bonrepós/Valencia 46131 Junto a Gasolinera Repsol*
*Lunes a Viernes 9h a 14h y 16h a 20h*
*Sábados 10h a 14h tarde y domingos atendemos con cita previa*
FINANCIACIÓN A SU MEDIDA sin necesidad de entrada, consulte sin compromiso.
DESTACADO: 
-Vehículo económico, tiene algun desgaste interior y exterior como se aprecia en la imágenes.
-Motor perfecto, se acepta prueba de conducción.
-Vehículo Manual.
-6 Velocidades.
-Climarizador.
-Limitador y velocidad de crucero. 
-Volante en madera.
-Asiento de piel mixta.
-Llantas de aleación 17 pulgadas.
- 1 año de Garantía incluida en precio con opción de ampliación. 
*Se entrega con ITV y mantenimiento al día, listo para circular.*
Este anuncio puede contener algún error tipográfico o de transcripción. 
Para más información contacten sin compromiso.</t>
        </is>
      </c>
      <c r="BV131" s="2" t="inlineStr">
        <is>
          <t>https://www.coches.net/renault-laguna-dynamique-20-16v-140cv-5p-gasolina-2008-en-valencia-71766881-covo.aspx (window.__INITIAL_PROPS__.ad) /home/user/Alopecia/buscador-coches/raw/cochesnet/3b98ff9540f89ce6.json</t>
        </is>
      </c>
      <c r="BW131" s="3">
        <f>MAX(ANIO_ACTUAL-M131,0)</f>
        <v/>
      </c>
      <c r="BX131" s="4">
        <f>N131/MAX(BW131,0.5)</f>
        <v/>
      </c>
      <c r="BY131" s="4">
        <f>F131</f>
        <v/>
      </c>
      <c r="BZ131" s="3">
        <f>BY131&amp;"|"&amp;INT(M131/SEG_ANIO)*SEG_ANIO</f>
        <v/>
      </c>
      <c r="CA131" s="3">
        <f>BZ131&amp;"|"&amp;INT(N131/SEG_KM)*SEG_KM</f>
        <v/>
      </c>
      <c r="CB131" s="4">
        <f>COUNTIF($BY$2:$BY$209,BY131)</f>
        <v/>
      </c>
      <c r="CC131" s="4">
        <f>COUNTIF($BZ$2:$BZ$209,BZ131)</f>
        <v/>
      </c>
      <c r="CD131" s="4">
        <f>COUNTIF($CA$2:$CA$209,CA131)</f>
        <v/>
      </c>
      <c r="CE131" s="3">
        <f t="array" ref="CE131">IF(N(BQ131)&gt;=MIN_N,BP131,IF(CD131&gt;=MIN_N,MEDIAN(IF($CA$2:$CA$209=CA131,$O$2:$O$209)),IF(CC131&gt;=MIN_N,MEDIAN(IF($BZ$2:$BZ$209=BZ131,$O$2:$O$209)),MEDIAN(IF($BY$2:$BY$209=BY131,$O$2:$O$209)))))</f>
        <v/>
      </c>
      <c r="CF131" s="3">
        <f>IF(N(BQ131)&gt;=MIN_N,"mercado "&amp;BR131,IF(CD131&gt;=MIN_N,"modelo+año+km",IF(CC131&gt;=MIN_N,"modelo+año","modelo")))</f>
        <v/>
      </c>
      <c r="CG131" s="4">
        <f>(CE131-O131)/CE131</f>
        <v/>
      </c>
      <c r="CH131" s="3">
        <f>IF(COUNTIFS(FR_FUEL,K131,FR_YEAR,AP131)&gt;0,1,0)</f>
        <v/>
      </c>
      <c r="CI131" s="3">
        <f>IF(COUNTIFS(FR_FUEL,K131,FR_YEAR,AP131-1)&gt;0,1,0)</f>
        <v/>
      </c>
      <c r="CJ131" s="4">
        <f>IF(N(AQ131)&gt;0,AP131*100+AQ131,IF(AND(CH131=1,CI131=1),(AP131-1)*100+1,AP131*100+1))</f>
        <v/>
      </c>
      <c r="CK131" s="3">
        <f>IF(OR(K131="hibrido",K131="glp",K131="gnc",K131="phev"),"ECO",IF(K131="electrico","CERO",IF(K131="gasolina",IF(CJ131&gt;=GAS_C_YM,"C",IF(CJ131&gt;=GAS_B_YM,"B","A")),IF(K131="diesel",IF(CJ131&gt;=DIE_C_YM,"C",IF(CJ131&gt;=DIE_B_YM,"B","A")),""))))</f>
        <v/>
      </c>
      <c r="CL131" s="2" t="inlineStr">
        <is>
          <t>C</t>
        </is>
      </c>
      <c r="CM131" s="4">
        <f>IF(AU131="sí","sí",IF(AS131="regla",IF(AND(N(AQ131)=0,CH131=1),"sí","no"),"no"))</f>
        <v/>
      </c>
      <c r="CN131" s="3">
        <f>IFERROR(VLOOKUP(F131,MOD_TBL,16,0),IFERROR(VLOOKUP(E131,OCU_TBL,2,0),NEUTRO))</f>
        <v/>
      </c>
      <c r="CO131" s="3">
        <f>SUMIFS(MOT_AJUSTE,MOT_MOTOR,G131,MOT_MARCA,E131,MOT_DESDE,"&lt;="&amp;M131,MOT_HASTA,"&gt;="&amp;M131)+SUMIFS(MOT_AJUSTE,MOT_MOTOR,G131,MOT_MARCA,"(todas)",MOT_DESDE,"&lt;="&amp;M131,MOT_HASTA,"&gt;="&amp;M131)+SUMIFS(MOT_AJUSTE,MOT_MOTOR,"(cualquiera)",MOT_MARCA,E131,MOT_DESDE,"&lt;="&amp;M131,MOT_HASTA,"&gt;="&amp;M131)</f>
        <v/>
      </c>
      <c r="CP131" s="3">
        <f>SUMIFS(COMB_AJUSTE,COMB_COMB,K131)</f>
        <v/>
      </c>
      <c r="CQ131" s="3">
        <f>COUNTIFS(MOT_MOTOR,G131,MOT_MARCA,E131,MOT_DESDE,"&lt;="&amp;M131,MOT_HASTA,"&gt;="&amp;M131)+COUNTIFS(MOT_MOTOR,G131,MOT_MARCA,"(todas)",MOT_DESDE,"&lt;="&amp;M131,MOT_HASTA,"&gt;="&amp;M131)+COUNTIFS(MOT_MOTOR,"(cualquiera)",MOT_MARCA,E131,MOT_DESDE,"&lt;="&amp;M131,MOT_HASTA,"&gt;="&amp;M131)</f>
        <v/>
      </c>
      <c r="CR131" s="3">
        <f>IF(AND(K131="diesel",CQ131=0),MIN(CN131,NEUTRO),CN131)</f>
        <v/>
      </c>
      <c r="CS131" s="3">
        <f>MAX(0,MIN(100,CR131+CO131+CP131-IF(AX131="sí",ROB_PEN,0)))</f>
        <v/>
      </c>
      <c r="CT131" s="3">
        <f>100-MAX(0,N131-KM_TOPE_DESDE)/1000*KM_TOPE_PTS</f>
        <v/>
      </c>
      <c r="CU131" s="3">
        <f>MAX(0,MIN(100,50+CG131*PRECIO_PEND,CT131))</f>
        <v/>
      </c>
      <c r="CV131" s="3">
        <f>MAX(0,100*(1-N131/KM_MAX))</f>
        <v/>
      </c>
      <c r="CW131" s="3">
        <f>IF(BX131&lt;KMA_SOSP,IF(AA131="sí",100,KMA_PEN),IF(BX131&lt;=KMA_IDEAL_MAX,100,MAX(0,100*(KMA_CERO-BX131)/(KMA_CERO-KMA_IDEAL_MAX))))</f>
        <v/>
      </c>
      <c r="CX131" s="3">
        <f>MAX(0,MIN(100,100*(M131-ANIO_MIN)/(ANIO_ACTUAL-ANIO_MIN)))</f>
        <v/>
      </c>
      <c r="CY131" s="3">
        <f>W_KMT*CV131+W_KMA*CW131+W_EDAD*CX131</f>
        <v/>
      </c>
      <c r="CZ131" s="4">
        <f>E131&amp;"|"&amp;G131</f>
        <v/>
      </c>
      <c r="DA131" s="3">
        <f>IFERROR(VLOOKUP(CZ131,DIST_TBL,2,0),"")</f>
        <v/>
      </c>
      <c r="DB131" s="3">
        <f>E_ITV*(V131="sí")+E_LIBRO*(W131="sí")+E_PROP*IF(Y131=1,1,IF(Y131=2,0.5,0))+E_CORREA*IF(OR(DA131="cadena",AND(X131="sí",BH131="sí")),1,IF(X131="sí",0.5,0))+E_FACT*(BI131="sí")</f>
        <v/>
      </c>
      <c r="DC131" s="3">
        <f>MAX(0,MIN(100,IFERROR(VLOOKUP(CL131,ETQ_TBL,2,0),0)-IF(CM131="sí",ETQ_PEN_DUD,IF(AS131="regla",ETQ_PEN_REGLA,0))))</f>
        <v/>
      </c>
      <c r="DD131" s="3">
        <f>IF(K131&lt;&gt;"gasolina","",IFERROR(VLOOKUP(F131,CONS_MOD_TBL,2,0),IFERROR(VLOOKUP(L131,CONS_SEG_TBL,2,0),"")))</f>
        <v/>
      </c>
      <c r="DE131" s="3">
        <f>IF(DD131="",NEUTRO,MAX(0,MIN(100,100*(CONS_REF_MAX-DD131)/(CONS_REF_MAX-CONS_REF_MIN))))</f>
        <v/>
      </c>
      <c r="DF131" s="3">
        <f>IFERROR(VLOOKUP(L131,SEGURO_TBL,3,0),"")</f>
        <v/>
      </c>
      <c r="DG131" s="3">
        <f>IF(DF131="",NEUTRO,MAX(0,MIN(100,100*(SEG_REF_MAX-DF131)/(SEG_REF_MAX-SEG_REF_MIN))))</f>
        <v/>
      </c>
      <c r="DH131" s="3">
        <f>IFERROR(VLOOKUP(E131,MANT_MARCA_TBL,2,0)+0,NEUTRO)</f>
        <v/>
      </c>
      <c r="DI131" s="3">
        <f>IF(DA131="",NEUTRO,IFERROR(VLOOKUP(DA131,DIST_PTS_TBL,2,0)+0,NEUTRO))</f>
        <v/>
      </c>
      <c r="DJ131" s="4">
        <f>(DH131+DI131)/2</f>
        <v/>
      </c>
      <c r="DK131" s="3">
        <f>W_CONS*DE131+W_SEG*DG131+W_MANT*DJ131</f>
        <v/>
      </c>
      <c r="DL131" s="3">
        <f>IF(N(AB131)&gt;0,AB131,IF(AND(R131="profesional",SG_LEGAL_ON=1),GAR_LEGAL,0))</f>
        <v/>
      </c>
      <c r="DM131" s="3">
        <f>MAX(0,MIN(100,SG_GAR*MIN(1,DL131/SG_GAR_FULL)+SG_AMPL*(AC131="sí")+SG_KMC*(AF131="sí")+SG_REV*(N(AE131)&gt;0)+SG_DEV*MIN(1,N(AG131)/SG_DEV_FULL)+SG_HIST*(W131="sí")-IF(AND(R131="particular",DL131=0),SG_PART_PEN,0)))</f>
        <v/>
      </c>
      <c r="DN131" s="3">
        <f>IF(BK131="",NEUTRO,MAX(0,MIN(100,BK131/5*100)))</f>
        <v/>
      </c>
      <c r="DO131" s="3">
        <f>IF(BL131="sí",100,IF(BL131="no",0,NEUTRO))</f>
        <v/>
      </c>
      <c r="DP131" s="3">
        <f>SV_W_NCAP*DN131+SV_W_ESP*DO131</f>
        <v/>
      </c>
      <c r="DQ131" s="3">
        <f>MAX(0,MIN(100,ATR_BASE+ATR_ACAB*(BD131&lt;&gt;"")+IF(BE131="16+",ATR_LL16,IF(BE131="sí",ATR_LL,0))+ATR_FAROS*(BF131="sí")+ATR_TINT*(BG131="sí")-ATR_CHAPA*(BE131="chapa")))</f>
        <v/>
      </c>
      <c r="DR131" s="3">
        <f>EST_W_MOD*(BB131-1)/4*100+EST_W_ATR*DQ131</f>
        <v/>
      </c>
      <c r="DS131" s="3">
        <f>IF(BA131="",NEUTRO,IFERROR(VLOOKUP(BA131,COLOR_TBL,2,0)+0,NEUTRO))</f>
        <v/>
      </c>
      <c r="DT131" s="3">
        <f>MAX(0,MIN(100,100*N(BM131)/RV_N_FULL))</f>
        <v/>
      </c>
      <c r="DU131" s="3">
        <f>IF(OR(BN131="",N(BO131)&lt;RV_DIAS_MIN),NEUTRO,MAX(0,MIN(100,100*(RV_DIAS_CERO-BN131)/(RV_DIAS_CERO-RV_DIAS_FULL))))</f>
        <v/>
      </c>
      <c r="DV131" s="3">
        <f>RV_W_LIQ*DT131+RV_W_DIAS*DU131+RV_W_ETQ*DC131</f>
        <v/>
      </c>
      <c r="DW131" s="3">
        <f>IFERROR(VLOOKUP(L131,CARR_PEN_TBL,2,0),0)</f>
        <v/>
      </c>
      <c r="DX131" s="3">
        <f>W_FIAB*CS131+W_PRECIO*CU131+W_KMEDAD*CY131+W_ESTADO*DB131+W_USO*DK131+W_SEGURIDAD*DM131+W_SEGVIAL*DP131+W_ESTETICA*DR131+W_COLOR*DS131+W_REVENTA*DV131-DW131-EG131</f>
        <v/>
      </c>
      <c r="DY131" s="4">
        <f>IF(N(I131)&gt;0,I131,IFERROR(ROUND(_xlfn.NUMBERVALUE(LEFT(G131,FIND(" ",G131&amp;" ")-1),".")*1000,0),99999))</f>
        <v/>
      </c>
      <c r="DZ131" s="3">
        <f>IF(R131="profesional",0,IF(O131&lt;CUOTA_VALOR_MAX,IF(BW131&gt;ITP_TRAMO_ALTO,SUMIFS(CF_CUOTA,CF_MAS,ITP_TRAMO_ALTO,CF_CCMIN,"&lt;="&amp;DY131,CF_CCMAX,"&gt;="&amp;DY131),IF(BW131&gt;ITP_TRAMO_BAJO,SUMIFS(CF_CUOTA,CF_MAS,ITP_TRAMO_BAJO,CF_CCMIN,"&lt;="&amp;DY131,CF_CCMAX,"&gt;="&amp;DY131),O131*ITP_TIPO)),O131*ITP_TIPO))</f>
        <v/>
      </c>
      <c r="EA131" s="4">
        <f>IF(R131="profesional",N(AK131),0)</f>
        <v/>
      </c>
      <c r="EB131" s="3">
        <f>IF(AND(R131="profesional",ISNUMBER(AK131),AL131="sí"),0,TASA_DGT)</f>
        <v/>
      </c>
      <c r="EC131" s="3">
        <f>INFORME_DGT</f>
        <v/>
      </c>
      <c r="ED131" s="4">
        <f>O131+EA131+DZ131+EB131+EC131</f>
        <v/>
      </c>
      <c r="EE131" s="4">
        <f>ED131+N(DF131)</f>
        <v/>
      </c>
      <c r="EF131" s="3">
        <f>MAX(0,ED131-TOTAL_MAX)</f>
        <v/>
      </c>
      <c r="EG131" s="3">
        <f>EF131/100*PEN_100</f>
        <v/>
      </c>
      <c r="EH131" s="3">
        <f>IF(R131="particular",ED131+IF(AND(DA131&lt;&gt;"cadena",X131&lt;&gt;"sí"),RES_CORREA,0)+IF(AND(BJ131&lt;&gt;"sí",BW131&gt;=RES_NEUM_EDAD),RES_NEUM,0),"")</f>
        <v/>
      </c>
      <c r="EI131" s="3">
        <f>IF(ED131&lt;=TOTAL_MAX,"sí",IF(ED131&lt;=TECHO,"negociar","no"))</f>
        <v/>
      </c>
      <c r="EJ131" s="4">
        <f>ROUND(DX131,9)</f>
        <v/>
      </c>
      <c r="EK131" s="4">
        <f>IF(EI131&lt;&gt;"no",SUMPRODUCT(($EI$2:$EI$209&lt;&gt;"no")*($EJ$2:$EJ$209&gt;EJ131))+SUMPRODUCT(($EI$2:EI131&lt;&gt;"no")*($EJ$2:EJ131=EJ131)),"")</f>
        <v/>
      </c>
    </row>
    <row r="132">
      <c r="A132" s="2" t="inlineStr">
        <is>
          <t>cochesnet:71677639</t>
        </is>
      </c>
      <c r="B132" s="2" t="inlineStr">
        <is>
          <t>cochesnet</t>
        </is>
      </c>
      <c r="C132" s="2" t="inlineStr">
        <is>
          <t>https://www.coches.net/peugeot-206-xr-refri-75-5p-gasolina-2002-en-valencia-71677639-covo.aspx</t>
        </is>
      </c>
      <c r="D132" s="2" t="inlineStr">
        <is>
          <t>PEUGEOT 206 XR Refri 75</t>
        </is>
      </c>
      <c r="E132" s="2" t="inlineStr">
        <is>
          <t>Peugeot</t>
        </is>
      </c>
      <c r="F132" s="2" t="inlineStr">
        <is>
          <t>Peugeot 206</t>
        </is>
      </c>
      <c r="G132" s="2" t="n"/>
      <c r="H132" s="2" t="inlineStr">
        <is>
          <t>XR Refri 75</t>
        </is>
      </c>
      <c r="I132" s="2" t="n"/>
      <c r="J132" s="2" t="n"/>
      <c r="K132" s="2" t="inlineStr">
        <is>
          <t>gasolina</t>
        </is>
      </c>
      <c r="L132" s="2" t="inlineStr">
        <is>
          <t>utilitario</t>
        </is>
      </c>
      <c r="M132" s="2" t="n">
        <v>2002</v>
      </c>
      <c r="N132" s="2" t="n">
        <v>82000</v>
      </c>
      <c r="O132" s="2" t="n">
        <v>3500</v>
      </c>
      <c r="P132" s="2" t="inlineStr">
        <is>
          <t>manual</t>
        </is>
      </c>
      <c r="Q132" s="2" t="inlineStr">
        <is>
          <t>no</t>
        </is>
      </c>
      <c r="R132" s="2" t="inlineStr">
        <is>
          <t>profesional</t>
        </is>
      </c>
      <c r="S132" s="2" t="inlineStr">
        <is>
          <t>Beniparrell</t>
        </is>
      </c>
      <c r="T132" s="2" t="inlineStr">
        <is>
          <t>2026-10-05T16:46:41Z</t>
        </is>
      </c>
      <c r="U132" s="2" t="n">
        <v>15</v>
      </c>
      <c r="V132" s="2" t="n"/>
      <c r="W132" s="2" t="n"/>
      <c r="X132" s="2" t="n"/>
      <c r="Y132" s="2" t="n"/>
      <c r="Z132" s="2" t="inlineStr">
        <is>
          <t>sí</t>
        </is>
      </c>
      <c r="AA132" s="2" t="n"/>
      <c r="AB132" s="2" t="n">
        <v>12</v>
      </c>
      <c r="AC132" s="2" t="n"/>
      <c r="AD132" s="2" t="n"/>
      <c r="AE132" s="2" t="n"/>
      <c r="AF132" s="2" t="n"/>
      <c r="AG132" s="2" t="n"/>
      <c r="AH132" s="2" t="n">
        <v>3500</v>
      </c>
      <c r="AI132" s="2" t="n"/>
      <c r="AJ132" s="2" t="n"/>
      <c r="AK132" s="2" t="n"/>
      <c r="AL132" s="2" t="n"/>
      <c r="AM132" s="2" t="n">
        <v>10.2</v>
      </c>
      <c r="AN132" s="2" t="n"/>
      <c r="AO132" s="2" t="inlineStr">
        <is>
          <t>2002</t>
        </is>
      </c>
      <c r="AP132" s="2" t="n">
        <v>2002</v>
      </c>
      <c r="AQ132" s="2" t="n"/>
      <c r="AR132" s="2" t="inlineStr">
        <is>
          <t>B</t>
        </is>
      </c>
      <c r="AS132" s="2" t="inlineStr">
        <is>
          <t>anuncio</t>
        </is>
      </c>
      <c r="AT132" s="2" t="n"/>
      <c r="AU132" s="2" t="inlineStr">
        <is>
          <t>no</t>
        </is>
      </c>
      <c r="AV132" s="2" t="inlineStr">
        <is>
          <t>B</t>
        </is>
      </c>
      <c r="AW132" s="2" t="n"/>
      <c r="AX132" s="2" t="inlineStr">
        <is>
          <t>no</t>
        </is>
      </c>
      <c r="AY132" s="2" t="inlineStr">
        <is>
          <t>no</t>
        </is>
      </c>
      <c r="AZ132" s="2" t="inlineStr">
        <is>
          <t>COMMON.COLOR_BLUE</t>
        </is>
      </c>
      <c r="BA132" s="2" t="inlineStr">
        <is>
          <t>azul</t>
        </is>
      </c>
      <c r="BB132" s="3" t="n">
        <v>2</v>
      </c>
      <c r="BC132" s="3" t="inlineStr">
        <is>
          <t>(por segmento)</t>
        </is>
      </c>
      <c r="BD132" s="2" t="n"/>
      <c r="BE132" s="2" t="n"/>
      <c r="BF132" s="2" t="n"/>
      <c r="BG132" s="2" t="inlineStr">
        <is>
          <t>sí</t>
        </is>
      </c>
      <c r="BH132" s="2" t="n"/>
      <c r="BI132" s="2" t="n"/>
      <c r="BJ132" s="2" t="n"/>
      <c r="BK132" s="2" t="n"/>
      <c r="BL132" s="2" t="n"/>
      <c r="BM132" s="2" t="n">
        <v>72</v>
      </c>
      <c r="BN132" s="2" t="n"/>
      <c r="BO132" s="2" t="n">
        <v>0</v>
      </c>
      <c r="BP132" s="2" t="n">
        <v>3500</v>
      </c>
      <c r="BQ132" s="2" t="n">
        <v>5</v>
      </c>
      <c r="BR132" s="2" t="inlineStr">
        <is>
          <t>modelo+año+km</t>
        </is>
      </c>
      <c r="BS132" s="2" t="n"/>
      <c r="BT132" s="2" t="inlineStr">
        <is>
          <t>vendedor profesional: sin ITP (operación con IVA/REBU, confirmar en factura); gastos de gestión del vendedor no indicados: se suma la tasa DGT; preguntar el precio final; Euro NCAP de la generación PENDIENTE (seguridad neutra); revisar: no menciona la ITV; fiabilidad del modelo PENDIENTE de fuente (puntuación neutra)</t>
        </is>
      </c>
      <c r="BU132" s="2" t="inlineStr">
        <is>
          <t>Este Peugeot 206 XR Refri destaca por su completo equipamiento de confort y tecnología, incluyendo aire acondicionado, dirección asistida, cierre centralizado con mando a distancia y sistema de climatización con filtro de partículas. Dispone de equipo de audio con radio AM/FM, reproductor de CD y control remoto en volante, seis altavoces, elevalunas eléctricos delanteros y cristales tintados. Los asientos delanteros son individuales ajustables en altura, con reposacabezas regulables, mientras que la trasera ofrece banco de tres plazas con respaldo abatible. Su etiqueta medioambiental B facilita el acceso a zonas de tráfico restringido.GARANTÍA 12 meses (cobertura de 25 componentes del vehículo )cobertura de reparación hasta 2.000e en cualquier taller)</t>
        </is>
      </c>
      <c r="BV132" s="2" t="inlineStr">
        <is>
          <t>https://www.coches.net/peugeot-206-xr-refri-75-5p-gasolina-2002-en-valencia-71677639-covo.aspx (window.__INITIAL_PROPS__.ad) /home/user/Alopecia/buscador-coches/raw/cochesnet/df2e56a381107cee.json</t>
        </is>
      </c>
      <c r="BW132" s="3">
        <f>MAX(ANIO_ACTUAL-M132,0)</f>
        <v/>
      </c>
      <c r="BX132" s="4">
        <f>N132/MAX(BW132,0.5)</f>
        <v/>
      </c>
      <c r="BY132" s="4">
        <f>F132</f>
        <v/>
      </c>
      <c r="BZ132" s="3">
        <f>BY132&amp;"|"&amp;INT(M132/SEG_ANIO)*SEG_ANIO</f>
        <v/>
      </c>
      <c r="CA132" s="3">
        <f>BZ132&amp;"|"&amp;INT(N132/SEG_KM)*SEG_KM</f>
        <v/>
      </c>
      <c r="CB132" s="4">
        <f>COUNTIF($BY$2:$BY$209,BY132)</f>
        <v/>
      </c>
      <c r="CC132" s="4">
        <f>COUNTIF($BZ$2:$BZ$209,BZ132)</f>
        <v/>
      </c>
      <c r="CD132" s="4">
        <f>COUNTIF($CA$2:$CA$209,CA132)</f>
        <v/>
      </c>
      <c r="CE132" s="3">
        <f t="array" ref="CE132">IF(N(BQ132)&gt;=MIN_N,BP132,IF(CD132&gt;=MIN_N,MEDIAN(IF($CA$2:$CA$209=CA132,$O$2:$O$209)),IF(CC132&gt;=MIN_N,MEDIAN(IF($BZ$2:$BZ$209=BZ132,$O$2:$O$209)),MEDIAN(IF($BY$2:$BY$209=BY132,$O$2:$O$209)))))</f>
        <v/>
      </c>
      <c r="CF132" s="3">
        <f>IF(N(BQ132)&gt;=MIN_N,"mercado "&amp;BR132,IF(CD132&gt;=MIN_N,"modelo+año+km",IF(CC132&gt;=MIN_N,"modelo+año","modelo")))</f>
        <v/>
      </c>
      <c r="CG132" s="4">
        <f>(CE132-O132)/CE132</f>
        <v/>
      </c>
      <c r="CH132" s="3">
        <f>IF(COUNTIFS(FR_FUEL,K132,FR_YEAR,AP132)&gt;0,1,0)</f>
        <v/>
      </c>
      <c r="CI132" s="3">
        <f>IF(COUNTIFS(FR_FUEL,K132,FR_YEAR,AP132-1)&gt;0,1,0)</f>
        <v/>
      </c>
      <c r="CJ132" s="4">
        <f>IF(N(AQ132)&gt;0,AP132*100+AQ132,IF(AND(CH132=1,CI132=1),(AP132-1)*100+1,AP132*100+1))</f>
        <v/>
      </c>
      <c r="CK132" s="3">
        <f>IF(OR(K132="hibrido",K132="glp",K132="gnc",K132="phev"),"ECO",IF(K132="electrico","CERO",IF(K132="gasolina",IF(CJ132&gt;=GAS_C_YM,"C",IF(CJ132&gt;=GAS_B_YM,"B","A")),IF(K132="diesel",IF(CJ132&gt;=DIE_C_YM,"C",IF(CJ132&gt;=DIE_B_YM,"B","A")),""))))</f>
        <v/>
      </c>
      <c r="CL132" s="2" t="inlineStr">
        <is>
          <t>B</t>
        </is>
      </c>
      <c r="CM132" s="4">
        <f>IF(AU132="sí","sí",IF(AS132="regla",IF(AND(N(AQ132)=0,CH132=1),"sí","no"),"no"))</f>
        <v/>
      </c>
      <c r="CN132" s="3">
        <f>IFERROR(VLOOKUP(F132,MOD_TBL,16,0),IFERROR(VLOOKUP(E132,OCU_TBL,2,0),NEUTRO))</f>
        <v/>
      </c>
      <c r="CO132" s="3">
        <f>SUMIFS(MOT_AJUSTE,MOT_MOTOR,G132,MOT_MARCA,E132,MOT_DESDE,"&lt;="&amp;M132,MOT_HASTA,"&gt;="&amp;M132)+SUMIFS(MOT_AJUSTE,MOT_MOTOR,G132,MOT_MARCA,"(todas)",MOT_DESDE,"&lt;="&amp;M132,MOT_HASTA,"&gt;="&amp;M132)+SUMIFS(MOT_AJUSTE,MOT_MOTOR,"(cualquiera)",MOT_MARCA,E132,MOT_DESDE,"&lt;="&amp;M132,MOT_HASTA,"&gt;="&amp;M132)</f>
        <v/>
      </c>
      <c r="CP132" s="3">
        <f>SUMIFS(COMB_AJUSTE,COMB_COMB,K132)</f>
        <v/>
      </c>
      <c r="CQ132" s="3">
        <f>COUNTIFS(MOT_MOTOR,G132,MOT_MARCA,E132,MOT_DESDE,"&lt;="&amp;M132,MOT_HASTA,"&gt;="&amp;M132)+COUNTIFS(MOT_MOTOR,G132,MOT_MARCA,"(todas)",MOT_DESDE,"&lt;="&amp;M132,MOT_HASTA,"&gt;="&amp;M132)+COUNTIFS(MOT_MOTOR,"(cualquiera)",MOT_MARCA,E132,MOT_DESDE,"&lt;="&amp;M132,MOT_HASTA,"&gt;="&amp;M132)</f>
        <v/>
      </c>
      <c r="CR132" s="3">
        <f>IF(AND(K132="diesel",CQ132=0),MIN(CN132,NEUTRO),CN132)</f>
        <v/>
      </c>
      <c r="CS132" s="3">
        <f>MAX(0,MIN(100,CR132+CO132+CP132-IF(AX132="sí",ROB_PEN,0)))</f>
        <v/>
      </c>
      <c r="CT132" s="3">
        <f>100-MAX(0,N132-KM_TOPE_DESDE)/1000*KM_TOPE_PTS</f>
        <v/>
      </c>
      <c r="CU132" s="3">
        <f>MAX(0,MIN(100,50+CG132*PRECIO_PEND,CT132))</f>
        <v/>
      </c>
      <c r="CV132" s="3">
        <f>MAX(0,100*(1-N132/KM_MAX))</f>
        <v/>
      </c>
      <c r="CW132" s="3">
        <f>IF(BX132&lt;KMA_SOSP,IF(AA132="sí",100,KMA_PEN),IF(BX132&lt;=KMA_IDEAL_MAX,100,MAX(0,100*(KMA_CERO-BX132)/(KMA_CERO-KMA_IDEAL_MAX))))</f>
        <v/>
      </c>
      <c r="CX132" s="3">
        <f>MAX(0,MIN(100,100*(M132-ANIO_MIN)/(ANIO_ACTUAL-ANIO_MIN)))</f>
        <v/>
      </c>
      <c r="CY132" s="3">
        <f>W_KMT*CV132+W_KMA*CW132+W_EDAD*CX132</f>
        <v/>
      </c>
      <c r="CZ132" s="4">
        <f>E132&amp;"|"&amp;G132</f>
        <v/>
      </c>
      <c r="DA132" s="3">
        <f>IFERROR(VLOOKUP(CZ132,DIST_TBL,2,0),"")</f>
        <v/>
      </c>
      <c r="DB132" s="3">
        <f>E_ITV*(V132="sí")+E_LIBRO*(W132="sí")+E_PROP*IF(Y132=1,1,IF(Y132=2,0.5,0))+E_CORREA*IF(OR(DA132="cadena",AND(X132="sí",BH132="sí")),1,IF(X132="sí",0.5,0))+E_FACT*(BI132="sí")</f>
        <v/>
      </c>
      <c r="DC132" s="3">
        <f>MAX(0,MIN(100,IFERROR(VLOOKUP(CL132,ETQ_TBL,2,0),0)-IF(CM132="sí",ETQ_PEN_DUD,IF(AS132="regla",ETQ_PEN_REGLA,0))))</f>
        <v/>
      </c>
      <c r="DD132" s="3">
        <f>IF(K132&lt;&gt;"gasolina","",IFERROR(VLOOKUP(F132,CONS_MOD_TBL,2,0),IFERROR(VLOOKUP(L132,CONS_SEG_TBL,2,0),"")))</f>
        <v/>
      </c>
      <c r="DE132" s="3">
        <f>IF(DD132="",NEUTRO,MAX(0,MIN(100,100*(CONS_REF_MAX-DD132)/(CONS_REF_MAX-CONS_REF_MIN))))</f>
        <v/>
      </c>
      <c r="DF132" s="3">
        <f>IFERROR(VLOOKUP(L132,SEGURO_TBL,3,0),"")</f>
        <v/>
      </c>
      <c r="DG132" s="3">
        <f>IF(DF132="",NEUTRO,MAX(0,MIN(100,100*(SEG_REF_MAX-DF132)/(SEG_REF_MAX-SEG_REF_MIN))))</f>
        <v/>
      </c>
      <c r="DH132" s="3">
        <f>IFERROR(VLOOKUP(E132,MANT_MARCA_TBL,2,0)+0,NEUTRO)</f>
        <v/>
      </c>
      <c r="DI132" s="3">
        <f>IF(DA132="",NEUTRO,IFERROR(VLOOKUP(DA132,DIST_PTS_TBL,2,0)+0,NEUTRO))</f>
        <v/>
      </c>
      <c r="DJ132" s="4">
        <f>(DH132+DI132)/2</f>
        <v/>
      </c>
      <c r="DK132" s="3">
        <f>W_CONS*DE132+W_SEG*DG132+W_MANT*DJ132</f>
        <v/>
      </c>
      <c r="DL132" s="3">
        <f>IF(N(AB132)&gt;0,AB132,IF(AND(R132="profesional",SG_LEGAL_ON=1),GAR_LEGAL,0))</f>
        <v/>
      </c>
      <c r="DM132" s="3">
        <f>MAX(0,MIN(100,SG_GAR*MIN(1,DL132/SG_GAR_FULL)+SG_AMPL*(AC132="sí")+SG_KMC*(AF132="sí")+SG_REV*(N(AE132)&gt;0)+SG_DEV*MIN(1,N(AG132)/SG_DEV_FULL)+SG_HIST*(W132="sí")-IF(AND(R132="particular",DL132=0),SG_PART_PEN,0)))</f>
        <v/>
      </c>
      <c r="DN132" s="3">
        <f>IF(BK132="",NEUTRO,MAX(0,MIN(100,BK132/5*100)))</f>
        <v/>
      </c>
      <c r="DO132" s="3">
        <f>IF(BL132="sí",100,IF(BL132="no",0,NEUTRO))</f>
        <v/>
      </c>
      <c r="DP132" s="3">
        <f>SV_W_NCAP*DN132+SV_W_ESP*DO132</f>
        <v/>
      </c>
      <c r="DQ132" s="3">
        <f>MAX(0,MIN(100,ATR_BASE+ATR_ACAB*(BD132&lt;&gt;"")+IF(BE132="16+",ATR_LL16,IF(BE132="sí",ATR_LL,0))+ATR_FAROS*(BF132="sí")+ATR_TINT*(BG132="sí")-ATR_CHAPA*(BE132="chapa")))</f>
        <v/>
      </c>
      <c r="DR132" s="3">
        <f>EST_W_MOD*(BB132-1)/4*100+EST_W_ATR*DQ132</f>
        <v/>
      </c>
      <c r="DS132" s="3">
        <f>IF(BA132="",NEUTRO,IFERROR(VLOOKUP(BA132,COLOR_TBL,2,0)+0,NEUTRO))</f>
        <v/>
      </c>
      <c r="DT132" s="3">
        <f>MAX(0,MIN(100,100*N(BM132)/RV_N_FULL))</f>
        <v/>
      </c>
      <c r="DU132" s="3">
        <f>IF(OR(BN132="",N(BO132)&lt;RV_DIAS_MIN),NEUTRO,MAX(0,MIN(100,100*(RV_DIAS_CERO-BN132)/(RV_DIAS_CERO-RV_DIAS_FULL))))</f>
        <v/>
      </c>
      <c r="DV132" s="3">
        <f>RV_W_LIQ*DT132+RV_W_DIAS*DU132+RV_W_ETQ*DC132</f>
        <v/>
      </c>
      <c r="DW132" s="3">
        <f>IFERROR(VLOOKUP(L132,CARR_PEN_TBL,2,0),0)</f>
        <v/>
      </c>
      <c r="DX132" s="3">
        <f>W_FIAB*CS132+W_PRECIO*CU132+W_KMEDAD*CY132+W_ESTADO*DB132+W_USO*DK132+W_SEGURIDAD*DM132+W_SEGVIAL*DP132+W_ESTETICA*DR132+W_COLOR*DS132+W_REVENTA*DV132-DW132-EG132</f>
        <v/>
      </c>
      <c r="DY132" s="4">
        <f>IF(N(I132)&gt;0,I132,IFERROR(ROUND(_xlfn.NUMBERVALUE(LEFT(G132,FIND(" ",G132&amp;" ")-1),".")*1000,0),99999))</f>
        <v/>
      </c>
      <c r="DZ132" s="3">
        <f>IF(R132="profesional",0,IF(O132&lt;CUOTA_VALOR_MAX,IF(BW132&gt;ITP_TRAMO_ALTO,SUMIFS(CF_CUOTA,CF_MAS,ITP_TRAMO_ALTO,CF_CCMIN,"&lt;="&amp;DY132,CF_CCMAX,"&gt;="&amp;DY132),IF(BW132&gt;ITP_TRAMO_BAJO,SUMIFS(CF_CUOTA,CF_MAS,ITP_TRAMO_BAJO,CF_CCMIN,"&lt;="&amp;DY132,CF_CCMAX,"&gt;="&amp;DY132),O132*ITP_TIPO)),O132*ITP_TIPO))</f>
        <v/>
      </c>
      <c r="EA132" s="4">
        <f>IF(R132="profesional",N(AK132),0)</f>
        <v/>
      </c>
      <c r="EB132" s="3">
        <f>IF(AND(R132="profesional",ISNUMBER(AK132),AL132="sí"),0,TASA_DGT)</f>
        <v/>
      </c>
      <c r="EC132" s="3">
        <f>INFORME_DGT</f>
        <v/>
      </c>
      <c r="ED132" s="4">
        <f>O132+EA132+DZ132+EB132+EC132</f>
        <v/>
      </c>
      <c r="EE132" s="4">
        <f>ED132+N(DF132)</f>
        <v/>
      </c>
      <c r="EF132" s="3">
        <f>MAX(0,ED132-TOTAL_MAX)</f>
        <v/>
      </c>
      <c r="EG132" s="3">
        <f>EF132/100*PEN_100</f>
        <v/>
      </c>
      <c r="EH132" s="3">
        <f>IF(R132="particular",ED132+IF(AND(DA132&lt;&gt;"cadena",X132&lt;&gt;"sí"),RES_CORREA,0)+IF(AND(BJ132&lt;&gt;"sí",BW132&gt;=RES_NEUM_EDAD),RES_NEUM,0),"")</f>
        <v/>
      </c>
      <c r="EI132" s="3">
        <f>IF(ED132&lt;=TOTAL_MAX,"sí",IF(ED132&lt;=TECHO,"negociar","no"))</f>
        <v/>
      </c>
      <c r="EJ132" s="4">
        <f>ROUND(DX132,9)</f>
        <v/>
      </c>
      <c r="EK132" s="4">
        <f>IF(EI132&lt;&gt;"no",SUMPRODUCT(($EI$2:$EI$209&lt;&gt;"no")*($EJ$2:$EJ$209&gt;EJ132))+SUMPRODUCT(($EI$2:EI132&lt;&gt;"no")*($EJ$2:EJ132=EJ132)),"")</f>
        <v/>
      </c>
    </row>
    <row r="133">
      <c r="A133" s="2" t="inlineStr">
        <is>
          <t>cochesnet:71681078</t>
        </is>
      </c>
      <c r="B133" s="2" t="inlineStr">
        <is>
          <t>cochesnet</t>
        </is>
      </c>
      <c r="C133" s="2" t="inlineStr">
        <is>
          <t>https://www.coches.net/peugeot-206-xline-75-5p-gasolina-2002-en-valencia-71681078-covo.aspx</t>
        </is>
      </c>
      <c r="D133" s="2" t="inlineStr">
        <is>
          <t>PEUGEOT 206 XLine 75</t>
        </is>
      </c>
      <c r="E133" s="2" t="inlineStr">
        <is>
          <t>Peugeot</t>
        </is>
      </c>
      <c r="F133" s="2" t="inlineStr">
        <is>
          <t>Peugeot 206</t>
        </is>
      </c>
      <c r="G133" s="2" t="n"/>
      <c r="H133" s="2" t="inlineStr">
        <is>
          <t>XLine 75</t>
        </is>
      </c>
      <c r="I133" s="2" t="n"/>
      <c r="J133" s="2" t="n"/>
      <c r="K133" s="2" t="inlineStr">
        <is>
          <t>gasolina</t>
        </is>
      </c>
      <c r="L133" s="2" t="inlineStr">
        <is>
          <t>utilitario</t>
        </is>
      </c>
      <c r="M133" s="2" t="n">
        <v>2003</v>
      </c>
      <c r="N133" s="2" t="n">
        <v>83500</v>
      </c>
      <c r="O133" s="2" t="n">
        <v>4490</v>
      </c>
      <c r="P133" s="2" t="inlineStr">
        <is>
          <t>manual</t>
        </is>
      </c>
      <c r="Q133" s="2" t="inlineStr">
        <is>
          <t>no</t>
        </is>
      </c>
      <c r="R133" s="2" t="inlineStr">
        <is>
          <t>profesional</t>
        </is>
      </c>
      <c r="S133" s="2" t="inlineStr">
        <is>
          <t>Vlc detailing Cars Valencia</t>
        </is>
      </c>
      <c r="T133" s="2" t="inlineStr">
        <is>
          <t>2026-10-05T22:50:52Z</t>
        </is>
      </c>
      <c r="U133" s="2" t="n">
        <v>28</v>
      </c>
      <c r="V133" s="2" t="inlineStr">
        <is>
          <t>sí</t>
        </is>
      </c>
      <c r="W133" s="2" t="n"/>
      <c r="X133" s="2" t="n"/>
      <c r="Y133" s="2" t="n"/>
      <c r="Z133" s="2" t="inlineStr">
        <is>
          <t>sí</t>
        </is>
      </c>
      <c r="AA133" s="2" t="n"/>
      <c r="AB133" s="2" t="n">
        <v>12</v>
      </c>
      <c r="AC133" s="2" t="n"/>
      <c r="AD133" s="2" t="n"/>
      <c r="AE133" s="2" t="n"/>
      <c r="AF133" s="2" t="n"/>
      <c r="AG133" s="2" t="n"/>
      <c r="AH133" s="2" t="n">
        <v>4490</v>
      </c>
      <c r="AI133" s="2" t="n"/>
      <c r="AJ133" s="2" t="n"/>
      <c r="AK133" s="2" t="n"/>
      <c r="AL133" s="2" t="n"/>
      <c r="AM133" s="2" t="n">
        <v>0.1</v>
      </c>
      <c r="AN133" s="2" t="n"/>
      <c r="AO133" s="2" t="inlineStr">
        <is>
          <t>2003</t>
        </is>
      </c>
      <c r="AP133" s="2" t="n">
        <v>2003</v>
      </c>
      <c r="AQ133" s="2" t="n"/>
      <c r="AR133" s="2" t="inlineStr">
        <is>
          <t>B</t>
        </is>
      </c>
      <c r="AS133" s="2" t="inlineStr">
        <is>
          <t>anuncio</t>
        </is>
      </c>
      <c r="AT133" s="2" t="n">
        <v>2002</v>
      </c>
      <c r="AU133" s="2" t="inlineStr">
        <is>
          <t>no</t>
        </is>
      </c>
      <c r="AV133" s="2" t="inlineStr">
        <is>
          <t>B</t>
        </is>
      </c>
      <c r="AW133" s="2" t="n"/>
      <c r="AX133" s="2" t="inlineStr">
        <is>
          <t>no</t>
        </is>
      </c>
      <c r="AY133" s="2" t="inlineStr">
        <is>
          <t>no</t>
        </is>
      </c>
      <c r="AZ133" s="2" t="inlineStr">
        <is>
          <t>COMMON.COLOR_BLUE</t>
        </is>
      </c>
      <c r="BA133" s="2" t="inlineStr">
        <is>
          <t>azul</t>
        </is>
      </c>
      <c r="BB133" s="3" t="n">
        <v>2</v>
      </c>
      <c r="BC133" s="3" t="inlineStr">
        <is>
          <t>(por segmento)</t>
        </is>
      </c>
      <c r="BD133" s="2" t="n"/>
      <c r="BE133" s="2" t="n"/>
      <c r="BF133" s="2" t="n"/>
      <c r="BG133" s="2" t="n"/>
      <c r="BH133" s="2" t="n"/>
      <c r="BI133" s="2" t="n"/>
      <c r="BJ133" s="2" t="n"/>
      <c r="BK133" s="2" t="n"/>
      <c r="BL133" s="2" t="n"/>
      <c r="BM133" s="2" t="n">
        <v>72</v>
      </c>
      <c r="BN133" s="2" t="n"/>
      <c r="BO133" s="2" t="n">
        <v>0</v>
      </c>
      <c r="BP133" s="2" t="n">
        <v>3500</v>
      </c>
      <c r="BQ133" s="2" t="n">
        <v>5</v>
      </c>
      <c r="BR133" s="2" t="inlineStr">
        <is>
          <t>modelo+año+km</t>
        </is>
      </c>
      <c r="BS133" s="2" t="n"/>
      <c r="BT133" s="2" t="inlineStr">
        <is>
          <t>año a confirmar: la URL/título dice 2002; vendedor profesional: sin ITP (operación con IVA/REBU, confirmar en factura); gastos de gestión del vendedor no indicados: se suma la tasa DGT; preguntar el precio final; Euro NCAP de la generación PENDIENTE (seguridad neutra); fiabilidad del modelo PENDIENTE de fuente (puntuación neutra)</t>
        </is>
      </c>
      <c r="BU133" s="2" t="inlineStr">
        <is>
          <t xml:space="preserve">?? PEUGEOT 206 X-LINE 1.4 GASOLINA – 2004
? ¡SOLO 83.500 KM! | 1 AÑO DE GARANTÍA
Se vende precioso Peugeot 206 X-Line 1.4 gasolina, matriculado en 2004, con únicamente 83.500 km.
Una unidad realmente difícil de encontrar con este kilometraje y en el estado de conservación que presenta.
?? MECÁNICA Y MANTENIMIENTO
? Motor 1.4 gasolina
? 83.500 km
? Distribución realizada a los 54.000 km
? Mantenimiento recién realizado
? Mecánica en excelente estado
? Funcionamiento perfecto
? Listo para utilizar desde el primer día
? ESTADO DE CONSERVACIÓN
El vehículo se encuentra en un estado excepcional para sus años, tanto mecánicamente como de pintura e interior.
?? Interior muy cuidado
?? Pintura en excelente estado
?? Motor y funcionamiento perfectos
?? EQUIPAMIENTO
?? Aire acondicionado
?? Dirección asistida
? Elevalunas eléctricos
?? Cierre centralizado
??? Airbags
?? 3 juegos de llaves
?? ITV hasta 02/2027
?? Distintivo ambiental B de la DGT
??? VENTA PROFESIONAL
? 1 AÑO DE GARANTÍA
? Vehículo revisado y preparado para su entrega
? Mantenimiento recién realizado
? Se entrega en perfecto estado de funcionamiento
Un Peugeot 206 con solo 83.500 km, muy cuidado y con un equipamiento completo para su época. Ideal como primer coche, vehículo para diario o segundo coche.
?? Se puede ver y probar sin compromiso.
Comprueba tú mismo el estado del vehículo, su interior, pintura, mecánica y funcionamiento.
</t>
        </is>
      </c>
      <c r="BV133" s="2" t="inlineStr">
        <is>
          <t>https://www.coches.net/peugeot-206-xline-75-5p-gasolina-2002-en-valencia-71681078-covo.aspx (window.__INITIAL_PROPS__.ad) /home/user/Alopecia/buscador-coches/raw/cochesnet/b6afe90b1fe04ac7.json</t>
        </is>
      </c>
      <c r="BW133" s="3">
        <f>MAX(ANIO_ACTUAL-M133,0)</f>
        <v/>
      </c>
      <c r="BX133" s="4">
        <f>N133/MAX(BW133,0.5)</f>
        <v/>
      </c>
      <c r="BY133" s="4">
        <f>F133</f>
        <v/>
      </c>
      <c r="BZ133" s="3">
        <f>BY133&amp;"|"&amp;INT(M133/SEG_ANIO)*SEG_ANIO</f>
        <v/>
      </c>
      <c r="CA133" s="3">
        <f>BZ133&amp;"|"&amp;INT(N133/SEG_KM)*SEG_KM</f>
        <v/>
      </c>
      <c r="CB133" s="4">
        <f>COUNTIF($BY$2:$BY$209,BY133)</f>
        <v/>
      </c>
      <c r="CC133" s="4">
        <f>COUNTIF($BZ$2:$BZ$209,BZ133)</f>
        <v/>
      </c>
      <c r="CD133" s="4">
        <f>COUNTIF($CA$2:$CA$209,CA133)</f>
        <v/>
      </c>
      <c r="CE133" s="3">
        <f t="array" ref="CE133">IF(N(BQ133)&gt;=MIN_N,BP133,IF(CD133&gt;=MIN_N,MEDIAN(IF($CA$2:$CA$209=CA133,$O$2:$O$209)),IF(CC133&gt;=MIN_N,MEDIAN(IF($BZ$2:$BZ$209=BZ133,$O$2:$O$209)),MEDIAN(IF($BY$2:$BY$209=BY133,$O$2:$O$209)))))</f>
        <v/>
      </c>
      <c r="CF133" s="3">
        <f>IF(N(BQ133)&gt;=MIN_N,"mercado "&amp;BR133,IF(CD133&gt;=MIN_N,"modelo+año+km",IF(CC133&gt;=MIN_N,"modelo+año","modelo")))</f>
        <v/>
      </c>
      <c r="CG133" s="4">
        <f>(CE133-O133)/CE133</f>
        <v/>
      </c>
      <c r="CH133" s="3">
        <f>IF(COUNTIFS(FR_FUEL,K133,FR_YEAR,AP133)&gt;0,1,0)</f>
        <v/>
      </c>
      <c r="CI133" s="3">
        <f>IF(COUNTIFS(FR_FUEL,K133,FR_YEAR,AP133-1)&gt;0,1,0)</f>
        <v/>
      </c>
      <c r="CJ133" s="4">
        <f>IF(N(AQ133)&gt;0,AP133*100+AQ133,IF(AND(CH133=1,CI133=1),(AP133-1)*100+1,AP133*100+1))</f>
        <v/>
      </c>
      <c r="CK133" s="3">
        <f>IF(OR(K133="hibrido",K133="glp",K133="gnc",K133="phev"),"ECO",IF(K133="electrico","CERO",IF(K133="gasolina",IF(CJ133&gt;=GAS_C_YM,"C",IF(CJ133&gt;=GAS_B_YM,"B","A")),IF(K133="diesel",IF(CJ133&gt;=DIE_C_YM,"C",IF(CJ133&gt;=DIE_B_YM,"B","A")),""))))</f>
        <v/>
      </c>
      <c r="CL133" s="2" t="inlineStr">
        <is>
          <t>B</t>
        </is>
      </c>
      <c r="CM133" s="4">
        <f>IF(AU133="sí","sí",IF(AS133="regla",IF(AND(N(AQ133)=0,CH133=1),"sí","no"),"no"))</f>
        <v/>
      </c>
      <c r="CN133" s="3">
        <f>IFERROR(VLOOKUP(F133,MOD_TBL,16,0),IFERROR(VLOOKUP(E133,OCU_TBL,2,0),NEUTRO))</f>
        <v/>
      </c>
      <c r="CO133" s="3">
        <f>SUMIFS(MOT_AJUSTE,MOT_MOTOR,G133,MOT_MARCA,E133,MOT_DESDE,"&lt;="&amp;M133,MOT_HASTA,"&gt;="&amp;M133)+SUMIFS(MOT_AJUSTE,MOT_MOTOR,G133,MOT_MARCA,"(todas)",MOT_DESDE,"&lt;="&amp;M133,MOT_HASTA,"&gt;="&amp;M133)+SUMIFS(MOT_AJUSTE,MOT_MOTOR,"(cualquiera)",MOT_MARCA,E133,MOT_DESDE,"&lt;="&amp;M133,MOT_HASTA,"&gt;="&amp;M133)</f>
        <v/>
      </c>
      <c r="CP133" s="3">
        <f>SUMIFS(COMB_AJUSTE,COMB_COMB,K133)</f>
        <v/>
      </c>
      <c r="CQ133" s="3">
        <f>COUNTIFS(MOT_MOTOR,G133,MOT_MARCA,E133,MOT_DESDE,"&lt;="&amp;M133,MOT_HASTA,"&gt;="&amp;M133)+COUNTIFS(MOT_MOTOR,G133,MOT_MARCA,"(todas)",MOT_DESDE,"&lt;="&amp;M133,MOT_HASTA,"&gt;="&amp;M133)+COUNTIFS(MOT_MOTOR,"(cualquiera)",MOT_MARCA,E133,MOT_DESDE,"&lt;="&amp;M133,MOT_HASTA,"&gt;="&amp;M133)</f>
        <v/>
      </c>
      <c r="CR133" s="3">
        <f>IF(AND(K133="diesel",CQ133=0),MIN(CN133,NEUTRO),CN133)</f>
        <v/>
      </c>
      <c r="CS133" s="3">
        <f>MAX(0,MIN(100,CR133+CO133+CP133-IF(AX133="sí",ROB_PEN,0)))</f>
        <v/>
      </c>
      <c r="CT133" s="3">
        <f>100-MAX(0,N133-KM_TOPE_DESDE)/1000*KM_TOPE_PTS</f>
        <v/>
      </c>
      <c r="CU133" s="3">
        <f>MAX(0,MIN(100,50+CG133*PRECIO_PEND,CT133))</f>
        <v/>
      </c>
      <c r="CV133" s="3">
        <f>MAX(0,100*(1-N133/KM_MAX))</f>
        <v/>
      </c>
      <c r="CW133" s="3">
        <f>IF(BX133&lt;KMA_SOSP,IF(AA133="sí",100,KMA_PEN),IF(BX133&lt;=KMA_IDEAL_MAX,100,MAX(0,100*(KMA_CERO-BX133)/(KMA_CERO-KMA_IDEAL_MAX))))</f>
        <v/>
      </c>
      <c r="CX133" s="3">
        <f>MAX(0,MIN(100,100*(M133-ANIO_MIN)/(ANIO_ACTUAL-ANIO_MIN)))</f>
        <v/>
      </c>
      <c r="CY133" s="3">
        <f>W_KMT*CV133+W_KMA*CW133+W_EDAD*CX133</f>
        <v/>
      </c>
      <c r="CZ133" s="4">
        <f>E133&amp;"|"&amp;G133</f>
        <v/>
      </c>
      <c r="DA133" s="3">
        <f>IFERROR(VLOOKUP(CZ133,DIST_TBL,2,0),"")</f>
        <v/>
      </c>
      <c r="DB133" s="3">
        <f>E_ITV*(V133="sí")+E_LIBRO*(W133="sí")+E_PROP*IF(Y133=1,1,IF(Y133=2,0.5,0))+E_CORREA*IF(OR(DA133="cadena",AND(X133="sí",BH133="sí")),1,IF(X133="sí",0.5,0))+E_FACT*(BI133="sí")</f>
        <v/>
      </c>
      <c r="DC133" s="3">
        <f>MAX(0,MIN(100,IFERROR(VLOOKUP(CL133,ETQ_TBL,2,0),0)-IF(CM133="sí",ETQ_PEN_DUD,IF(AS133="regla",ETQ_PEN_REGLA,0))))</f>
        <v/>
      </c>
      <c r="DD133" s="3">
        <f>IF(K133&lt;&gt;"gasolina","",IFERROR(VLOOKUP(F133,CONS_MOD_TBL,2,0),IFERROR(VLOOKUP(L133,CONS_SEG_TBL,2,0),"")))</f>
        <v/>
      </c>
      <c r="DE133" s="3">
        <f>IF(DD133="",NEUTRO,MAX(0,MIN(100,100*(CONS_REF_MAX-DD133)/(CONS_REF_MAX-CONS_REF_MIN))))</f>
        <v/>
      </c>
      <c r="DF133" s="3">
        <f>IFERROR(VLOOKUP(L133,SEGURO_TBL,3,0),"")</f>
        <v/>
      </c>
      <c r="DG133" s="3">
        <f>IF(DF133="",NEUTRO,MAX(0,MIN(100,100*(SEG_REF_MAX-DF133)/(SEG_REF_MAX-SEG_REF_MIN))))</f>
        <v/>
      </c>
      <c r="DH133" s="3">
        <f>IFERROR(VLOOKUP(E133,MANT_MARCA_TBL,2,0)+0,NEUTRO)</f>
        <v/>
      </c>
      <c r="DI133" s="3">
        <f>IF(DA133="",NEUTRO,IFERROR(VLOOKUP(DA133,DIST_PTS_TBL,2,0)+0,NEUTRO))</f>
        <v/>
      </c>
      <c r="DJ133" s="4">
        <f>(DH133+DI133)/2</f>
        <v/>
      </c>
      <c r="DK133" s="3">
        <f>W_CONS*DE133+W_SEG*DG133+W_MANT*DJ133</f>
        <v/>
      </c>
      <c r="DL133" s="3">
        <f>IF(N(AB133)&gt;0,AB133,IF(AND(R133="profesional",SG_LEGAL_ON=1),GAR_LEGAL,0))</f>
        <v/>
      </c>
      <c r="DM133" s="3">
        <f>MAX(0,MIN(100,SG_GAR*MIN(1,DL133/SG_GAR_FULL)+SG_AMPL*(AC133="sí")+SG_KMC*(AF133="sí")+SG_REV*(N(AE133)&gt;0)+SG_DEV*MIN(1,N(AG133)/SG_DEV_FULL)+SG_HIST*(W133="sí")-IF(AND(R133="particular",DL133=0),SG_PART_PEN,0)))</f>
        <v/>
      </c>
      <c r="DN133" s="3">
        <f>IF(BK133="",NEUTRO,MAX(0,MIN(100,BK133/5*100)))</f>
        <v/>
      </c>
      <c r="DO133" s="3">
        <f>IF(BL133="sí",100,IF(BL133="no",0,NEUTRO))</f>
        <v/>
      </c>
      <c r="DP133" s="3">
        <f>SV_W_NCAP*DN133+SV_W_ESP*DO133</f>
        <v/>
      </c>
      <c r="DQ133" s="3">
        <f>MAX(0,MIN(100,ATR_BASE+ATR_ACAB*(BD133&lt;&gt;"")+IF(BE133="16+",ATR_LL16,IF(BE133="sí",ATR_LL,0))+ATR_FAROS*(BF133="sí")+ATR_TINT*(BG133="sí")-ATR_CHAPA*(BE133="chapa")))</f>
        <v/>
      </c>
      <c r="DR133" s="3">
        <f>EST_W_MOD*(BB133-1)/4*100+EST_W_ATR*DQ133</f>
        <v/>
      </c>
      <c r="DS133" s="3">
        <f>IF(BA133="",NEUTRO,IFERROR(VLOOKUP(BA133,COLOR_TBL,2,0)+0,NEUTRO))</f>
        <v/>
      </c>
      <c r="DT133" s="3">
        <f>MAX(0,MIN(100,100*N(BM133)/RV_N_FULL))</f>
        <v/>
      </c>
      <c r="DU133" s="3">
        <f>IF(OR(BN133="",N(BO133)&lt;RV_DIAS_MIN),NEUTRO,MAX(0,MIN(100,100*(RV_DIAS_CERO-BN133)/(RV_DIAS_CERO-RV_DIAS_FULL))))</f>
        <v/>
      </c>
      <c r="DV133" s="3">
        <f>RV_W_LIQ*DT133+RV_W_DIAS*DU133+RV_W_ETQ*DC133</f>
        <v/>
      </c>
      <c r="DW133" s="3">
        <f>IFERROR(VLOOKUP(L133,CARR_PEN_TBL,2,0),0)</f>
        <v/>
      </c>
      <c r="DX133" s="3">
        <f>W_FIAB*CS133+W_PRECIO*CU133+W_KMEDAD*CY133+W_ESTADO*DB133+W_USO*DK133+W_SEGURIDAD*DM133+W_SEGVIAL*DP133+W_ESTETICA*DR133+W_COLOR*DS133+W_REVENTA*DV133-DW133-EG133</f>
        <v/>
      </c>
      <c r="DY133" s="4">
        <f>IF(N(I133)&gt;0,I133,IFERROR(ROUND(_xlfn.NUMBERVALUE(LEFT(G133,FIND(" ",G133&amp;" ")-1),".")*1000,0),99999))</f>
        <v/>
      </c>
      <c r="DZ133" s="3">
        <f>IF(R133="profesional",0,IF(O133&lt;CUOTA_VALOR_MAX,IF(BW133&gt;ITP_TRAMO_ALTO,SUMIFS(CF_CUOTA,CF_MAS,ITP_TRAMO_ALTO,CF_CCMIN,"&lt;="&amp;DY133,CF_CCMAX,"&gt;="&amp;DY133),IF(BW133&gt;ITP_TRAMO_BAJO,SUMIFS(CF_CUOTA,CF_MAS,ITP_TRAMO_BAJO,CF_CCMIN,"&lt;="&amp;DY133,CF_CCMAX,"&gt;="&amp;DY133),O133*ITP_TIPO)),O133*ITP_TIPO))</f>
        <v/>
      </c>
      <c r="EA133" s="4">
        <f>IF(R133="profesional",N(AK133),0)</f>
        <v/>
      </c>
      <c r="EB133" s="3">
        <f>IF(AND(R133="profesional",ISNUMBER(AK133),AL133="sí"),0,TASA_DGT)</f>
        <v/>
      </c>
      <c r="EC133" s="3">
        <f>INFORME_DGT</f>
        <v/>
      </c>
      <c r="ED133" s="4">
        <f>O133+EA133+DZ133+EB133+EC133</f>
        <v/>
      </c>
      <c r="EE133" s="4">
        <f>ED133+N(DF133)</f>
        <v/>
      </c>
      <c r="EF133" s="3">
        <f>MAX(0,ED133-TOTAL_MAX)</f>
        <v/>
      </c>
      <c r="EG133" s="3">
        <f>EF133/100*PEN_100</f>
        <v/>
      </c>
      <c r="EH133" s="3">
        <f>IF(R133="particular",ED133+IF(AND(DA133&lt;&gt;"cadena",X133&lt;&gt;"sí"),RES_CORREA,0)+IF(AND(BJ133&lt;&gt;"sí",BW133&gt;=RES_NEUM_EDAD),RES_NEUM,0),"")</f>
        <v/>
      </c>
      <c r="EI133" s="3">
        <f>IF(ED133&lt;=TOTAL_MAX,"sí",IF(ED133&lt;=TECHO,"negociar","no"))</f>
        <v/>
      </c>
      <c r="EJ133" s="4">
        <f>ROUND(DX133,9)</f>
        <v/>
      </c>
      <c r="EK133" s="4">
        <f>IF(EI133&lt;&gt;"no",SUMPRODUCT(($EI$2:$EI$209&lt;&gt;"no")*($EJ$2:$EJ$209&gt;EJ133))+SUMPRODUCT(($EI$2:EI133&lt;&gt;"no")*($EJ$2:EJ133=EJ133)),"")</f>
        <v/>
      </c>
    </row>
    <row r="134">
      <c r="A134" s="2" t="inlineStr">
        <is>
          <t>cochesnet:71461316</t>
        </is>
      </c>
      <c r="B134" s="2" t="inlineStr">
        <is>
          <t>cochesnet</t>
        </is>
      </c>
      <c r="C134" s="2" t="inlineStr">
        <is>
          <t>https://www.coches.net/citroen-c3-14i-sx-plus-5p-gasolina-2003-en-valencia-71461316-covo.aspx</t>
        </is>
      </c>
      <c r="D134" s="2" t="inlineStr">
        <is>
          <t>CITROEN C3 1.4i SX Plus</t>
        </is>
      </c>
      <c r="E134" s="2" t="inlineStr">
        <is>
          <t>Citroën</t>
        </is>
      </c>
      <c r="F134" s="2" t="inlineStr">
        <is>
          <t>Citroën C3</t>
        </is>
      </c>
      <c r="G134" s="2" t="inlineStr">
        <is>
          <t>1.4</t>
        </is>
      </c>
      <c r="H134" s="2" t="inlineStr">
        <is>
          <t>1.4i SX Plus</t>
        </is>
      </c>
      <c r="I134" s="2" t="n"/>
      <c r="J134" s="2" t="n"/>
      <c r="K134" s="2" t="inlineStr">
        <is>
          <t>gasolina</t>
        </is>
      </c>
      <c r="L134" s="2" t="inlineStr">
        <is>
          <t>utilitario</t>
        </is>
      </c>
      <c r="M134" s="2" t="n">
        <v>2003</v>
      </c>
      <c r="N134" s="2" t="n">
        <v>125000</v>
      </c>
      <c r="O134" s="2" t="n">
        <v>3490</v>
      </c>
      <c r="P134" s="2" t="inlineStr">
        <is>
          <t>manual</t>
        </is>
      </c>
      <c r="Q134" s="2" t="inlineStr">
        <is>
          <t>no</t>
        </is>
      </c>
      <c r="R134" s="2" t="inlineStr">
        <is>
          <t>profesional</t>
        </is>
      </c>
      <c r="S134" s="2" t="inlineStr">
        <is>
          <t>Alboraya</t>
        </is>
      </c>
      <c r="T134" s="2" t="inlineStr">
        <is>
          <t>2026-09-07T19:02:49Z</t>
        </is>
      </c>
      <c r="U134" s="2" t="n">
        <v>14</v>
      </c>
      <c r="V134" s="2" t="inlineStr">
        <is>
          <t>sí</t>
        </is>
      </c>
      <c r="W134" s="2" t="n"/>
      <c r="X134" s="2" t="n"/>
      <c r="Y134" s="2" t="n"/>
      <c r="Z134" s="2" t="inlineStr">
        <is>
          <t>sí</t>
        </is>
      </c>
      <c r="AA134" s="2" t="n"/>
      <c r="AB134" s="2" t="n">
        <v>12</v>
      </c>
      <c r="AC134" s="2" t="n"/>
      <c r="AD134" s="2" t="n"/>
      <c r="AE134" s="2" t="n"/>
      <c r="AF134" s="2" t="n"/>
      <c r="AG134" s="2" t="n"/>
      <c r="AH134" s="2" t="n">
        <v>3490</v>
      </c>
      <c r="AI134" s="2" t="n">
        <v>3490</v>
      </c>
      <c r="AJ134" s="2" t="n"/>
      <c r="AK134" s="2" t="n"/>
      <c r="AL134" s="2" t="n"/>
      <c r="AM134" s="2" t="n">
        <v>4</v>
      </c>
      <c r="AN134" s="2" t="n"/>
      <c r="AO134" s="2" t="inlineStr">
        <is>
          <t>2003</t>
        </is>
      </c>
      <c r="AP134" s="2" t="n">
        <v>2003</v>
      </c>
      <c r="AQ134" s="2" t="n"/>
      <c r="AR134" s="2" t="n"/>
      <c r="AS134" s="2" t="inlineStr">
        <is>
          <t>regla</t>
        </is>
      </c>
      <c r="AT134" s="2" t="n"/>
      <c r="AU134" s="2" t="inlineStr">
        <is>
          <t>no</t>
        </is>
      </c>
      <c r="AV134" s="2" t="inlineStr">
        <is>
          <t>B</t>
        </is>
      </c>
      <c r="AW134" s="2" t="n"/>
      <c r="AX134" s="2" t="inlineStr">
        <is>
          <t>no</t>
        </is>
      </c>
      <c r="AY134" s="2" t="inlineStr">
        <is>
          <t>no</t>
        </is>
      </c>
      <c r="AZ134" s="2" t="inlineStr">
        <is>
          <t>COMMON.COLOR_GRAY</t>
        </is>
      </c>
      <c r="BA134" s="2" t="inlineStr">
        <is>
          <t>gris_medio</t>
        </is>
      </c>
      <c r="BB134" s="3" t="n">
        <v>2</v>
      </c>
      <c r="BC134" s="3" t="inlineStr">
        <is>
          <t>(por segmento)</t>
        </is>
      </c>
      <c r="BD134" s="2" t="n"/>
      <c r="BE134" s="2" t="n"/>
      <c r="BF134" s="2" t="n"/>
      <c r="BG134" s="2" t="n"/>
      <c r="BH134" s="2" t="n"/>
      <c r="BI134" s="2" t="n"/>
      <c r="BJ134" s="2" t="n"/>
      <c r="BK134" s="2" t="n">
        <v>4</v>
      </c>
      <c r="BL134" s="2" t="inlineStr">
        <is>
          <t>no</t>
        </is>
      </c>
      <c r="BM134" s="2" t="n">
        <v>405</v>
      </c>
      <c r="BN134" s="2" t="n">
        <v>0</v>
      </c>
      <c r="BO134" s="2" t="n">
        <v>3</v>
      </c>
      <c r="BP134" s="2" t="n">
        <v>2645</v>
      </c>
      <c r="BQ134" s="2" t="n">
        <v>6</v>
      </c>
      <c r="BR134" s="2" t="inlineStr">
        <is>
          <t>modelo+año</t>
        </is>
      </c>
      <c r="BS134" s="2" t="n"/>
      <c r="BT134" s="2" t="inlineStr">
        <is>
          <t>vendedor profesional: sin ITP (operación con IVA/REBU, confirmar en factura); gastos de gestión del vendedor no indicados: se suma la tasa DGT; preguntar el precio final; etiqueta B deducida por fecha (sin matrícula ni dato del anuncio)</t>
        </is>
      </c>
      <c r="BU134" s="2" t="inlineStr">
        <is>
          <t>Citroen C3 1.4i SX Plus con 75cv del 2003 con 125.000kms.
GARANTÍA 1 año en motor incluido.
Nacional, se entrega con ITV recién pasada hasta 2027, y con la revisión recién hecha.
Tiene dirección asistida servotronic, aire acondicionado, elevalunas eléctricos, ordenador a bordo, equipo música mp3, anclajes isofix para niños, retrovisores eléctricos, cierre centralizado, etc...
Más fotos e info por WhatsApp 
Lunusa Cars</t>
        </is>
      </c>
      <c r="BV134" s="2" t="inlineStr">
        <is>
          <t>https://www.coches.net/citroen-c3-14i-sx-plus-5p-gasolina-2003-en-valencia-71461316-covo.aspx (window.__INITIAL_PROPS__.ad) /home/user/Alopecia/buscador-coches/raw/cochesnet/01bb244463be9d80.json</t>
        </is>
      </c>
      <c r="BW134" s="3">
        <f>MAX(ANIO_ACTUAL-M134,0)</f>
        <v/>
      </c>
      <c r="BX134" s="4">
        <f>N134/MAX(BW134,0.5)</f>
        <v/>
      </c>
      <c r="BY134" s="4">
        <f>F134</f>
        <v/>
      </c>
      <c r="BZ134" s="3">
        <f>BY134&amp;"|"&amp;INT(M134/SEG_ANIO)*SEG_ANIO</f>
        <v/>
      </c>
      <c r="CA134" s="3">
        <f>BZ134&amp;"|"&amp;INT(N134/SEG_KM)*SEG_KM</f>
        <v/>
      </c>
      <c r="CB134" s="4">
        <f>COUNTIF($BY$2:$BY$209,BY134)</f>
        <v/>
      </c>
      <c r="CC134" s="4">
        <f>COUNTIF($BZ$2:$BZ$209,BZ134)</f>
        <v/>
      </c>
      <c r="CD134" s="4">
        <f>COUNTIF($CA$2:$CA$209,CA134)</f>
        <v/>
      </c>
      <c r="CE134" s="3">
        <f t="array" ref="CE134">IF(N(BQ134)&gt;=MIN_N,BP134,IF(CD134&gt;=MIN_N,MEDIAN(IF($CA$2:$CA$209=CA134,$O$2:$O$209)),IF(CC134&gt;=MIN_N,MEDIAN(IF($BZ$2:$BZ$209=BZ134,$O$2:$O$209)),MEDIAN(IF($BY$2:$BY$209=BY134,$O$2:$O$209)))))</f>
        <v/>
      </c>
      <c r="CF134" s="3">
        <f>IF(N(BQ134)&gt;=MIN_N,"mercado "&amp;BR134,IF(CD134&gt;=MIN_N,"modelo+año+km",IF(CC134&gt;=MIN_N,"modelo+año","modelo")))</f>
        <v/>
      </c>
      <c r="CG134" s="4">
        <f>(CE134-O134)/CE134</f>
        <v/>
      </c>
      <c r="CH134" s="3">
        <f>IF(COUNTIFS(FR_FUEL,K134,FR_YEAR,AP134)&gt;0,1,0)</f>
        <v/>
      </c>
      <c r="CI134" s="3">
        <f>IF(COUNTIFS(FR_FUEL,K134,FR_YEAR,AP134-1)&gt;0,1,0)</f>
        <v/>
      </c>
      <c r="CJ134" s="4">
        <f>IF(N(AQ134)&gt;0,AP134*100+AQ134,IF(AND(CH134=1,CI134=1),(AP134-1)*100+1,AP134*100+1))</f>
        <v/>
      </c>
      <c r="CK134" s="3">
        <f>IF(OR(K134="hibrido",K134="glp",K134="gnc",K134="phev"),"ECO",IF(K134="electrico","CERO",IF(K134="gasolina",IF(CJ134&gt;=GAS_C_YM,"C",IF(CJ134&gt;=GAS_B_YM,"B","A")),IF(K134="diesel",IF(CJ134&gt;=DIE_C_YM,"C",IF(CJ134&gt;=DIE_B_YM,"B","A")),""))))</f>
        <v/>
      </c>
      <c r="CL134" s="4">
        <f>CK134</f>
        <v/>
      </c>
      <c r="CM134" s="4">
        <f>IF(AU134="sí","sí",IF(AS134="regla",IF(AND(N(AQ134)=0,CH134=1),"sí","no"),"no"))</f>
        <v/>
      </c>
      <c r="CN134" s="3">
        <f>IFERROR(VLOOKUP(F134,MOD_TBL,16,0),IFERROR(VLOOKUP(E134,OCU_TBL,2,0),NEUTRO))</f>
        <v/>
      </c>
      <c r="CO134" s="3">
        <f>SUMIFS(MOT_AJUSTE,MOT_MOTOR,G134,MOT_MARCA,E134,MOT_DESDE,"&lt;="&amp;M134,MOT_HASTA,"&gt;="&amp;M134)+SUMIFS(MOT_AJUSTE,MOT_MOTOR,G134,MOT_MARCA,"(todas)",MOT_DESDE,"&lt;="&amp;M134,MOT_HASTA,"&gt;="&amp;M134)+SUMIFS(MOT_AJUSTE,MOT_MOTOR,"(cualquiera)",MOT_MARCA,E134,MOT_DESDE,"&lt;="&amp;M134,MOT_HASTA,"&gt;="&amp;M134)</f>
        <v/>
      </c>
      <c r="CP134" s="3">
        <f>SUMIFS(COMB_AJUSTE,COMB_COMB,K134)</f>
        <v/>
      </c>
      <c r="CQ134" s="3">
        <f>COUNTIFS(MOT_MOTOR,G134,MOT_MARCA,E134,MOT_DESDE,"&lt;="&amp;M134,MOT_HASTA,"&gt;="&amp;M134)+COUNTIFS(MOT_MOTOR,G134,MOT_MARCA,"(todas)",MOT_DESDE,"&lt;="&amp;M134,MOT_HASTA,"&gt;="&amp;M134)+COUNTIFS(MOT_MOTOR,"(cualquiera)",MOT_MARCA,E134,MOT_DESDE,"&lt;="&amp;M134,MOT_HASTA,"&gt;="&amp;M134)</f>
        <v/>
      </c>
      <c r="CR134" s="3">
        <f>IF(AND(K134="diesel",CQ134=0),MIN(CN134,NEUTRO),CN134)</f>
        <v/>
      </c>
      <c r="CS134" s="3">
        <f>MAX(0,MIN(100,CR134+CO134+CP134-IF(AX134="sí",ROB_PEN,0)))</f>
        <v/>
      </c>
      <c r="CT134" s="3">
        <f>100-MAX(0,N134-KM_TOPE_DESDE)/1000*KM_TOPE_PTS</f>
        <v/>
      </c>
      <c r="CU134" s="3">
        <f>MAX(0,MIN(100,50+CG134*PRECIO_PEND,CT134))</f>
        <v/>
      </c>
      <c r="CV134" s="3">
        <f>MAX(0,100*(1-N134/KM_MAX))</f>
        <v/>
      </c>
      <c r="CW134" s="3">
        <f>IF(BX134&lt;KMA_SOSP,IF(AA134="sí",100,KMA_PEN),IF(BX134&lt;=KMA_IDEAL_MAX,100,MAX(0,100*(KMA_CERO-BX134)/(KMA_CERO-KMA_IDEAL_MAX))))</f>
        <v/>
      </c>
      <c r="CX134" s="3">
        <f>MAX(0,MIN(100,100*(M134-ANIO_MIN)/(ANIO_ACTUAL-ANIO_MIN)))</f>
        <v/>
      </c>
      <c r="CY134" s="3">
        <f>W_KMT*CV134+W_KMA*CW134+W_EDAD*CX134</f>
        <v/>
      </c>
      <c r="CZ134" s="4">
        <f>E134&amp;"|"&amp;G134</f>
        <v/>
      </c>
      <c r="DA134" s="3">
        <f>IFERROR(VLOOKUP(CZ134,DIST_TBL,2,0),"")</f>
        <v/>
      </c>
      <c r="DB134" s="3">
        <f>E_ITV*(V134="sí")+E_LIBRO*(W134="sí")+E_PROP*IF(Y134=1,1,IF(Y134=2,0.5,0))+E_CORREA*IF(OR(DA134="cadena",AND(X134="sí",BH134="sí")),1,IF(X134="sí",0.5,0))+E_FACT*(BI134="sí")</f>
        <v/>
      </c>
      <c r="DC134" s="3">
        <f>MAX(0,MIN(100,IFERROR(VLOOKUP(CL134,ETQ_TBL,2,0),0)-IF(CM134="sí",ETQ_PEN_DUD,IF(AS134="regla",ETQ_PEN_REGLA,0))))</f>
        <v/>
      </c>
      <c r="DD134" s="3">
        <f>IF(K134&lt;&gt;"gasolina","",IFERROR(VLOOKUP(F134,CONS_MOD_TBL,2,0),IFERROR(VLOOKUP(L134,CONS_SEG_TBL,2,0),"")))</f>
        <v/>
      </c>
      <c r="DE134" s="3">
        <f>IF(DD134="",NEUTRO,MAX(0,MIN(100,100*(CONS_REF_MAX-DD134)/(CONS_REF_MAX-CONS_REF_MIN))))</f>
        <v/>
      </c>
      <c r="DF134" s="3">
        <f>IFERROR(VLOOKUP(L134,SEGURO_TBL,3,0),"")</f>
        <v/>
      </c>
      <c r="DG134" s="3">
        <f>IF(DF134="",NEUTRO,MAX(0,MIN(100,100*(SEG_REF_MAX-DF134)/(SEG_REF_MAX-SEG_REF_MIN))))</f>
        <v/>
      </c>
      <c r="DH134" s="3">
        <f>IFERROR(VLOOKUP(E134,MANT_MARCA_TBL,2,0)+0,NEUTRO)</f>
        <v/>
      </c>
      <c r="DI134" s="3">
        <f>IF(DA134="",NEUTRO,IFERROR(VLOOKUP(DA134,DIST_PTS_TBL,2,0)+0,NEUTRO))</f>
        <v/>
      </c>
      <c r="DJ134" s="4">
        <f>(DH134+DI134)/2</f>
        <v/>
      </c>
      <c r="DK134" s="3">
        <f>W_CONS*DE134+W_SEG*DG134+W_MANT*DJ134</f>
        <v/>
      </c>
      <c r="DL134" s="3">
        <f>IF(N(AB134)&gt;0,AB134,IF(AND(R134="profesional",SG_LEGAL_ON=1),GAR_LEGAL,0))</f>
        <v/>
      </c>
      <c r="DM134" s="3">
        <f>MAX(0,MIN(100,SG_GAR*MIN(1,DL134/SG_GAR_FULL)+SG_AMPL*(AC134="sí")+SG_KMC*(AF134="sí")+SG_REV*(N(AE134)&gt;0)+SG_DEV*MIN(1,N(AG134)/SG_DEV_FULL)+SG_HIST*(W134="sí")-IF(AND(R134="particular",DL134=0),SG_PART_PEN,0)))</f>
        <v/>
      </c>
      <c r="DN134" s="3">
        <f>IF(BK134="",NEUTRO,MAX(0,MIN(100,BK134/5*100)))</f>
        <v/>
      </c>
      <c r="DO134" s="3">
        <f>IF(BL134="sí",100,IF(BL134="no",0,NEUTRO))</f>
        <v/>
      </c>
      <c r="DP134" s="3">
        <f>SV_W_NCAP*DN134+SV_W_ESP*DO134</f>
        <v/>
      </c>
      <c r="DQ134" s="3">
        <f>MAX(0,MIN(100,ATR_BASE+ATR_ACAB*(BD134&lt;&gt;"")+IF(BE134="16+",ATR_LL16,IF(BE134="sí",ATR_LL,0))+ATR_FAROS*(BF134="sí")+ATR_TINT*(BG134="sí")-ATR_CHAPA*(BE134="chapa")))</f>
        <v/>
      </c>
      <c r="DR134" s="3">
        <f>EST_W_MOD*(BB134-1)/4*100+EST_W_ATR*DQ134</f>
        <v/>
      </c>
      <c r="DS134" s="3">
        <f>IF(BA134="",NEUTRO,IFERROR(VLOOKUP(BA134,COLOR_TBL,2,0)+0,NEUTRO))</f>
        <v/>
      </c>
      <c r="DT134" s="3">
        <f>MAX(0,MIN(100,100*N(BM134)/RV_N_FULL))</f>
        <v/>
      </c>
      <c r="DU134" s="3">
        <f>IF(OR(BN134="",N(BO134)&lt;RV_DIAS_MIN),NEUTRO,MAX(0,MIN(100,100*(RV_DIAS_CERO-BN134)/(RV_DIAS_CERO-RV_DIAS_FULL))))</f>
        <v/>
      </c>
      <c r="DV134" s="3">
        <f>RV_W_LIQ*DT134+RV_W_DIAS*DU134+RV_W_ETQ*DC134</f>
        <v/>
      </c>
      <c r="DW134" s="3">
        <f>IFERROR(VLOOKUP(L134,CARR_PEN_TBL,2,0),0)</f>
        <v/>
      </c>
      <c r="DX134" s="3">
        <f>W_FIAB*CS134+W_PRECIO*CU134+W_KMEDAD*CY134+W_ESTADO*DB134+W_USO*DK134+W_SEGURIDAD*DM134+W_SEGVIAL*DP134+W_ESTETICA*DR134+W_COLOR*DS134+W_REVENTA*DV134-DW134-EG134</f>
        <v/>
      </c>
      <c r="DY134" s="4">
        <f>IF(N(I134)&gt;0,I134,IFERROR(ROUND(_xlfn.NUMBERVALUE(LEFT(G134,FIND(" ",G134&amp;" ")-1),".")*1000,0),99999))</f>
        <v/>
      </c>
      <c r="DZ134" s="3">
        <f>IF(R134="profesional",0,IF(O134&lt;CUOTA_VALOR_MAX,IF(BW134&gt;ITP_TRAMO_ALTO,SUMIFS(CF_CUOTA,CF_MAS,ITP_TRAMO_ALTO,CF_CCMIN,"&lt;="&amp;DY134,CF_CCMAX,"&gt;="&amp;DY134),IF(BW134&gt;ITP_TRAMO_BAJO,SUMIFS(CF_CUOTA,CF_MAS,ITP_TRAMO_BAJO,CF_CCMIN,"&lt;="&amp;DY134,CF_CCMAX,"&gt;="&amp;DY134),O134*ITP_TIPO)),O134*ITP_TIPO))</f>
        <v/>
      </c>
      <c r="EA134" s="4">
        <f>IF(R134="profesional",N(AK134),0)</f>
        <v/>
      </c>
      <c r="EB134" s="3">
        <f>IF(AND(R134="profesional",ISNUMBER(AK134),AL134="sí"),0,TASA_DGT)</f>
        <v/>
      </c>
      <c r="EC134" s="3">
        <f>INFORME_DGT</f>
        <v/>
      </c>
      <c r="ED134" s="4">
        <f>O134+EA134+DZ134+EB134+EC134</f>
        <v/>
      </c>
      <c r="EE134" s="4">
        <f>ED134+N(DF134)</f>
        <v/>
      </c>
      <c r="EF134" s="3">
        <f>MAX(0,ED134-TOTAL_MAX)</f>
        <v/>
      </c>
      <c r="EG134" s="3">
        <f>EF134/100*PEN_100</f>
        <v/>
      </c>
      <c r="EH134" s="3">
        <f>IF(R134="particular",ED134+IF(AND(DA134&lt;&gt;"cadena",X134&lt;&gt;"sí"),RES_CORREA,0)+IF(AND(BJ134&lt;&gt;"sí",BW134&gt;=RES_NEUM_EDAD),RES_NEUM,0),"")</f>
        <v/>
      </c>
      <c r="EI134" s="3">
        <f>IF(ED134&lt;=TOTAL_MAX,"sí",IF(ED134&lt;=TECHO,"negociar","no"))</f>
        <v/>
      </c>
      <c r="EJ134" s="4">
        <f>ROUND(DX134,9)</f>
        <v/>
      </c>
      <c r="EK134" s="4">
        <f>IF(EI134&lt;&gt;"no",SUMPRODUCT(($EI$2:$EI$209&lt;&gt;"no")*($EJ$2:$EJ$209&gt;EJ134))+SUMPRODUCT(($EI$2:EI134&lt;&gt;"no")*($EJ$2:EJ134=EJ134)),"")</f>
        <v/>
      </c>
    </row>
    <row r="135">
      <c r="A135" s="2" t="inlineStr">
        <is>
          <t>cochesnet:71550742</t>
        </is>
      </c>
      <c r="B135" s="2" t="inlineStr">
        <is>
          <t>cochesnet</t>
        </is>
      </c>
      <c r="C135" s="2" t="inlineStr">
        <is>
          <t>https://www.coches.net/citroen-c2-11i-furio-3p-gasolina-2005-en-valencia-71550742-covo.aspx</t>
        </is>
      </c>
      <c r="D135" s="2" t="inlineStr">
        <is>
          <t>CITROEN C2 1.1I Furio</t>
        </is>
      </c>
      <c r="E135" s="2" t="inlineStr">
        <is>
          <t>Citroën</t>
        </is>
      </c>
      <c r="F135" s="2" t="inlineStr">
        <is>
          <t>Citroën C2</t>
        </is>
      </c>
      <c r="G135" s="2" t="inlineStr">
        <is>
          <t>1.1</t>
        </is>
      </c>
      <c r="H135" s="2" t="inlineStr">
        <is>
          <t>1.1I Furio</t>
        </is>
      </c>
      <c r="I135" s="2" t="n"/>
      <c r="J135" s="2" t="n"/>
      <c r="K135" s="2" t="inlineStr">
        <is>
          <t>gasolina</t>
        </is>
      </c>
      <c r="L135" s="2" t="inlineStr">
        <is>
          <t>utilitario</t>
        </is>
      </c>
      <c r="M135" s="2" t="n">
        <v>2007</v>
      </c>
      <c r="N135" s="2" t="n">
        <v>98000</v>
      </c>
      <c r="O135" s="2" t="n">
        <v>3490</v>
      </c>
      <c r="P135" s="2" t="inlineStr">
        <is>
          <t>manual</t>
        </is>
      </c>
      <c r="Q135" s="2" t="inlineStr">
        <is>
          <t>no</t>
        </is>
      </c>
      <c r="R135" s="2" t="inlineStr">
        <is>
          <t>profesional</t>
        </is>
      </c>
      <c r="S135" s="2" t="inlineStr">
        <is>
          <t>GO! autos Sagunto (Sagunt)</t>
        </is>
      </c>
      <c r="T135" s="2" t="inlineStr">
        <is>
          <t>2026-09-19T11:12:28Z</t>
        </is>
      </c>
      <c r="U135" s="2" t="n">
        <v>13</v>
      </c>
      <c r="V135" s="2" t="inlineStr">
        <is>
          <t>sí</t>
        </is>
      </c>
      <c r="W135" s="2" t="inlineStr">
        <is>
          <t>sí</t>
        </is>
      </c>
      <c r="X135" s="2" t="n"/>
      <c r="Y135" s="2" t="n"/>
      <c r="Z135" s="2" t="inlineStr">
        <is>
          <t>sí</t>
        </is>
      </c>
      <c r="AA135" s="2" t="inlineStr">
        <is>
          <t>sí</t>
        </is>
      </c>
      <c r="AB135" s="2" t="n">
        <v>12</v>
      </c>
      <c r="AC135" s="2" t="n"/>
      <c r="AD135" s="2" t="n"/>
      <c r="AE135" s="2" t="n"/>
      <c r="AF135" s="2" t="inlineStr">
        <is>
          <t>sí</t>
        </is>
      </c>
      <c r="AG135" s="2" t="n"/>
      <c r="AH135" s="2" t="n">
        <v>3490</v>
      </c>
      <c r="AI135" s="2" t="n">
        <v>3490</v>
      </c>
      <c r="AJ135" s="2" t="n"/>
      <c r="AK135" s="2" t="n"/>
      <c r="AL135" s="2" t="n"/>
      <c r="AM135" s="2" t="n"/>
      <c r="AN135" s="2" t="n"/>
      <c r="AO135" s="2" t="inlineStr">
        <is>
          <t>2007</t>
        </is>
      </c>
      <c r="AP135" s="2" t="n">
        <v>2007</v>
      </c>
      <c r="AQ135" s="2" t="n"/>
      <c r="AR135" s="2" t="n"/>
      <c r="AS135" s="2" t="inlineStr">
        <is>
          <t>regla</t>
        </is>
      </c>
      <c r="AT135" s="2" t="n">
        <v>2005</v>
      </c>
      <c r="AU135" s="2" t="inlineStr">
        <is>
          <t>sí</t>
        </is>
      </c>
      <c r="AV135" s="2" t="inlineStr">
        <is>
          <t>B/C</t>
        </is>
      </c>
      <c r="AW135" s="2" t="n"/>
      <c r="AX135" s="2" t="inlineStr">
        <is>
          <t>no</t>
        </is>
      </c>
      <c r="AY135" s="2" t="inlineStr">
        <is>
          <t>no</t>
        </is>
      </c>
      <c r="AZ135" s="2" t="inlineStr">
        <is>
          <t>COMMON.COLOR_GARNET</t>
        </is>
      </c>
      <c r="BA135" s="2" t="inlineStr">
        <is>
          <t>granate</t>
        </is>
      </c>
      <c r="BB135" s="3" t="n">
        <v>2</v>
      </c>
      <c r="BC135" s="3" t="inlineStr">
        <is>
          <t>(por segmento)</t>
        </is>
      </c>
      <c r="BD135" s="2" t="n"/>
      <c r="BE135" s="2" t="n"/>
      <c r="BF135" s="2" t="n"/>
      <c r="BG135" s="2" t="n"/>
      <c r="BH135" s="2" t="n"/>
      <c r="BI135" s="2" t="n"/>
      <c r="BJ135" s="2" t="n"/>
      <c r="BK135" s="2" t="n">
        <v>4</v>
      </c>
      <c r="BL135" s="2" t="inlineStr">
        <is>
          <t>no</t>
        </is>
      </c>
      <c r="BM135" s="2" t="n">
        <v>21</v>
      </c>
      <c r="BN135" s="2" t="n"/>
      <c r="BO135" s="2" t="n">
        <v>0</v>
      </c>
      <c r="BP135" s="2" t="n">
        <v>3444.5</v>
      </c>
      <c r="BQ135" s="2" t="n">
        <v>6</v>
      </c>
      <c r="BR135" s="2" t="inlineStr">
        <is>
          <t>modelo+año</t>
        </is>
      </c>
      <c r="BS135" s="2" t="n"/>
      <c r="BT135" s="2" t="inlineStr">
        <is>
          <t>etiqueta dudosa (B/C): se puntúa la peor (B); confirmar con la DGT antes de comprar; año a confirmar: la URL/título dice 2005; vendedor profesional: sin ITP (operación con IVA/REBU, confirmar en factura); gastos de gestión del vendedor no indicados: se suma la tasa DGT; preguntar el precio final; distancia no verificable (el anuncio solo indica la provincia): confirmar que está a &lt;= 70 km; fiabilidad del modelo PENDIENTE de fuente (puntuación neutra)</t>
        </is>
      </c>
      <c r="BU135" s="2" t="inlineStr">
        <is>
          <t xml:space="preserve">GO AUTOS TE OFRECE: 
CITROEN C2 con tan solo 98.000KM certificados !
Mantenimiento al día 
ITV en vigor 
Dirección asistida 
Climatizador 
Ordenador a bordo 
Elevalunas eléctrico 
 Sistema multimedia 
*12 meses de garantía incluido en el precio. </t>
        </is>
      </c>
      <c r="BV135" s="2" t="inlineStr">
        <is>
          <t>https://www.coches.net/citroen-c2-11i-furio-3p-gasolina-2005-en-valencia-71550742-covo.aspx (window.__INITIAL_PROPS__.ad) /home/user/Alopecia/buscador-coches/raw/cochesnet/9987151bd763cbab.json</t>
        </is>
      </c>
      <c r="BW135" s="3">
        <f>MAX(ANIO_ACTUAL-M135,0)</f>
        <v/>
      </c>
      <c r="BX135" s="4">
        <f>N135/MAX(BW135,0.5)</f>
        <v/>
      </c>
      <c r="BY135" s="4">
        <f>F135</f>
        <v/>
      </c>
      <c r="BZ135" s="3">
        <f>BY135&amp;"|"&amp;INT(M135/SEG_ANIO)*SEG_ANIO</f>
        <v/>
      </c>
      <c r="CA135" s="3">
        <f>BZ135&amp;"|"&amp;INT(N135/SEG_KM)*SEG_KM</f>
        <v/>
      </c>
      <c r="CB135" s="4">
        <f>COUNTIF($BY$2:$BY$209,BY135)</f>
        <v/>
      </c>
      <c r="CC135" s="4">
        <f>COUNTIF($BZ$2:$BZ$209,BZ135)</f>
        <v/>
      </c>
      <c r="CD135" s="4">
        <f>COUNTIF($CA$2:$CA$209,CA135)</f>
        <v/>
      </c>
      <c r="CE135" s="3">
        <f t="array" ref="CE135">IF(N(BQ135)&gt;=MIN_N,BP135,IF(CD135&gt;=MIN_N,MEDIAN(IF($CA$2:$CA$209=CA135,$O$2:$O$209)),IF(CC135&gt;=MIN_N,MEDIAN(IF($BZ$2:$BZ$209=BZ135,$O$2:$O$209)),MEDIAN(IF($BY$2:$BY$209=BY135,$O$2:$O$209)))))</f>
        <v/>
      </c>
      <c r="CF135" s="3">
        <f>IF(N(BQ135)&gt;=MIN_N,"mercado "&amp;BR135,IF(CD135&gt;=MIN_N,"modelo+año+km",IF(CC135&gt;=MIN_N,"modelo+año","modelo")))</f>
        <v/>
      </c>
      <c r="CG135" s="4">
        <f>(CE135-O135)/CE135</f>
        <v/>
      </c>
      <c r="CH135" s="3">
        <f>IF(COUNTIFS(FR_FUEL,K135,FR_YEAR,AP135)&gt;0,1,0)</f>
        <v/>
      </c>
      <c r="CI135" s="3">
        <f>IF(COUNTIFS(FR_FUEL,K135,FR_YEAR,AP135-1)&gt;0,1,0)</f>
        <v/>
      </c>
      <c r="CJ135" s="4">
        <f>IF(N(AQ135)&gt;0,AP135*100+AQ135,IF(AND(CH135=1,CI135=1),(AP135-1)*100+1,AP135*100+1))</f>
        <v/>
      </c>
      <c r="CK135" s="3">
        <f>IF(OR(K135="hibrido",K135="glp",K135="gnc",K135="phev"),"ECO",IF(K135="electrico","CERO",IF(K135="gasolina",IF(CJ135&gt;=GAS_C_YM,"C",IF(CJ135&gt;=GAS_B_YM,"B","A")),IF(K135="diesel",IF(CJ135&gt;=DIE_C_YM,"C",IF(CJ135&gt;=DIE_B_YM,"B","A")),""))))</f>
        <v/>
      </c>
      <c r="CL135" s="2" t="inlineStr">
        <is>
          <t>B</t>
        </is>
      </c>
      <c r="CM135" s="4">
        <f>IF(AU135="sí","sí",IF(AS135="regla",IF(AND(N(AQ135)=0,CH135=1),"sí","no"),"no"))</f>
        <v/>
      </c>
      <c r="CN135" s="3">
        <f>IFERROR(VLOOKUP(F135,MOD_TBL,16,0),IFERROR(VLOOKUP(E135,OCU_TBL,2,0),NEUTRO))</f>
        <v/>
      </c>
      <c r="CO135" s="3">
        <f>SUMIFS(MOT_AJUSTE,MOT_MOTOR,G135,MOT_MARCA,E135,MOT_DESDE,"&lt;="&amp;M135,MOT_HASTA,"&gt;="&amp;M135)+SUMIFS(MOT_AJUSTE,MOT_MOTOR,G135,MOT_MARCA,"(todas)",MOT_DESDE,"&lt;="&amp;M135,MOT_HASTA,"&gt;="&amp;M135)+SUMIFS(MOT_AJUSTE,MOT_MOTOR,"(cualquiera)",MOT_MARCA,E135,MOT_DESDE,"&lt;="&amp;M135,MOT_HASTA,"&gt;="&amp;M135)</f>
        <v/>
      </c>
      <c r="CP135" s="3">
        <f>SUMIFS(COMB_AJUSTE,COMB_COMB,K135)</f>
        <v/>
      </c>
      <c r="CQ135" s="3">
        <f>COUNTIFS(MOT_MOTOR,G135,MOT_MARCA,E135,MOT_DESDE,"&lt;="&amp;M135,MOT_HASTA,"&gt;="&amp;M135)+COUNTIFS(MOT_MOTOR,G135,MOT_MARCA,"(todas)",MOT_DESDE,"&lt;="&amp;M135,MOT_HASTA,"&gt;="&amp;M135)+COUNTIFS(MOT_MOTOR,"(cualquiera)",MOT_MARCA,E135,MOT_DESDE,"&lt;="&amp;M135,MOT_HASTA,"&gt;="&amp;M135)</f>
        <v/>
      </c>
      <c r="CR135" s="3">
        <f>IF(AND(K135="diesel",CQ135=0),MIN(CN135,NEUTRO),CN135)</f>
        <v/>
      </c>
      <c r="CS135" s="3">
        <f>MAX(0,MIN(100,CR135+CO135+CP135-IF(AX135="sí",ROB_PEN,0)))</f>
        <v/>
      </c>
      <c r="CT135" s="3">
        <f>100-MAX(0,N135-KM_TOPE_DESDE)/1000*KM_TOPE_PTS</f>
        <v/>
      </c>
      <c r="CU135" s="3">
        <f>MAX(0,MIN(100,50+CG135*PRECIO_PEND,CT135))</f>
        <v/>
      </c>
      <c r="CV135" s="3">
        <f>MAX(0,100*(1-N135/KM_MAX))</f>
        <v/>
      </c>
      <c r="CW135" s="3">
        <f>IF(BX135&lt;KMA_SOSP,IF(AA135="sí",100,KMA_PEN),IF(BX135&lt;=KMA_IDEAL_MAX,100,MAX(0,100*(KMA_CERO-BX135)/(KMA_CERO-KMA_IDEAL_MAX))))</f>
        <v/>
      </c>
      <c r="CX135" s="3">
        <f>MAX(0,MIN(100,100*(M135-ANIO_MIN)/(ANIO_ACTUAL-ANIO_MIN)))</f>
        <v/>
      </c>
      <c r="CY135" s="3">
        <f>W_KMT*CV135+W_KMA*CW135+W_EDAD*CX135</f>
        <v/>
      </c>
      <c r="CZ135" s="4">
        <f>E135&amp;"|"&amp;G135</f>
        <v/>
      </c>
      <c r="DA135" s="3">
        <f>IFERROR(VLOOKUP(CZ135,DIST_TBL,2,0),"")</f>
        <v/>
      </c>
      <c r="DB135" s="3">
        <f>E_ITV*(V135="sí")+E_LIBRO*(W135="sí")+E_PROP*IF(Y135=1,1,IF(Y135=2,0.5,0))+E_CORREA*IF(OR(DA135="cadena",AND(X135="sí",BH135="sí")),1,IF(X135="sí",0.5,0))+E_FACT*(BI135="sí")</f>
        <v/>
      </c>
      <c r="DC135" s="3">
        <f>MAX(0,MIN(100,IFERROR(VLOOKUP(CL135,ETQ_TBL,2,0),0)-IF(CM135="sí",ETQ_PEN_DUD,IF(AS135="regla",ETQ_PEN_REGLA,0))))</f>
        <v/>
      </c>
      <c r="DD135" s="3">
        <f>IF(K135&lt;&gt;"gasolina","",IFERROR(VLOOKUP(F135,CONS_MOD_TBL,2,0),IFERROR(VLOOKUP(L135,CONS_SEG_TBL,2,0),"")))</f>
        <v/>
      </c>
      <c r="DE135" s="3">
        <f>IF(DD135="",NEUTRO,MAX(0,MIN(100,100*(CONS_REF_MAX-DD135)/(CONS_REF_MAX-CONS_REF_MIN))))</f>
        <v/>
      </c>
      <c r="DF135" s="3">
        <f>IFERROR(VLOOKUP(L135,SEGURO_TBL,3,0),"")</f>
        <v/>
      </c>
      <c r="DG135" s="3">
        <f>IF(DF135="",NEUTRO,MAX(0,MIN(100,100*(SEG_REF_MAX-DF135)/(SEG_REF_MAX-SEG_REF_MIN))))</f>
        <v/>
      </c>
      <c r="DH135" s="3">
        <f>IFERROR(VLOOKUP(E135,MANT_MARCA_TBL,2,0)+0,NEUTRO)</f>
        <v/>
      </c>
      <c r="DI135" s="3">
        <f>IF(DA135="",NEUTRO,IFERROR(VLOOKUP(DA135,DIST_PTS_TBL,2,0)+0,NEUTRO))</f>
        <v/>
      </c>
      <c r="DJ135" s="4">
        <f>(DH135+DI135)/2</f>
        <v/>
      </c>
      <c r="DK135" s="3">
        <f>W_CONS*DE135+W_SEG*DG135+W_MANT*DJ135</f>
        <v/>
      </c>
      <c r="DL135" s="3">
        <f>IF(N(AB135)&gt;0,AB135,IF(AND(R135="profesional",SG_LEGAL_ON=1),GAR_LEGAL,0))</f>
        <v/>
      </c>
      <c r="DM135" s="3">
        <f>MAX(0,MIN(100,SG_GAR*MIN(1,DL135/SG_GAR_FULL)+SG_AMPL*(AC135="sí")+SG_KMC*(AF135="sí")+SG_REV*(N(AE135)&gt;0)+SG_DEV*MIN(1,N(AG135)/SG_DEV_FULL)+SG_HIST*(W135="sí")-IF(AND(R135="particular",DL135=0),SG_PART_PEN,0)))</f>
        <v/>
      </c>
      <c r="DN135" s="3">
        <f>IF(BK135="",NEUTRO,MAX(0,MIN(100,BK135/5*100)))</f>
        <v/>
      </c>
      <c r="DO135" s="3">
        <f>IF(BL135="sí",100,IF(BL135="no",0,NEUTRO))</f>
        <v/>
      </c>
      <c r="DP135" s="3">
        <f>SV_W_NCAP*DN135+SV_W_ESP*DO135</f>
        <v/>
      </c>
      <c r="DQ135" s="3">
        <f>MAX(0,MIN(100,ATR_BASE+ATR_ACAB*(BD135&lt;&gt;"")+IF(BE135="16+",ATR_LL16,IF(BE135="sí",ATR_LL,0))+ATR_FAROS*(BF135="sí")+ATR_TINT*(BG135="sí")-ATR_CHAPA*(BE135="chapa")))</f>
        <v/>
      </c>
      <c r="DR135" s="3">
        <f>EST_W_MOD*(BB135-1)/4*100+EST_W_ATR*DQ135</f>
        <v/>
      </c>
      <c r="DS135" s="3">
        <f>IF(BA135="",NEUTRO,IFERROR(VLOOKUP(BA135,COLOR_TBL,2,0)+0,NEUTRO))</f>
        <v/>
      </c>
      <c r="DT135" s="3">
        <f>MAX(0,MIN(100,100*N(BM135)/RV_N_FULL))</f>
        <v/>
      </c>
      <c r="DU135" s="3">
        <f>IF(OR(BN135="",N(BO135)&lt;RV_DIAS_MIN),NEUTRO,MAX(0,MIN(100,100*(RV_DIAS_CERO-BN135)/(RV_DIAS_CERO-RV_DIAS_FULL))))</f>
        <v/>
      </c>
      <c r="DV135" s="3">
        <f>RV_W_LIQ*DT135+RV_W_DIAS*DU135+RV_W_ETQ*DC135</f>
        <v/>
      </c>
      <c r="DW135" s="3">
        <f>IFERROR(VLOOKUP(L135,CARR_PEN_TBL,2,0),0)</f>
        <v/>
      </c>
      <c r="DX135" s="3">
        <f>W_FIAB*CS135+W_PRECIO*CU135+W_KMEDAD*CY135+W_ESTADO*DB135+W_USO*DK135+W_SEGURIDAD*DM135+W_SEGVIAL*DP135+W_ESTETICA*DR135+W_COLOR*DS135+W_REVENTA*DV135-DW135-EG135</f>
        <v/>
      </c>
      <c r="DY135" s="4">
        <f>IF(N(I135)&gt;0,I135,IFERROR(ROUND(_xlfn.NUMBERVALUE(LEFT(G135,FIND(" ",G135&amp;" ")-1),".")*1000,0),99999))</f>
        <v/>
      </c>
      <c r="DZ135" s="3">
        <f>IF(R135="profesional",0,IF(O135&lt;CUOTA_VALOR_MAX,IF(BW135&gt;ITP_TRAMO_ALTO,SUMIFS(CF_CUOTA,CF_MAS,ITP_TRAMO_ALTO,CF_CCMIN,"&lt;="&amp;DY135,CF_CCMAX,"&gt;="&amp;DY135),IF(BW135&gt;ITP_TRAMO_BAJO,SUMIFS(CF_CUOTA,CF_MAS,ITP_TRAMO_BAJO,CF_CCMIN,"&lt;="&amp;DY135,CF_CCMAX,"&gt;="&amp;DY135),O135*ITP_TIPO)),O135*ITP_TIPO))</f>
        <v/>
      </c>
      <c r="EA135" s="4">
        <f>IF(R135="profesional",N(AK135),0)</f>
        <v/>
      </c>
      <c r="EB135" s="3">
        <f>IF(AND(R135="profesional",ISNUMBER(AK135),AL135="sí"),0,TASA_DGT)</f>
        <v/>
      </c>
      <c r="EC135" s="3">
        <f>INFORME_DGT</f>
        <v/>
      </c>
      <c r="ED135" s="4">
        <f>O135+EA135+DZ135+EB135+EC135</f>
        <v/>
      </c>
      <c r="EE135" s="4">
        <f>ED135+N(DF135)</f>
        <v/>
      </c>
      <c r="EF135" s="3">
        <f>MAX(0,ED135-TOTAL_MAX)</f>
        <v/>
      </c>
      <c r="EG135" s="3">
        <f>EF135/100*PEN_100</f>
        <v/>
      </c>
      <c r="EH135" s="3">
        <f>IF(R135="particular",ED135+IF(AND(DA135&lt;&gt;"cadena",X135&lt;&gt;"sí"),RES_CORREA,0)+IF(AND(BJ135&lt;&gt;"sí",BW135&gt;=RES_NEUM_EDAD),RES_NEUM,0),"")</f>
        <v/>
      </c>
      <c r="EI135" s="3">
        <f>IF(ED135&lt;=TOTAL_MAX,"sí",IF(ED135&lt;=TECHO,"negociar","no"))</f>
        <v/>
      </c>
      <c r="EJ135" s="4">
        <f>ROUND(DX135,9)</f>
        <v/>
      </c>
      <c r="EK135" s="4">
        <f>IF(EI135&lt;&gt;"no",SUMPRODUCT(($EI$2:$EI$209&lt;&gt;"no")*($EJ$2:$EJ$209&gt;EJ135))+SUMPRODUCT(($EI$2:EI135&lt;&gt;"no")*($EJ$2:EJ135=EJ135)),"")</f>
        <v/>
      </c>
    </row>
    <row r="136">
      <c r="A136" s="2" t="inlineStr">
        <is>
          <t>cochesnet:71405714</t>
        </is>
      </c>
      <c r="B136" s="2" t="inlineStr">
        <is>
          <t>cochesnet</t>
        </is>
      </c>
      <c r="C136" s="2" t="inlineStr">
        <is>
          <t>https://www.coches.net/citroen-c3-14i-exclusive-5p-gasolina-2005-en-valencia-71405714-covo.aspx</t>
        </is>
      </c>
      <c r="D136" s="2" t="inlineStr">
        <is>
          <t>CITROEN C3 1.4i Exclusive</t>
        </is>
      </c>
      <c r="E136" s="2" t="inlineStr">
        <is>
          <t>Citroën</t>
        </is>
      </c>
      <c r="F136" s="2" t="inlineStr">
        <is>
          <t>Citroën C3</t>
        </is>
      </c>
      <c r="G136" s="2" t="inlineStr">
        <is>
          <t>1.4</t>
        </is>
      </c>
      <c r="H136" s="2" t="inlineStr">
        <is>
          <t>1.4i Exclusive</t>
        </is>
      </c>
      <c r="I136" s="2" t="n"/>
      <c r="J136" s="2" t="n"/>
      <c r="K136" s="2" t="inlineStr">
        <is>
          <t>gasolina</t>
        </is>
      </c>
      <c r="L136" s="2" t="inlineStr">
        <is>
          <t>utilitario</t>
        </is>
      </c>
      <c r="M136" s="2" t="n">
        <v>2005</v>
      </c>
      <c r="N136" s="2" t="n">
        <v>47000</v>
      </c>
      <c r="O136" s="2" t="n">
        <v>3990</v>
      </c>
      <c r="P136" s="2" t="inlineStr">
        <is>
          <t>manual</t>
        </is>
      </c>
      <c r="Q136" s="2" t="inlineStr">
        <is>
          <t>no</t>
        </is>
      </c>
      <c r="R136" s="2" t="inlineStr">
        <is>
          <t>profesional</t>
        </is>
      </c>
      <c r="S136" s="2" t="inlineStr">
        <is>
          <t>PNG MotorSport Valencia</t>
        </is>
      </c>
      <c r="T136" s="2" t="inlineStr">
        <is>
          <t>2026-08-31T20:23:26Z</t>
        </is>
      </c>
      <c r="U136" s="2" t="n">
        <v>31</v>
      </c>
      <c r="V136" s="2" t="n"/>
      <c r="W136" s="2" t="n"/>
      <c r="X136" s="2" t="n"/>
      <c r="Y136" s="2" t="n"/>
      <c r="Z136" s="2" t="inlineStr">
        <is>
          <t>sí</t>
        </is>
      </c>
      <c r="AA136" s="2" t="n"/>
      <c r="AB136" s="2" t="n">
        <v>12</v>
      </c>
      <c r="AC136" s="2" t="n"/>
      <c r="AD136" s="2" t="n"/>
      <c r="AE136" s="2" t="n"/>
      <c r="AF136" s="2" t="n"/>
      <c r="AG136" s="2" t="n"/>
      <c r="AH136" s="2" t="n">
        <v>3990</v>
      </c>
      <c r="AI136" s="2" t="n"/>
      <c r="AJ136" s="2" t="n"/>
      <c r="AK136" s="2" t="n"/>
      <c r="AL136" s="2" t="n"/>
      <c r="AM136" s="2" t="n">
        <v>0.1</v>
      </c>
      <c r="AN136" s="2" t="n"/>
      <c r="AO136" s="2" t="inlineStr">
        <is>
          <t>2005</t>
        </is>
      </c>
      <c r="AP136" s="2" t="n">
        <v>2005</v>
      </c>
      <c r="AQ136" s="2" t="n"/>
      <c r="AR136" s="2" t="inlineStr">
        <is>
          <t>B</t>
        </is>
      </c>
      <c r="AS136" s="2" t="inlineStr">
        <is>
          <t>anuncio</t>
        </is>
      </c>
      <c r="AT136" s="2" t="n"/>
      <c r="AU136" s="2" t="inlineStr">
        <is>
          <t>no</t>
        </is>
      </c>
      <c r="AV136" s="2" t="inlineStr">
        <is>
          <t>B</t>
        </is>
      </c>
      <c r="AW136" s="2" t="n"/>
      <c r="AX136" s="2" t="inlineStr">
        <is>
          <t>no</t>
        </is>
      </c>
      <c r="AY136" s="2" t="inlineStr">
        <is>
          <t>no</t>
        </is>
      </c>
      <c r="AZ136" s="2" t="inlineStr">
        <is>
          <t>COMMON.COLOR_GREEN</t>
        </is>
      </c>
      <c r="BA136" s="2" t="inlineStr">
        <is>
          <t>verde</t>
        </is>
      </c>
      <c r="BB136" s="3" t="n">
        <v>2</v>
      </c>
      <c r="BC136" s="3" t="inlineStr">
        <is>
          <t>(por segmento)</t>
        </is>
      </c>
      <c r="BD136" s="2" t="inlineStr">
        <is>
          <t>exclusive</t>
        </is>
      </c>
      <c r="BE136" s="2" t="inlineStr">
        <is>
          <t>sí</t>
        </is>
      </c>
      <c r="BF136" s="2" t="n"/>
      <c r="BG136" s="2" t="n"/>
      <c r="BH136" s="2" t="n"/>
      <c r="BI136" s="2" t="n"/>
      <c r="BJ136" s="2" t="n"/>
      <c r="BK136" s="2" t="n">
        <v>4</v>
      </c>
      <c r="BL136" s="2" t="inlineStr">
        <is>
          <t>no</t>
        </is>
      </c>
      <c r="BM136" s="2" t="n">
        <v>405</v>
      </c>
      <c r="BN136" s="2" t="n">
        <v>0</v>
      </c>
      <c r="BO136" s="2" t="n">
        <v>3</v>
      </c>
      <c r="BP136" s="2" t="n">
        <v>2750</v>
      </c>
      <c r="BQ136" s="2" t="n">
        <v>42</v>
      </c>
      <c r="BR136" s="2" t="inlineStr">
        <is>
          <t>modelo+año</t>
        </is>
      </c>
      <c r="BS136" s="2" t="n"/>
      <c r="BT136" s="2" t="inlineStr">
        <is>
          <t>vendedor profesional: sin ITP (operación con IVA/REBU, confirmar en factura); gastos de gestión del vendedor no indicados: se suma la tasa DGT; preguntar el precio final</t>
        </is>
      </c>
      <c r="BU136" s="2" t="inlineStr">
        <is>
          <t xml:space="preserve">Citroen C3 1.4 Gasolina 75CV , año 2005 con 47.000km reales.
Vehículo en perfecto estado, tanto interior como exterior.
Ideal para quienes buscan el utilitario perfecto , eficiente, con muy buen equipamiento, cómodo y con muy poco consumo.
Ofrece un equilibrio perfecto entre comodidad y eficiencia 
Características:
-Motor 1.4 Gasolina con 75 CV
-Año de matriculación 2005
-Transmisión Manual 
-Consumo medio 6.5L/ 100
-Color Verde
-Etiqueta B
-En perfecto estado 
Extras:
-Asientos tela
-Radio CD 
-Climatizador
-Cierre centralizado
-Llantas de aluminio 
-Elevalunas eléctricos  
-Aire acondicionado
-Retrovisores eléctricos 
Y mucho más 
Estado:
-Garantía 1 año
-En perfecto estado de carrocería 
-Perfecto estado de interior 
-Neumáticos en perfecto estado
-Revisión recién hecha
-Con ITV
Condiciones:
-Entrega a domicilio
-Cambio de titularidad 
-Valoramos tu vehículo como parte de pago
El anuncio puede contener errores
</t>
        </is>
      </c>
      <c r="BV136" s="2" t="inlineStr">
        <is>
          <t>https://www.coches.net/citroen-c3-14i-exclusive-5p-gasolina-2005-en-valencia-71405714-covo.aspx (window.__INITIAL_PROPS__.ad) /home/user/Alopecia/buscador-coches/raw/cochesnet/2d713e3e8da09f4b.json</t>
        </is>
      </c>
      <c r="BW136" s="3">
        <f>MAX(ANIO_ACTUAL-M136,0)</f>
        <v/>
      </c>
      <c r="BX136" s="4">
        <f>N136/MAX(BW136,0.5)</f>
        <v/>
      </c>
      <c r="BY136" s="4">
        <f>F136</f>
        <v/>
      </c>
      <c r="BZ136" s="3">
        <f>BY136&amp;"|"&amp;INT(M136/SEG_ANIO)*SEG_ANIO</f>
        <v/>
      </c>
      <c r="CA136" s="3">
        <f>BZ136&amp;"|"&amp;INT(N136/SEG_KM)*SEG_KM</f>
        <v/>
      </c>
      <c r="CB136" s="4">
        <f>COUNTIF($BY$2:$BY$209,BY136)</f>
        <v/>
      </c>
      <c r="CC136" s="4">
        <f>COUNTIF($BZ$2:$BZ$209,BZ136)</f>
        <v/>
      </c>
      <c r="CD136" s="4">
        <f>COUNTIF($CA$2:$CA$209,CA136)</f>
        <v/>
      </c>
      <c r="CE136" s="3">
        <f t="array" ref="CE136">IF(N(BQ136)&gt;=MIN_N,BP136,IF(CD136&gt;=MIN_N,MEDIAN(IF($CA$2:$CA$209=CA136,$O$2:$O$209)),IF(CC136&gt;=MIN_N,MEDIAN(IF($BZ$2:$BZ$209=BZ136,$O$2:$O$209)),MEDIAN(IF($BY$2:$BY$209=BY136,$O$2:$O$209)))))</f>
        <v/>
      </c>
      <c r="CF136" s="3">
        <f>IF(N(BQ136)&gt;=MIN_N,"mercado "&amp;BR136,IF(CD136&gt;=MIN_N,"modelo+año+km",IF(CC136&gt;=MIN_N,"modelo+año","modelo")))</f>
        <v/>
      </c>
      <c r="CG136" s="4">
        <f>(CE136-O136)/CE136</f>
        <v/>
      </c>
      <c r="CH136" s="3">
        <f>IF(COUNTIFS(FR_FUEL,K136,FR_YEAR,AP136)&gt;0,1,0)</f>
        <v/>
      </c>
      <c r="CI136" s="3">
        <f>IF(COUNTIFS(FR_FUEL,K136,FR_YEAR,AP136-1)&gt;0,1,0)</f>
        <v/>
      </c>
      <c r="CJ136" s="4">
        <f>IF(N(AQ136)&gt;0,AP136*100+AQ136,IF(AND(CH136=1,CI136=1),(AP136-1)*100+1,AP136*100+1))</f>
        <v/>
      </c>
      <c r="CK136" s="3">
        <f>IF(OR(K136="hibrido",K136="glp",K136="gnc",K136="phev"),"ECO",IF(K136="electrico","CERO",IF(K136="gasolina",IF(CJ136&gt;=GAS_C_YM,"C",IF(CJ136&gt;=GAS_B_YM,"B","A")),IF(K136="diesel",IF(CJ136&gt;=DIE_C_YM,"C",IF(CJ136&gt;=DIE_B_YM,"B","A")),""))))</f>
        <v/>
      </c>
      <c r="CL136" s="2" t="inlineStr">
        <is>
          <t>B</t>
        </is>
      </c>
      <c r="CM136" s="4">
        <f>IF(AU136="sí","sí",IF(AS136="regla",IF(AND(N(AQ136)=0,CH136=1),"sí","no"),"no"))</f>
        <v/>
      </c>
      <c r="CN136" s="3">
        <f>IFERROR(VLOOKUP(F136,MOD_TBL,16,0),IFERROR(VLOOKUP(E136,OCU_TBL,2,0),NEUTRO))</f>
        <v/>
      </c>
      <c r="CO136" s="3">
        <f>SUMIFS(MOT_AJUSTE,MOT_MOTOR,G136,MOT_MARCA,E136,MOT_DESDE,"&lt;="&amp;M136,MOT_HASTA,"&gt;="&amp;M136)+SUMIFS(MOT_AJUSTE,MOT_MOTOR,G136,MOT_MARCA,"(todas)",MOT_DESDE,"&lt;="&amp;M136,MOT_HASTA,"&gt;="&amp;M136)+SUMIFS(MOT_AJUSTE,MOT_MOTOR,"(cualquiera)",MOT_MARCA,E136,MOT_DESDE,"&lt;="&amp;M136,MOT_HASTA,"&gt;="&amp;M136)</f>
        <v/>
      </c>
      <c r="CP136" s="3">
        <f>SUMIFS(COMB_AJUSTE,COMB_COMB,K136)</f>
        <v/>
      </c>
      <c r="CQ136" s="3">
        <f>COUNTIFS(MOT_MOTOR,G136,MOT_MARCA,E136,MOT_DESDE,"&lt;="&amp;M136,MOT_HASTA,"&gt;="&amp;M136)+COUNTIFS(MOT_MOTOR,G136,MOT_MARCA,"(todas)",MOT_DESDE,"&lt;="&amp;M136,MOT_HASTA,"&gt;="&amp;M136)+COUNTIFS(MOT_MOTOR,"(cualquiera)",MOT_MARCA,E136,MOT_DESDE,"&lt;="&amp;M136,MOT_HASTA,"&gt;="&amp;M136)</f>
        <v/>
      </c>
      <c r="CR136" s="3">
        <f>IF(AND(K136="diesel",CQ136=0),MIN(CN136,NEUTRO),CN136)</f>
        <v/>
      </c>
      <c r="CS136" s="3">
        <f>MAX(0,MIN(100,CR136+CO136+CP136-IF(AX136="sí",ROB_PEN,0)))</f>
        <v/>
      </c>
      <c r="CT136" s="3">
        <f>100-MAX(0,N136-KM_TOPE_DESDE)/1000*KM_TOPE_PTS</f>
        <v/>
      </c>
      <c r="CU136" s="3">
        <f>MAX(0,MIN(100,50+CG136*PRECIO_PEND,CT136))</f>
        <v/>
      </c>
      <c r="CV136" s="3">
        <f>MAX(0,100*(1-N136/KM_MAX))</f>
        <v/>
      </c>
      <c r="CW136" s="3">
        <f>IF(BX136&lt;KMA_SOSP,IF(AA136="sí",100,KMA_PEN),IF(BX136&lt;=KMA_IDEAL_MAX,100,MAX(0,100*(KMA_CERO-BX136)/(KMA_CERO-KMA_IDEAL_MAX))))</f>
        <v/>
      </c>
      <c r="CX136" s="3">
        <f>MAX(0,MIN(100,100*(M136-ANIO_MIN)/(ANIO_ACTUAL-ANIO_MIN)))</f>
        <v/>
      </c>
      <c r="CY136" s="3">
        <f>W_KMT*CV136+W_KMA*CW136+W_EDAD*CX136</f>
        <v/>
      </c>
      <c r="CZ136" s="4">
        <f>E136&amp;"|"&amp;G136</f>
        <v/>
      </c>
      <c r="DA136" s="3">
        <f>IFERROR(VLOOKUP(CZ136,DIST_TBL,2,0),"")</f>
        <v/>
      </c>
      <c r="DB136" s="3">
        <f>E_ITV*(V136="sí")+E_LIBRO*(W136="sí")+E_PROP*IF(Y136=1,1,IF(Y136=2,0.5,0))+E_CORREA*IF(OR(DA136="cadena",AND(X136="sí",BH136="sí")),1,IF(X136="sí",0.5,0))+E_FACT*(BI136="sí")</f>
        <v/>
      </c>
      <c r="DC136" s="3">
        <f>MAX(0,MIN(100,IFERROR(VLOOKUP(CL136,ETQ_TBL,2,0),0)-IF(CM136="sí",ETQ_PEN_DUD,IF(AS136="regla",ETQ_PEN_REGLA,0))))</f>
        <v/>
      </c>
      <c r="DD136" s="3">
        <f>IF(K136&lt;&gt;"gasolina","",IFERROR(VLOOKUP(F136,CONS_MOD_TBL,2,0),IFERROR(VLOOKUP(L136,CONS_SEG_TBL,2,0),"")))</f>
        <v/>
      </c>
      <c r="DE136" s="3">
        <f>IF(DD136="",NEUTRO,MAX(0,MIN(100,100*(CONS_REF_MAX-DD136)/(CONS_REF_MAX-CONS_REF_MIN))))</f>
        <v/>
      </c>
      <c r="DF136" s="3">
        <f>IFERROR(VLOOKUP(L136,SEGURO_TBL,3,0),"")</f>
        <v/>
      </c>
      <c r="DG136" s="3">
        <f>IF(DF136="",NEUTRO,MAX(0,MIN(100,100*(SEG_REF_MAX-DF136)/(SEG_REF_MAX-SEG_REF_MIN))))</f>
        <v/>
      </c>
      <c r="DH136" s="3">
        <f>IFERROR(VLOOKUP(E136,MANT_MARCA_TBL,2,0)+0,NEUTRO)</f>
        <v/>
      </c>
      <c r="DI136" s="3">
        <f>IF(DA136="",NEUTRO,IFERROR(VLOOKUP(DA136,DIST_PTS_TBL,2,0)+0,NEUTRO))</f>
        <v/>
      </c>
      <c r="DJ136" s="4">
        <f>(DH136+DI136)/2</f>
        <v/>
      </c>
      <c r="DK136" s="3">
        <f>W_CONS*DE136+W_SEG*DG136+W_MANT*DJ136</f>
        <v/>
      </c>
      <c r="DL136" s="3">
        <f>IF(N(AB136)&gt;0,AB136,IF(AND(R136="profesional",SG_LEGAL_ON=1),GAR_LEGAL,0))</f>
        <v/>
      </c>
      <c r="DM136" s="3">
        <f>MAX(0,MIN(100,SG_GAR*MIN(1,DL136/SG_GAR_FULL)+SG_AMPL*(AC136="sí")+SG_KMC*(AF136="sí")+SG_REV*(N(AE136)&gt;0)+SG_DEV*MIN(1,N(AG136)/SG_DEV_FULL)+SG_HIST*(W136="sí")-IF(AND(R136="particular",DL136=0),SG_PART_PEN,0)))</f>
        <v/>
      </c>
      <c r="DN136" s="3">
        <f>IF(BK136="",NEUTRO,MAX(0,MIN(100,BK136/5*100)))</f>
        <v/>
      </c>
      <c r="DO136" s="3">
        <f>IF(BL136="sí",100,IF(BL136="no",0,NEUTRO))</f>
        <v/>
      </c>
      <c r="DP136" s="3">
        <f>SV_W_NCAP*DN136+SV_W_ESP*DO136</f>
        <v/>
      </c>
      <c r="DQ136" s="3">
        <f>MAX(0,MIN(100,ATR_BASE+ATR_ACAB*(BD136&lt;&gt;"")+IF(BE136="16+",ATR_LL16,IF(BE136="sí",ATR_LL,0))+ATR_FAROS*(BF136="sí")+ATR_TINT*(BG136="sí")-ATR_CHAPA*(BE136="chapa")))</f>
        <v/>
      </c>
      <c r="DR136" s="3">
        <f>EST_W_MOD*(BB136-1)/4*100+EST_W_ATR*DQ136</f>
        <v/>
      </c>
      <c r="DS136" s="3">
        <f>IF(BA136="",NEUTRO,IFERROR(VLOOKUP(BA136,COLOR_TBL,2,0)+0,NEUTRO))</f>
        <v/>
      </c>
      <c r="DT136" s="3">
        <f>MAX(0,MIN(100,100*N(BM136)/RV_N_FULL))</f>
        <v/>
      </c>
      <c r="DU136" s="3">
        <f>IF(OR(BN136="",N(BO136)&lt;RV_DIAS_MIN),NEUTRO,MAX(0,MIN(100,100*(RV_DIAS_CERO-BN136)/(RV_DIAS_CERO-RV_DIAS_FULL))))</f>
        <v/>
      </c>
      <c r="DV136" s="3">
        <f>RV_W_LIQ*DT136+RV_W_DIAS*DU136+RV_W_ETQ*DC136</f>
        <v/>
      </c>
      <c r="DW136" s="3">
        <f>IFERROR(VLOOKUP(L136,CARR_PEN_TBL,2,0),0)</f>
        <v/>
      </c>
      <c r="DX136" s="3">
        <f>W_FIAB*CS136+W_PRECIO*CU136+W_KMEDAD*CY136+W_ESTADO*DB136+W_USO*DK136+W_SEGURIDAD*DM136+W_SEGVIAL*DP136+W_ESTETICA*DR136+W_COLOR*DS136+W_REVENTA*DV136-DW136-EG136</f>
        <v/>
      </c>
      <c r="DY136" s="4">
        <f>IF(N(I136)&gt;0,I136,IFERROR(ROUND(_xlfn.NUMBERVALUE(LEFT(G136,FIND(" ",G136&amp;" ")-1),".")*1000,0),99999))</f>
        <v/>
      </c>
      <c r="DZ136" s="3">
        <f>IF(R136="profesional",0,IF(O136&lt;CUOTA_VALOR_MAX,IF(BW136&gt;ITP_TRAMO_ALTO,SUMIFS(CF_CUOTA,CF_MAS,ITP_TRAMO_ALTO,CF_CCMIN,"&lt;="&amp;DY136,CF_CCMAX,"&gt;="&amp;DY136),IF(BW136&gt;ITP_TRAMO_BAJO,SUMIFS(CF_CUOTA,CF_MAS,ITP_TRAMO_BAJO,CF_CCMIN,"&lt;="&amp;DY136,CF_CCMAX,"&gt;="&amp;DY136),O136*ITP_TIPO)),O136*ITP_TIPO))</f>
        <v/>
      </c>
      <c r="EA136" s="4">
        <f>IF(R136="profesional",N(AK136),0)</f>
        <v/>
      </c>
      <c r="EB136" s="3">
        <f>IF(AND(R136="profesional",ISNUMBER(AK136),AL136="sí"),0,TASA_DGT)</f>
        <v/>
      </c>
      <c r="EC136" s="3">
        <f>INFORME_DGT</f>
        <v/>
      </c>
      <c r="ED136" s="4">
        <f>O136+EA136+DZ136+EB136+EC136</f>
        <v/>
      </c>
      <c r="EE136" s="4">
        <f>ED136+N(DF136)</f>
        <v/>
      </c>
      <c r="EF136" s="3">
        <f>MAX(0,ED136-TOTAL_MAX)</f>
        <v/>
      </c>
      <c r="EG136" s="3">
        <f>EF136/100*PEN_100</f>
        <v/>
      </c>
      <c r="EH136" s="3">
        <f>IF(R136="particular",ED136+IF(AND(DA136&lt;&gt;"cadena",X136&lt;&gt;"sí"),RES_CORREA,0)+IF(AND(BJ136&lt;&gt;"sí",BW136&gt;=RES_NEUM_EDAD),RES_NEUM,0),"")</f>
        <v/>
      </c>
      <c r="EI136" s="3">
        <f>IF(ED136&lt;=TOTAL_MAX,"sí",IF(ED136&lt;=TECHO,"negociar","no"))</f>
        <v/>
      </c>
      <c r="EJ136" s="4">
        <f>ROUND(DX136,9)</f>
        <v/>
      </c>
      <c r="EK136" s="4">
        <f>IF(EI136&lt;&gt;"no",SUMPRODUCT(($EI$2:$EI$209&lt;&gt;"no")*($EJ$2:$EJ$209&gt;EJ136))+SUMPRODUCT(($EI$2:EI136&lt;&gt;"no")*($EJ$2:EJ136=EJ136)),"")</f>
        <v/>
      </c>
    </row>
    <row r="137">
      <c r="A137" s="2" t="inlineStr">
        <is>
          <t>cochesnet:71877473</t>
        </is>
      </c>
      <c r="B137" s="2" t="inlineStr">
        <is>
          <t>cochesnet</t>
        </is>
      </c>
      <c r="C137" s="2" t="inlineStr">
        <is>
          <t>https://www.coches.net/ford-ka-13-collection-3p-gasolina-2005-en-valencia-71877473-covo.aspx</t>
        </is>
      </c>
      <c r="D137" s="2" t="inlineStr">
        <is>
          <t>FORD KA 1.3 Collection</t>
        </is>
      </c>
      <c r="E137" s="2" t="inlineStr">
        <is>
          <t>Ford</t>
        </is>
      </c>
      <c r="F137" s="2" t="inlineStr">
        <is>
          <t>Ford Ka</t>
        </is>
      </c>
      <c r="G137" s="2" t="inlineStr">
        <is>
          <t>1.3</t>
        </is>
      </c>
      <c r="H137" s="2" t="inlineStr">
        <is>
          <t>1.3 Collection</t>
        </is>
      </c>
      <c r="I137" s="2" t="n"/>
      <c r="J137" s="2" t="n"/>
      <c r="K137" s="2" t="inlineStr">
        <is>
          <t>gasolina</t>
        </is>
      </c>
      <c r="L137" s="2" t="inlineStr">
        <is>
          <t>utilitario</t>
        </is>
      </c>
      <c r="M137" s="2" t="n">
        <v>2005</v>
      </c>
      <c r="N137" s="2" t="n">
        <v>144707</v>
      </c>
      <c r="O137" s="2" t="n">
        <v>2490</v>
      </c>
      <c r="P137" s="2" t="inlineStr">
        <is>
          <t>manual</t>
        </is>
      </c>
      <c r="Q137" s="2" t="inlineStr">
        <is>
          <t>no</t>
        </is>
      </c>
      <c r="R137" s="2" t="inlineStr">
        <is>
          <t>profesional</t>
        </is>
      </c>
      <c r="S137" s="2" t="inlineStr">
        <is>
          <t>MM Autos Marín Moreno Godella</t>
        </is>
      </c>
      <c r="T137" s="2" t="inlineStr">
        <is>
          <t>2026-10-31T11:30:38Z</t>
        </is>
      </c>
      <c r="U137" s="2" t="n">
        <v>17</v>
      </c>
      <c r="V137" s="2" t="n"/>
      <c r="W137" s="2" t="n"/>
      <c r="X137" s="2" t="n"/>
      <c r="Y137" s="2" t="n"/>
      <c r="Z137" s="2" t="inlineStr">
        <is>
          <t>sí</t>
        </is>
      </c>
      <c r="AA137" s="2" t="n"/>
      <c r="AB137" s="2" t="n">
        <v>12</v>
      </c>
      <c r="AC137" s="2" t="inlineStr">
        <is>
          <t>sí</t>
        </is>
      </c>
      <c r="AD137" s="2" t="n"/>
      <c r="AE137" s="2" t="n"/>
      <c r="AF137" s="2" t="n"/>
      <c r="AG137" s="2" t="n"/>
      <c r="AH137" s="2" t="n">
        <v>2490</v>
      </c>
      <c r="AI137" s="2" t="n"/>
      <c r="AJ137" s="2" t="n"/>
      <c r="AK137" s="2" t="n"/>
      <c r="AL137" s="2" t="n"/>
      <c r="AM137" s="2" t="n">
        <v>6.7</v>
      </c>
      <c r="AN137" s="2" t="n"/>
      <c r="AO137" s="2" t="inlineStr">
        <is>
          <t>2005</t>
        </is>
      </c>
      <c r="AP137" s="2" t="n">
        <v>2005</v>
      </c>
      <c r="AQ137" s="2" t="n"/>
      <c r="AR137" s="2" t="n"/>
      <c r="AS137" s="2" t="inlineStr">
        <is>
          <t>regla</t>
        </is>
      </c>
      <c r="AT137" s="2" t="n"/>
      <c r="AU137" s="2" t="inlineStr">
        <is>
          <t>no</t>
        </is>
      </c>
      <c r="AV137" s="2" t="inlineStr">
        <is>
          <t>B</t>
        </is>
      </c>
      <c r="AW137" s="2" t="n"/>
      <c r="AX137" s="2" t="inlineStr">
        <is>
          <t>no</t>
        </is>
      </c>
      <c r="AY137" s="2" t="inlineStr">
        <is>
          <t>no</t>
        </is>
      </c>
      <c r="AZ137" s="2" t="inlineStr">
        <is>
          <t>COMMON.COLOR_BLUE</t>
        </is>
      </c>
      <c r="BA137" s="2" t="inlineStr">
        <is>
          <t>azul</t>
        </is>
      </c>
      <c r="BB137" s="3" t="n">
        <v>2</v>
      </c>
      <c r="BC137" s="3" t="inlineStr">
        <is>
          <t>(por segmento)</t>
        </is>
      </c>
      <c r="BD137" s="2" t="n"/>
      <c r="BE137" s="2" t="n"/>
      <c r="BF137" s="2" t="n"/>
      <c r="BG137" s="2" t="n"/>
      <c r="BH137" s="2" t="n"/>
      <c r="BI137" s="2" t="n"/>
      <c r="BJ137" s="2" t="n"/>
      <c r="BK137" s="2" t="n"/>
      <c r="BL137" s="2" t="n"/>
      <c r="BM137" s="2" t="n">
        <v>50</v>
      </c>
      <c r="BN137" s="2" t="n"/>
      <c r="BO137" s="2" t="n">
        <v>0</v>
      </c>
      <c r="BP137" s="2" t="n">
        <v>1845</v>
      </c>
      <c r="BQ137" s="2" t="n">
        <v>4</v>
      </c>
      <c r="BR137" s="2" t="inlineStr">
        <is>
          <t>modelo+año</t>
        </is>
      </c>
      <c r="BS137" s="2" t="n"/>
      <c r="BT137" s="2" t="inlineStr">
        <is>
          <t>vendedor profesional: sin ITP (operación con IVA/REBU, confirmar en factura); gastos de gestión del vendedor no indicados: se suma la tasa DGT; preguntar el precio final; Euro NCAP de la generación PENDIENTE (seguridad neutra); etiqueta B deducida por fecha (sin matrícula ni dato del anuncio); revisar: no menciona la ITV; fiabilidad del modelo PENDIENTE de fuente (puntuación neutra)</t>
        </is>
      </c>
      <c r="BU137" s="2" t="inlineStr">
        <is>
          <t xml:space="preserve">Precio del vehículo financiado: (consultar condiciones)
Gastos de gestoría: 150,00€
GARANTÍA incluida 12 meses. Posibilidad de ampliar GARANTÍA PREMIUM hasta 24 o 36 mes
En nuestro centro multimarca, los vehículos se someten a un riguroso filtro antes de su entrega definitiva: limpieza, taller, reparación, etc… y así conseguir la mejor valoración de nuestros clientes.
Ofrecemos a todos nuestros clientes un trato personalizado y especializado en el sector de la automoción.
Compramos su vehículo.
Entrega tu VEHÍCULO como parte de pago! Si contacta por e-mail, por favor, incluya su teléfono para un trato más rápido, ágil y personalizado.
Revise en nuestro Instagram
El vehículo se entrega tras haber pasado un estricto control de calidad, de manera que puedas adquirirlo online con total tranquilidad. REVISIÓN PREENTREGA incluida.
Podemos realizar todo el proceso online con ENTREGA en toda la Península. Consulta el precio con tu asesor comercial
Anuncio a título informativo no vinculante, puede contener errores y carece de valor contractual. Consultar condiciones.
Adquiere un coche de segunda mano en buen estado y a precio competitivo, hazlo. Nuestra tienda está a escasos metros de Metro Godella línea 1 amarilla, facil ubicación, cerca del centro de Valencia. Te esperamos!
</t>
        </is>
      </c>
      <c r="BV137" s="2" t="inlineStr">
        <is>
          <t>https://www.coches.net/ford-ka-13-collection-3p-gasolina-2005-en-valencia-71877473-covo.aspx (window.__INITIAL_PROPS__.ad) /home/user/Alopecia/buscador-coches/raw/cochesnet/aab87b877f7ff6c2.json</t>
        </is>
      </c>
      <c r="BW137" s="3">
        <f>MAX(ANIO_ACTUAL-M137,0)</f>
        <v/>
      </c>
      <c r="BX137" s="4">
        <f>N137/MAX(BW137,0.5)</f>
        <v/>
      </c>
      <c r="BY137" s="4">
        <f>F137</f>
        <v/>
      </c>
      <c r="BZ137" s="3">
        <f>BY137&amp;"|"&amp;INT(M137/SEG_ANIO)*SEG_ANIO</f>
        <v/>
      </c>
      <c r="CA137" s="3">
        <f>BZ137&amp;"|"&amp;INT(N137/SEG_KM)*SEG_KM</f>
        <v/>
      </c>
      <c r="CB137" s="4">
        <f>COUNTIF($BY$2:$BY$209,BY137)</f>
        <v/>
      </c>
      <c r="CC137" s="4">
        <f>COUNTIF($BZ$2:$BZ$209,BZ137)</f>
        <v/>
      </c>
      <c r="CD137" s="4">
        <f>COUNTIF($CA$2:$CA$209,CA137)</f>
        <v/>
      </c>
      <c r="CE137" s="3">
        <f t="array" ref="CE137">IF(N(BQ137)&gt;=MIN_N,BP137,IF(CD137&gt;=MIN_N,MEDIAN(IF($CA$2:$CA$209=CA137,$O$2:$O$209)),IF(CC137&gt;=MIN_N,MEDIAN(IF($BZ$2:$BZ$209=BZ137,$O$2:$O$209)),MEDIAN(IF($BY$2:$BY$209=BY137,$O$2:$O$209)))))</f>
        <v/>
      </c>
      <c r="CF137" s="3">
        <f>IF(N(BQ137)&gt;=MIN_N,"mercado "&amp;BR137,IF(CD137&gt;=MIN_N,"modelo+año+km",IF(CC137&gt;=MIN_N,"modelo+año","modelo")))</f>
        <v/>
      </c>
      <c r="CG137" s="4">
        <f>(CE137-O137)/CE137</f>
        <v/>
      </c>
      <c r="CH137" s="3">
        <f>IF(COUNTIFS(FR_FUEL,K137,FR_YEAR,AP137)&gt;0,1,0)</f>
        <v/>
      </c>
      <c r="CI137" s="3">
        <f>IF(COUNTIFS(FR_FUEL,K137,FR_YEAR,AP137-1)&gt;0,1,0)</f>
        <v/>
      </c>
      <c r="CJ137" s="4">
        <f>IF(N(AQ137)&gt;0,AP137*100+AQ137,IF(AND(CH137=1,CI137=1),(AP137-1)*100+1,AP137*100+1))</f>
        <v/>
      </c>
      <c r="CK137" s="3">
        <f>IF(OR(K137="hibrido",K137="glp",K137="gnc",K137="phev"),"ECO",IF(K137="electrico","CERO",IF(K137="gasolina",IF(CJ137&gt;=GAS_C_YM,"C",IF(CJ137&gt;=GAS_B_YM,"B","A")),IF(K137="diesel",IF(CJ137&gt;=DIE_C_YM,"C",IF(CJ137&gt;=DIE_B_YM,"B","A")),""))))</f>
        <v/>
      </c>
      <c r="CL137" s="4">
        <f>CK137</f>
        <v/>
      </c>
      <c r="CM137" s="4">
        <f>IF(AU137="sí","sí",IF(AS137="regla",IF(AND(N(AQ137)=0,CH137=1),"sí","no"),"no"))</f>
        <v/>
      </c>
      <c r="CN137" s="3">
        <f>IFERROR(VLOOKUP(F137,MOD_TBL,16,0),IFERROR(VLOOKUP(E137,OCU_TBL,2,0),NEUTRO))</f>
        <v/>
      </c>
      <c r="CO137" s="3">
        <f>SUMIFS(MOT_AJUSTE,MOT_MOTOR,G137,MOT_MARCA,E137,MOT_DESDE,"&lt;="&amp;M137,MOT_HASTA,"&gt;="&amp;M137)+SUMIFS(MOT_AJUSTE,MOT_MOTOR,G137,MOT_MARCA,"(todas)",MOT_DESDE,"&lt;="&amp;M137,MOT_HASTA,"&gt;="&amp;M137)+SUMIFS(MOT_AJUSTE,MOT_MOTOR,"(cualquiera)",MOT_MARCA,E137,MOT_DESDE,"&lt;="&amp;M137,MOT_HASTA,"&gt;="&amp;M137)</f>
        <v/>
      </c>
      <c r="CP137" s="3">
        <f>SUMIFS(COMB_AJUSTE,COMB_COMB,K137)</f>
        <v/>
      </c>
      <c r="CQ137" s="3">
        <f>COUNTIFS(MOT_MOTOR,G137,MOT_MARCA,E137,MOT_DESDE,"&lt;="&amp;M137,MOT_HASTA,"&gt;="&amp;M137)+COUNTIFS(MOT_MOTOR,G137,MOT_MARCA,"(todas)",MOT_DESDE,"&lt;="&amp;M137,MOT_HASTA,"&gt;="&amp;M137)+COUNTIFS(MOT_MOTOR,"(cualquiera)",MOT_MARCA,E137,MOT_DESDE,"&lt;="&amp;M137,MOT_HASTA,"&gt;="&amp;M137)</f>
        <v/>
      </c>
      <c r="CR137" s="3">
        <f>IF(AND(K137="diesel",CQ137=0),MIN(CN137,NEUTRO),CN137)</f>
        <v/>
      </c>
      <c r="CS137" s="3">
        <f>MAX(0,MIN(100,CR137+CO137+CP137-IF(AX137="sí",ROB_PEN,0)))</f>
        <v/>
      </c>
      <c r="CT137" s="3">
        <f>100-MAX(0,N137-KM_TOPE_DESDE)/1000*KM_TOPE_PTS</f>
        <v/>
      </c>
      <c r="CU137" s="3">
        <f>MAX(0,MIN(100,50+CG137*PRECIO_PEND,CT137))</f>
        <v/>
      </c>
      <c r="CV137" s="3">
        <f>MAX(0,100*(1-N137/KM_MAX))</f>
        <v/>
      </c>
      <c r="CW137" s="3">
        <f>IF(BX137&lt;KMA_SOSP,IF(AA137="sí",100,KMA_PEN),IF(BX137&lt;=KMA_IDEAL_MAX,100,MAX(0,100*(KMA_CERO-BX137)/(KMA_CERO-KMA_IDEAL_MAX))))</f>
        <v/>
      </c>
      <c r="CX137" s="3">
        <f>MAX(0,MIN(100,100*(M137-ANIO_MIN)/(ANIO_ACTUAL-ANIO_MIN)))</f>
        <v/>
      </c>
      <c r="CY137" s="3">
        <f>W_KMT*CV137+W_KMA*CW137+W_EDAD*CX137</f>
        <v/>
      </c>
      <c r="CZ137" s="4">
        <f>E137&amp;"|"&amp;G137</f>
        <v/>
      </c>
      <c r="DA137" s="3">
        <f>IFERROR(VLOOKUP(CZ137,DIST_TBL,2,0),"")</f>
        <v/>
      </c>
      <c r="DB137" s="3">
        <f>E_ITV*(V137="sí")+E_LIBRO*(W137="sí")+E_PROP*IF(Y137=1,1,IF(Y137=2,0.5,0))+E_CORREA*IF(OR(DA137="cadena",AND(X137="sí",BH137="sí")),1,IF(X137="sí",0.5,0))+E_FACT*(BI137="sí")</f>
        <v/>
      </c>
      <c r="DC137" s="3">
        <f>MAX(0,MIN(100,IFERROR(VLOOKUP(CL137,ETQ_TBL,2,0),0)-IF(CM137="sí",ETQ_PEN_DUD,IF(AS137="regla",ETQ_PEN_REGLA,0))))</f>
        <v/>
      </c>
      <c r="DD137" s="3">
        <f>IF(K137&lt;&gt;"gasolina","",IFERROR(VLOOKUP(F137,CONS_MOD_TBL,2,0),IFERROR(VLOOKUP(L137,CONS_SEG_TBL,2,0),"")))</f>
        <v/>
      </c>
      <c r="DE137" s="3">
        <f>IF(DD137="",NEUTRO,MAX(0,MIN(100,100*(CONS_REF_MAX-DD137)/(CONS_REF_MAX-CONS_REF_MIN))))</f>
        <v/>
      </c>
      <c r="DF137" s="3">
        <f>IFERROR(VLOOKUP(L137,SEGURO_TBL,3,0),"")</f>
        <v/>
      </c>
      <c r="DG137" s="3">
        <f>IF(DF137="",NEUTRO,MAX(0,MIN(100,100*(SEG_REF_MAX-DF137)/(SEG_REF_MAX-SEG_REF_MIN))))</f>
        <v/>
      </c>
      <c r="DH137" s="3">
        <f>IFERROR(VLOOKUP(E137,MANT_MARCA_TBL,2,0)+0,NEUTRO)</f>
        <v/>
      </c>
      <c r="DI137" s="3">
        <f>IF(DA137="",NEUTRO,IFERROR(VLOOKUP(DA137,DIST_PTS_TBL,2,0)+0,NEUTRO))</f>
        <v/>
      </c>
      <c r="DJ137" s="4">
        <f>(DH137+DI137)/2</f>
        <v/>
      </c>
      <c r="DK137" s="3">
        <f>W_CONS*DE137+W_SEG*DG137+W_MANT*DJ137</f>
        <v/>
      </c>
      <c r="DL137" s="3">
        <f>IF(N(AB137)&gt;0,AB137,IF(AND(R137="profesional",SG_LEGAL_ON=1),GAR_LEGAL,0))</f>
        <v/>
      </c>
      <c r="DM137" s="3">
        <f>MAX(0,MIN(100,SG_GAR*MIN(1,DL137/SG_GAR_FULL)+SG_AMPL*(AC137="sí")+SG_KMC*(AF137="sí")+SG_REV*(N(AE137)&gt;0)+SG_DEV*MIN(1,N(AG137)/SG_DEV_FULL)+SG_HIST*(W137="sí")-IF(AND(R137="particular",DL137=0),SG_PART_PEN,0)))</f>
        <v/>
      </c>
      <c r="DN137" s="3">
        <f>IF(BK137="",NEUTRO,MAX(0,MIN(100,BK137/5*100)))</f>
        <v/>
      </c>
      <c r="DO137" s="3">
        <f>IF(BL137="sí",100,IF(BL137="no",0,NEUTRO))</f>
        <v/>
      </c>
      <c r="DP137" s="3">
        <f>SV_W_NCAP*DN137+SV_W_ESP*DO137</f>
        <v/>
      </c>
      <c r="DQ137" s="3">
        <f>MAX(0,MIN(100,ATR_BASE+ATR_ACAB*(BD137&lt;&gt;"")+IF(BE137="16+",ATR_LL16,IF(BE137="sí",ATR_LL,0))+ATR_FAROS*(BF137="sí")+ATR_TINT*(BG137="sí")-ATR_CHAPA*(BE137="chapa")))</f>
        <v/>
      </c>
      <c r="DR137" s="3">
        <f>EST_W_MOD*(BB137-1)/4*100+EST_W_ATR*DQ137</f>
        <v/>
      </c>
      <c r="DS137" s="3">
        <f>IF(BA137="",NEUTRO,IFERROR(VLOOKUP(BA137,COLOR_TBL,2,0)+0,NEUTRO))</f>
        <v/>
      </c>
      <c r="DT137" s="3">
        <f>MAX(0,MIN(100,100*N(BM137)/RV_N_FULL))</f>
        <v/>
      </c>
      <c r="DU137" s="3">
        <f>IF(OR(BN137="",N(BO137)&lt;RV_DIAS_MIN),NEUTRO,MAX(0,MIN(100,100*(RV_DIAS_CERO-BN137)/(RV_DIAS_CERO-RV_DIAS_FULL))))</f>
        <v/>
      </c>
      <c r="DV137" s="3">
        <f>RV_W_LIQ*DT137+RV_W_DIAS*DU137+RV_W_ETQ*DC137</f>
        <v/>
      </c>
      <c r="DW137" s="3">
        <f>IFERROR(VLOOKUP(L137,CARR_PEN_TBL,2,0),0)</f>
        <v/>
      </c>
      <c r="DX137" s="3">
        <f>W_FIAB*CS137+W_PRECIO*CU137+W_KMEDAD*CY137+W_ESTADO*DB137+W_USO*DK137+W_SEGURIDAD*DM137+W_SEGVIAL*DP137+W_ESTETICA*DR137+W_COLOR*DS137+W_REVENTA*DV137-DW137-EG137</f>
        <v/>
      </c>
      <c r="DY137" s="4">
        <f>IF(N(I137)&gt;0,I137,IFERROR(ROUND(_xlfn.NUMBERVALUE(LEFT(G137,FIND(" ",G137&amp;" ")-1),".")*1000,0),99999))</f>
        <v/>
      </c>
      <c r="DZ137" s="3">
        <f>IF(R137="profesional",0,IF(O137&lt;CUOTA_VALOR_MAX,IF(BW137&gt;ITP_TRAMO_ALTO,SUMIFS(CF_CUOTA,CF_MAS,ITP_TRAMO_ALTO,CF_CCMIN,"&lt;="&amp;DY137,CF_CCMAX,"&gt;="&amp;DY137),IF(BW137&gt;ITP_TRAMO_BAJO,SUMIFS(CF_CUOTA,CF_MAS,ITP_TRAMO_BAJO,CF_CCMIN,"&lt;="&amp;DY137,CF_CCMAX,"&gt;="&amp;DY137),O137*ITP_TIPO)),O137*ITP_TIPO))</f>
        <v/>
      </c>
      <c r="EA137" s="4">
        <f>IF(R137="profesional",N(AK137),0)</f>
        <v/>
      </c>
      <c r="EB137" s="3">
        <f>IF(AND(R137="profesional",ISNUMBER(AK137),AL137="sí"),0,TASA_DGT)</f>
        <v/>
      </c>
      <c r="EC137" s="3">
        <f>INFORME_DGT</f>
        <v/>
      </c>
      <c r="ED137" s="4">
        <f>O137+EA137+DZ137+EB137+EC137</f>
        <v/>
      </c>
      <c r="EE137" s="4">
        <f>ED137+N(DF137)</f>
        <v/>
      </c>
      <c r="EF137" s="3">
        <f>MAX(0,ED137-TOTAL_MAX)</f>
        <v/>
      </c>
      <c r="EG137" s="3">
        <f>EF137/100*PEN_100</f>
        <v/>
      </c>
      <c r="EH137" s="3">
        <f>IF(R137="particular",ED137+IF(AND(DA137&lt;&gt;"cadena",X137&lt;&gt;"sí"),RES_CORREA,0)+IF(AND(BJ137&lt;&gt;"sí",BW137&gt;=RES_NEUM_EDAD),RES_NEUM,0),"")</f>
        <v/>
      </c>
      <c r="EI137" s="3">
        <f>IF(ED137&lt;=TOTAL_MAX,"sí",IF(ED137&lt;=TECHO,"negociar","no"))</f>
        <v/>
      </c>
      <c r="EJ137" s="4">
        <f>ROUND(DX137,9)</f>
        <v/>
      </c>
      <c r="EK137" s="4">
        <f>IF(EI137&lt;&gt;"no",SUMPRODUCT(($EI$2:$EI$209&lt;&gt;"no")*($EJ$2:$EJ$209&gt;EJ137))+SUMPRODUCT(($EI$2:EI137&lt;&gt;"no")*($EJ$2:EJ137=EJ137)),"")</f>
        <v/>
      </c>
    </row>
    <row r="138">
      <c r="A138" s="2" t="inlineStr">
        <is>
          <t>cochesnet:71168369</t>
        </is>
      </c>
      <c r="B138" s="2" t="inlineStr">
        <is>
          <t>cochesnet</t>
        </is>
      </c>
      <c r="C138" s="2" t="inlineStr">
        <is>
          <t>https://www.coches.net/ford-fiesta-13-ambiente-5p-gasolina-2003-en-valencia-71168369-covo.aspx</t>
        </is>
      </c>
      <c r="D138" s="2" t="inlineStr">
        <is>
          <t>FORD Fiesta 1.3 Ambiente</t>
        </is>
      </c>
      <c r="E138" s="2" t="inlineStr">
        <is>
          <t>Ford</t>
        </is>
      </c>
      <c r="F138" s="2" t="inlineStr">
        <is>
          <t>Ford Fiesta</t>
        </is>
      </c>
      <c r="G138" s="2" t="inlineStr">
        <is>
          <t>1.3</t>
        </is>
      </c>
      <c r="H138" s="2" t="inlineStr">
        <is>
          <t>1.3 Ambiente</t>
        </is>
      </c>
      <c r="I138" s="2" t="n"/>
      <c r="J138" s="2" t="n"/>
      <c r="K138" s="2" t="inlineStr">
        <is>
          <t>gasolina</t>
        </is>
      </c>
      <c r="L138" s="2" t="inlineStr">
        <is>
          <t>utilitario</t>
        </is>
      </c>
      <c r="M138" s="2" t="n">
        <v>2002</v>
      </c>
      <c r="N138" s="2" t="n">
        <v>150000</v>
      </c>
      <c r="O138" s="2" t="n">
        <v>1990</v>
      </c>
      <c r="P138" s="2" t="inlineStr">
        <is>
          <t>manual</t>
        </is>
      </c>
      <c r="Q138" s="2" t="inlineStr">
        <is>
          <t>no</t>
        </is>
      </c>
      <c r="R138" s="2" t="inlineStr">
        <is>
          <t>profesional</t>
        </is>
      </c>
      <c r="S138" s="2" t="inlineStr">
        <is>
          <t>Foios</t>
        </is>
      </c>
      <c r="T138" s="2" t="inlineStr">
        <is>
          <t>2026-10-24T18:02:38Z</t>
        </is>
      </c>
      <c r="U138" s="2" t="n">
        <v>8</v>
      </c>
      <c r="V138" s="2" t="n"/>
      <c r="W138" s="2" t="n"/>
      <c r="X138" s="2" t="n"/>
      <c r="Y138" s="2" t="n"/>
      <c r="Z138" s="2" t="inlineStr">
        <is>
          <t>sí</t>
        </is>
      </c>
      <c r="AA138" s="2" t="n"/>
      <c r="AB138" s="2" t="n">
        <v>12</v>
      </c>
      <c r="AC138" s="2" t="n"/>
      <c r="AD138" s="2" t="n"/>
      <c r="AE138" s="2" t="n"/>
      <c r="AF138" s="2" t="n"/>
      <c r="AG138" s="2" t="n"/>
      <c r="AH138" s="2" t="n">
        <v>1990</v>
      </c>
      <c r="AI138" s="2" t="n">
        <v>1990</v>
      </c>
      <c r="AJ138" s="2" t="n"/>
      <c r="AK138" s="2" t="n"/>
      <c r="AL138" s="2" t="n"/>
      <c r="AM138" s="2" t="n">
        <v>7.7</v>
      </c>
      <c r="AN138" s="2" t="n"/>
      <c r="AO138" s="2" t="inlineStr">
        <is>
          <t>2002</t>
        </is>
      </c>
      <c r="AP138" s="2" t="n">
        <v>2002</v>
      </c>
      <c r="AQ138" s="2" t="n"/>
      <c r="AR138" s="2" t="n"/>
      <c r="AS138" s="2" t="inlineStr">
        <is>
          <t>regla</t>
        </is>
      </c>
      <c r="AT138" s="2" t="n">
        <v>2003</v>
      </c>
      <c r="AU138" s="2" t="inlineStr">
        <is>
          <t>no</t>
        </is>
      </c>
      <c r="AV138" s="2" t="inlineStr">
        <is>
          <t>B</t>
        </is>
      </c>
      <c r="AW138" s="2" t="inlineStr">
        <is>
          <t>C</t>
        </is>
      </c>
      <c r="AX138" s="2" t="inlineStr">
        <is>
          <t>no</t>
        </is>
      </c>
      <c r="AY138" s="2" t="inlineStr">
        <is>
          <t>no</t>
        </is>
      </c>
      <c r="AZ138" s="2" t="inlineStr">
        <is>
          <t>COMMON.COLOR_GRAY</t>
        </is>
      </c>
      <c r="BA138" s="2" t="inlineStr">
        <is>
          <t>gris_medio</t>
        </is>
      </c>
      <c r="BB138" s="3" t="n">
        <v>2</v>
      </c>
      <c r="BC138" s="3" t="inlineStr">
        <is>
          <t>(por segmento)</t>
        </is>
      </c>
      <c r="BD138" s="2" t="n"/>
      <c r="BE138" s="2" t="n"/>
      <c r="BF138" s="2" t="n"/>
      <c r="BG138" s="2" t="n"/>
      <c r="BH138" s="2" t="n"/>
      <c r="BI138" s="2" t="n"/>
      <c r="BJ138" s="2" t="n"/>
      <c r="BK138" s="2" t="n">
        <v>4</v>
      </c>
      <c r="BL138" s="2" t="inlineStr">
        <is>
          <t>no</t>
        </is>
      </c>
      <c r="BM138" s="2" t="n">
        <v>302</v>
      </c>
      <c r="BN138" s="2" t="n">
        <v>0.07434027781710029</v>
      </c>
      <c r="BO138" s="2" t="n">
        <v>3</v>
      </c>
      <c r="BP138" s="2" t="n">
        <v>2200</v>
      </c>
      <c r="BQ138" s="2" t="n">
        <v>4</v>
      </c>
      <c r="BR138" s="2" t="inlineStr">
        <is>
          <t>modelo+año+km</t>
        </is>
      </c>
      <c r="BS138" s="2" t="n"/>
      <c r="BT138" s="2" t="inlineStr">
        <is>
          <t>año a confirmar: la URL/título dice 2003; anuncio incoherente: dice etiqueta C y por fecha corresponde B; se usa la regla; vendedor profesional: sin ITP (operación con IVA/REBU, confirmar en factura); gastos de gestión del vendedor no indicados: se suma la tasa DGT; preguntar el precio final; etiqueta B deducida por fecha (sin matrícula ni dato del anuncio); revisar: no menciona la ITV</t>
        </is>
      </c>
      <c r="BU138" s="2" t="inlineStr">
        <is>
          <t xml:space="preserve">automoviles  jade 
transferencia no incluida en el precio 
Este Ford Fiesta combina practicidad y eficiencia en un formato compacto pensado para la conducción urbana y desplazamientos diarios. Su motor de 1,3 litros de gasolina ofrece un consumo moderado, con una media combinada de 6,2 l/100km, lo que lo convierte en una opción económica para quienes buscan controlar el gasto en combustible sin renunciar a la movilidad.
El espacio interior está bien aprovechado: los 284 litros de maletero se expanden a 947 litros con los asientos traseros plegados, permitiendo transportar equipaje o carga ocasional sin dificultad. Los asientos traseros de banco y el respaldo abatible asimétrico ofrecen flexibilidad para adaptarse a diferentes necesidades de viaje.
En cuanto a confort y funcionalidad, este vehículo incluye dirección asistida, climatización, elevalunas eléctricos delanteros y cierre centralizado. El volante revestido en cuero y ajustable en altura facilita encontrar la posición de conducción adecuada. La transmisión manual de cinco velocidades proporciona un control directo y contribuye a la eficiencia general.
En seguridad, destaca la presencia de ABS en las cuatro ruedas, airbags frontales inteligentes para conductor y acompañante, y cinturones de seguridad de tres puntos con pretensores en los asientos delanteros. Los reposacabezas ajustables en altura en todos los asientos añaden protección adicional.
Posee la etiqueta medioambiental C, que facilita el acceso a zonas </t>
        </is>
      </c>
      <c r="BV138" s="2" t="inlineStr">
        <is>
          <t>https://www.coches.net/ford-fiesta-13-ambiente-5p-gasolina-2003-en-valencia-71168369-covo.aspx (window.__INITIAL_PROPS__.ad) /home/user/Alopecia/buscador-coches/raw/cochesnet/8364c34d7e43af3d.json</t>
        </is>
      </c>
      <c r="BW138" s="3">
        <f>MAX(ANIO_ACTUAL-M138,0)</f>
        <v/>
      </c>
      <c r="BX138" s="4">
        <f>N138/MAX(BW138,0.5)</f>
        <v/>
      </c>
      <c r="BY138" s="4">
        <f>F138</f>
        <v/>
      </c>
      <c r="BZ138" s="3">
        <f>BY138&amp;"|"&amp;INT(M138/SEG_ANIO)*SEG_ANIO</f>
        <v/>
      </c>
      <c r="CA138" s="3">
        <f>BZ138&amp;"|"&amp;INT(N138/SEG_KM)*SEG_KM</f>
        <v/>
      </c>
      <c r="CB138" s="4">
        <f>COUNTIF($BY$2:$BY$209,BY138)</f>
        <v/>
      </c>
      <c r="CC138" s="4">
        <f>COUNTIF($BZ$2:$BZ$209,BZ138)</f>
        <v/>
      </c>
      <c r="CD138" s="4">
        <f>COUNTIF($CA$2:$CA$209,CA138)</f>
        <v/>
      </c>
      <c r="CE138" s="3">
        <f t="array" ref="CE138">IF(N(BQ138)&gt;=MIN_N,BP138,IF(CD138&gt;=MIN_N,MEDIAN(IF($CA$2:$CA$209=CA138,$O$2:$O$209)),IF(CC138&gt;=MIN_N,MEDIAN(IF($BZ$2:$BZ$209=BZ138,$O$2:$O$209)),MEDIAN(IF($BY$2:$BY$209=BY138,$O$2:$O$209)))))</f>
        <v/>
      </c>
      <c r="CF138" s="3">
        <f>IF(N(BQ138)&gt;=MIN_N,"mercado "&amp;BR138,IF(CD138&gt;=MIN_N,"modelo+año+km",IF(CC138&gt;=MIN_N,"modelo+año","modelo")))</f>
        <v/>
      </c>
      <c r="CG138" s="4">
        <f>(CE138-O138)/CE138</f>
        <v/>
      </c>
      <c r="CH138" s="3">
        <f>IF(COUNTIFS(FR_FUEL,K138,FR_YEAR,AP138)&gt;0,1,0)</f>
        <v/>
      </c>
      <c r="CI138" s="3">
        <f>IF(COUNTIFS(FR_FUEL,K138,FR_YEAR,AP138-1)&gt;0,1,0)</f>
        <v/>
      </c>
      <c r="CJ138" s="4">
        <f>IF(N(AQ138)&gt;0,AP138*100+AQ138,IF(AND(CH138=1,CI138=1),(AP138-1)*100+1,AP138*100+1))</f>
        <v/>
      </c>
      <c r="CK138" s="3">
        <f>IF(OR(K138="hibrido",K138="glp",K138="gnc",K138="phev"),"ECO",IF(K138="electrico","CERO",IF(K138="gasolina",IF(CJ138&gt;=GAS_C_YM,"C",IF(CJ138&gt;=GAS_B_YM,"B","A")),IF(K138="diesel",IF(CJ138&gt;=DIE_C_YM,"C",IF(CJ138&gt;=DIE_B_YM,"B","A")),""))))</f>
        <v/>
      </c>
      <c r="CL138" s="4">
        <f>CK138</f>
        <v/>
      </c>
      <c r="CM138" s="4">
        <f>IF(AU138="sí","sí",IF(AS138="regla",IF(AND(N(AQ138)=0,CH138=1),"sí","no"),"no"))</f>
        <v/>
      </c>
      <c r="CN138" s="3">
        <f>IFERROR(VLOOKUP(F138,MOD_TBL,16,0),IFERROR(VLOOKUP(E138,OCU_TBL,2,0),NEUTRO))</f>
        <v/>
      </c>
      <c r="CO138" s="3">
        <f>SUMIFS(MOT_AJUSTE,MOT_MOTOR,G138,MOT_MARCA,E138,MOT_DESDE,"&lt;="&amp;M138,MOT_HASTA,"&gt;="&amp;M138)+SUMIFS(MOT_AJUSTE,MOT_MOTOR,G138,MOT_MARCA,"(todas)",MOT_DESDE,"&lt;="&amp;M138,MOT_HASTA,"&gt;="&amp;M138)+SUMIFS(MOT_AJUSTE,MOT_MOTOR,"(cualquiera)",MOT_MARCA,E138,MOT_DESDE,"&lt;="&amp;M138,MOT_HASTA,"&gt;="&amp;M138)</f>
        <v/>
      </c>
      <c r="CP138" s="3">
        <f>SUMIFS(COMB_AJUSTE,COMB_COMB,K138)</f>
        <v/>
      </c>
      <c r="CQ138" s="3">
        <f>COUNTIFS(MOT_MOTOR,G138,MOT_MARCA,E138,MOT_DESDE,"&lt;="&amp;M138,MOT_HASTA,"&gt;="&amp;M138)+COUNTIFS(MOT_MOTOR,G138,MOT_MARCA,"(todas)",MOT_DESDE,"&lt;="&amp;M138,MOT_HASTA,"&gt;="&amp;M138)+COUNTIFS(MOT_MOTOR,"(cualquiera)",MOT_MARCA,E138,MOT_DESDE,"&lt;="&amp;M138,MOT_HASTA,"&gt;="&amp;M138)</f>
        <v/>
      </c>
      <c r="CR138" s="3">
        <f>IF(AND(K138="diesel",CQ138=0),MIN(CN138,NEUTRO),CN138)</f>
        <v/>
      </c>
      <c r="CS138" s="3">
        <f>MAX(0,MIN(100,CR138+CO138+CP138-IF(AX138="sí",ROB_PEN,0)))</f>
        <v/>
      </c>
      <c r="CT138" s="3">
        <f>100-MAX(0,N138-KM_TOPE_DESDE)/1000*KM_TOPE_PTS</f>
        <v/>
      </c>
      <c r="CU138" s="3">
        <f>MAX(0,MIN(100,50+CG138*PRECIO_PEND,CT138))</f>
        <v/>
      </c>
      <c r="CV138" s="3">
        <f>MAX(0,100*(1-N138/KM_MAX))</f>
        <v/>
      </c>
      <c r="CW138" s="3">
        <f>IF(BX138&lt;KMA_SOSP,IF(AA138="sí",100,KMA_PEN),IF(BX138&lt;=KMA_IDEAL_MAX,100,MAX(0,100*(KMA_CERO-BX138)/(KMA_CERO-KMA_IDEAL_MAX))))</f>
        <v/>
      </c>
      <c r="CX138" s="3">
        <f>MAX(0,MIN(100,100*(M138-ANIO_MIN)/(ANIO_ACTUAL-ANIO_MIN)))</f>
        <v/>
      </c>
      <c r="CY138" s="3">
        <f>W_KMT*CV138+W_KMA*CW138+W_EDAD*CX138</f>
        <v/>
      </c>
      <c r="CZ138" s="4">
        <f>E138&amp;"|"&amp;G138</f>
        <v/>
      </c>
      <c r="DA138" s="3">
        <f>IFERROR(VLOOKUP(CZ138,DIST_TBL,2,0),"")</f>
        <v/>
      </c>
      <c r="DB138" s="3">
        <f>E_ITV*(V138="sí")+E_LIBRO*(W138="sí")+E_PROP*IF(Y138=1,1,IF(Y138=2,0.5,0))+E_CORREA*IF(OR(DA138="cadena",AND(X138="sí",BH138="sí")),1,IF(X138="sí",0.5,0))+E_FACT*(BI138="sí")</f>
        <v/>
      </c>
      <c r="DC138" s="3">
        <f>MAX(0,MIN(100,IFERROR(VLOOKUP(CL138,ETQ_TBL,2,0),0)-IF(CM138="sí",ETQ_PEN_DUD,IF(AS138="regla",ETQ_PEN_REGLA,0))))</f>
        <v/>
      </c>
      <c r="DD138" s="3">
        <f>IF(K138&lt;&gt;"gasolina","",IFERROR(VLOOKUP(F138,CONS_MOD_TBL,2,0),IFERROR(VLOOKUP(L138,CONS_SEG_TBL,2,0),"")))</f>
        <v/>
      </c>
      <c r="DE138" s="3">
        <f>IF(DD138="",NEUTRO,MAX(0,MIN(100,100*(CONS_REF_MAX-DD138)/(CONS_REF_MAX-CONS_REF_MIN))))</f>
        <v/>
      </c>
      <c r="DF138" s="3">
        <f>IFERROR(VLOOKUP(L138,SEGURO_TBL,3,0),"")</f>
        <v/>
      </c>
      <c r="DG138" s="3">
        <f>IF(DF138="",NEUTRO,MAX(0,MIN(100,100*(SEG_REF_MAX-DF138)/(SEG_REF_MAX-SEG_REF_MIN))))</f>
        <v/>
      </c>
      <c r="DH138" s="3">
        <f>IFERROR(VLOOKUP(E138,MANT_MARCA_TBL,2,0)+0,NEUTRO)</f>
        <v/>
      </c>
      <c r="DI138" s="3">
        <f>IF(DA138="",NEUTRO,IFERROR(VLOOKUP(DA138,DIST_PTS_TBL,2,0)+0,NEUTRO))</f>
        <v/>
      </c>
      <c r="DJ138" s="4">
        <f>(DH138+DI138)/2</f>
        <v/>
      </c>
      <c r="DK138" s="3">
        <f>W_CONS*DE138+W_SEG*DG138+W_MANT*DJ138</f>
        <v/>
      </c>
      <c r="DL138" s="3">
        <f>IF(N(AB138)&gt;0,AB138,IF(AND(R138="profesional",SG_LEGAL_ON=1),GAR_LEGAL,0))</f>
        <v/>
      </c>
      <c r="DM138" s="3">
        <f>MAX(0,MIN(100,SG_GAR*MIN(1,DL138/SG_GAR_FULL)+SG_AMPL*(AC138="sí")+SG_KMC*(AF138="sí")+SG_REV*(N(AE138)&gt;0)+SG_DEV*MIN(1,N(AG138)/SG_DEV_FULL)+SG_HIST*(W138="sí")-IF(AND(R138="particular",DL138=0),SG_PART_PEN,0)))</f>
        <v/>
      </c>
      <c r="DN138" s="3">
        <f>IF(BK138="",NEUTRO,MAX(0,MIN(100,BK138/5*100)))</f>
        <v/>
      </c>
      <c r="DO138" s="3">
        <f>IF(BL138="sí",100,IF(BL138="no",0,NEUTRO))</f>
        <v/>
      </c>
      <c r="DP138" s="3">
        <f>SV_W_NCAP*DN138+SV_W_ESP*DO138</f>
        <v/>
      </c>
      <c r="DQ138" s="3">
        <f>MAX(0,MIN(100,ATR_BASE+ATR_ACAB*(BD138&lt;&gt;"")+IF(BE138="16+",ATR_LL16,IF(BE138="sí",ATR_LL,0))+ATR_FAROS*(BF138="sí")+ATR_TINT*(BG138="sí")-ATR_CHAPA*(BE138="chapa")))</f>
        <v/>
      </c>
      <c r="DR138" s="3">
        <f>EST_W_MOD*(BB138-1)/4*100+EST_W_ATR*DQ138</f>
        <v/>
      </c>
      <c r="DS138" s="3">
        <f>IF(BA138="",NEUTRO,IFERROR(VLOOKUP(BA138,COLOR_TBL,2,0)+0,NEUTRO))</f>
        <v/>
      </c>
      <c r="DT138" s="3">
        <f>MAX(0,MIN(100,100*N(BM138)/RV_N_FULL))</f>
        <v/>
      </c>
      <c r="DU138" s="3">
        <f>IF(OR(BN138="",N(BO138)&lt;RV_DIAS_MIN),NEUTRO,MAX(0,MIN(100,100*(RV_DIAS_CERO-BN138)/(RV_DIAS_CERO-RV_DIAS_FULL))))</f>
        <v/>
      </c>
      <c r="DV138" s="3">
        <f>RV_W_LIQ*DT138+RV_W_DIAS*DU138+RV_W_ETQ*DC138</f>
        <v/>
      </c>
      <c r="DW138" s="3">
        <f>IFERROR(VLOOKUP(L138,CARR_PEN_TBL,2,0),0)</f>
        <v/>
      </c>
      <c r="DX138" s="3">
        <f>W_FIAB*CS138+W_PRECIO*CU138+W_KMEDAD*CY138+W_ESTADO*DB138+W_USO*DK138+W_SEGURIDAD*DM138+W_SEGVIAL*DP138+W_ESTETICA*DR138+W_COLOR*DS138+W_REVENTA*DV138-DW138-EG138</f>
        <v/>
      </c>
      <c r="DY138" s="4">
        <f>IF(N(I138)&gt;0,I138,IFERROR(ROUND(_xlfn.NUMBERVALUE(LEFT(G138,FIND(" ",G138&amp;" ")-1),".")*1000,0),99999))</f>
        <v/>
      </c>
      <c r="DZ138" s="3">
        <f>IF(R138="profesional",0,IF(O138&lt;CUOTA_VALOR_MAX,IF(BW138&gt;ITP_TRAMO_ALTO,SUMIFS(CF_CUOTA,CF_MAS,ITP_TRAMO_ALTO,CF_CCMIN,"&lt;="&amp;DY138,CF_CCMAX,"&gt;="&amp;DY138),IF(BW138&gt;ITP_TRAMO_BAJO,SUMIFS(CF_CUOTA,CF_MAS,ITP_TRAMO_BAJO,CF_CCMIN,"&lt;="&amp;DY138,CF_CCMAX,"&gt;="&amp;DY138),O138*ITP_TIPO)),O138*ITP_TIPO))</f>
        <v/>
      </c>
      <c r="EA138" s="4">
        <f>IF(R138="profesional",N(AK138),0)</f>
        <v/>
      </c>
      <c r="EB138" s="3">
        <f>IF(AND(R138="profesional",ISNUMBER(AK138),AL138="sí"),0,TASA_DGT)</f>
        <v/>
      </c>
      <c r="EC138" s="3">
        <f>INFORME_DGT</f>
        <v/>
      </c>
      <c r="ED138" s="4">
        <f>O138+EA138+DZ138+EB138+EC138</f>
        <v/>
      </c>
      <c r="EE138" s="4">
        <f>ED138+N(DF138)</f>
        <v/>
      </c>
      <c r="EF138" s="3">
        <f>MAX(0,ED138-TOTAL_MAX)</f>
        <v/>
      </c>
      <c r="EG138" s="3">
        <f>EF138/100*PEN_100</f>
        <v/>
      </c>
      <c r="EH138" s="3">
        <f>IF(R138="particular",ED138+IF(AND(DA138&lt;&gt;"cadena",X138&lt;&gt;"sí"),RES_CORREA,0)+IF(AND(BJ138&lt;&gt;"sí",BW138&gt;=RES_NEUM_EDAD),RES_NEUM,0),"")</f>
        <v/>
      </c>
      <c r="EI138" s="3">
        <f>IF(ED138&lt;=TOTAL_MAX,"sí",IF(ED138&lt;=TECHO,"negociar","no"))</f>
        <v/>
      </c>
      <c r="EJ138" s="4">
        <f>ROUND(DX138,9)</f>
        <v/>
      </c>
      <c r="EK138" s="4">
        <f>IF(EI138&lt;&gt;"no",SUMPRODUCT(($EI$2:$EI$209&lt;&gt;"no")*($EJ$2:$EJ$209&gt;EJ138))+SUMPRODUCT(($EI$2:EI138&lt;&gt;"no")*($EJ$2:EJ138=EJ138)),"")</f>
        <v/>
      </c>
    </row>
    <row r="139">
      <c r="A139" s="2" t="inlineStr">
        <is>
          <t>wallapop:1305532346</t>
        </is>
      </c>
      <c r="B139" s="2" t="inlineStr">
        <is>
          <t>wallapop</t>
        </is>
      </c>
      <c r="C139" s="2" t="inlineStr">
        <is>
          <t>https://es.wallapop.com/item/ford-fusion-2003-1305532346</t>
        </is>
      </c>
      <c r="D139" s="2" t="inlineStr">
        <is>
          <t>Ford Fusion 2003 Unico dueño 120.000kms</t>
        </is>
      </c>
      <c r="E139" s="2" t="inlineStr">
        <is>
          <t>Ford</t>
        </is>
      </c>
      <c r="F139" s="2" t="inlineStr">
        <is>
          <t>Ford Fusion</t>
        </is>
      </c>
      <c r="G139" s="2" t="inlineStr">
        <is>
          <t>1.6</t>
        </is>
      </c>
      <c r="H139" s="2" t="inlineStr">
        <is>
          <t>1.6 100 Elegance 5p</t>
        </is>
      </c>
      <c r="I139" s="2" t="n"/>
      <c r="J139" s="2" t="n">
        <v>100</v>
      </c>
      <c r="K139" s="2" t="inlineStr">
        <is>
          <t>gasolina</t>
        </is>
      </c>
      <c r="L139" s="2" t="inlineStr">
        <is>
          <t>monovolumen_pequeno</t>
        </is>
      </c>
      <c r="M139" s="2" t="n">
        <v>2003</v>
      </c>
      <c r="N139" s="2" t="n">
        <v>120000</v>
      </c>
      <c r="O139" s="2" t="n">
        <v>4500</v>
      </c>
      <c r="P139" s="2" t="inlineStr">
        <is>
          <t>manual</t>
        </is>
      </c>
      <c r="Q139" s="2" t="inlineStr">
        <is>
          <t>no</t>
        </is>
      </c>
      <c r="R139" s="2" t="inlineStr">
        <is>
          <t>profesional</t>
        </is>
      </c>
      <c r="S139" s="2" t="inlineStr">
        <is>
          <t>Valencia (46003)</t>
        </is>
      </c>
      <c r="T139" s="2" t="inlineStr">
        <is>
          <t>2026-10-31T17:09:32</t>
        </is>
      </c>
      <c r="U139" s="2" t="n">
        <v>22</v>
      </c>
      <c r="V139" s="2" t="inlineStr">
        <is>
          <t>sí</t>
        </is>
      </c>
      <c r="W139" s="2" t="n"/>
      <c r="X139" s="2" t="inlineStr">
        <is>
          <t>sí</t>
        </is>
      </c>
      <c r="Y139" s="2" t="n">
        <v>1</v>
      </c>
      <c r="Z139" s="2" t="n"/>
      <c r="AA139" s="2" t="n"/>
      <c r="AB139" s="2" t="n"/>
      <c r="AC139" s="2" t="n"/>
      <c r="AD139" s="2" t="n"/>
      <c r="AE139" s="2" t="n"/>
      <c r="AF139" s="2" t="n"/>
      <c r="AG139" s="2" t="n"/>
      <c r="AH139" s="2" t="n"/>
      <c r="AI139" s="2" t="n"/>
      <c r="AJ139" s="2" t="n"/>
      <c r="AK139" s="2" t="n"/>
      <c r="AL139" s="2" t="n"/>
      <c r="AM139" s="2" t="n">
        <v>1.4</v>
      </c>
      <c r="AN139" s="2" t="n"/>
      <c r="AO139" s="2" t="n"/>
      <c r="AP139" s="2" t="n">
        <v>2003</v>
      </c>
      <c r="AQ139" s="2" t="n"/>
      <c r="AR139" s="2" t="n"/>
      <c r="AS139" s="2" t="inlineStr">
        <is>
          <t>regla</t>
        </is>
      </c>
      <c r="AT139" s="2" t="n"/>
      <c r="AU139" s="2" t="inlineStr">
        <is>
          <t>no</t>
        </is>
      </c>
      <c r="AV139" s="2" t="inlineStr">
        <is>
          <t>B</t>
        </is>
      </c>
      <c r="AW139" s="2" t="n"/>
      <c r="AX139" s="2" t="inlineStr">
        <is>
          <t>no</t>
        </is>
      </c>
      <c r="AY139" s="2" t="inlineStr">
        <is>
          <t>no</t>
        </is>
      </c>
      <c r="AZ139" s="2" t="n"/>
      <c r="BA139" s="2" t="n"/>
      <c r="BB139" s="3" t="n">
        <v>2</v>
      </c>
      <c r="BC139" s="3" t="inlineStr">
        <is>
          <t>(por segmento)</t>
        </is>
      </c>
      <c r="BD139" s="2" t="n"/>
      <c r="BE139" s="2" t="n"/>
      <c r="BF139" s="2" t="n"/>
      <c r="BG139" s="2" t="n"/>
      <c r="BH139" s="2" t="inlineStr">
        <is>
          <t>sí</t>
        </is>
      </c>
      <c r="BI139" s="2" t="n"/>
      <c r="BJ139" s="2" t="inlineStr">
        <is>
          <t>sí</t>
        </is>
      </c>
      <c r="BK139" s="2" t="n"/>
      <c r="BL139" s="2" t="n"/>
      <c r="BM139" s="2" t="n">
        <v>10</v>
      </c>
      <c r="BN139" s="2" t="n">
        <v>0</v>
      </c>
      <c r="BO139" s="2" t="n">
        <v>1</v>
      </c>
      <c r="BP139" s="2" t="n"/>
      <c r="BQ139" s="2" t="n"/>
      <c r="BR139" s="2" t="n"/>
      <c r="BS139" s="2" t="inlineStr">
        <is>
          <t>cochesnet:71594001 (https://www.coches.net/ford-fusion-16-16v-elegance-5p-gasolina-2004-en-valencia-71594001-covo.aspx)</t>
        </is>
      </c>
      <c r="BT139" s="2" t="inlineStr">
        <is>
          <t>vendedor profesional: sin ITP (operación con IVA/REBU, confirmar en factura); gastos de gestión del vendedor no indicados: se suma la tasa DGT; preguntar el precio final; Euro NCAP de la generación PENDIENTE (seguridad neutra); carrocería monovolumen_pequeno: -6 puntos; etiqueta B deducida por fecha (sin matrícula ni dato del anuncio); fiabilidad del modelo PENDIENTE de fuente (puntuación neutra); mediana con solo 2 anuncio(s)</t>
        </is>
      </c>
      <c r="BU139" s="2" t="inlineStr">
        <is>
          <t>🚗FORD FUSION 1.6 Gasolina 16v Elegance   Año 2003 manual 5 velocidades 100CV  SOLAMENTE 120.000 Kms UNICO  DUEÑO!
✅Etiqueta B
✅CAMBIO DE NOMBRE INCLUIDO 
✅ 12 MESES DE GARANTÍA 
✅ITV 9/2027 Recién pasada
✅120.000kms
✅1 Propietario
✅Matriculación 10/2003
✅2 llaves
✅Mantenimiento de aceite y filtros recién hecho
✅Distribución hecha en 2022 
✅4 Ruedas nuevas 
✅Batería nueva 
✅Aire acondicionado 
✅Espejos eléctricos  
Motor 1.6 gasolina 16V – 100 CV (FYJA). Motor atmosférico, sencillo y fiable, con distribución por correa. Destaca por su mantenimiento relativamente económico y buena durabilidad, ideal para uso diario.</t>
        </is>
      </c>
      <c r="BV139" s="2" t="inlineStr">
        <is>
          <t>https://es.wallapop.com/item/ford-fusion-2003-1305532346 (__NEXT_DATA__ item) /home/user/Alopecia/buscador-coches/raw/wallapop/a82a03766d2b9bce.json</t>
        </is>
      </c>
      <c r="BW139" s="3">
        <f>MAX(ANIO_ACTUAL-M139,0)</f>
        <v/>
      </c>
      <c r="BX139" s="4">
        <f>N139/MAX(BW139,0.5)</f>
        <v/>
      </c>
      <c r="BY139" s="4">
        <f>F139</f>
        <v/>
      </c>
      <c r="BZ139" s="3">
        <f>BY139&amp;"|"&amp;INT(M139/SEG_ANIO)*SEG_ANIO</f>
        <v/>
      </c>
      <c r="CA139" s="3">
        <f>BZ139&amp;"|"&amp;INT(N139/SEG_KM)*SEG_KM</f>
        <v/>
      </c>
      <c r="CB139" s="4">
        <f>COUNTIF($BY$2:$BY$209,BY139)</f>
        <v/>
      </c>
      <c r="CC139" s="4">
        <f>COUNTIF($BZ$2:$BZ$209,BZ139)</f>
        <v/>
      </c>
      <c r="CD139" s="4">
        <f>COUNTIF($CA$2:$CA$209,CA139)</f>
        <v/>
      </c>
      <c r="CE139" s="3">
        <f t="array" ref="CE139">IF(N(BQ139)&gt;=MIN_N,BP139,IF(CD139&gt;=MIN_N,MEDIAN(IF($CA$2:$CA$209=CA139,$O$2:$O$209)),IF(CC139&gt;=MIN_N,MEDIAN(IF($BZ$2:$BZ$209=BZ139,$O$2:$O$209)),MEDIAN(IF($BY$2:$BY$209=BY139,$O$2:$O$209)))))</f>
        <v/>
      </c>
      <c r="CF139" s="3">
        <f>IF(N(BQ139)&gt;=MIN_N,"mercado "&amp;BR139,IF(CD139&gt;=MIN_N,"modelo+año+km",IF(CC139&gt;=MIN_N,"modelo+año","modelo")))</f>
        <v/>
      </c>
      <c r="CG139" s="4">
        <f>(CE139-O139)/CE139</f>
        <v/>
      </c>
      <c r="CH139" s="3">
        <f>IF(COUNTIFS(FR_FUEL,K139,FR_YEAR,AP139)&gt;0,1,0)</f>
        <v/>
      </c>
      <c r="CI139" s="3">
        <f>IF(COUNTIFS(FR_FUEL,K139,FR_YEAR,AP139-1)&gt;0,1,0)</f>
        <v/>
      </c>
      <c r="CJ139" s="4">
        <f>IF(N(AQ139)&gt;0,AP139*100+AQ139,IF(AND(CH139=1,CI139=1),(AP139-1)*100+1,AP139*100+1))</f>
        <v/>
      </c>
      <c r="CK139" s="3">
        <f>IF(OR(K139="hibrido",K139="glp",K139="gnc",K139="phev"),"ECO",IF(K139="electrico","CERO",IF(K139="gasolina",IF(CJ139&gt;=GAS_C_YM,"C",IF(CJ139&gt;=GAS_B_YM,"B","A")),IF(K139="diesel",IF(CJ139&gt;=DIE_C_YM,"C",IF(CJ139&gt;=DIE_B_YM,"B","A")),""))))</f>
        <v/>
      </c>
      <c r="CL139" s="4">
        <f>CK139</f>
        <v/>
      </c>
      <c r="CM139" s="4">
        <f>IF(AU139="sí","sí",IF(AS139="regla",IF(AND(N(AQ139)=0,CH139=1),"sí","no"),"no"))</f>
        <v/>
      </c>
      <c r="CN139" s="3">
        <f>IFERROR(VLOOKUP(F139,MOD_TBL,16,0),IFERROR(VLOOKUP(E139,OCU_TBL,2,0),NEUTRO))</f>
        <v/>
      </c>
      <c r="CO139" s="3">
        <f>SUMIFS(MOT_AJUSTE,MOT_MOTOR,G139,MOT_MARCA,E139,MOT_DESDE,"&lt;="&amp;M139,MOT_HASTA,"&gt;="&amp;M139)+SUMIFS(MOT_AJUSTE,MOT_MOTOR,G139,MOT_MARCA,"(todas)",MOT_DESDE,"&lt;="&amp;M139,MOT_HASTA,"&gt;="&amp;M139)+SUMIFS(MOT_AJUSTE,MOT_MOTOR,"(cualquiera)",MOT_MARCA,E139,MOT_DESDE,"&lt;="&amp;M139,MOT_HASTA,"&gt;="&amp;M139)</f>
        <v/>
      </c>
      <c r="CP139" s="3">
        <f>SUMIFS(COMB_AJUSTE,COMB_COMB,K139)</f>
        <v/>
      </c>
      <c r="CQ139" s="3">
        <f>COUNTIFS(MOT_MOTOR,G139,MOT_MARCA,E139,MOT_DESDE,"&lt;="&amp;M139,MOT_HASTA,"&gt;="&amp;M139)+COUNTIFS(MOT_MOTOR,G139,MOT_MARCA,"(todas)",MOT_DESDE,"&lt;="&amp;M139,MOT_HASTA,"&gt;="&amp;M139)+COUNTIFS(MOT_MOTOR,"(cualquiera)",MOT_MARCA,E139,MOT_DESDE,"&lt;="&amp;M139,MOT_HASTA,"&gt;="&amp;M139)</f>
        <v/>
      </c>
      <c r="CR139" s="3">
        <f>IF(AND(K139="diesel",CQ139=0),MIN(CN139,NEUTRO),CN139)</f>
        <v/>
      </c>
      <c r="CS139" s="3">
        <f>MAX(0,MIN(100,CR139+CO139+CP139-IF(AX139="sí",ROB_PEN,0)))</f>
        <v/>
      </c>
      <c r="CT139" s="3">
        <f>100-MAX(0,N139-KM_TOPE_DESDE)/1000*KM_TOPE_PTS</f>
        <v/>
      </c>
      <c r="CU139" s="3">
        <f>MAX(0,MIN(100,50+CG139*PRECIO_PEND,CT139))</f>
        <v/>
      </c>
      <c r="CV139" s="3">
        <f>MAX(0,100*(1-N139/KM_MAX))</f>
        <v/>
      </c>
      <c r="CW139" s="3">
        <f>IF(BX139&lt;KMA_SOSP,IF(AA139="sí",100,KMA_PEN),IF(BX139&lt;=KMA_IDEAL_MAX,100,MAX(0,100*(KMA_CERO-BX139)/(KMA_CERO-KMA_IDEAL_MAX))))</f>
        <v/>
      </c>
      <c r="CX139" s="3">
        <f>MAX(0,MIN(100,100*(M139-ANIO_MIN)/(ANIO_ACTUAL-ANIO_MIN)))</f>
        <v/>
      </c>
      <c r="CY139" s="3">
        <f>W_KMT*CV139+W_KMA*CW139+W_EDAD*CX139</f>
        <v/>
      </c>
      <c r="CZ139" s="4">
        <f>E139&amp;"|"&amp;G139</f>
        <v/>
      </c>
      <c r="DA139" s="3">
        <f>IFERROR(VLOOKUP(CZ139,DIST_TBL,2,0),"")</f>
        <v/>
      </c>
      <c r="DB139" s="3">
        <f>E_ITV*(V139="sí")+E_LIBRO*(W139="sí")+E_PROP*IF(Y139=1,1,IF(Y139=2,0.5,0))+E_CORREA*IF(OR(DA139="cadena",AND(X139="sí",BH139="sí")),1,IF(X139="sí",0.5,0))+E_FACT*(BI139="sí")</f>
        <v/>
      </c>
      <c r="DC139" s="3">
        <f>MAX(0,MIN(100,IFERROR(VLOOKUP(CL139,ETQ_TBL,2,0),0)-IF(CM139="sí",ETQ_PEN_DUD,IF(AS139="regla",ETQ_PEN_REGLA,0))))</f>
        <v/>
      </c>
      <c r="DD139" s="3">
        <f>IF(K139&lt;&gt;"gasolina","",IFERROR(VLOOKUP(F139,CONS_MOD_TBL,2,0),IFERROR(VLOOKUP(L139,CONS_SEG_TBL,2,0),"")))</f>
        <v/>
      </c>
      <c r="DE139" s="3">
        <f>IF(DD139="",NEUTRO,MAX(0,MIN(100,100*(CONS_REF_MAX-DD139)/(CONS_REF_MAX-CONS_REF_MIN))))</f>
        <v/>
      </c>
      <c r="DF139" s="3">
        <f>IFERROR(VLOOKUP(L139,SEGURO_TBL,3,0),"")</f>
        <v/>
      </c>
      <c r="DG139" s="3">
        <f>IF(DF139="",NEUTRO,MAX(0,MIN(100,100*(SEG_REF_MAX-DF139)/(SEG_REF_MAX-SEG_REF_MIN))))</f>
        <v/>
      </c>
      <c r="DH139" s="3">
        <f>IFERROR(VLOOKUP(E139,MANT_MARCA_TBL,2,0)+0,NEUTRO)</f>
        <v/>
      </c>
      <c r="DI139" s="3">
        <f>IF(DA139="",NEUTRO,IFERROR(VLOOKUP(DA139,DIST_PTS_TBL,2,0)+0,NEUTRO))</f>
        <v/>
      </c>
      <c r="DJ139" s="4">
        <f>(DH139+DI139)/2</f>
        <v/>
      </c>
      <c r="DK139" s="3">
        <f>W_CONS*DE139+W_SEG*DG139+W_MANT*DJ139</f>
        <v/>
      </c>
      <c r="DL139" s="3">
        <f>IF(N(AB139)&gt;0,AB139,IF(AND(R139="profesional",SG_LEGAL_ON=1),GAR_LEGAL,0))</f>
        <v/>
      </c>
      <c r="DM139" s="3">
        <f>MAX(0,MIN(100,SG_GAR*MIN(1,DL139/SG_GAR_FULL)+SG_AMPL*(AC139="sí")+SG_KMC*(AF139="sí")+SG_REV*(N(AE139)&gt;0)+SG_DEV*MIN(1,N(AG139)/SG_DEV_FULL)+SG_HIST*(W139="sí")-IF(AND(R139="particular",DL139=0),SG_PART_PEN,0)))</f>
        <v/>
      </c>
      <c r="DN139" s="3">
        <f>IF(BK139="",NEUTRO,MAX(0,MIN(100,BK139/5*100)))</f>
        <v/>
      </c>
      <c r="DO139" s="3">
        <f>IF(BL139="sí",100,IF(BL139="no",0,NEUTRO))</f>
        <v/>
      </c>
      <c r="DP139" s="3">
        <f>SV_W_NCAP*DN139+SV_W_ESP*DO139</f>
        <v/>
      </c>
      <c r="DQ139" s="3">
        <f>MAX(0,MIN(100,ATR_BASE+ATR_ACAB*(BD139&lt;&gt;"")+IF(BE139="16+",ATR_LL16,IF(BE139="sí",ATR_LL,0))+ATR_FAROS*(BF139="sí")+ATR_TINT*(BG139="sí")-ATR_CHAPA*(BE139="chapa")))</f>
        <v/>
      </c>
      <c r="DR139" s="3">
        <f>EST_W_MOD*(BB139-1)/4*100+EST_W_ATR*DQ139</f>
        <v/>
      </c>
      <c r="DS139" s="3">
        <f>IF(BA139="",NEUTRO,IFERROR(VLOOKUP(BA139,COLOR_TBL,2,0)+0,NEUTRO))</f>
        <v/>
      </c>
      <c r="DT139" s="3">
        <f>MAX(0,MIN(100,100*N(BM139)/RV_N_FULL))</f>
        <v/>
      </c>
      <c r="DU139" s="3">
        <f>IF(OR(BN139="",N(BO139)&lt;RV_DIAS_MIN),NEUTRO,MAX(0,MIN(100,100*(RV_DIAS_CERO-BN139)/(RV_DIAS_CERO-RV_DIAS_FULL))))</f>
        <v/>
      </c>
      <c r="DV139" s="3">
        <f>RV_W_LIQ*DT139+RV_W_DIAS*DU139+RV_W_ETQ*DC139</f>
        <v/>
      </c>
      <c r="DW139" s="3">
        <f>IFERROR(VLOOKUP(L139,CARR_PEN_TBL,2,0),0)</f>
        <v/>
      </c>
      <c r="DX139" s="3">
        <f>W_FIAB*CS139+W_PRECIO*CU139+W_KMEDAD*CY139+W_ESTADO*DB139+W_USO*DK139+W_SEGURIDAD*DM139+W_SEGVIAL*DP139+W_ESTETICA*DR139+W_COLOR*DS139+W_REVENTA*DV139-DW139-EG139</f>
        <v/>
      </c>
      <c r="DY139" s="4">
        <f>IF(N(I139)&gt;0,I139,IFERROR(ROUND(_xlfn.NUMBERVALUE(LEFT(G139,FIND(" ",G139&amp;" ")-1),".")*1000,0),99999))</f>
        <v/>
      </c>
      <c r="DZ139" s="3">
        <f>IF(R139="profesional",0,IF(O139&lt;CUOTA_VALOR_MAX,IF(BW139&gt;ITP_TRAMO_ALTO,SUMIFS(CF_CUOTA,CF_MAS,ITP_TRAMO_ALTO,CF_CCMIN,"&lt;="&amp;DY139,CF_CCMAX,"&gt;="&amp;DY139),IF(BW139&gt;ITP_TRAMO_BAJO,SUMIFS(CF_CUOTA,CF_MAS,ITP_TRAMO_BAJO,CF_CCMIN,"&lt;="&amp;DY139,CF_CCMAX,"&gt;="&amp;DY139),O139*ITP_TIPO)),O139*ITP_TIPO))</f>
        <v/>
      </c>
      <c r="EA139" s="4">
        <f>IF(R139="profesional",N(AK139),0)</f>
        <v/>
      </c>
      <c r="EB139" s="3">
        <f>IF(AND(R139="profesional",ISNUMBER(AK139),AL139="sí"),0,TASA_DGT)</f>
        <v/>
      </c>
      <c r="EC139" s="3">
        <f>INFORME_DGT</f>
        <v/>
      </c>
      <c r="ED139" s="4">
        <f>O139+EA139+DZ139+EB139+EC139</f>
        <v/>
      </c>
      <c r="EE139" s="4">
        <f>ED139+N(DF139)</f>
        <v/>
      </c>
      <c r="EF139" s="3">
        <f>MAX(0,ED139-TOTAL_MAX)</f>
        <v/>
      </c>
      <c r="EG139" s="3">
        <f>EF139/100*PEN_100</f>
        <v/>
      </c>
      <c r="EH139" s="3">
        <f>IF(R139="particular",ED139+IF(AND(DA139&lt;&gt;"cadena",X139&lt;&gt;"sí"),RES_CORREA,0)+IF(AND(BJ139&lt;&gt;"sí",BW139&gt;=RES_NEUM_EDAD),RES_NEUM,0),"")</f>
        <v/>
      </c>
      <c r="EI139" s="3">
        <f>IF(ED139&lt;=TOTAL_MAX,"sí",IF(ED139&lt;=TECHO,"negociar","no"))</f>
        <v/>
      </c>
      <c r="EJ139" s="4">
        <f>ROUND(DX139,9)</f>
        <v/>
      </c>
      <c r="EK139" s="4">
        <f>IF(EI139&lt;&gt;"no",SUMPRODUCT(($EI$2:$EI$209&lt;&gt;"no")*($EJ$2:$EJ$209&gt;EJ139))+SUMPRODUCT(($EI$2:EI139&lt;&gt;"no")*($EJ$2:EJ139=EJ139)),"")</f>
        <v/>
      </c>
    </row>
    <row r="140">
      <c r="A140" s="2" t="inlineStr">
        <is>
          <t>cochesnet:71830314</t>
        </is>
      </c>
      <c r="B140" s="2" t="inlineStr">
        <is>
          <t>cochesnet</t>
        </is>
      </c>
      <c r="C140" s="2" t="inlineStr">
        <is>
          <t>https://www.coches.net/ford-mondeo-20-tdci-140-ghia-5p-diesel-2008-en-valencia-71830314-covo.aspx</t>
        </is>
      </c>
      <c r="D140" s="2" t="inlineStr">
        <is>
          <t>FORD Mondeo 2.0 TDCi 140 Ghia</t>
        </is>
      </c>
      <c r="E140" s="2" t="inlineStr">
        <is>
          <t>Ford</t>
        </is>
      </c>
      <c r="F140" s="2" t="inlineStr">
        <is>
          <t>Ford Mondeo</t>
        </is>
      </c>
      <c r="G140" s="2" t="inlineStr">
        <is>
          <t>2.0 TDCi</t>
        </is>
      </c>
      <c r="H140" s="2" t="inlineStr">
        <is>
          <t>2.0 TDCi 140 Ghia</t>
        </is>
      </c>
      <c r="I140" s="2" t="n"/>
      <c r="J140" s="2" t="n"/>
      <c r="K140" s="2" t="inlineStr">
        <is>
          <t>diesel</t>
        </is>
      </c>
      <c r="L140" s="2" t="inlineStr">
        <is>
          <t>berlina_d</t>
        </is>
      </c>
      <c r="M140" s="2" t="n">
        <v>2008</v>
      </c>
      <c r="N140" s="2" t="n">
        <v>160000</v>
      </c>
      <c r="O140" s="2" t="n">
        <v>3990</v>
      </c>
      <c r="P140" s="2" t="inlineStr">
        <is>
          <t>manual</t>
        </is>
      </c>
      <c r="Q140" s="2" t="inlineStr">
        <is>
          <t>no</t>
        </is>
      </c>
      <c r="R140" s="2" t="inlineStr">
        <is>
          <t>profesional</t>
        </is>
      </c>
      <c r="S140" s="2" t="inlineStr">
        <is>
          <t>Foios</t>
        </is>
      </c>
      <c r="T140" s="2" t="inlineStr">
        <is>
          <t>2026-10-25T22:33:38Z</t>
        </is>
      </c>
      <c r="U140" s="2" t="n">
        <v>15</v>
      </c>
      <c r="V140" s="2" t="n"/>
      <c r="W140" s="2" t="n"/>
      <c r="X140" s="2" t="n"/>
      <c r="Y140" s="2" t="n"/>
      <c r="Z140" s="2" t="inlineStr">
        <is>
          <t>sí</t>
        </is>
      </c>
      <c r="AA140" s="2" t="n"/>
      <c r="AB140" s="2" t="n">
        <v>12</v>
      </c>
      <c r="AC140" s="2" t="n"/>
      <c r="AD140" s="2" t="n"/>
      <c r="AE140" s="2" t="n"/>
      <c r="AF140" s="2" t="n"/>
      <c r="AG140" s="2" t="n"/>
      <c r="AH140" s="2" t="n">
        <v>3990</v>
      </c>
      <c r="AI140" s="2" t="n">
        <v>3990</v>
      </c>
      <c r="AJ140" s="2" t="n"/>
      <c r="AK140" s="2" t="n"/>
      <c r="AL140" s="2" t="n"/>
      <c r="AM140" s="2" t="n">
        <v>7.7</v>
      </c>
      <c r="AN140" s="2" t="n"/>
      <c r="AO140" s="2" t="inlineStr">
        <is>
          <t>2008</t>
        </is>
      </c>
      <c r="AP140" s="2" t="n">
        <v>2008</v>
      </c>
      <c r="AQ140" s="2" t="n"/>
      <c r="AR140" s="2" t="inlineStr">
        <is>
          <t>B</t>
        </is>
      </c>
      <c r="AS140" s="2" t="inlineStr">
        <is>
          <t>anuncio</t>
        </is>
      </c>
      <c r="AT140" s="2" t="n"/>
      <c r="AU140" s="2" t="inlineStr">
        <is>
          <t>no</t>
        </is>
      </c>
      <c r="AV140" s="2" t="inlineStr">
        <is>
          <t>B</t>
        </is>
      </c>
      <c r="AW140" s="2" t="n"/>
      <c r="AX140" s="2" t="inlineStr">
        <is>
          <t>no</t>
        </is>
      </c>
      <c r="AY140" s="2" t="inlineStr">
        <is>
          <t>no</t>
        </is>
      </c>
      <c r="AZ140" s="2" t="inlineStr">
        <is>
          <t>COMMON.COLOR_GRAY</t>
        </is>
      </c>
      <c r="BA140" s="2" t="inlineStr">
        <is>
          <t>gris_medio</t>
        </is>
      </c>
      <c r="BB140" s="3" t="n">
        <v>3</v>
      </c>
      <c r="BC140" s="3" t="inlineStr">
        <is>
          <t>(por segmento)</t>
        </is>
      </c>
      <c r="BD140" s="2" t="n"/>
      <c r="BE140" s="2" t="n"/>
      <c r="BF140" s="2" t="n"/>
      <c r="BG140" s="2" t="n"/>
      <c r="BH140" s="2" t="n"/>
      <c r="BI140" s="2" t="n"/>
      <c r="BJ140" s="2" t="n"/>
      <c r="BK140" s="2" t="n">
        <v>5</v>
      </c>
      <c r="BL140" s="2" t="inlineStr">
        <is>
          <t>sí</t>
        </is>
      </c>
      <c r="BM140" s="2" t="n">
        <v>109</v>
      </c>
      <c r="BN140" s="2" t="n">
        <v>0</v>
      </c>
      <c r="BO140" s="2" t="n">
        <v>1</v>
      </c>
      <c r="BP140" s="2" t="n">
        <v>4700</v>
      </c>
      <c r="BQ140" s="2" t="n">
        <v>5</v>
      </c>
      <c r="BR140" s="2" t="inlineStr">
        <is>
          <t>modelo+año+km</t>
        </is>
      </c>
      <c r="BS140" s="2" t="n"/>
      <c r="BT140" s="2" t="inlineStr">
        <is>
          <t>vendedor profesional: sin ITP (operación con IVA/REBU, confirmar en factura); gastos de gestión del vendedor no indicados: se suma la tasa DGT; preguntar el precio final; diésel: motor sin fuente de fiabilidad (fiabilidad limitada a neutra); revisar: no menciona la ITV; fiabilidad del modelo PENDIENTE de fuente (puntuación neutra)</t>
        </is>
      </c>
      <c r="BU140" s="2" t="inlineStr"/>
      <c r="BV140" s="2" t="inlineStr">
        <is>
          <t>https://www.coches.net/ford-mondeo-20-tdci-140-ghia-5p-diesel-2008-en-valencia-71830314-covo.aspx (window.__INITIAL_PROPS__.ad) /home/user/Alopecia/buscador-coches/raw/cochesnet/4c3c138a9203197a.json</t>
        </is>
      </c>
      <c r="BW140" s="3">
        <f>MAX(ANIO_ACTUAL-M140,0)</f>
        <v/>
      </c>
      <c r="BX140" s="4">
        <f>N140/MAX(BW140,0.5)</f>
        <v/>
      </c>
      <c r="BY140" s="4">
        <f>F140</f>
        <v/>
      </c>
      <c r="BZ140" s="3">
        <f>BY140&amp;"|"&amp;INT(M140/SEG_ANIO)*SEG_ANIO</f>
        <v/>
      </c>
      <c r="CA140" s="3">
        <f>BZ140&amp;"|"&amp;INT(N140/SEG_KM)*SEG_KM</f>
        <v/>
      </c>
      <c r="CB140" s="4">
        <f>COUNTIF($BY$2:$BY$209,BY140)</f>
        <v/>
      </c>
      <c r="CC140" s="4">
        <f>COUNTIF($BZ$2:$BZ$209,BZ140)</f>
        <v/>
      </c>
      <c r="CD140" s="4">
        <f>COUNTIF($CA$2:$CA$209,CA140)</f>
        <v/>
      </c>
      <c r="CE140" s="3">
        <f t="array" ref="CE140">IF(N(BQ140)&gt;=MIN_N,BP140,IF(CD140&gt;=MIN_N,MEDIAN(IF($CA$2:$CA$209=CA140,$O$2:$O$209)),IF(CC140&gt;=MIN_N,MEDIAN(IF($BZ$2:$BZ$209=BZ140,$O$2:$O$209)),MEDIAN(IF($BY$2:$BY$209=BY140,$O$2:$O$209)))))</f>
        <v/>
      </c>
      <c r="CF140" s="3">
        <f>IF(N(BQ140)&gt;=MIN_N,"mercado "&amp;BR140,IF(CD140&gt;=MIN_N,"modelo+año+km",IF(CC140&gt;=MIN_N,"modelo+año","modelo")))</f>
        <v/>
      </c>
      <c r="CG140" s="4">
        <f>(CE140-O140)/CE140</f>
        <v/>
      </c>
      <c r="CH140" s="3">
        <f>IF(COUNTIFS(FR_FUEL,K140,FR_YEAR,AP140)&gt;0,1,0)</f>
        <v/>
      </c>
      <c r="CI140" s="3">
        <f>IF(COUNTIFS(FR_FUEL,K140,FR_YEAR,AP140-1)&gt;0,1,0)</f>
        <v/>
      </c>
      <c r="CJ140" s="4">
        <f>IF(N(AQ140)&gt;0,AP140*100+AQ140,IF(AND(CH140=1,CI140=1),(AP140-1)*100+1,AP140*100+1))</f>
        <v/>
      </c>
      <c r="CK140" s="3">
        <f>IF(OR(K140="hibrido",K140="glp",K140="gnc",K140="phev"),"ECO",IF(K140="electrico","CERO",IF(K140="gasolina",IF(CJ140&gt;=GAS_C_YM,"C",IF(CJ140&gt;=GAS_B_YM,"B","A")),IF(K140="diesel",IF(CJ140&gt;=DIE_C_YM,"C",IF(CJ140&gt;=DIE_B_YM,"B","A")),""))))</f>
        <v/>
      </c>
      <c r="CL140" s="2" t="inlineStr">
        <is>
          <t>B</t>
        </is>
      </c>
      <c r="CM140" s="4">
        <f>IF(AU140="sí","sí",IF(AS140="regla",IF(AND(N(AQ140)=0,CH140=1),"sí","no"),"no"))</f>
        <v/>
      </c>
      <c r="CN140" s="3">
        <f>IFERROR(VLOOKUP(F140,MOD_TBL,16,0),IFERROR(VLOOKUP(E140,OCU_TBL,2,0),NEUTRO))</f>
        <v/>
      </c>
      <c r="CO140" s="3">
        <f>SUMIFS(MOT_AJUSTE,MOT_MOTOR,G140,MOT_MARCA,E140,MOT_DESDE,"&lt;="&amp;M140,MOT_HASTA,"&gt;="&amp;M140)+SUMIFS(MOT_AJUSTE,MOT_MOTOR,G140,MOT_MARCA,"(todas)",MOT_DESDE,"&lt;="&amp;M140,MOT_HASTA,"&gt;="&amp;M140)+SUMIFS(MOT_AJUSTE,MOT_MOTOR,"(cualquiera)",MOT_MARCA,E140,MOT_DESDE,"&lt;="&amp;M140,MOT_HASTA,"&gt;="&amp;M140)</f>
        <v/>
      </c>
      <c r="CP140" s="3">
        <f>SUMIFS(COMB_AJUSTE,COMB_COMB,K140)</f>
        <v/>
      </c>
      <c r="CQ140" s="3">
        <f>COUNTIFS(MOT_MOTOR,G140,MOT_MARCA,E140,MOT_DESDE,"&lt;="&amp;M140,MOT_HASTA,"&gt;="&amp;M140)+COUNTIFS(MOT_MOTOR,G140,MOT_MARCA,"(todas)",MOT_DESDE,"&lt;="&amp;M140,MOT_HASTA,"&gt;="&amp;M140)+COUNTIFS(MOT_MOTOR,"(cualquiera)",MOT_MARCA,E140,MOT_DESDE,"&lt;="&amp;M140,MOT_HASTA,"&gt;="&amp;M140)</f>
        <v/>
      </c>
      <c r="CR140" s="3">
        <f>IF(AND(K140="diesel",CQ140=0),MIN(CN140,NEUTRO),CN140)</f>
        <v/>
      </c>
      <c r="CS140" s="3">
        <f>MAX(0,MIN(100,CR140+CO140+CP140-IF(AX140="sí",ROB_PEN,0)))</f>
        <v/>
      </c>
      <c r="CT140" s="3">
        <f>100-MAX(0,N140-KM_TOPE_DESDE)/1000*KM_TOPE_PTS</f>
        <v/>
      </c>
      <c r="CU140" s="3">
        <f>MAX(0,MIN(100,50+CG140*PRECIO_PEND,CT140))</f>
        <v/>
      </c>
      <c r="CV140" s="3">
        <f>MAX(0,100*(1-N140/KM_MAX))</f>
        <v/>
      </c>
      <c r="CW140" s="3">
        <f>IF(BX140&lt;KMA_SOSP,IF(AA140="sí",100,KMA_PEN),IF(BX140&lt;=KMA_IDEAL_MAX,100,MAX(0,100*(KMA_CERO-BX140)/(KMA_CERO-KMA_IDEAL_MAX))))</f>
        <v/>
      </c>
      <c r="CX140" s="3">
        <f>MAX(0,MIN(100,100*(M140-ANIO_MIN)/(ANIO_ACTUAL-ANIO_MIN)))</f>
        <v/>
      </c>
      <c r="CY140" s="3">
        <f>W_KMT*CV140+W_KMA*CW140+W_EDAD*CX140</f>
        <v/>
      </c>
      <c r="CZ140" s="4">
        <f>E140&amp;"|"&amp;G140</f>
        <v/>
      </c>
      <c r="DA140" s="3">
        <f>IFERROR(VLOOKUP(CZ140,DIST_TBL,2,0),"")</f>
        <v/>
      </c>
      <c r="DB140" s="3">
        <f>E_ITV*(V140="sí")+E_LIBRO*(W140="sí")+E_PROP*IF(Y140=1,1,IF(Y140=2,0.5,0))+E_CORREA*IF(OR(DA140="cadena",AND(X140="sí",BH140="sí")),1,IF(X140="sí",0.5,0))+E_FACT*(BI140="sí")</f>
        <v/>
      </c>
      <c r="DC140" s="3">
        <f>MAX(0,MIN(100,IFERROR(VLOOKUP(CL140,ETQ_TBL,2,0),0)-IF(CM140="sí",ETQ_PEN_DUD,IF(AS140="regla",ETQ_PEN_REGLA,0))))</f>
        <v/>
      </c>
      <c r="DD140" s="3">
        <f>IF(K140&lt;&gt;"gasolina","",IFERROR(VLOOKUP(F140,CONS_MOD_TBL,2,0),IFERROR(VLOOKUP(L140,CONS_SEG_TBL,2,0),"")))</f>
        <v/>
      </c>
      <c r="DE140" s="3">
        <f>IF(DD140="",NEUTRO,MAX(0,MIN(100,100*(CONS_REF_MAX-DD140)/(CONS_REF_MAX-CONS_REF_MIN))))</f>
        <v/>
      </c>
      <c r="DF140" s="3">
        <f>IFERROR(VLOOKUP(L140,SEGURO_TBL,3,0),"")</f>
        <v/>
      </c>
      <c r="DG140" s="3">
        <f>IF(DF140="",NEUTRO,MAX(0,MIN(100,100*(SEG_REF_MAX-DF140)/(SEG_REF_MAX-SEG_REF_MIN))))</f>
        <v/>
      </c>
      <c r="DH140" s="3">
        <f>IFERROR(VLOOKUP(E140,MANT_MARCA_TBL,2,0)+0,NEUTRO)</f>
        <v/>
      </c>
      <c r="DI140" s="3">
        <f>IF(DA140="",NEUTRO,IFERROR(VLOOKUP(DA140,DIST_PTS_TBL,2,0)+0,NEUTRO))</f>
        <v/>
      </c>
      <c r="DJ140" s="4">
        <f>(DH140+DI140)/2</f>
        <v/>
      </c>
      <c r="DK140" s="3">
        <f>W_CONS*DE140+W_SEG*DG140+W_MANT*DJ140</f>
        <v/>
      </c>
      <c r="DL140" s="3">
        <f>IF(N(AB140)&gt;0,AB140,IF(AND(R140="profesional",SG_LEGAL_ON=1),GAR_LEGAL,0))</f>
        <v/>
      </c>
      <c r="DM140" s="3">
        <f>MAX(0,MIN(100,SG_GAR*MIN(1,DL140/SG_GAR_FULL)+SG_AMPL*(AC140="sí")+SG_KMC*(AF140="sí")+SG_REV*(N(AE140)&gt;0)+SG_DEV*MIN(1,N(AG140)/SG_DEV_FULL)+SG_HIST*(W140="sí")-IF(AND(R140="particular",DL140=0),SG_PART_PEN,0)))</f>
        <v/>
      </c>
      <c r="DN140" s="3">
        <f>IF(BK140="",NEUTRO,MAX(0,MIN(100,BK140/5*100)))</f>
        <v/>
      </c>
      <c r="DO140" s="3">
        <f>IF(BL140="sí",100,IF(BL140="no",0,NEUTRO))</f>
        <v/>
      </c>
      <c r="DP140" s="3">
        <f>SV_W_NCAP*DN140+SV_W_ESP*DO140</f>
        <v/>
      </c>
      <c r="DQ140" s="3">
        <f>MAX(0,MIN(100,ATR_BASE+ATR_ACAB*(BD140&lt;&gt;"")+IF(BE140="16+",ATR_LL16,IF(BE140="sí",ATR_LL,0))+ATR_FAROS*(BF140="sí")+ATR_TINT*(BG140="sí")-ATR_CHAPA*(BE140="chapa")))</f>
        <v/>
      </c>
      <c r="DR140" s="3">
        <f>EST_W_MOD*(BB140-1)/4*100+EST_W_ATR*DQ140</f>
        <v/>
      </c>
      <c r="DS140" s="3">
        <f>IF(BA140="",NEUTRO,IFERROR(VLOOKUP(BA140,COLOR_TBL,2,0)+0,NEUTRO))</f>
        <v/>
      </c>
      <c r="DT140" s="3">
        <f>MAX(0,MIN(100,100*N(BM140)/RV_N_FULL))</f>
        <v/>
      </c>
      <c r="DU140" s="3">
        <f>IF(OR(BN140="",N(BO140)&lt;RV_DIAS_MIN),NEUTRO,MAX(0,MIN(100,100*(RV_DIAS_CERO-BN140)/(RV_DIAS_CERO-RV_DIAS_FULL))))</f>
        <v/>
      </c>
      <c r="DV140" s="3">
        <f>RV_W_LIQ*DT140+RV_W_DIAS*DU140+RV_W_ETQ*DC140</f>
        <v/>
      </c>
      <c r="DW140" s="3">
        <f>IFERROR(VLOOKUP(L140,CARR_PEN_TBL,2,0),0)</f>
        <v/>
      </c>
      <c r="DX140" s="3">
        <f>W_FIAB*CS140+W_PRECIO*CU140+W_KMEDAD*CY140+W_ESTADO*DB140+W_USO*DK140+W_SEGURIDAD*DM140+W_SEGVIAL*DP140+W_ESTETICA*DR140+W_COLOR*DS140+W_REVENTA*DV140-DW140-EG140</f>
        <v/>
      </c>
      <c r="DY140" s="4">
        <f>IF(N(I140)&gt;0,I140,IFERROR(ROUND(_xlfn.NUMBERVALUE(LEFT(G140,FIND(" ",G140&amp;" ")-1),".")*1000,0),99999))</f>
        <v/>
      </c>
      <c r="DZ140" s="3">
        <f>IF(R140="profesional",0,IF(O140&lt;CUOTA_VALOR_MAX,IF(BW140&gt;ITP_TRAMO_ALTO,SUMIFS(CF_CUOTA,CF_MAS,ITP_TRAMO_ALTO,CF_CCMIN,"&lt;="&amp;DY140,CF_CCMAX,"&gt;="&amp;DY140),IF(BW140&gt;ITP_TRAMO_BAJO,SUMIFS(CF_CUOTA,CF_MAS,ITP_TRAMO_BAJO,CF_CCMIN,"&lt;="&amp;DY140,CF_CCMAX,"&gt;="&amp;DY140),O140*ITP_TIPO)),O140*ITP_TIPO))</f>
        <v/>
      </c>
      <c r="EA140" s="4">
        <f>IF(R140="profesional",N(AK140),0)</f>
        <v/>
      </c>
      <c r="EB140" s="3">
        <f>IF(AND(R140="profesional",ISNUMBER(AK140),AL140="sí"),0,TASA_DGT)</f>
        <v/>
      </c>
      <c r="EC140" s="3">
        <f>INFORME_DGT</f>
        <v/>
      </c>
      <c r="ED140" s="4">
        <f>O140+EA140+DZ140+EB140+EC140</f>
        <v/>
      </c>
      <c r="EE140" s="4">
        <f>ED140+N(DF140)</f>
        <v/>
      </c>
      <c r="EF140" s="3">
        <f>MAX(0,ED140-TOTAL_MAX)</f>
        <v/>
      </c>
      <c r="EG140" s="3">
        <f>EF140/100*PEN_100</f>
        <v/>
      </c>
      <c r="EH140" s="3">
        <f>IF(R140="particular",ED140+IF(AND(DA140&lt;&gt;"cadena",X140&lt;&gt;"sí"),RES_CORREA,0)+IF(AND(BJ140&lt;&gt;"sí",BW140&gt;=RES_NEUM_EDAD),RES_NEUM,0),"")</f>
        <v/>
      </c>
      <c r="EI140" s="3">
        <f>IF(ED140&lt;=TOTAL_MAX,"sí",IF(ED140&lt;=TECHO,"negociar","no"))</f>
        <v/>
      </c>
      <c r="EJ140" s="4">
        <f>ROUND(DX140,9)</f>
        <v/>
      </c>
      <c r="EK140" s="4">
        <f>IF(EI140&lt;&gt;"no",SUMPRODUCT(($EI$2:$EI$209&lt;&gt;"no")*($EJ$2:$EJ$209&gt;EJ140))+SUMPRODUCT(($EI$2:EI140&lt;&gt;"no")*($EJ$2:EJ140=EJ140)),"")</f>
        <v/>
      </c>
    </row>
    <row r="141">
      <c r="A141" s="2" t="inlineStr">
        <is>
          <t>cochesnet:71545576</t>
        </is>
      </c>
      <c r="B141" s="2" t="inlineStr">
        <is>
          <t>cochesnet</t>
        </is>
      </c>
      <c r="C141" s="2" t="inlineStr">
        <is>
          <t>https://www.coches.net/ford-mondeo-18-tdci-125-trend-5p-diesel-2007-en-valencia-71545576-covo.aspx</t>
        </is>
      </c>
      <c r="D141" s="2" t="inlineStr">
        <is>
          <t>FORD Mondeo 1.8 TDCi 125 Trend</t>
        </is>
      </c>
      <c r="E141" s="2" t="inlineStr">
        <is>
          <t>Ford</t>
        </is>
      </c>
      <c r="F141" s="2" t="inlineStr">
        <is>
          <t>Ford Mondeo</t>
        </is>
      </c>
      <c r="G141" s="2" t="inlineStr">
        <is>
          <t>1.8 TDCi</t>
        </is>
      </c>
      <c r="H141" s="2" t="inlineStr">
        <is>
          <t>1.8 TDCi 125 Trend</t>
        </is>
      </c>
      <c r="I141" s="2" t="n"/>
      <c r="J141" s="2" t="n"/>
      <c r="K141" s="2" t="inlineStr">
        <is>
          <t>diesel</t>
        </is>
      </c>
      <c r="L141" s="2" t="inlineStr">
        <is>
          <t>berlina_d</t>
        </is>
      </c>
      <c r="M141" s="2" t="n">
        <v>2007</v>
      </c>
      <c r="N141" s="2" t="n">
        <v>160000</v>
      </c>
      <c r="O141" s="2" t="n">
        <v>4700</v>
      </c>
      <c r="P141" s="2" t="inlineStr">
        <is>
          <t>manual</t>
        </is>
      </c>
      <c r="Q141" s="2" t="inlineStr">
        <is>
          <t>no</t>
        </is>
      </c>
      <c r="R141" s="2" t="inlineStr">
        <is>
          <t>profesional</t>
        </is>
      </c>
      <c r="S141" s="2" t="inlineStr">
        <is>
          <t>Valencia</t>
        </is>
      </c>
      <c r="T141" s="2" t="inlineStr">
        <is>
          <t>2026-09-18T14:56:35Z</t>
        </is>
      </c>
      <c r="U141" s="2" t="n">
        <v>17</v>
      </c>
      <c r="V141" s="2" t="n"/>
      <c r="W141" s="2" t="n"/>
      <c r="X141" s="2" t="n"/>
      <c r="Y141" s="2" t="n"/>
      <c r="Z141" s="2" t="inlineStr">
        <is>
          <t>sí</t>
        </is>
      </c>
      <c r="AA141" s="2" t="n"/>
      <c r="AB141" s="2" t="n">
        <v>12</v>
      </c>
      <c r="AC141" s="2" t="n"/>
      <c r="AD141" s="2" t="n"/>
      <c r="AE141" s="2" t="n"/>
      <c r="AF141" s="2" t="n"/>
      <c r="AG141" s="2" t="n"/>
      <c r="AH141" s="2" t="n">
        <v>4700</v>
      </c>
      <c r="AI141" s="2" t="n">
        <v>4500</v>
      </c>
      <c r="AJ141" s="2" t="n"/>
      <c r="AK141" s="2" t="n"/>
      <c r="AL141" s="2" t="n"/>
      <c r="AM141" s="2" t="n">
        <v>0.1</v>
      </c>
      <c r="AN141" s="2" t="n"/>
      <c r="AO141" s="2" t="inlineStr">
        <is>
          <t>2007</t>
        </is>
      </c>
      <c r="AP141" s="2" t="n">
        <v>2007</v>
      </c>
      <c r="AQ141" s="2" t="n"/>
      <c r="AR141" s="2" t="inlineStr">
        <is>
          <t>B</t>
        </is>
      </c>
      <c r="AS141" s="2" t="inlineStr">
        <is>
          <t>anuncio</t>
        </is>
      </c>
      <c r="AT141" s="2" t="n"/>
      <c r="AU141" s="2" t="inlineStr">
        <is>
          <t>no</t>
        </is>
      </c>
      <c r="AV141" s="2" t="inlineStr">
        <is>
          <t>B</t>
        </is>
      </c>
      <c r="AW141" s="2" t="n"/>
      <c r="AX141" s="2" t="inlineStr">
        <is>
          <t>no</t>
        </is>
      </c>
      <c r="AY141" s="2" t="inlineStr">
        <is>
          <t>no</t>
        </is>
      </c>
      <c r="AZ141" s="2" t="inlineStr">
        <is>
          <t>COMMON.COLOR_GRAY</t>
        </is>
      </c>
      <c r="BA141" s="2" t="inlineStr">
        <is>
          <t>gris_medio</t>
        </is>
      </c>
      <c r="BB141" s="3" t="n">
        <v>3</v>
      </c>
      <c r="BC141" s="3" t="inlineStr">
        <is>
          <t>(por segmento)</t>
        </is>
      </c>
      <c r="BD141" s="2" t="n"/>
      <c r="BE141" s="2" t="n"/>
      <c r="BF141" s="2" t="n"/>
      <c r="BG141" s="2" t="n"/>
      <c r="BH141" s="2" t="n"/>
      <c r="BI141" s="2" t="n"/>
      <c r="BJ141" s="2" t="n"/>
      <c r="BK141" s="2" t="n">
        <v>4</v>
      </c>
      <c r="BL141" s="2" t="n"/>
      <c r="BM141" s="2" t="n">
        <v>109</v>
      </c>
      <c r="BN141" s="2" t="n">
        <v>0</v>
      </c>
      <c r="BO141" s="2" t="n">
        <v>1</v>
      </c>
      <c r="BP141" s="2" t="n">
        <v>4700</v>
      </c>
      <c r="BQ141" s="2" t="n">
        <v>5</v>
      </c>
      <c r="BR141" s="2" t="inlineStr">
        <is>
          <t>modelo+año+km</t>
        </is>
      </c>
      <c r="BS141" s="2" t="n"/>
      <c r="BT141" s="2" t="inlineStr">
        <is>
          <t>vendedor profesional: sin ITP (operación con IVA/REBU, confirmar en factura); gastos de gestión del vendedor no indicados: se suma la tasa DGT; preguntar el precio final; diésel: motor sin fuente de fiabilidad (fiabilidad limitada a neutra); fiabilidad del modelo PENDIENTE de fuente (puntuación neutra)</t>
        </is>
      </c>
      <c r="BU141" s="2" t="inlineStr">
        <is>
          <t xml:space="preserve">En venta Ford Mondeo. Motor 1.8 tdci. 125/cv ..vehículo revisado .. posibilidad de financiar. . entrega inmediata ...clima ...llantas especiales ...se entrega con ITV. Al día </t>
        </is>
      </c>
      <c r="BV141" s="2" t="inlineStr">
        <is>
          <t>https://www.coches.net/ford-mondeo-18-tdci-125-trend-5p-diesel-2007-en-valencia-71545576-covo.aspx (window.__INITIAL_PROPS__.ad) /home/user/Alopecia/buscador-coches/raw/cochesnet/9dd9877259c47795.json</t>
        </is>
      </c>
      <c r="BW141" s="3">
        <f>MAX(ANIO_ACTUAL-M141,0)</f>
        <v/>
      </c>
      <c r="BX141" s="4">
        <f>N141/MAX(BW141,0.5)</f>
        <v/>
      </c>
      <c r="BY141" s="4">
        <f>F141</f>
        <v/>
      </c>
      <c r="BZ141" s="3">
        <f>BY141&amp;"|"&amp;INT(M141/SEG_ANIO)*SEG_ANIO</f>
        <v/>
      </c>
      <c r="CA141" s="3">
        <f>BZ141&amp;"|"&amp;INT(N141/SEG_KM)*SEG_KM</f>
        <v/>
      </c>
      <c r="CB141" s="4">
        <f>COUNTIF($BY$2:$BY$209,BY141)</f>
        <v/>
      </c>
      <c r="CC141" s="4">
        <f>COUNTIF($BZ$2:$BZ$209,BZ141)</f>
        <v/>
      </c>
      <c r="CD141" s="4">
        <f>COUNTIF($CA$2:$CA$209,CA141)</f>
        <v/>
      </c>
      <c r="CE141" s="3">
        <f t="array" ref="CE141">IF(N(BQ141)&gt;=MIN_N,BP141,IF(CD141&gt;=MIN_N,MEDIAN(IF($CA$2:$CA$209=CA141,$O$2:$O$209)),IF(CC141&gt;=MIN_N,MEDIAN(IF($BZ$2:$BZ$209=BZ141,$O$2:$O$209)),MEDIAN(IF($BY$2:$BY$209=BY141,$O$2:$O$209)))))</f>
        <v/>
      </c>
      <c r="CF141" s="3">
        <f>IF(N(BQ141)&gt;=MIN_N,"mercado "&amp;BR141,IF(CD141&gt;=MIN_N,"modelo+año+km",IF(CC141&gt;=MIN_N,"modelo+año","modelo")))</f>
        <v/>
      </c>
      <c r="CG141" s="4">
        <f>(CE141-O141)/CE141</f>
        <v/>
      </c>
      <c r="CH141" s="3">
        <f>IF(COUNTIFS(FR_FUEL,K141,FR_YEAR,AP141)&gt;0,1,0)</f>
        <v/>
      </c>
      <c r="CI141" s="3">
        <f>IF(COUNTIFS(FR_FUEL,K141,FR_YEAR,AP141-1)&gt;0,1,0)</f>
        <v/>
      </c>
      <c r="CJ141" s="4">
        <f>IF(N(AQ141)&gt;0,AP141*100+AQ141,IF(AND(CH141=1,CI141=1),(AP141-1)*100+1,AP141*100+1))</f>
        <v/>
      </c>
      <c r="CK141" s="3">
        <f>IF(OR(K141="hibrido",K141="glp",K141="gnc",K141="phev"),"ECO",IF(K141="electrico","CERO",IF(K141="gasolina",IF(CJ141&gt;=GAS_C_YM,"C",IF(CJ141&gt;=GAS_B_YM,"B","A")),IF(K141="diesel",IF(CJ141&gt;=DIE_C_YM,"C",IF(CJ141&gt;=DIE_B_YM,"B","A")),""))))</f>
        <v/>
      </c>
      <c r="CL141" s="2" t="inlineStr">
        <is>
          <t>B</t>
        </is>
      </c>
      <c r="CM141" s="4">
        <f>IF(AU141="sí","sí",IF(AS141="regla",IF(AND(N(AQ141)=0,CH141=1),"sí","no"),"no"))</f>
        <v/>
      </c>
      <c r="CN141" s="3">
        <f>IFERROR(VLOOKUP(F141,MOD_TBL,16,0),IFERROR(VLOOKUP(E141,OCU_TBL,2,0),NEUTRO))</f>
        <v/>
      </c>
      <c r="CO141" s="3">
        <f>SUMIFS(MOT_AJUSTE,MOT_MOTOR,G141,MOT_MARCA,E141,MOT_DESDE,"&lt;="&amp;M141,MOT_HASTA,"&gt;="&amp;M141)+SUMIFS(MOT_AJUSTE,MOT_MOTOR,G141,MOT_MARCA,"(todas)",MOT_DESDE,"&lt;="&amp;M141,MOT_HASTA,"&gt;="&amp;M141)+SUMIFS(MOT_AJUSTE,MOT_MOTOR,"(cualquiera)",MOT_MARCA,E141,MOT_DESDE,"&lt;="&amp;M141,MOT_HASTA,"&gt;="&amp;M141)</f>
        <v/>
      </c>
      <c r="CP141" s="3">
        <f>SUMIFS(COMB_AJUSTE,COMB_COMB,K141)</f>
        <v/>
      </c>
      <c r="CQ141" s="3">
        <f>COUNTIFS(MOT_MOTOR,G141,MOT_MARCA,E141,MOT_DESDE,"&lt;="&amp;M141,MOT_HASTA,"&gt;="&amp;M141)+COUNTIFS(MOT_MOTOR,G141,MOT_MARCA,"(todas)",MOT_DESDE,"&lt;="&amp;M141,MOT_HASTA,"&gt;="&amp;M141)+COUNTIFS(MOT_MOTOR,"(cualquiera)",MOT_MARCA,E141,MOT_DESDE,"&lt;="&amp;M141,MOT_HASTA,"&gt;="&amp;M141)</f>
        <v/>
      </c>
      <c r="CR141" s="3">
        <f>IF(AND(K141="diesel",CQ141=0),MIN(CN141,NEUTRO),CN141)</f>
        <v/>
      </c>
      <c r="CS141" s="3">
        <f>MAX(0,MIN(100,CR141+CO141+CP141-IF(AX141="sí",ROB_PEN,0)))</f>
        <v/>
      </c>
      <c r="CT141" s="3">
        <f>100-MAX(0,N141-KM_TOPE_DESDE)/1000*KM_TOPE_PTS</f>
        <v/>
      </c>
      <c r="CU141" s="3">
        <f>MAX(0,MIN(100,50+CG141*PRECIO_PEND,CT141))</f>
        <v/>
      </c>
      <c r="CV141" s="3">
        <f>MAX(0,100*(1-N141/KM_MAX))</f>
        <v/>
      </c>
      <c r="CW141" s="3">
        <f>IF(BX141&lt;KMA_SOSP,IF(AA141="sí",100,KMA_PEN),IF(BX141&lt;=KMA_IDEAL_MAX,100,MAX(0,100*(KMA_CERO-BX141)/(KMA_CERO-KMA_IDEAL_MAX))))</f>
        <v/>
      </c>
      <c r="CX141" s="3">
        <f>MAX(0,MIN(100,100*(M141-ANIO_MIN)/(ANIO_ACTUAL-ANIO_MIN)))</f>
        <v/>
      </c>
      <c r="CY141" s="3">
        <f>W_KMT*CV141+W_KMA*CW141+W_EDAD*CX141</f>
        <v/>
      </c>
      <c r="CZ141" s="4">
        <f>E141&amp;"|"&amp;G141</f>
        <v/>
      </c>
      <c r="DA141" s="3">
        <f>IFERROR(VLOOKUP(CZ141,DIST_TBL,2,0),"")</f>
        <v/>
      </c>
      <c r="DB141" s="3">
        <f>E_ITV*(V141="sí")+E_LIBRO*(W141="sí")+E_PROP*IF(Y141=1,1,IF(Y141=2,0.5,0))+E_CORREA*IF(OR(DA141="cadena",AND(X141="sí",BH141="sí")),1,IF(X141="sí",0.5,0))+E_FACT*(BI141="sí")</f>
        <v/>
      </c>
      <c r="DC141" s="3">
        <f>MAX(0,MIN(100,IFERROR(VLOOKUP(CL141,ETQ_TBL,2,0),0)-IF(CM141="sí",ETQ_PEN_DUD,IF(AS141="regla",ETQ_PEN_REGLA,0))))</f>
        <v/>
      </c>
      <c r="DD141" s="3">
        <f>IF(K141&lt;&gt;"gasolina","",IFERROR(VLOOKUP(F141,CONS_MOD_TBL,2,0),IFERROR(VLOOKUP(L141,CONS_SEG_TBL,2,0),"")))</f>
        <v/>
      </c>
      <c r="DE141" s="3">
        <f>IF(DD141="",NEUTRO,MAX(0,MIN(100,100*(CONS_REF_MAX-DD141)/(CONS_REF_MAX-CONS_REF_MIN))))</f>
        <v/>
      </c>
      <c r="DF141" s="3">
        <f>IFERROR(VLOOKUP(L141,SEGURO_TBL,3,0),"")</f>
        <v/>
      </c>
      <c r="DG141" s="3">
        <f>IF(DF141="",NEUTRO,MAX(0,MIN(100,100*(SEG_REF_MAX-DF141)/(SEG_REF_MAX-SEG_REF_MIN))))</f>
        <v/>
      </c>
      <c r="DH141" s="3">
        <f>IFERROR(VLOOKUP(E141,MANT_MARCA_TBL,2,0)+0,NEUTRO)</f>
        <v/>
      </c>
      <c r="DI141" s="3">
        <f>IF(DA141="",NEUTRO,IFERROR(VLOOKUP(DA141,DIST_PTS_TBL,2,0)+0,NEUTRO))</f>
        <v/>
      </c>
      <c r="DJ141" s="4">
        <f>(DH141+DI141)/2</f>
        <v/>
      </c>
      <c r="DK141" s="3">
        <f>W_CONS*DE141+W_SEG*DG141+W_MANT*DJ141</f>
        <v/>
      </c>
      <c r="DL141" s="3">
        <f>IF(N(AB141)&gt;0,AB141,IF(AND(R141="profesional",SG_LEGAL_ON=1),GAR_LEGAL,0))</f>
        <v/>
      </c>
      <c r="DM141" s="3">
        <f>MAX(0,MIN(100,SG_GAR*MIN(1,DL141/SG_GAR_FULL)+SG_AMPL*(AC141="sí")+SG_KMC*(AF141="sí")+SG_REV*(N(AE141)&gt;0)+SG_DEV*MIN(1,N(AG141)/SG_DEV_FULL)+SG_HIST*(W141="sí")-IF(AND(R141="particular",DL141=0),SG_PART_PEN,0)))</f>
        <v/>
      </c>
      <c r="DN141" s="3">
        <f>IF(BK141="",NEUTRO,MAX(0,MIN(100,BK141/5*100)))</f>
        <v/>
      </c>
      <c r="DO141" s="3">
        <f>IF(BL141="sí",100,IF(BL141="no",0,NEUTRO))</f>
        <v/>
      </c>
      <c r="DP141" s="3">
        <f>SV_W_NCAP*DN141+SV_W_ESP*DO141</f>
        <v/>
      </c>
      <c r="DQ141" s="3">
        <f>MAX(0,MIN(100,ATR_BASE+ATR_ACAB*(BD141&lt;&gt;"")+IF(BE141="16+",ATR_LL16,IF(BE141="sí",ATR_LL,0))+ATR_FAROS*(BF141="sí")+ATR_TINT*(BG141="sí")-ATR_CHAPA*(BE141="chapa")))</f>
        <v/>
      </c>
      <c r="DR141" s="3">
        <f>EST_W_MOD*(BB141-1)/4*100+EST_W_ATR*DQ141</f>
        <v/>
      </c>
      <c r="DS141" s="3">
        <f>IF(BA141="",NEUTRO,IFERROR(VLOOKUP(BA141,COLOR_TBL,2,0)+0,NEUTRO))</f>
        <v/>
      </c>
      <c r="DT141" s="3">
        <f>MAX(0,MIN(100,100*N(BM141)/RV_N_FULL))</f>
        <v/>
      </c>
      <c r="DU141" s="3">
        <f>IF(OR(BN141="",N(BO141)&lt;RV_DIAS_MIN),NEUTRO,MAX(0,MIN(100,100*(RV_DIAS_CERO-BN141)/(RV_DIAS_CERO-RV_DIAS_FULL))))</f>
        <v/>
      </c>
      <c r="DV141" s="3">
        <f>RV_W_LIQ*DT141+RV_W_DIAS*DU141+RV_W_ETQ*DC141</f>
        <v/>
      </c>
      <c r="DW141" s="3">
        <f>IFERROR(VLOOKUP(L141,CARR_PEN_TBL,2,0),0)</f>
        <v/>
      </c>
      <c r="DX141" s="3">
        <f>W_FIAB*CS141+W_PRECIO*CU141+W_KMEDAD*CY141+W_ESTADO*DB141+W_USO*DK141+W_SEGURIDAD*DM141+W_SEGVIAL*DP141+W_ESTETICA*DR141+W_COLOR*DS141+W_REVENTA*DV141-DW141-EG141</f>
        <v/>
      </c>
      <c r="DY141" s="4">
        <f>IF(N(I141)&gt;0,I141,IFERROR(ROUND(_xlfn.NUMBERVALUE(LEFT(G141,FIND(" ",G141&amp;" ")-1),".")*1000,0),99999))</f>
        <v/>
      </c>
      <c r="DZ141" s="3">
        <f>IF(R141="profesional",0,IF(O141&lt;CUOTA_VALOR_MAX,IF(BW141&gt;ITP_TRAMO_ALTO,SUMIFS(CF_CUOTA,CF_MAS,ITP_TRAMO_ALTO,CF_CCMIN,"&lt;="&amp;DY141,CF_CCMAX,"&gt;="&amp;DY141),IF(BW141&gt;ITP_TRAMO_BAJO,SUMIFS(CF_CUOTA,CF_MAS,ITP_TRAMO_BAJO,CF_CCMIN,"&lt;="&amp;DY141,CF_CCMAX,"&gt;="&amp;DY141),O141*ITP_TIPO)),O141*ITP_TIPO))</f>
        <v/>
      </c>
      <c r="EA141" s="4">
        <f>IF(R141="profesional",N(AK141),0)</f>
        <v/>
      </c>
      <c r="EB141" s="3">
        <f>IF(AND(R141="profesional",ISNUMBER(AK141),AL141="sí"),0,TASA_DGT)</f>
        <v/>
      </c>
      <c r="EC141" s="3">
        <f>INFORME_DGT</f>
        <v/>
      </c>
      <c r="ED141" s="4">
        <f>O141+EA141+DZ141+EB141+EC141</f>
        <v/>
      </c>
      <c r="EE141" s="4">
        <f>ED141+N(DF141)</f>
        <v/>
      </c>
      <c r="EF141" s="3">
        <f>MAX(0,ED141-TOTAL_MAX)</f>
        <v/>
      </c>
      <c r="EG141" s="3">
        <f>EF141/100*PEN_100</f>
        <v/>
      </c>
      <c r="EH141" s="3">
        <f>IF(R141="particular",ED141+IF(AND(DA141&lt;&gt;"cadena",X141&lt;&gt;"sí"),RES_CORREA,0)+IF(AND(BJ141&lt;&gt;"sí",BW141&gt;=RES_NEUM_EDAD),RES_NEUM,0),"")</f>
        <v/>
      </c>
      <c r="EI141" s="3">
        <f>IF(ED141&lt;=TOTAL_MAX,"sí",IF(ED141&lt;=TECHO,"negociar","no"))</f>
        <v/>
      </c>
      <c r="EJ141" s="4">
        <f>ROUND(DX141,9)</f>
        <v/>
      </c>
      <c r="EK141" s="4">
        <f>IF(EI141&lt;&gt;"no",SUMPRODUCT(($EI$2:$EI$209&lt;&gt;"no")*($EJ$2:$EJ$209&gt;EJ141))+SUMPRODUCT(($EI$2:EI141&lt;&gt;"no")*($EJ$2:EJ141=EJ141)),"")</f>
        <v/>
      </c>
    </row>
    <row r="142">
      <c r="A142" s="2" t="inlineStr">
        <is>
          <t>cochesnet:70490221</t>
        </is>
      </c>
      <c r="B142" s="2" t="inlineStr">
        <is>
          <t>cochesnet</t>
        </is>
      </c>
      <c r="C142" s="2" t="inlineStr">
        <is>
          <t>https://www.coches.net/chevrolet-nubira-16-se-4p-gasolina-2005-en-valencia-70490221-covo.aspx</t>
        </is>
      </c>
      <c r="D142" s="2" t="inlineStr">
        <is>
          <t>CHEVROLET Nubira 1.6 SE</t>
        </is>
      </c>
      <c r="E142" s="2" t="inlineStr">
        <is>
          <t>Chevrolet</t>
        </is>
      </c>
      <c r="F142" s="2" t="inlineStr">
        <is>
          <t>Chevrolet Nubira</t>
        </is>
      </c>
      <c r="G142" s="2" t="inlineStr">
        <is>
          <t>1.6</t>
        </is>
      </c>
      <c r="H142" s="2" t="inlineStr">
        <is>
          <t>1.6 SE</t>
        </is>
      </c>
      <c r="I142" s="2" t="n"/>
      <c r="J142" s="2" t="n"/>
      <c r="K142" s="2" t="inlineStr">
        <is>
          <t>gasolina</t>
        </is>
      </c>
      <c r="L142" s="2" t="inlineStr">
        <is>
          <t>compacto</t>
        </is>
      </c>
      <c r="M142" s="2" t="n">
        <v>2005</v>
      </c>
      <c r="N142" s="2" t="n">
        <v>102000</v>
      </c>
      <c r="O142" s="2" t="n">
        <v>4300</v>
      </c>
      <c r="P142" s="2" t="inlineStr">
        <is>
          <t>manual</t>
        </is>
      </c>
      <c r="Q142" s="2" t="inlineStr">
        <is>
          <t>no</t>
        </is>
      </c>
      <c r="R142" s="2" t="inlineStr">
        <is>
          <t>profesional</t>
        </is>
      </c>
      <c r="S142" s="2" t="inlineStr">
        <is>
          <t>SMART CAR Valencia</t>
        </is>
      </c>
      <c r="T142" s="2" t="inlineStr">
        <is>
          <t>2026-10-20T13:16:43Z</t>
        </is>
      </c>
      <c r="U142" s="2" t="n">
        <v>9</v>
      </c>
      <c r="V142" s="2" t="n"/>
      <c r="W142" s="2" t="n"/>
      <c r="X142" s="2" t="n"/>
      <c r="Y142" s="2" t="n"/>
      <c r="Z142" s="2" t="inlineStr">
        <is>
          <t>sí</t>
        </is>
      </c>
      <c r="AA142" s="2" t="n"/>
      <c r="AB142" s="2" t="n">
        <v>12</v>
      </c>
      <c r="AC142" s="2" t="n"/>
      <c r="AD142" s="2" t="n"/>
      <c r="AE142" s="2" t="n"/>
      <c r="AF142" s="2" t="n"/>
      <c r="AG142" s="2" t="n"/>
      <c r="AH142" s="2" t="n">
        <v>4300</v>
      </c>
      <c r="AI142" s="2" t="n"/>
      <c r="AJ142" s="2" t="n"/>
      <c r="AK142" s="2" t="n"/>
      <c r="AL142" s="2" t="n"/>
      <c r="AM142" s="2" t="n">
        <v>0.1</v>
      </c>
      <c r="AN142" s="2" t="n"/>
      <c r="AO142" s="2" t="inlineStr">
        <is>
          <t>2005</t>
        </is>
      </c>
      <c r="AP142" s="2" t="n">
        <v>2005</v>
      </c>
      <c r="AQ142" s="2" t="n"/>
      <c r="AR142" s="2" t="n"/>
      <c r="AS142" s="2" t="inlineStr">
        <is>
          <t>regla</t>
        </is>
      </c>
      <c r="AT142" s="2" t="n"/>
      <c r="AU142" s="2" t="inlineStr">
        <is>
          <t>no</t>
        </is>
      </c>
      <c r="AV142" s="2" t="inlineStr">
        <is>
          <t>B</t>
        </is>
      </c>
      <c r="AW142" s="2" t="inlineStr">
        <is>
          <t>C</t>
        </is>
      </c>
      <c r="AX142" s="2" t="inlineStr">
        <is>
          <t>no</t>
        </is>
      </c>
      <c r="AY142" s="2" t="inlineStr">
        <is>
          <t>no</t>
        </is>
      </c>
      <c r="AZ142" s="2" t="inlineStr">
        <is>
          <t>COMMON.COLOR_GRAY</t>
        </is>
      </c>
      <c r="BA142" s="2" t="inlineStr">
        <is>
          <t>gris_medio</t>
        </is>
      </c>
      <c r="BB142" s="3" t="n">
        <v>3</v>
      </c>
      <c r="BC142" s="3" t="inlineStr">
        <is>
          <t>(por segmento)</t>
        </is>
      </c>
      <c r="BD142" s="2" t="n"/>
      <c r="BE142" s="2" t="n"/>
      <c r="BF142" s="2" t="n"/>
      <c r="BG142" s="2" t="n"/>
      <c r="BH142" s="2" t="n"/>
      <c r="BI142" s="2" t="n"/>
      <c r="BJ142" s="2" t="n"/>
      <c r="BK142" s="2" t="n"/>
      <c r="BL142" s="2" t="n"/>
      <c r="BM142" s="2" t="n">
        <v>5</v>
      </c>
      <c r="BN142" s="2" t="n"/>
      <c r="BO142" s="2" t="n">
        <v>0</v>
      </c>
      <c r="BP142" s="2" t="n">
        <v>3099.5</v>
      </c>
      <c r="BQ142" s="2" t="n">
        <v>4</v>
      </c>
      <c r="BR142" s="2" t="inlineStr">
        <is>
          <t>modelo+año+km</t>
        </is>
      </c>
      <c r="BS142" s="2" t="n"/>
      <c r="BT142" s="2" t="inlineStr">
        <is>
          <t>anuncio incoherente: dice etiqueta C y por fecha corresponde B; se usa la regla; vendedor profesional: sin ITP (operación con IVA/REBU, confirmar en factura); gastos de gestión del vendedor no indicados: se suma la tasa DGT; preguntar el precio final; Euro NCAP de la generación PENDIENTE (seguridad neutra); etiqueta B deducida por fecha (sin matrícula ni dato del anuncio); revisar: no menciona la ITV; fiabilidad del modelo PENDIENTE de fuente (puntuación neutra)</t>
        </is>
      </c>
      <c r="BU142" s="2" t="inlineStr">
        <is>
          <t>Coche en muy buen estado tanto Exterior como Interior, se entrega revisado y con cambio de nombre incluido en el precio.
No dejes pasar esta oportunidad y pasa por nuestro concesionario, estaremos encantados de atenderte.
Algunas característica: Cierre centralizado elevalunas eléctricos delanteros y traseros, climatizador, etc.
Este anuncio se muestra a nivel informativo , no tiene carácter contractual puede contener errores.</t>
        </is>
      </c>
      <c r="BV142" s="2" t="inlineStr">
        <is>
          <t>https://www.coches.net/chevrolet-nubira-16-se-4p-gasolina-2005-en-valencia-70490221-covo.aspx (window.__INITIAL_PROPS__.ad) /home/user/Alopecia/buscador-coches/raw/cochesnet/c7aab827f1b44856.json</t>
        </is>
      </c>
      <c r="BW142" s="3">
        <f>MAX(ANIO_ACTUAL-M142,0)</f>
        <v/>
      </c>
      <c r="BX142" s="4">
        <f>N142/MAX(BW142,0.5)</f>
        <v/>
      </c>
      <c r="BY142" s="4">
        <f>F142</f>
        <v/>
      </c>
      <c r="BZ142" s="3">
        <f>BY142&amp;"|"&amp;INT(M142/SEG_ANIO)*SEG_ANIO</f>
        <v/>
      </c>
      <c r="CA142" s="3">
        <f>BZ142&amp;"|"&amp;INT(N142/SEG_KM)*SEG_KM</f>
        <v/>
      </c>
      <c r="CB142" s="4">
        <f>COUNTIF($BY$2:$BY$209,BY142)</f>
        <v/>
      </c>
      <c r="CC142" s="4">
        <f>COUNTIF($BZ$2:$BZ$209,BZ142)</f>
        <v/>
      </c>
      <c r="CD142" s="4">
        <f>COUNTIF($CA$2:$CA$209,CA142)</f>
        <v/>
      </c>
      <c r="CE142" s="3">
        <f t="array" ref="CE142">IF(N(BQ142)&gt;=MIN_N,BP142,IF(CD142&gt;=MIN_N,MEDIAN(IF($CA$2:$CA$209=CA142,$O$2:$O$209)),IF(CC142&gt;=MIN_N,MEDIAN(IF($BZ$2:$BZ$209=BZ142,$O$2:$O$209)),MEDIAN(IF($BY$2:$BY$209=BY142,$O$2:$O$209)))))</f>
        <v/>
      </c>
      <c r="CF142" s="3">
        <f>IF(N(BQ142)&gt;=MIN_N,"mercado "&amp;BR142,IF(CD142&gt;=MIN_N,"modelo+año+km",IF(CC142&gt;=MIN_N,"modelo+año","modelo")))</f>
        <v/>
      </c>
      <c r="CG142" s="4">
        <f>(CE142-O142)/CE142</f>
        <v/>
      </c>
      <c r="CH142" s="3">
        <f>IF(COUNTIFS(FR_FUEL,K142,FR_YEAR,AP142)&gt;0,1,0)</f>
        <v/>
      </c>
      <c r="CI142" s="3">
        <f>IF(COUNTIFS(FR_FUEL,K142,FR_YEAR,AP142-1)&gt;0,1,0)</f>
        <v/>
      </c>
      <c r="CJ142" s="4">
        <f>IF(N(AQ142)&gt;0,AP142*100+AQ142,IF(AND(CH142=1,CI142=1),(AP142-1)*100+1,AP142*100+1))</f>
        <v/>
      </c>
      <c r="CK142" s="3">
        <f>IF(OR(K142="hibrido",K142="glp",K142="gnc",K142="phev"),"ECO",IF(K142="electrico","CERO",IF(K142="gasolina",IF(CJ142&gt;=GAS_C_YM,"C",IF(CJ142&gt;=GAS_B_YM,"B","A")),IF(K142="diesel",IF(CJ142&gt;=DIE_C_YM,"C",IF(CJ142&gt;=DIE_B_YM,"B","A")),""))))</f>
        <v/>
      </c>
      <c r="CL142" s="4">
        <f>CK142</f>
        <v/>
      </c>
      <c r="CM142" s="4">
        <f>IF(AU142="sí","sí",IF(AS142="regla",IF(AND(N(AQ142)=0,CH142=1),"sí","no"),"no"))</f>
        <v/>
      </c>
      <c r="CN142" s="3">
        <f>IFERROR(VLOOKUP(F142,MOD_TBL,16,0),IFERROR(VLOOKUP(E142,OCU_TBL,2,0),NEUTRO))</f>
        <v/>
      </c>
      <c r="CO142" s="3">
        <f>SUMIFS(MOT_AJUSTE,MOT_MOTOR,G142,MOT_MARCA,E142,MOT_DESDE,"&lt;="&amp;M142,MOT_HASTA,"&gt;="&amp;M142)+SUMIFS(MOT_AJUSTE,MOT_MOTOR,G142,MOT_MARCA,"(todas)",MOT_DESDE,"&lt;="&amp;M142,MOT_HASTA,"&gt;="&amp;M142)+SUMIFS(MOT_AJUSTE,MOT_MOTOR,"(cualquiera)",MOT_MARCA,E142,MOT_DESDE,"&lt;="&amp;M142,MOT_HASTA,"&gt;="&amp;M142)</f>
        <v/>
      </c>
      <c r="CP142" s="3">
        <f>SUMIFS(COMB_AJUSTE,COMB_COMB,K142)</f>
        <v/>
      </c>
      <c r="CQ142" s="3">
        <f>COUNTIFS(MOT_MOTOR,G142,MOT_MARCA,E142,MOT_DESDE,"&lt;="&amp;M142,MOT_HASTA,"&gt;="&amp;M142)+COUNTIFS(MOT_MOTOR,G142,MOT_MARCA,"(todas)",MOT_DESDE,"&lt;="&amp;M142,MOT_HASTA,"&gt;="&amp;M142)+COUNTIFS(MOT_MOTOR,"(cualquiera)",MOT_MARCA,E142,MOT_DESDE,"&lt;="&amp;M142,MOT_HASTA,"&gt;="&amp;M142)</f>
        <v/>
      </c>
      <c r="CR142" s="3">
        <f>IF(AND(K142="diesel",CQ142=0),MIN(CN142,NEUTRO),CN142)</f>
        <v/>
      </c>
      <c r="CS142" s="3">
        <f>MAX(0,MIN(100,CR142+CO142+CP142-IF(AX142="sí",ROB_PEN,0)))</f>
        <v/>
      </c>
      <c r="CT142" s="3">
        <f>100-MAX(0,N142-KM_TOPE_DESDE)/1000*KM_TOPE_PTS</f>
        <v/>
      </c>
      <c r="CU142" s="3">
        <f>MAX(0,MIN(100,50+CG142*PRECIO_PEND,CT142))</f>
        <v/>
      </c>
      <c r="CV142" s="3">
        <f>MAX(0,100*(1-N142/KM_MAX))</f>
        <v/>
      </c>
      <c r="CW142" s="3">
        <f>IF(BX142&lt;KMA_SOSP,IF(AA142="sí",100,KMA_PEN),IF(BX142&lt;=KMA_IDEAL_MAX,100,MAX(0,100*(KMA_CERO-BX142)/(KMA_CERO-KMA_IDEAL_MAX))))</f>
        <v/>
      </c>
      <c r="CX142" s="3">
        <f>MAX(0,MIN(100,100*(M142-ANIO_MIN)/(ANIO_ACTUAL-ANIO_MIN)))</f>
        <v/>
      </c>
      <c r="CY142" s="3">
        <f>W_KMT*CV142+W_KMA*CW142+W_EDAD*CX142</f>
        <v/>
      </c>
      <c r="CZ142" s="4">
        <f>E142&amp;"|"&amp;G142</f>
        <v/>
      </c>
      <c r="DA142" s="3">
        <f>IFERROR(VLOOKUP(CZ142,DIST_TBL,2,0),"")</f>
        <v/>
      </c>
      <c r="DB142" s="3">
        <f>E_ITV*(V142="sí")+E_LIBRO*(W142="sí")+E_PROP*IF(Y142=1,1,IF(Y142=2,0.5,0))+E_CORREA*IF(OR(DA142="cadena",AND(X142="sí",BH142="sí")),1,IF(X142="sí",0.5,0))+E_FACT*(BI142="sí")</f>
        <v/>
      </c>
      <c r="DC142" s="3">
        <f>MAX(0,MIN(100,IFERROR(VLOOKUP(CL142,ETQ_TBL,2,0),0)-IF(CM142="sí",ETQ_PEN_DUD,IF(AS142="regla",ETQ_PEN_REGLA,0))))</f>
        <v/>
      </c>
      <c r="DD142" s="3">
        <f>IF(K142&lt;&gt;"gasolina","",IFERROR(VLOOKUP(F142,CONS_MOD_TBL,2,0),IFERROR(VLOOKUP(L142,CONS_SEG_TBL,2,0),"")))</f>
        <v/>
      </c>
      <c r="DE142" s="3">
        <f>IF(DD142="",NEUTRO,MAX(0,MIN(100,100*(CONS_REF_MAX-DD142)/(CONS_REF_MAX-CONS_REF_MIN))))</f>
        <v/>
      </c>
      <c r="DF142" s="3">
        <f>IFERROR(VLOOKUP(L142,SEGURO_TBL,3,0),"")</f>
        <v/>
      </c>
      <c r="DG142" s="3">
        <f>IF(DF142="",NEUTRO,MAX(0,MIN(100,100*(SEG_REF_MAX-DF142)/(SEG_REF_MAX-SEG_REF_MIN))))</f>
        <v/>
      </c>
      <c r="DH142" s="3">
        <f>IFERROR(VLOOKUP(E142,MANT_MARCA_TBL,2,0)+0,NEUTRO)</f>
        <v/>
      </c>
      <c r="DI142" s="3">
        <f>IF(DA142="",NEUTRO,IFERROR(VLOOKUP(DA142,DIST_PTS_TBL,2,0)+0,NEUTRO))</f>
        <v/>
      </c>
      <c r="DJ142" s="4">
        <f>(DH142+DI142)/2</f>
        <v/>
      </c>
      <c r="DK142" s="3">
        <f>W_CONS*DE142+W_SEG*DG142+W_MANT*DJ142</f>
        <v/>
      </c>
      <c r="DL142" s="3">
        <f>IF(N(AB142)&gt;0,AB142,IF(AND(R142="profesional",SG_LEGAL_ON=1),GAR_LEGAL,0))</f>
        <v/>
      </c>
      <c r="DM142" s="3">
        <f>MAX(0,MIN(100,SG_GAR*MIN(1,DL142/SG_GAR_FULL)+SG_AMPL*(AC142="sí")+SG_KMC*(AF142="sí")+SG_REV*(N(AE142)&gt;0)+SG_DEV*MIN(1,N(AG142)/SG_DEV_FULL)+SG_HIST*(W142="sí")-IF(AND(R142="particular",DL142=0),SG_PART_PEN,0)))</f>
        <v/>
      </c>
      <c r="DN142" s="3">
        <f>IF(BK142="",NEUTRO,MAX(0,MIN(100,BK142/5*100)))</f>
        <v/>
      </c>
      <c r="DO142" s="3">
        <f>IF(BL142="sí",100,IF(BL142="no",0,NEUTRO))</f>
        <v/>
      </c>
      <c r="DP142" s="3">
        <f>SV_W_NCAP*DN142+SV_W_ESP*DO142</f>
        <v/>
      </c>
      <c r="DQ142" s="3">
        <f>MAX(0,MIN(100,ATR_BASE+ATR_ACAB*(BD142&lt;&gt;"")+IF(BE142="16+",ATR_LL16,IF(BE142="sí",ATR_LL,0))+ATR_FAROS*(BF142="sí")+ATR_TINT*(BG142="sí")-ATR_CHAPA*(BE142="chapa")))</f>
        <v/>
      </c>
      <c r="DR142" s="3">
        <f>EST_W_MOD*(BB142-1)/4*100+EST_W_ATR*DQ142</f>
        <v/>
      </c>
      <c r="DS142" s="3">
        <f>IF(BA142="",NEUTRO,IFERROR(VLOOKUP(BA142,COLOR_TBL,2,0)+0,NEUTRO))</f>
        <v/>
      </c>
      <c r="DT142" s="3">
        <f>MAX(0,MIN(100,100*N(BM142)/RV_N_FULL))</f>
        <v/>
      </c>
      <c r="DU142" s="3">
        <f>IF(OR(BN142="",N(BO142)&lt;RV_DIAS_MIN),NEUTRO,MAX(0,MIN(100,100*(RV_DIAS_CERO-BN142)/(RV_DIAS_CERO-RV_DIAS_FULL))))</f>
        <v/>
      </c>
      <c r="DV142" s="3">
        <f>RV_W_LIQ*DT142+RV_W_DIAS*DU142+RV_W_ETQ*DC142</f>
        <v/>
      </c>
      <c r="DW142" s="3">
        <f>IFERROR(VLOOKUP(L142,CARR_PEN_TBL,2,0),0)</f>
        <v/>
      </c>
      <c r="DX142" s="3">
        <f>W_FIAB*CS142+W_PRECIO*CU142+W_KMEDAD*CY142+W_ESTADO*DB142+W_USO*DK142+W_SEGURIDAD*DM142+W_SEGVIAL*DP142+W_ESTETICA*DR142+W_COLOR*DS142+W_REVENTA*DV142-DW142-EG142</f>
        <v/>
      </c>
      <c r="DY142" s="4">
        <f>IF(N(I142)&gt;0,I142,IFERROR(ROUND(_xlfn.NUMBERVALUE(LEFT(G142,FIND(" ",G142&amp;" ")-1),".")*1000,0),99999))</f>
        <v/>
      </c>
      <c r="DZ142" s="3">
        <f>IF(R142="profesional",0,IF(O142&lt;CUOTA_VALOR_MAX,IF(BW142&gt;ITP_TRAMO_ALTO,SUMIFS(CF_CUOTA,CF_MAS,ITP_TRAMO_ALTO,CF_CCMIN,"&lt;="&amp;DY142,CF_CCMAX,"&gt;="&amp;DY142),IF(BW142&gt;ITP_TRAMO_BAJO,SUMIFS(CF_CUOTA,CF_MAS,ITP_TRAMO_BAJO,CF_CCMIN,"&lt;="&amp;DY142,CF_CCMAX,"&gt;="&amp;DY142),O142*ITP_TIPO)),O142*ITP_TIPO))</f>
        <v/>
      </c>
      <c r="EA142" s="4">
        <f>IF(R142="profesional",N(AK142),0)</f>
        <v/>
      </c>
      <c r="EB142" s="3">
        <f>IF(AND(R142="profesional",ISNUMBER(AK142),AL142="sí"),0,TASA_DGT)</f>
        <v/>
      </c>
      <c r="EC142" s="3">
        <f>INFORME_DGT</f>
        <v/>
      </c>
      <c r="ED142" s="4">
        <f>O142+EA142+DZ142+EB142+EC142</f>
        <v/>
      </c>
      <c r="EE142" s="4">
        <f>ED142+N(DF142)</f>
        <v/>
      </c>
      <c r="EF142" s="3">
        <f>MAX(0,ED142-TOTAL_MAX)</f>
        <v/>
      </c>
      <c r="EG142" s="3">
        <f>EF142/100*PEN_100</f>
        <v/>
      </c>
      <c r="EH142" s="3">
        <f>IF(R142="particular",ED142+IF(AND(DA142&lt;&gt;"cadena",X142&lt;&gt;"sí"),RES_CORREA,0)+IF(AND(BJ142&lt;&gt;"sí",BW142&gt;=RES_NEUM_EDAD),RES_NEUM,0),"")</f>
        <v/>
      </c>
      <c r="EI142" s="3">
        <f>IF(ED142&lt;=TOTAL_MAX,"sí",IF(ED142&lt;=TECHO,"negociar","no"))</f>
        <v/>
      </c>
      <c r="EJ142" s="4">
        <f>ROUND(DX142,9)</f>
        <v/>
      </c>
      <c r="EK142" s="4">
        <f>IF(EI142&lt;&gt;"no",SUMPRODUCT(($EI$2:$EI$209&lt;&gt;"no")*($EJ$2:$EJ$209&gt;EJ142))+SUMPRODUCT(($EI$2:EI142&lt;&gt;"no")*($EJ$2:EJ142=EJ142)),"")</f>
        <v/>
      </c>
    </row>
    <row r="143">
      <c r="A143" s="2" t="inlineStr">
        <is>
          <t>cochesnet:71566674</t>
        </is>
      </c>
      <c r="B143" s="2" t="inlineStr">
        <is>
          <t>cochesnet</t>
        </is>
      </c>
      <c r="C143" s="2" t="inlineStr">
        <is>
          <t>https://www.coches.net/mazda-mazda2-sportive-16-5p-gasolina-2003-en-castellon-71566674-covo.aspx</t>
        </is>
      </c>
      <c r="D143" s="2" t="inlineStr">
        <is>
          <t>MAZDA Mazda2 Sportive 1.6</t>
        </is>
      </c>
      <c r="E143" s="2" t="inlineStr">
        <is>
          <t>Mazda</t>
        </is>
      </c>
      <c r="F143" s="2" t="inlineStr">
        <is>
          <t>Mazda 2</t>
        </is>
      </c>
      <c r="G143" s="2" t="inlineStr">
        <is>
          <t>1.6</t>
        </is>
      </c>
      <c r="H143" s="2" t="inlineStr">
        <is>
          <t>Sportive 1.6</t>
        </is>
      </c>
      <c r="I143" s="2" t="n"/>
      <c r="J143" s="2" t="n"/>
      <c r="K143" s="2" t="inlineStr">
        <is>
          <t>gasolina</t>
        </is>
      </c>
      <c r="L143" s="2" t="inlineStr">
        <is>
          <t>utilitario</t>
        </is>
      </c>
      <c r="M143" s="2" t="n">
        <v>2005</v>
      </c>
      <c r="N143" s="2" t="n">
        <v>120000</v>
      </c>
      <c r="O143" s="2" t="n">
        <v>4350</v>
      </c>
      <c r="P143" s="2" t="inlineStr">
        <is>
          <t>manual</t>
        </is>
      </c>
      <c r="Q143" s="2" t="inlineStr">
        <is>
          <t>no</t>
        </is>
      </c>
      <c r="R143" s="2" t="inlineStr">
        <is>
          <t>profesional</t>
        </is>
      </c>
      <c r="S143" s="2" t="inlineStr">
        <is>
          <t>Andrés Cars Castellón de la Plana / Castelló de la Plana</t>
        </is>
      </c>
      <c r="T143" s="2" t="inlineStr">
        <is>
          <t>2026-09-21T22:20:44Z</t>
        </is>
      </c>
      <c r="U143" s="2" t="n">
        <v>37</v>
      </c>
      <c r="V143" s="2" t="n"/>
      <c r="W143" s="2" t="n"/>
      <c r="X143" s="2" t="n"/>
      <c r="Y143" s="2" t="n">
        <v>1</v>
      </c>
      <c r="Z143" s="2" t="inlineStr">
        <is>
          <t>sí</t>
        </is>
      </c>
      <c r="AA143" s="2" t="n"/>
      <c r="AB143" s="2" t="n">
        <v>12</v>
      </c>
      <c r="AC143" s="2" t="n"/>
      <c r="AD143" s="2" t="n"/>
      <c r="AE143" s="2" t="n"/>
      <c r="AF143" s="2" t="n"/>
      <c r="AG143" s="2" t="n"/>
      <c r="AH143" s="2" t="n">
        <v>4350</v>
      </c>
      <c r="AI143" s="2" t="n"/>
      <c r="AJ143" s="2" t="n"/>
      <c r="AK143" s="2" t="n"/>
      <c r="AL143" s="2" t="n"/>
      <c r="AM143" s="2" t="n"/>
      <c r="AN143" s="2" t="n"/>
      <c r="AO143" s="2" t="inlineStr">
        <is>
          <t>2005</t>
        </is>
      </c>
      <c r="AP143" s="2" t="n">
        <v>2005</v>
      </c>
      <c r="AQ143" s="2" t="n"/>
      <c r="AR143" s="2" t="inlineStr">
        <is>
          <t>B</t>
        </is>
      </c>
      <c r="AS143" s="2" t="inlineStr">
        <is>
          <t>anuncio</t>
        </is>
      </c>
      <c r="AT143" s="2" t="n">
        <v>2003</v>
      </c>
      <c r="AU143" s="2" t="inlineStr">
        <is>
          <t>no</t>
        </is>
      </c>
      <c r="AV143" s="2" t="inlineStr">
        <is>
          <t>B</t>
        </is>
      </c>
      <c r="AW143" s="2" t="n"/>
      <c r="AX143" s="2" t="inlineStr">
        <is>
          <t>no</t>
        </is>
      </c>
      <c r="AY143" s="2" t="inlineStr">
        <is>
          <t>no</t>
        </is>
      </c>
      <c r="AZ143" s="2" t="inlineStr">
        <is>
          <t>COMMON.COLOR_GRAY</t>
        </is>
      </c>
      <c r="BA143" s="2" t="inlineStr">
        <is>
          <t>gris_medio</t>
        </is>
      </c>
      <c r="BB143" s="3" t="n">
        <v>2</v>
      </c>
      <c r="BC143" s="3" t="inlineStr">
        <is>
          <t>(por segmento)</t>
        </is>
      </c>
      <c r="BD143" s="2" t="inlineStr">
        <is>
          <t>sportive</t>
        </is>
      </c>
      <c r="BE143" s="2" t="n"/>
      <c r="BF143" s="2" t="n"/>
      <c r="BG143" s="2" t="n"/>
      <c r="BH143" s="2" t="n"/>
      <c r="BI143" s="2" t="n"/>
      <c r="BJ143" s="2" t="n"/>
      <c r="BK143" s="2" t="n">
        <v>4</v>
      </c>
      <c r="BL143" s="2" t="inlineStr">
        <is>
          <t>no</t>
        </is>
      </c>
      <c r="BM143" s="2" t="n">
        <v>136</v>
      </c>
      <c r="BN143" s="2" t="n">
        <v>0.02939236117526889</v>
      </c>
      <c r="BO143" s="2" t="n">
        <v>2</v>
      </c>
      <c r="BP143" s="2" t="n"/>
      <c r="BQ143" s="2" t="n"/>
      <c r="BR143" s="2" t="n"/>
      <c r="BS143" s="2" t="n"/>
      <c r="BT143" s="2" t="inlineStr">
        <is>
          <t>año a confirmar: la URL/título dice 2003; vendedor profesional: sin ITP (operación con IVA/REBU, confirmar en factura); gastos de gestión del vendedor no indicados: se suma la tasa DGT; preguntar el precio final; distancia no verificable (el anuncio solo indica la provincia): confirmar que está a &lt;= 70 km</t>
        </is>
      </c>
      <c r="BU143" s="2" t="inlineStr">
        <is>
          <t xml:space="preserve">Etiqueta medio ambiental B .
Se vende precioso mazda 2 , nacional, procedente de primera mano y siempre en garaje.
Lleva motor 1,6 gasolina con 100 CV de potencia y distribución por cadena.
Es el acabado sportive y lleva : aire acondicionado , elevalunas eléctricos , ordenador al bordo , cierre , ABS......
Vehículo en perfecto estado.
Admito prueba de taller.
ITV y documentación al día.
Cambio de nombre aparte 150 euros
Precio No negociable.. 
Anuncio  con titulo informativo y no contractual.
GRACIAS. 
Se puede recibir vehiculo como forma de pago.
</t>
        </is>
      </c>
      <c r="BV143" s="2" t="inlineStr">
        <is>
          <t>https://www.coches.net/mazda-mazda2-sportive-16-5p-gasolina-2003-en-castellon-71566674-covo.aspx (window.__INITIAL_PROPS__.ad) /home/user/Alopecia/buscador-coches/raw/cochesnet/46d8e99f6649c20d.json</t>
        </is>
      </c>
      <c r="BW143" s="3">
        <f>MAX(ANIO_ACTUAL-M143,0)</f>
        <v/>
      </c>
      <c r="BX143" s="4">
        <f>N143/MAX(BW143,0.5)</f>
        <v/>
      </c>
      <c r="BY143" s="4">
        <f>F143</f>
        <v/>
      </c>
      <c r="BZ143" s="3">
        <f>BY143&amp;"|"&amp;INT(M143/SEG_ANIO)*SEG_ANIO</f>
        <v/>
      </c>
      <c r="CA143" s="3">
        <f>BZ143&amp;"|"&amp;INT(N143/SEG_KM)*SEG_KM</f>
        <v/>
      </c>
      <c r="CB143" s="4">
        <f>COUNTIF($BY$2:$BY$209,BY143)</f>
        <v/>
      </c>
      <c r="CC143" s="4">
        <f>COUNTIF($BZ$2:$BZ$209,BZ143)</f>
        <v/>
      </c>
      <c r="CD143" s="4">
        <f>COUNTIF($CA$2:$CA$209,CA143)</f>
        <v/>
      </c>
      <c r="CE143" s="3">
        <f t="array" ref="CE143">IF(N(BQ143)&gt;=MIN_N,BP143,IF(CD143&gt;=MIN_N,MEDIAN(IF($CA$2:$CA$209=CA143,$O$2:$O$209)),IF(CC143&gt;=MIN_N,MEDIAN(IF($BZ$2:$BZ$209=BZ143,$O$2:$O$209)),MEDIAN(IF($BY$2:$BY$209=BY143,$O$2:$O$209)))))</f>
        <v/>
      </c>
      <c r="CF143" s="3">
        <f>IF(N(BQ143)&gt;=MIN_N,"mercado "&amp;BR143,IF(CD143&gt;=MIN_N,"modelo+año+km",IF(CC143&gt;=MIN_N,"modelo+año","modelo")))</f>
        <v/>
      </c>
      <c r="CG143" s="4">
        <f>(CE143-O143)/CE143</f>
        <v/>
      </c>
      <c r="CH143" s="3">
        <f>IF(COUNTIFS(FR_FUEL,K143,FR_YEAR,AP143)&gt;0,1,0)</f>
        <v/>
      </c>
      <c r="CI143" s="3">
        <f>IF(COUNTIFS(FR_FUEL,K143,FR_YEAR,AP143-1)&gt;0,1,0)</f>
        <v/>
      </c>
      <c r="CJ143" s="4">
        <f>IF(N(AQ143)&gt;0,AP143*100+AQ143,IF(AND(CH143=1,CI143=1),(AP143-1)*100+1,AP143*100+1))</f>
        <v/>
      </c>
      <c r="CK143" s="3">
        <f>IF(OR(K143="hibrido",K143="glp",K143="gnc",K143="phev"),"ECO",IF(K143="electrico","CERO",IF(K143="gasolina",IF(CJ143&gt;=GAS_C_YM,"C",IF(CJ143&gt;=GAS_B_YM,"B","A")),IF(K143="diesel",IF(CJ143&gt;=DIE_C_YM,"C",IF(CJ143&gt;=DIE_B_YM,"B","A")),""))))</f>
        <v/>
      </c>
      <c r="CL143" s="2" t="inlineStr">
        <is>
          <t>B</t>
        </is>
      </c>
      <c r="CM143" s="4">
        <f>IF(AU143="sí","sí",IF(AS143="regla",IF(AND(N(AQ143)=0,CH143=1),"sí","no"),"no"))</f>
        <v/>
      </c>
      <c r="CN143" s="3">
        <f>IFERROR(VLOOKUP(F143,MOD_TBL,16,0),IFERROR(VLOOKUP(E143,OCU_TBL,2,0),NEUTRO))</f>
        <v/>
      </c>
      <c r="CO143" s="3">
        <f>SUMIFS(MOT_AJUSTE,MOT_MOTOR,G143,MOT_MARCA,E143,MOT_DESDE,"&lt;="&amp;M143,MOT_HASTA,"&gt;="&amp;M143)+SUMIFS(MOT_AJUSTE,MOT_MOTOR,G143,MOT_MARCA,"(todas)",MOT_DESDE,"&lt;="&amp;M143,MOT_HASTA,"&gt;="&amp;M143)+SUMIFS(MOT_AJUSTE,MOT_MOTOR,"(cualquiera)",MOT_MARCA,E143,MOT_DESDE,"&lt;="&amp;M143,MOT_HASTA,"&gt;="&amp;M143)</f>
        <v/>
      </c>
      <c r="CP143" s="3">
        <f>SUMIFS(COMB_AJUSTE,COMB_COMB,K143)</f>
        <v/>
      </c>
      <c r="CQ143" s="3">
        <f>COUNTIFS(MOT_MOTOR,G143,MOT_MARCA,E143,MOT_DESDE,"&lt;="&amp;M143,MOT_HASTA,"&gt;="&amp;M143)+COUNTIFS(MOT_MOTOR,G143,MOT_MARCA,"(todas)",MOT_DESDE,"&lt;="&amp;M143,MOT_HASTA,"&gt;="&amp;M143)+COUNTIFS(MOT_MOTOR,"(cualquiera)",MOT_MARCA,E143,MOT_DESDE,"&lt;="&amp;M143,MOT_HASTA,"&gt;="&amp;M143)</f>
        <v/>
      </c>
      <c r="CR143" s="3">
        <f>IF(AND(K143="diesel",CQ143=0),MIN(CN143,NEUTRO),CN143)</f>
        <v/>
      </c>
      <c r="CS143" s="3">
        <f>MAX(0,MIN(100,CR143+CO143+CP143-IF(AX143="sí",ROB_PEN,0)))</f>
        <v/>
      </c>
      <c r="CT143" s="3">
        <f>100-MAX(0,N143-KM_TOPE_DESDE)/1000*KM_TOPE_PTS</f>
        <v/>
      </c>
      <c r="CU143" s="3">
        <f>MAX(0,MIN(100,50+CG143*PRECIO_PEND,CT143))</f>
        <v/>
      </c>
      <c r="CV143" s="3">
        <f>MAX(0,100*(1-N143/KM_MAX))</f>
        <v/>
      </c>
      <c r="CW143" s="3">
        <f>IF(BX143&lt;KMA_SOSP,IF(AA143="sí",100,KMA_PEN),IF(BX143&lt;=KMA_IDEAL_MAX,100,MAX(0,100*(KMA_CERO-BX143)/(KMA_CERO-KMA_IDEAL_MAX))))</f>
        <v/>
      </c>
      <c r="CX143" s="3">
        <f>MAX(0,MIN(100,100*(M143-ANIO_MIN)/(ANIO_ACTUAL-ANIO_MIN)))</f>
        <v/>
      </c>
      <c r="CY143" s="3">
        <f>W_KMT*CV143+W_KMA*CW143+W_EDAD*CX143</f>
        <v/>
      </c>
      <c r="CZ143" s="4">
        <f>E143&amp;"|"&amp;G143</f>
        <v/>
      </c>
      <c r="DA143" s="3">
        <f>IFERROR(VLOOKUP(CZ143,DIST_TBL,2,0),"")</f>
        <v/>
      </c>
      <c r="DB143" s="3">
        <f>E_ITV*(V143="sí")+E_LIBRO*(W143="sí")+E_PROP*IF(Y143=1,1,IF(Y143=2,0.5,0))+E_CORREA*IF(OR(DA143="cadena",AND(X143="sí",BH143="sí")),1,IF(X143="sí",0.5,0))+E_FACT*(BI143="sí")</f>
        <v/>
      </c>
      <c r="DC143" s="3">
        <f>MAX(0,MIN(100,IFERROR(VLOOKUP(CL143,ETQ_TBL,2,0),0)-IF(CM143="sí",ETQ_PEN_DUD,IF(AS143="regla",ETQ_PEN_REGLA,0))))</f>
        <v/>
      </c>
      <c r="DD143" s="3">
        <f>IF(K143&lt;&gt;"gasolina","",IFERROR(VLOOKUP(F143,CONS_MOD_TBL,2,0),IFERROR(VLOOKUP(L143,CONS_SEG_TBL,2,0),"")))</f>
        <v/>
      </c>
      <c r="DE143" s="3">
        <f>IF(DD143="",NEUTRO,MAX(0,MIN(100,100*(CONS_REF_MAX-DD143)/(CONS_REF_MAX-CONS_REF_MIN))))</f>
        <v/>
      </c>
      <c r="DF143" s="3">
        <f>IFERROR(VLOOKUP(L143,SEGURO_TBL,3,0),"")</f>
        <v/>
      </c>
      <c r="DG143" s="3">
        <f>IF(DF143="",NEUTRO,MAX(0,MIN(100,100*(SEG_REF_MAX-DF143)/(SEG_REF_MAX-SEG_REF_MIN))))</f>
        <v/>
      </c>
      <c r="DH143" s="3">
        <f>IFERROR(VLOOKUP(E143,MANT_MARCA_TBL,2,0)+0,NEUTRO)</f>
        <v/>
      </c>
      <c r="DI143" s="3">
        <f>IF(DA143="",NEUTRO,IFERROR(VLOOKUP(DA143,DIST_PTS_TBL,2,0)+0,NEUTRO))</f>
        <v/>
      </c>
      <c r="DJ143" s="4">
        <f>(DH143+DI143)/2</f>
        <v/>
      </c>
      <c r="DK143" s="3">
        <f>W_CONS*DE143+W_SEG*DG143+W_MANT*DJ143</f>
        <v/>
      </c>
      <c r="DL143" s="3">
        <f>IF(N(AB143)&gt;0,AB143,IF(AND(R143="profesional",SG_LEGAL_ON=1),GAR_LEGAL,0))</f>
        <v/>
      </c>
      <c r="DM143" s="3">
        <f>MAX(0,MIN(100,SG_GAR*MIN(1,DL143/SG_GAR_FULL)+SG_AMPL*(AC143="sí")+SG_KMC*(AF143="sí")+SG_REV*(N(AE143)&gt;0)+SG_DEV*MIN(1,N(AG143)/SG_DEV_FULL)+SG_HIST*(W143="sí")-IF(AND(R143="particular",DL143=0),SG_PART_PEN,0)))</f>
        <v/>
      </c>
      <c r="DN143" s="3">
        <f>IF(BK143="",NEUTRO,MAX(0,MIN(100,BK143/5*100)))</f>
        <v/>
      </c>
      <c r="DO143" s="3">
        <f>IF(BL143="sí",100,IF(BL143="no",0,NEUTRO))</f>
        <v/>
      </c>
      <c r="DP143" s="3">
        <f>SV_W_NCAP*DN143+SV_W_ESP*DO143</f>
        <v/>
      </c>
      <c r="DQ143" s="3">
        <f>MAX(0,MIN(100,ATR_BASE+ATR_ACAB*(BD143&lt;&gt;"")+IF(BE143="16+",ATR_LL16,IF(BE143="sí",ATR_LL,0))+ATR_FAROS*(BF143="sí")+ATR_TINT*(BG143="sí")-ATR_CHAPA*(BE143="chapa")))</f>
        <v/>
      </c>
      <c r="DR143" s="3">
        <f>EST_W_MOD*(BB143-1)/4*100+EST_W_ATR*DQ143</f>
        <v/>
      </c>
      <c r="DS143" s="3">
        <f>IF(BA143="",NEUTRO,IFERROR(VLOOKUP(BA143,COLOR_TBL,2,0)+0,NEUTRO))</f>
        <v/>
      </c>
      <c r="DT143" s="3">
        <f>MAX(0,MIN(100,100*N(BM143)/RV_N_FULL))</f>
        <v/>
      </c>
      <c r="DU143" s="3">
        <f>IF(OR(BN143="",N(BO143)&lt;RV_DIAS_MIN),NEUTRO,MAX(0,MIN(100,100*(RV_DIAS_CERO-BN143)/(RV_DIAS_CERO-RV_DIAS_FULL))))</f>
        <v/>
      </c>
      <c r="DV143" s="3">
        <f>RV_W_LIQ*DT143+RV_W_DIAS*DU143+RV_W_ETQ*DC143</f>
        <v/>
      </c>
      <c r="DW143" s="3">
        <f>IFERROR(VLOOKUP(L143,CARR_PEN_TBL,2,0),0)</f>
        <v/>
      </c>
      <c r="DX143" s="3">
        <f>W_FIAB*CS143+W_PRECIO*CU143+W_KMEDAD*CY143+W_ESTADO*DB143+W_USO*DK143+W_SEGURIDAD*DM143+W_SEGVIAL*DP143+W_ESTETICA*DR143+W_COLOR*DS143+W_REVENTA*DV143-DW143-EG143</f>
        <v/>
      </c>
      <c r="DY143" s="4">
        <f>IF(N(I143)&gt;0,I143,IFERROR(ROUND(_xlfn.NUMBERVALUE(LEFT(G143,FIND(" ",G143&amp;" ")-1),".")*1000,0),99999))</f>
        <v/>
      </c>
      <c r="DZ143" s="3">
        <f>IF(R143="profesional",0,IF(O143&lt;CUOTA_VALOR_MAX,IF(BW143&gt;ITP_TRAMO_ALTO,SUMIFS(CF_CUOTA,CF_MAS,ITP_TRAMO_ALTO,CF_CCMIN,"&lt;="&amp;DY143,CF_CCMAX,"&gt;="&amp;DY143),IF(BW143&gt;ITP_TRAMO_BAJO,SUMIFS(CF_CUOTA,CF_MAS,ITP_TRAMO_BAJO,CF_CCMIN,"&lt;="&amp;DY143,CF_CCMAX,"&gt;="&amp;DY143),O143*ITP_TIPO)),O143*ITP_TIPO))</f>
        <v/>
      </c>
      <c r="EA143" s="4">
        <f>IF(R143="profesional",N(AK143),0)</f>
        <v/>
      </c>
      <c r="EB143" s="3">
        <f>IF(AND(R143="profesional",ISNUMBER(AK143),AL143="sí"),0,TASA_DGT)</f>
        <v/>
      </c>
      <c r="EC143" s="3">
        <f>INFORME_DGT</f>
        <v/>
      </c>
      <c r="ED143" s="4">
        <f>O143+EA143+DZ143+EB143+EC143</f>
        <v/>
      </c>
      <c r="EE143" s="4">
        <f>ED143+N(DF143)</f>
        <v/>
      </c>
      <c r="EF143" s="3">
        <f>MAX(0,ED143-TOTAL_MAX)</f>
        <v/>
      </c>
      <c r="EG143" s="3">
        <f>EF143/100*PEN_100</f>
        <v/>
      </c>
      <c r="EH143" s="3">
        <f>IF(R143="particular",ED143+IF(AND(DA143&lt;&gt;"cadena",X143&lt;&gt;"sí"),RES_CORREA,0)+IF(AND(BJ143&lt;&gt;"sí",BW143&gt;=RES_NEUM_EDAD),RES_NEUM,0),"")</f>
        <v/>
      </c>
      <c r="EI143" s="3">
        <f>IF(ED143&lt;=TOTAL_MAX,"sí",IF(ED143&lt;=TECHO,"negociar","no"))</f>
        <v/>
      </c>
      <c r="EJ143" s="4">
        <f>ROUND(DX143,9)</f>
        <v/>
      </c>
      <c r="EK143" s="4">
        <f>IF(EI143&lt;&gt;"no",SUMPRODUCT(($EI$2:$EI$209&lt;&gt;"no")*($EJ$2:$EJ$209&gt;EJ143))+SUMPRODUCT(($EI$2:EI143&lt;&gt;"no")*($EJ$2:EJ143=EJ143)),"")</f>
        <v/>
      </c>
    </row>
    <row r="144">
      <c r="A144" s="2" t="inlineStr">
        <is>
          <t>cochesnet:71837054</t>
        </is>
      </c>
      <c r="B144" s="2" t="inlineStr">
        <is>
          <t>cochesnet</t>
        </is>
      </c>
      <c r="C144" s="2" t="inlineStr">
        <is>
          <t>https://www.coches.net/seat-ibiza-14-16v-75-cv-signa-3p-gasolina-2004-en-castellon-71837054-covo.aspx</t>
        </is>
      </c>
      <c r="D144" s="2" t="inlineStr">
        <is>
          <t>SEAT Ibiza 1.4 16V 75 CV SIGNA</t>
        </is>
      </c>
      <c r="E144" s="2" t="inlineStr">
        <is>
          <t>Seat</t>
        </is>
      </c>
      <c r="F144" s="2" t="inlineStr">
        <is>
          <t>Seat Ibiza</t>
        </is>
      </c>
      <c r="G144" s="2" t="inlineStr">
        <is>
          <t>1.4</t>
        </is>
      </c>
      <c r="H144" s="2" t="inlineStr">
        <is>
          <t>1.4 16V 75 CV SIGNA</t>
        </is>
      </c>
      <c r="I144" s="2" t="n"/>
      <c r="J144" s="2" t="n">
        <v>75</v>
      </c>
      <c r="K144" s="2" t="inlineStr">
        <is>
          <t>gasolina</t>
        </is>
      </c>
      <c r="L144" s="2" t="inlineStr">
        <is>
          <t>utilitario</t>
        </is>
      </c>
      <c r="M144" s="2" t="n">
        <v>2004</v>
      </c>
      <c r="N144" s="2" t="n">
        <v>146000</v>
      </c>
      <c r="O144" s="2" t="n">
        <v>3400</v>
      </c>
      <c r="P144" s="2" t="inlineStr">
        <is>
          <t>manual</t>
        </is>
      </c>
      <c r="Q144" s="2" t="inlineStr">
        <is>
          <t>no</t>
        </is>
      </c>
      <c r="R144" s="2" t="inlineStr">
        <is>
          <t>profesional</t>
        </is>
      </c>
      <c r="S144" s="2" t="inlineStr">
        <is>
          <t>Jack Garage Oropesa del Mar / Orpesa</t>
        </is>
      </c>
      <c r="T144" s="2" t="inlineStr">
        <is>
          <t>2026-10-26T18:27:34Z</t>
        </is>
      </c>
      <c r="U144" s="2" t="n">
        <v>7</v>
      </c>
      <c r="V144" s="2" t="inlineStr">
        <is>
          <t>sí</t>
        </is>
      </c>
      <c r="W144" s="2" t="n"/>
      <c r="X144" s="2" t="n"/>
      <c r="Y144" s="2" t="n"/>
      <c r="Z144" s="2" t="inlineStr">
        <is>
          <t>sí</t>
        </is>
      </c>
      <c r="AA144" s="2" t="n"/>
      <c r="AB144" s="2" t="n">
        <v>12</v>
      </c>
      <c r="AC144" s="2" t="n"/>
      <c r="AD144" s="2" t="n"/>
      <c r="AE144" s="2" t="n"/>
      <c r="AF144" s="2" t="n"/>
      <c r="AG144" s="2" t="n"/>
      <c r="AH144" s="2" t="n">
        <v>3400</v>
      </c>
      <c r="AI144" s="2" t="n"/>
      <c r="AJ144" s="2" t="n"/>
      <c r="AK144" s="2" t="n"/>
      <c r="AL144" s="2" t="n"/>
      <c r="AM144" s="2" t="n"/>
      <c r="AN144" s="2" t="n"/>
      <c r="AO144" s="2" t="inlineStr">
        <is>
          <t>2004</t>
        </is>
      </c>
      <c r="AP144" s="2" t="n">
        <v>2004</v>
      </c>
      <c r="AQ144" s="2" t="n"/>
      <c r="AR144" s="2" t="inlineStr">
        <is>
          <t>B</t>
        </is>
      </c>
      <c r="AS144" s="2" t="inlineStr">
        <is>
          <t>anuncio</t>
        </is>
      </c>
      <c r="AT144" s="2" t="n"/>
      <c r="AU144" s="2" t="inlineStr">
        <is>
          <t>no</t>
        </is>
      </c>
      <c r="AV144" s="2" t="inlineStr">
        <is>
          <t>B</t>
        </is>
      </c>
      <c r="AW144" s="2" t="n"/>
      <c r="AX144" s="2" t="inlineStr">
        <is>
          <t>no</t>
        </is>
      </c>
      <c r="AY144" s="2" t="inlineStr">
        <is>
          <t>no</t>
        </is>
      </c>
      <c r="AZ144" s="2" t="inlineStr">
        <is>
          <t>COMMON.COLOR_WHITE</t>
        </is>
      </c>
      <c r="BA144" s="2" t="inlineStr">
        <is>
          <t>blanco</t>
        </is>
      </c>
      <c r="BB144" s="3" t="n">
        <v>2</v>
      </c>
      <c r="BC144" s="3" t="inlineStr">
        <is>
          <t>(por segmento)</t>
        </is>
      </c>
      <c r="BD144" s="2" t="n"/>
      <c r="BE144" s="2" t="n"/>
      <c r="BF144" s="2" t="n"/>
      <c r="BG144" s="2" t="n"/>
      <c r="BH144" s="2" t="n"/>
      <c r="BI144" s="2" t="n"/>
      <c r="BJ144" s="2" t="n"/>
      <c r="BK144" s="2" t="n">
        <v>4</v>
      </c>
      <c r="BL144" s="2" t="inlineStr">
        <is>
          <t>no</t>
        </is>
      </c>
      <c r="BM144" s="2" t="n">
        <v>385</v>
      </c>
      <c r="BN144" s="2" t="n">
        <v>0.07434027781710029</v>
      </c>
      <c r="BO144" s="2" t="n">
        <v>10</v>
      </c>
      <c r="BP144" s="2" t="n">
        <v>3000</v>
      </c>
      <c r="BQ144" s="2" t="n">
        <v>31</v>
      </c>
      <c r="BR144" s="2" t="inlineStr">
        <is>
          <t>modelo+año</t>
        </is>
      </c>
      <c r="BS144" s="2" t="n"/>
      <c r="BT144" s="2" t="inlineStr">
        <is>
          <t>vendedor profesional: sin ITP (operación con IVA/REBU, confirmar en factura); gastos de gestión del vendedor no indicados: se suma la tasa DGT; preguntar el precio final; distancia no verificable (el anuncio solo indica la provincia): confirmar que está a &lt;= 70 km</t>
        </is>
      </c>
      <c r="BU144" s="2" t="inlineStr">
        <is>
          <t>?? SEAT IBIZA 1.4 GASOLINA | 2004 | 146.000 KM
?? Precio: 3.200 €
Se vende SEAT Ibiza 1.4 gasolina del año 2004, con tan solo 146.000 kilómetros.
Vehículo económico, fiable y de mantenimiento sencillo. Ideal tanto para uso diario como para primer coche.
? 146.000 km
? ITV recién pasada
? Mecánica revisada en nuestro taller
? Estado de pintura bastante bueno para sus años.
? Motor 1.4 gasolina, económico de mantener.
? Bajo coste de mantenimiento y recambios.
? Se acepta cualquier prueba mecánica.
?? Vehículo revisado por profesionales del sector de la automoción.
Coche práctico, cómodo y con una mecánica sencilla y conocida por su fiabilidad.
?? Para más información o concertar una visita, contactar sin compromiso.
PRECIO: 3.400</t>
        </is>
      </c>
      <c r="BV144" s="2" t="inlineStr">
        <is>
          <t>https://www.coches.net/seat-ibiza-14-16v-75-cv-signa-3p-gasolina-2004-en-castellon-71837054-covo.aspx (window.__INITIAL_PROPS__.ad) /home/user/Alopecia/buscador-coches/raw/cochesnet/fa2434c0179be68a.json</t>
        </is>
      </c>
      <c r="BW144" s="3">
        <f>MAX(ANIO_ACTUAL-M144,0)</f>
        <v/>
      </c>
      <c r="BX144" s="4">
        <f>N144/MAX(BW144,0.5)</f>
        <v/>
      </c>
      <c r="BY144" s="4">
        <f>F144</f>
        <v/>
      </c>
      <c r="BZ144" s="3">
        <f>BY144&amp;"|"&amp;INT(M144/SEG_ANIO)*SEG_ANIO</f>
        <v/>
      </c>
      <c r="CA144" s="3">
        <f>BZ144&amp;"|"&amp;INT(N144/SEG_KM)*SEG_KM</f>
        <v/>
      </c>
      <c r="CB144" s="4">
        <f>COUNTIF($BY$2:$BY$209,BY144)</f>
        <v/>
      </c>
      <c r="CC144" s="4">
        <f>COUNTIF($BZ$2:$BZ$209,BZ144)</f>
        <v/>
      </c>
      <c r="CD144" s="4">
        <f>COUNTIF($CA$2:$CA$209,CA144)</f>
        <v/>
      </c>
      <c r="CE144" s="3">
        <f t="array" ref="CE144">IF(N(BQ144)&gt;=MIN_N,BP144,IF(CD144&gt;=MIN_N,MEDIAN(IF($CA$2:$CA$209=CA144,$O$2:$O$209)),IF(CC144&gt;=MIN_N,MEDIAN(IF($BZ$2:$BZ$209=BZ144,$O$2:$O$209)),MEDIAN(IF($BY$2:$BY$209=BY144,$O$2:$O$209)))))</f>
        <v/>
      </c>
      <c r="CF144" s="3">
        <f>IF(N(BQ144)&gt;=MIN_N,"mercado "&amp;BR144,IF(CD144&gt;=MIN_N,"modelo+año+km",IF(CC144&gt;=MIN_N,"modelo+año","modelo")))</f>
        <v/>
      </c>
      <c r="CG144" s="4">
        <f>(CE144-O144)/CE144</f>
        <v/>
      </c>
      <c r="CH144" s="3">
        <f>IF(COUNTIFS(FR_FUEL,K144,FR_YEAR,AP144)&gt;0,1,0)</f>
        <v/>
      </c>
      <c r="CI144" s="3">
        <f>IF(COUNTIFS(FR_FUEL,K144,FR_YEAR,AP144-1)&gt;0,1,0)</f>
        <v/>
      </c>
      <c r="CJ144" s="4">
        <f>IF(N(AQ144)&gt;0,AP144*100+AQ144,IF(AND(CH144=1,CI144=1),(AP144-1)*100+1,AP144*100+1))</f>
        <v/>
      </c>
      <c r="CK144" s="3">
        <f>IF(OR(K144="hibrido",K144="glp",K144="gnc",K144="phev"),"ECO",IF(K144="electrico","CERO",IF(K144="gasolina",IF(CJ144&gt;=GAS_C_YM,"C",IF(CJ144&gt;=GAS_B_YM,"B","A")),IF(K144="diesel",IF(CJ144&gt;=DIE_C_YM,"C",IF(CJ144&gt;=DIE_B_YM,"B","A")),""))))</f>
        <v/>
      </c>
      <c r="CL144" s="2" t="inlineStr">
        <is>
          <t>B</t>
        </is>
      </c>
      <c r="CM144" s="4">
        <f>IF(AU144="sí","sí",IF(AS144="regla",IF(AND(N(AQ144)=0,CH144=1),"sí","no"),"no"))</f>
        <v/>
      </c>
      <c r="CN144" s="3">
        <f>IFERROR(VLOOKUP(F144,MOD_TBL,16,0),IFERROR(VLOOKUP(E144,OCU_TBL,2,0),NEUTRO))</f>
        <v/>
      </c>
      <c r="CO144" s="3">
        <f>SUMIFS(MOT_AJUSTE,MOT_MOTOR,G144,MOT_MARCA,E144,MOT_DESDE,"&lt;="&amp;M144,MOT_HASTA,"&gt;="&amp;M144)+SUMIFS(MOT_AJUSTE,MOT_MOTOR,G144,MOT_MARCA,"(todas)",MOT_DESDE,"&lt;="&amp;M144,MOT_HASTA,"&gt;="&amp;M144)+SUMIFS(MOT_AJUSTE,MOT_MOTOR,"(cualquiera)",MOT_MARCA,E144,MOT_DESDE,"&lt;="&amp;M144,MOT_HASTA,"&gt;="&amp;M144)</f>
        <v/>
      </c>
      <c r="CP144" s="3">
        <f>SUMIFS(COMB_AJUSTE,COMB_COMB,K144)</f>
        <v/>
      </c>
      <c r="CQ144" s="3">
        <f>COUNTIFS(MOT_MOTOR,G144,MOT_MARCA,E144,MOT_DESDE,"&lt;="&amp;M144,MOT_HASTA,"&gt;="&amp;M144)+COUNTIFS(MOT_MOTOR,G144,MOT_MARCA,"(todas)",MOT_DESDE,"&lt;="&amp;M144,MOT_HASTA,"&gt;="&amp;M144)+COUNTIFS(MOT_MOTOR,"(cualquiera)",MOT_MARCA,E144,MOT_DESDE,"&lt;="&amp;M144,MOT_HASTA,"&gt;="&amp;M144)</f>
        <v/>
      </c>
      <c r="CR144" s="3">
        <f>IF(AND(K144="diesel",CQ144=0),MIN(CN144,NEUTRO),CN144)</f>
        <v/>
      </c>
      <c r="CS144" s="3">
        <f>MAX(0,MIN(100,CR144+CO144+CP144-IF(AX144="sí",ROB_PEN,0)))</f>
        <v/>
      </c>
      <c r="CT144" s="3">
        <f>100-MAX(0,N144-KM_TOPE_DESDE)/1000*KM_TOPE_PTS</f>
        <v/>
      </c>
      <c r="CU144" s="3">
        <f>MAX(0,MIN(100,50+CG144*PRECIO_PEND,CT144))</f>
        <v/>
      </c>
      <c r="CV144" s="3">
        <f>MAX(0,100*(1-N144/KM_MAX))</f>
        <v/>
      </c>
      <c r="CW144" s="3">
        <f>IF(BX144&lt;KMA_SOSP,IF(AA144="sí",100,KMA_PEN),IF(BX144&lt;=KMA_IDEAL_MAX,100,MAX(0,100*(KMA_CERO-BX144)/(KMA_CERO-KMA_IDEAL_MAX))))</f>
        <v/>
      </c>
      <c r="CX144" s="3">
        <f>MAX(0,MIN(100,100*(M144-ANIO_MIN)/(ANIO_ACTUAL-ANIO_MIN)))</f>
        <v/>
      </c>
      <c r="CY144" s="3">
        <f>W_KMT*CV144+W_KMA*CW144+W_EDAD*CX144</f>
        <v/>
      </c>
      <c r="CZ144" s="4">
        <f>E144&amp;"|"&amp;G144</f>
        <v/>
      </c>
      <c r="DA144" s="3">
        <f>IFERROR(VLOOKUP(CZ144,DIST_TBL,2,0),"")</f>
        <v/>
      </c>
      <c r="DB144" s="3">
        <f>E_ITV*(V144="sí")+E_LIBRO*(W144="sí")+E_PROP*IF(Y144=1,1,IF(Y144=2,0.5,0))+E_CORREA*IF(OR(DA144="cadena",AND(X144="sí",BH144="sí")),1,IF(X144="sí",0.5,0))+E_FACT*(BI144="sí")</f>
        <v/>
      </c>
      <c r="DC144" s="3">
        <f>MAX(0,MIN(100,IFERROR(VLOOKUP(CL144,ETQ_TBL,2,0),0)-IF(CM144="sí",ETQ_PEN_DUD,IF(AS144="regla",ETQ_PEN_REGLA,0))))</f>
        <v/>
      </c>
      <c r="DD144" s="3">
        <f>IF(K144&lt;&gt;"gasolina","",IFERROR(VLOOKUP(F144,CONS_MOD_TBL,2,0),IFERROR(VLOOKUP(L144,CONS_SEG_TBL,2,0),"")))</f>
        <v/>
      </c>
      <c r="DE144" s="3">
        <f>IF(DD144="",NEUTRO,MAX(0,MIN(100,100*(CONS_REF_MAX-DD144)/(CONS_REF_MAX-CONS_REF_MIN))))</f>
        <v/>
      </c>
      <c r="DF144" s="3">
        <f>IFERROR(VLOOKUP(L144,SEGURO_TBL,3,0),"")</f>
        <v/>
      </c>
      <c r="DG144" s="3">
        <f>IF(DF144="",NEUTRO,MAX(0,MIN(100,100*(SEG_REF_MAX-DF144)/(SEG_REF_MAX-SEG_REF_MIN))))</f>
        <v/>
      </c>
      <c r="DH144" s="3">
        <f>IFERROR(VLOOKUP(E144,MANT_MARCA_TBL,2,0)+0,NEUTRO)</f>
        <v/>
      </c>
      <c r="DI144" s="3">
        <f>IF(DA144="",NEUTRO,IFERROR(VLOOKUP(DA144,DIST_PTS_TBL,2,0)+0,NEUTRO))</f>
        <v/>
      </c>
      <c r="DJ144" s="4">
        <f>(DH144+DI144)/2</f>
        <v/>
      </c>
      <c r="DK144" s="3">
        <f>W_CONS*DE144+W_SEG*DG144+W_MANT*DJ144</f>
        <v/>
      </c>
      <c r="DL144" s="3">
        <f>IF(N(AB144)&gt;0,AB144,IF(AND(R144="profesional",SG_LEGAL_ON=1),GAR_LEGAL,0))</f>
        <v/>
      </c>
      <c r="DM144" s="3">
        <f>MAX(0,MIN(100,SG_GAR*MIN(1,DL144/SG_GAR_FULL)+SG_AMPL*(AC144="sí")+SG_KMC*(AF144="sí")+SG_REV*(N(AE144)&gt;0)+SG_DEV*MIN(1,N(AG144)/SG_DEV_FULL)+SG_HIST*(W144="sí")-IF(AND(R144="particular",DL144=0),SG_PART_PEN,0)))</f>
        <v/>
      </c>
      <c r="DN144" s="3">
        <f>IF(BK144="",NEUTRO,MAX(0,MIN(100,BK144/5*100)))</f>
        <v/>
      </c>
      <c r="DO144" s="3">
        <f>IF(BL144="sí",100,IF(BL144="no",0,NEUTRO))</f>
        <v/>
      </c>
      <c r="DP144" s="3">
        <f>SV_W_NCAP*DN144+SV_W_ESP*DO144</f>
        <v/>
      </c>
      <c r="DQ144" s="3">
        <f>MAX(0,MIN(100,ATR_BASE+ATR_ACAB*(BD144&lt;&gt;"")+IF(BE144="16+",ATR_LL16,IF(BE144="sí",ATR_LL,0))+ATR_FAROS*(BF144="sí")+ATR_TINT*(BG144="sí")-ATR_CHAPA*(BE144="chapa")))</f>
        <v/>
      </c>
      <c r="DR144" s="3">
        <f>EST_W_MOD*(BB144-1)/4*100+EST_W_ATR*DQ144</f>
        <v/>
      </c>
      <c r="DS144" s="3">
        <f>IF(BA144="",NEUTRO,IFERROR(VLOOKUP(BA144,COLOR_TBL,2,0)+0,NEUTRO))</f>
        <v/>
      </c>
      <c r="DT144" s="3">
        <f>MAX(0,MIN(100,100*N(BM144)/RV_N_FULL))</f>
        <v/>
      </c>
      <c r="DU144" s="3">
        <f>IF(OR(BN144="",N(BO144)&lt;RV_DIAS_MIN),NEUTRO,MAX(0,MIN(100,100*(RV_DIAS_CERO-BN144)/(RV_DIAS_CERO-RV_DIAS_FULL))))</f>
        <v/>
      </c>
      <c r="DV144" s="3">
        <f>RV_W_LIQ*DT144+RV_W_DIAS*DU144+RV_W_ETQ*DC144</f>
        <v/>
      </c>
      <c r="DW144" s="3">
        <f>IFERROR(VLOOKUP(L144,CARR_PEN_TBL,2,0),0)</f>
        <v/>
      </c>
      <c r="DX144" s="3">
        <f>W_FIAB*CS144+W_PRECIO*CU144+W_KMEDAD*CY144+W_ESTADO*DB144+W_USO*DK144+W_SEGURIDAD*DM144+W_SEGVIAL*DP144+W_ESTETICA*DR144+W_COLOR*DS144+W_REVENTA*DV144-DW144-EG144</f>
        <v/>
      </c>
      <c r="DY144" s="4">
        <f>IF(N(I144)&gt;0,I144,IFERROR(ROUND(_xlfn.NUMBERVALUE(LEFT(G144,FIND(" ",G144&amp;" ")-1),".")*1000,0),99999))</f>
        <v/>
      </c>
      <c r="DZ144" s="3">
        <f>IF(R144="profesional",0,IF(O144&lt;CUOTA_VALOR_MAX,IF(BW144&gt;ITP_TRAMO_ALTO,SUMIFS(CF_CUOTA,CF_MAS,ITP_TRAMO_ALTO,CF_CCMIN,"&lt;="&amp;DY144,CF_CCMAX,"&gt;="&amp;DY144),IF(BW144&gt;ITP_TRAMO_BAJO,SUMIFS(CF_CUOTA,CF_MAS,ITP_TRAMO_BAJO,CF_CCMIN,"&lt;="&amp;DY144,CF_CCMAX,"&gt;="&amp;DY144),O144*ITP_TIPO)),O144*ITP_TIPO))</f>
        <v/>
      </c>
      <c r="EA144" s="4">
        <f>IF(R144="profesional",N(AK144),0)</f>
        <v/>
      </c>
      <c r="EB144" s="3">
        <f>IF(AND(R144="profesional",ISNUMBER(AK144),AL144="sí"),0,TASA_DGT)</f>
        <v/>
      </c>
      <c r="EC144" s="3">
        <f>INFORME_DGT</f>
        <v/>
      </c>
      <c r="ED144" s="4">
        <f>O144+EA144+DZ144+EB144+EC144</f>
        <v/>
      </c>
      <c r="EE144" s="4">
        <f>ED144+N(DF144)</f>
        <v/>
      </c>
      <c r="EF144" s="3">
        <f>MAX(0,ED144-TOTAL_MAX)</f>
        <v/>
      </c>
      <c r="EG144" s="3">
        <f>EF144/100*PEN_100</f>
        <v/>
      </c>
      <c r="EH144" s="3">
        <f>IF(R144="particular",ED144+IF(AND(DA144&lt;&gt;"cadena",X144&lt;&gt;"sí"),RES_CORREA,0)+IF(AND(BJ144&lt;&gt;"sí",BW144&gt;=RES_NEUM_EDAD),RES_NEUM,0),"")</f>
        <v/>
      </c>
      <c r="EI144" s="3">
        <f>IF(ED144&lt;=TOTAL_MAX,"sí",IF(ED144&lt;=TECHO,"negociar","no"))</f>
        <v/>
      </c>
      <c r="EJ144" s="4">
        <f>ROUND(DX144,9)</f>
        <v/>
      </c>
      <c r="EK144" s="4">
        <f>IF(EI144&lt;&gt;"no",SUMPRODUCT(($EI$2:$EI$209&lt;&gt;"no")*($EJ$2:$EJ$209&gt;EJ144))+SUMPRODUCT(($EI$2:EI144&lt;&gt;"no")*($EJ$2:EJ144=EJ144)),"")</f>
        <v/>
      </c>
    </row>
    <row r="145">
      <c r="A145" s="2" t="inlineStr">
        <is>
          <t>cochesnet:61732430</t>
        </is>
      </c>
      <c r="B145" s="2" t="inlineStr">
        <is>
          <t>cochesnet</t>
        </is>
      </c>
      <c r="C145" s="2" t="inlineStr">
        <is>
          <t>https://www.coches.net/opel-meriva-enjoy-1.4-xep-5p-gasolina-2005-en-castellon-61732430-covo.aspx</t>
        </is>
      </c>
      <c r="D145" s="2" t="inlineStr">
        <is>
          <t>OPEL Meriva Enjoy 1.4 XEP</t>
        </is>
      </c>
      <c r="E145" s="2" t="inlineStr">
        <is>
          <t>Opel</t>
        </is>
      </c>
      <c r="F145" s="2" t="inlineStr">
        <is>
          <t>Opel Meriva</t>
        </is>
      </c>
      <c r="G145" s="2" t="inlineStr">
        <is>
          <t>1.4</t>
        </is>
      </c>
      <c r="H145" s="2" t="inlineStr">
        <is>
          <t>Enjoy 1.4 XEP</t>
        </is>
      </c>
      <c r="I145" s="2" t="n"/>
      <c r="J145" s="2" t="n"/>
      <c r="K145" s="2" t="inlineStr">
        <is>
          <t>gasolina</t>
        </is>
      </c>
      <c r="L145" s="2" t="inlineStr">
        <is>
          <t>monovolumen_pequeno</t>
        </is>
      </c>
      <c r="M145" s="2" t="n">
        <v>2005</v>
      </c>
      <c r="N145" s="2" t="n">
        <v>140000</v>
      </c>
      <c r="O145" s="2" t="n">
        <v>4290</v>
      </c>
      <c r="P145" s="2" t="inlineStr">
        <is>
          <t>manual</t>
        </is>
      </c>
      <c r="Q145" s="2" t="inlineStr">
        <is>
          <t>no</t>
        </is>
      </c>
      <c r="R145" s="2" t="inlineStr">
        <is>
          <t>profesional</t>
        </is>
      </c>
      <c r="S145" s="2" t="inlineStr">
        <is>
          <t>Car Point Castellon Castellón de la Plana / Castelló de la Plana</t>
        </is>
      </c>
      <c r="T145" s="2" t="inlineStr">
        <is>
          <t>2026-10-05T19:25:35Z</t>
        </is>
      </c>
      <c r="U145" s="2" t="n">
        <v>11</v>
      </c>
      <c r="V145" s="2" t="n"/>
      <c r="W145" s="2" t="n"/>
      <c r="X145" s="2" t="n"/>
      <c r="Y145" s="2" t="n"/>
      <c r="Z145" s="2" t="inlineStr">
        <is>
          <t>sí</t>
        </is>
      </c>
      <c r="AA145" s="2" t="inlineStr">
        <is>
          <t>sí</t>
        </is>
      </c>
      <c r="AB145" s="2" t="n">
        <v>12</v>
      </c>
      <c r="AC145" s="2" t="n"/>
      <c r="AD145" s="2" t="n"/>
      <c r="AE145" s="2" t="n"/>
      <c r="AF145" s="2" t="inlineStr">
        <is>
          <t>sí</t>
        </is>
      </c>
      <c r="AG145" s="2" t="n"/>
      <c r="AH145" s="2" t="n">
        <v>4290</v>
      </c>
      <c r="AI145" s="2" t="n">
        <v>4290</v>
      </c>
      <c r="AJ145" s="2" t="n"/>
      <c r="AK145" s="2" t="n"/>
      <c r="AL145" s="2" t="n"/>
      <c r="AM145" s="2" t="n"/>
      <c r="AN145" s="2" t="n"/>
      <c r="AO145" s="2" t="inlineStr">
        <is>
          <t>2005</t>
        </is>
      </c>
      <c r="AP145" s="2" t="n">
        <v>2005</v>
      </c>
      <c r="AQ145" s="2" t="n"/>
      <c r="AR145" s="2" t="inlineStr">
        <is>
          <t>B</t>
        </is>
      </c>
      <c r="AS145" s="2" t="inlineStr">
        <is>
          <t>anuncio</t>
        </is>
      </c>
      <c r="AT145" s="2" t="n"/>
      <c r="AU145" s="2" t="inlineStr">
        <is>
          <t>no</t>
        </is>
      </c>
      <c r="AV145" s="2" t="inlineStr">
        <is>
          <t>B</t>
        </is>
      </c>
      <c r="AW145" s="2" t="n"/>
      <c r="AX145" s="2" t="inlineStr">
        <is>
          <t>no</t>
        </is>
      </c>
      <c r="AY145" s="2" t="inlineStr">
        <is>
          <t>no</t>
        </is>
      </c>
      <c r="AZ145" s="2" t="inlineStr">
        <is>
          <t>COMMON.COLOR_GREEN</t>
        </is>
      </c>
      <c r="BA145" s="2" t="inlineStr">
        <is>
          <t>verde</t>
        </is>
      </c>
      <c r="BB145" s="3" t="n">
        <v>2</v>
      </c>
      <c r="BC145" s="3" t="inlineStr">
        <is>
          <t>(por segmento)</t>
        </is>
      </c>
      <c r="BD145" s="2" t="n"/>
      <c r="BE145" s="2" t="n"/>
      <c r="BF145" s="2" t="n"/>
      <c r="BG145" s="2" t="n"/>
      <c r="BH145" s="2" t="n"/>
      <c r="BI145" s="2" t="n"/>
      <c r="BJ145" s="2" t="n"/>
      <c r="BK145" s="2" t="n">
        <v>4</v>
      </c>
      <c r="BL145" s="2" t="n"/>
      <c r="BM145" s="2" t="n">
        <v>33</v>
      </c>
      <c r="BN145" s="2" t="n"/>
      <c r="BO145" s="2" t="n">
        <v>0</v>
      </c>
      <c r="BP145" s="2" t="n">
        <v>2500</v>
      </c>
      <c r="BQ145" s="2" t="n">
        <v>5</v>
      </c>
      <c r="BR145" s="2" t="inlineStr">
        <is>
          <t>modelo+año+km</t>
        </is>
      </c>
      <c r="BS145" s="2" t="n"/>
      <c r="BT145" s="2" t="inlineStr">
        <is>
          <t>vendedor profesional: sin ITP (operación con IVA/REBU, confirmar en factura); gastos de gestión del vendedor no indicados: se suma la tasa DGT; preguntar el precio final; carrocería monovolumen_pequeno: -6 puntos; revisar: no menciona la ITV; distancia no verificable (el anuncio solo indica la provincia): confirmar que está a &lt;= 70 km; fiabilidad del modelo PENDIENTE de fuente (puntuación neutra)</t>
        </is>
      </c>
      <c r="BU145" s="2" t="inlineStr">
        <is>
          <t>Opel Meriva 1.4 Gasolina
Solo 140.000 kms
Impecable estado
CAR POINT - Vehiculos de ocasión
* Financiacion a medida del cliente, con o sin entrada
* Recibimos tu coche como parte de pago
* Vehiculos garantizados, con opcion a 5 años de garantia
* Kilometraje certificado
* Te lo entregamos a domicilio si no puedes venir a visitarnos
Estamos en Castellon de la Plana, a 1 minuto del Acceso Sur de la AP7
C. Suiza 41 - Poligono Sur - 12006 - Castellon de la Plana
+ de 20 años de experiencia en el rubro garantizan CONFIANZA - TRANSPARENCIA - SERIEDAD
**El anuncio puede contener errores involuntarios</t>
        </is>
      </c>
      <c r="BV145" s="2" t="inlineStr">
        <is>
          <t>https://www.coches.net/opel-meriva-enjoy-1.4-xep-5p-gasolina-2005-en-castellon-61732430-covo.aspx (window.__INITIAL_PROPS__.ad) /home/user/Alopecia/buscador-coches/raw/cochesnet/ae9b804b3c7ea1ad.json</t>
        </is>
      </c>
      <c r="BW145" s="3">
        <f>MAX(ANIO_ACTUAL-M145,0)</f>
        <v/>
      </c>
      <c r="BX145" s="4">
        <f>N145/MAX(BW145,0.5)</f>
        <v/>
      </c>
      <c r="BY145" s="4">
        <f>F145</f>
        <v/>
      </c>
      <c r="BZ145" s="3">
        <f>BY145&amp;"|"&amp;INT(M145/SEG_ANIO)*SEG_ANIO</f>
        <v/>
      </c>
      <c r="CA145" s="3">
        <f>BZ145&amp;"|"&amp;INT(N145/SEG_KM)*SEG_KM</f>
        <v/>
      </c>
      <c r="CB145" s="4">
        <f>COUNTIF($BY$2:$BY$209,BY145)</f>
        <v/>
      </c>
      <c r="CC145" s="4">
        <f>COUNTIF($BZ$2:$BZ$209,BZ145)</f>
        <v/>
      </c>
      <c r="CD145" s="4">
        <f>COUNTIF($CA$2:$CA$209,CA145)</f>
        <v/>
      </c>
      <c r="CE145" s="3">
        <f t="array" ref="CE145">IF(N(BQ145)&gt;=MIN_N,BP145,IF(CD145&gt;=MIN_N,MEDIAN(IF($CA$2:$CA$209=CA145,$O$2:$O$209)),IF(CC145&gt;=MIN_N,MEDIAN(IF($BZ$2:$BZ$209=BZ145,$O$2:$O$209)),MEDIAN(IF($BY$2:$BY$209=BY145,$O$2:$O$209)))))</f>
        <v/>
      </c>
      <c r="CF145" s="3">
        <f>IF(N(BQ145)&gt;=MIN_N,"mercado "&amp;BR145,IF(CD145&gt;=MIN_N,"modelo+año+km",IF(CC145&gt;=MIN_N,"modelo+año","modelo")))</f>
        <v/>
      </c>
      <c r="CG145" s="4">
        <f>(CE145-O145)/CE145</f>
        <v/>
      </c>
      <c r="CH145" s="3">
        <f>IF(COUNTIFS(FR_FUEL,K145,FR_YEAR,AP145)&gt;0,1,0)</f>
        <v/>
      </c>
      <c r="CI145" s="3">
        <f>IF(COUNTIFS(FR_FUEL,K145,FR_YEAR,AP145-1)&gt;0,1,0)</f>
        <v/>
      </c>
      <c r="CJ145" s="4">
        <f>IF(N(AQ145)&gt;0,AP145*100+AQ145,IF(AND(CH145=1,CI145=1),(AP145-1)*100+1,AP145*100+1))</f>
        <v/>
      </c>
      <c r="CK145" s="3">
        <f>IF(OR(K145="hibrido",K145="glp",K145="gnc",K145="phev"),"ECO",IF(K145="electrico","CERO",IF(K145="gasolina",IF(CJ145&gt;=GAS_C_YM,"C",IF(CJ145&gt;=GAS_B_YM,"B","A")),IF(K145="diesel",IF(CJ145&gt;=DIE_C_YM,"C",IF(CJ145&gt;=DIE_B_YM,"B","A")),""))))</f>
        <v/>
      </c>
      <c r="CL145" s="2" t="inlineStr">
        <is>
          <t>B</t>
        </is>
      </c>
      <c r="CM145" s="4">
        <f>IF(AU145="sí","sí",IF(AS145="regla",IF(AND(N(AQ145)=0,CH145=1),"sí","no"),"no"))</f>
        <v/>
      </c>
      <c r="CN145" s="3">
        <f>IFERROR(VLOOKUP(F145,MOD_TBL,16,0),IFERROR(VLOOKUP(E145,OCU_TBL,2,0),NEUTRO))</f>
        <v/>
      </c>
      <c r="CO145" s="3">
        <f>SUMIFS(MOT_AJUSTE,MOT_MOTOR,G145,MOT_MARCA,E145,MOT_DESDE,"&lt;="&amp;M145,MOT_HASTA,"&gt;="&amp;M145)+SUMIFS(MOT_AJUSTE,MOT_MOTOR,G145,MOT_MARCA,"(todas)",MOT_DESDE,"&lt;="&amp;M145,MOT_HASTA,"&gt;="&amp;M145)+SUMIFS(MOT_AJUSTE,MOT_MOTOR,"(cualquiera)",MOT_MARCA,E145,MOT_DESDE,"&lt;="&amp;M145,MOT_HASTA,"&gt;="&amp;M145)</f>
        <v/>
      </c>
      <c r="CP145" s="3">
        <f>SUMIFS(COMB_AJUSTE,COMB_COMB,K145)</f>
        <v/>
      </c>
      <c r="CQ145" s="3">
        <f>COUNTIFS(MOT_MOTOR,G145,MOT_MARCA,E145,MOT_DESDE,"&lt;="&amp;M145,MOT_HASTA,"&gt;="&amp;M145)+COUNTIFS(MOT_MOTOR,G145,MOT_MARCA,"(todas)",MOT_DESDE,"&lt;="&amp;M145,MOT_HASTA,"&gt;="&amp;M145)+COUNTIFS(MOT_MOTOR,"(cualquiera)",MOT_MARCA,E145,MOT_DESDE,"&lt;="&amp;M145,MOT_HASTA,"&gt;="&amp;M145)</f>
        <v/>
      </c>
      <c r="CR145" s="3">
        <f>IF(AND(K145="diesel",CQ145=0),MIN(CN145,NEUTRO),CN145)</f>
        <v/>
      </c>
      <c r="CS145" s="3">
        <f>MAX(0,MIN(100,CR145+CO145+CP145-IF(AX145="sí",ROB_PEN,0)))</f>
        <v/>
      </c>
      <c r="CT145" s="3">
        <f>100-MAX(0,N145-KM_TOPE_DESDE)/1000*KM_TOPE_PTS</f>
        <v/>
      </c>
      <c r="CU145" s="3">
        <f>MAX(0,MIN(100,50+CG145*PRECIO_PEND,CT145))</f>
        <v/>
      </c>
      <c r="CV145" s="3">
        <f>MAX(0,100*(1-N145/KM_MAX))</f>
        <v/>
      </c>
      <c r="CW145" s="3">
        <f>IF(BX145&lt;KMA_SOSP,IF(AA145="sí",100,KMA_PEN),IF(BX145&lt;=KMA_IDEAL_MAX,100,MAX(0,100*(KMA_CERO-BX145)/(KMA_CERO-KMA_IDEAL_MAX))))</f>
        <v/>
      </c>
      <c r="CX145" s="3">
        <f>MAX(0,MIN(100,100*(M145-ANIO_MIN)/(ANIO_ACTUAL-ANIO_MIN)))</f>
        <v/>
      </c>
      <c r="CY145" s="3">
        <f>W_KMT*CV145+W_KMA*CW145+W_EDAD*CX145</f>
        <v/>
      </c>
      <c r="CZ145" s="4">
        <f>E145&amp;"|"&amp;G145</f>
        <v/>
      </c>
      <c r="DA145" s="3">
        <f>IFERROR(VLOOKUP(CZ145,DIST_TBL,2,0),"")</f>
        <v/>
      </c>
      <c r="DB145" s="3">
        <f>E_ITV*(V145="sí")+E_LIBRO*(W145="sí")+E_PROP*IF(Y145=1,1,IF(Y145=2,0.5,0))+E_CORREA*IF(OR(DA145="cadena",AND(X145="sí",BH145="sí")),1,IF(X145="sí",0.5,0))+E_FACT*(BI145="sí")</f>
        <v/>
      </c>
      <c r="DC145" s="3">
        <f>MAX(0,MIN(100,IFERROR(VLOOKUP(CL145,ETQ_TBL,2,0),0)-IF(CM145="sí",ETQ_PEN_DUD,IF(AS145="regla",ETQ_PEN_REGLA,0))))</f>
        <v/>
      </c>
      <c r="DD145" s="3">
        <f>IF(K145&lt;&gt;"gasolina","",IFERROR(VLOOKUP(F145,CONS_MOD_TBL,2,0),IFERROR(VLOOKUP(L145,CONS_SEG_TBL,2,0),"")))</f>
        <v/>
      </c>
      <c r="DE145" s="3">
        <f>IF(DD145="",NEUTRO,MAX(0,MIN(100,100*(CONS_REF_MAX-DD145)/(CONS_REF_MAX-CONS_REF_MIN))))</f>
        <v/>
      </c>
      <c r="DF145" s="3">
        <f>IFERROR(VLOOKUP(L145,SEGURO_TBL,3,0),"")</f>
        <v/>
      </c>
      <c r="DG145" s="3">
        <f>IF(DF145="",NEUTRO,MAX(0,MIN(100,100*(SEG_REF_MAX-DF145)/(SEG_REF_MAX-SEG_REF_MIN))))</f>
        <v/>
      </c>
      <c r="DH145" s="3">
        <f>IFERROR(VLOOKUP(E145,MANT_MARCA_TBL,2,0)+0,NEUTRO)</f>
        <v/>
      </c>
      <c r="DI145" s="3">
        <f>IF(DA145="",NEUTRO,IFERROR(VLOOKUP(DA145,DIST_PTS_TBL,2,0)+0,NEUTRO))</f>
        <v/>
      </c>
      <c r="DJ145" s="4">
        <f>(DH145+DI145)/2</f>
        <v/>
      </c>
      <c r="DK145" s="3">
        <f>W_CONS*DE145+W_SEG*DG145+W_MANT*DJ145</f>
        <v/>
      </c>
      <c r="DL145" s="3">
        <f>IF(N(AB145)&gt;0,AB145,IF(AND(R145="profesional",SG_LEGAL_ON=1),GAR_LEGAL,0))</f>
        <v/>
      </c>
      <c r="DM145" s="3">
        <f>MAX(0,MIN(100,SG_GAR*MIN(1,DL145/SG_GAR_FULL)+SG_AMPL*(AC145="sí")+SG_KMC*(AF145="sí")+SG_REV*(N(AE145)&gt;0)+SG_DEV*MIN(1,N(AG145)/SG_DEV_FULL)+SG_HIST*(W145="sí")-IF(AND(R145="particular",DL145=0),SG_PART_PEN,0)))</f>
        <v/>
      </c>
      <c r="DN145" s="3">
        <f>IF(BK145="",NEUTRO,MAX(0,MIN(100,BK145/5*100)))</f>
        <v/>
      </c>
      <c r="DO145" s="3">
        <f>IF(BL145="sí",100,IF(BL145="no",0,NEUTRO))</f>
        <v/>
      </c>
      <c r="DP145" s="3">
        <f>SV_W_NCAP*DN145+SV_W_ESP*DO145</f>
        <v/>
      </c>
      <c r="DQ145" s="3">
        <f>MAX(0,MIN(100,ATR_BASE+ATR_ACAB*(BD145&lt;&gt;"")+IF(BE145="16+",ATR_LL16,IF(BE145="sí",ATR_LL,0))+ATR_FAROS*(BF145="sí")+ATR_TINT*(BG145="sí")-ATR_CHAPA*(BE145="chapa")))</f>
        <v/>
      </c>
      <c r="DR145" s="3">
        <f>EST_W_MOD*(BB145-1)/4*100+EST_W_ATR*DQ145</f>
        <v/>
      </c>
      <c r="DS145" s="3">
        <f>IF(BA145="",NEUTRO,IFERROR(VLOOKUP(BA145,COLOR_TBL,2,0)+0,NEUTRO))</f>
        <v/>
      </c>
      <c r="DT145" s="3">
        <f>MAX(0,MIN(100,100*N(BM145)/RV_N_FULL))</f>
        <v/>
      </c>
      <c r="DU145" s="3">
        <f>IF(OR(BN145="",N(BO145)&lt;RV_DIAS_MIN),NEUTRO,MAX(0,MIN(100,100*(RV_DIAS_CERO-BN145)/(RV_DIAS_CERO-RV_DIAS_FULL))))</f>
        <v/>
      </c>
      <c r="DV145" s="3">
        <f>RV_W_LIQ*DT145+RV_W_DIAS*DU145+RV_W_ETQ*DC145</f>
        <v/>
      </c>
      <c r="DW145" s="3">
        <f>IFERROR(VLOOKUP(L145,CARR_PEN_TBL,2,0),0)</f>
        <v/>
      </c>
      <c r="DX145" s="3">
        <f>W_FIAB*CS145+W_PRECIO*CU145+W_KMEDAD*CY145+W_ESTADO*DB145+W_USO*DK145+W_SEGURIDAD*DM145+W_SEGVIAL*DP145+W_ESTETICA*DR145+W_COLOR*DS145+W_REVENTA*DV145-DW145-EG145</f>
        <v/>
      </c>
      <c r="DY145" s="4">
        <f>IF(N(I145)&gt;0,I145,IFERROR(ROUND(_xlfn.NUMBERVALUE(LEFT(G145,FIND(" ",G145&amp;" ")-1),".")*1000,0),99999))</f>
        <v/>
      </c>
      <c r="DZ145" s="3">
        <f>IF(R145="profesional",0,IF(O145&lt;CUOTA_VALOR_MAX,IF(BW145&gt;ITP_TRAMO_ALTO,SUMIFS(CF_CUOTA,CF_MAS,ITP_TRAMO_ALTO,CF_CCMIN,"&lt;="&amp;DY145,CF_CCMAX,"&gt;="&amp;DY145),IF(BW145&gt;ITP_TRAMO_BAJO,SUMIFS(CF_CUOTA,CF_MAS,ITP_TRAMO_BAJO,CF_CCMIN,"&lt;="&amp;DY145,CF_CCMAX,"&gt;="&amp;DY145),O145*ITP_TIPO)),O145*ITP_TIPO))</f>
        <v/>
      </c>
      <c r="EA145" s="4">
        <f>IF(R145="profesional",N(AK145),0)</f>
        <v/>
      </c>
      <c r="EB145" s="3">
        <f>IF(AND(R145="profesional",ISNUMBER(AK145),AL145="sí"),0,TASA_DGT)</f>
        <v/>
      </c>
      <c r="EC145" s="3">
        <f>INFORME_DGT</f>
        <v/>
      </c>
      <c r="ED145" s="4">
        <f>O145+EA145+DZ145+EB145+EC145</f>
        <v/>
      </c>
      <c r="EE145" s="4">
        <f>ED145+N(DF145)</f>
        <v/>
      </c>
      <c r="EF145" s="3">
        <f>MAX(0,ED145-TOTAL_MAX)</f>
        <v/>
      </c>
      <c r="EG145" s="3">
        <f>EF145/100*PEN_100</f>
        <v/>
      </c>
      <c r="EH145" s="3">
        <f>IF(R145="particular",ED145+IF(AND(DA145&lt;&gt;"cadena",X145&lt;&gt;"sí"),RES_CORREA,0)+IF(AND(BJ145&lt;&gt;"sí",BW145&gt;=RES_NEUM_EDAD),RES_NEUM,0),"")</f>
        <v/>
      </c>
      <c r="EI145" s="3">
        <f>IF(ED145&lt;=TOTAL_MAX,"sí",IF(ED145&lt;=TECHO,"negociar","no"))</f>
        <v/>
      </c>
      <c r="EJ145" s="4">
        <f>ROUND(DX145,9)</f>
        <v/>
      </c>
      <c r="EK145" s="4">
        <f>IF(EI145&lt;&gt;"no",SUMPRODUCT(($EI$2:$EI$209&lt;&gt;"no")*($EJ$2:$EJ$209&gt;EJ145))+SUMPRODUCT(($EI$2:EI145&lt;&gt;"no")*($EJ$2:EJ145=EJ145)),"")</f>
        <v/>
      </c>
    </row>
    <row r="146">
      <c r="A146" s="2" t="inlineStr">
        <is>
          <t>cochesnet:71585987</t>
        </is>
      </c>
      <c r="B146" s="2" t="inlineStr">
        <is>
          <t>cochesnet</t>
        </is>
      </c>
      <c r="C146" s="2" t="inlineStr">
        <is>
          <t>https://www.coches.net/citroen-c3-14i-exclusive-5p-gasolina-2005-en-castellon-71585987-covo.aspx</t>
        </is>
      </c>
      <c r="D146" s="2" t="inlineStr">
        <is>
          <t>CITROEN C3 1.4i Exclusive</t>
        </is>
      </c>
      <c r="E146" s="2" t="inlineStr">
        <is>
          <t>Citroën</t>
        </is>
      </c>
      <c r="F146" s="2" t="inlineStr">
        <is>
          <t>Citroën C3</t>
        </is>
      </c>
      <c r="G146" s="2" t="inlineStr">
        <is>
          <t>1.4</t>
        </is>
      </c>
      <c r="H146" s="2" t="n"/>
      <c r="I146" s="2" t="n"/>
      <c r="J146" s="2" t="n"/>
      <c r="K146" s="2" t="inlineStr">
        <is>
          <t>gasolina</t>
        </is>
      </c>
      <c r="L146" s="2" t="inlineStr">
        <is>
          <t>utilitario</t>
        </is>
      </c>
      <c r="M146" s="2" t="n">
        <v>2005</v>
      </c>
      <c r="N146" s="2" t="n">
        <v>169000</v>
      </c>
      <c r="O146" s="2" t="n">
        <v>3300</v>
      </c>
      <c r="P146" s="2" t="n"/>
      <c r="Q146" s="2" t="n"/>
      <c r="R146" s="2" t="inlineStr">
        <is>
          <t>profesional</t>
        </is>
      </c>
      <c r="S146" s="2" t="inlineStr">
        <is>
          <t>Benicarló</t>
        </is>
      </c>
      <c r="T146" s="2" t="inlineStr">
        <is>
          <t>2026-09-24T08:13:47Z</t>
        </is>
      </c>
      <c r="U146" s="2" t="n">
        <v>14</v>
      </c>
      <c r="V146" s="2" t="n"/>
      <c r="W146" s="2" t="n"/>
      <c r="X146" s="2" t="n"/>
      <c r="Y146" s="2" t="n"/>
      <c r="Z146" s="2" t="inlineStr">
        <is>
          <t>sí</t>
        </is>
      </c>
      <c r="AA146" s="2" t="n"/>
      <c r="AB146" s="2" t="n">
        <v>12</v>
      </c>
      <c r="AC146" s="2" t="n"/>
      <c r="AD146" s="2" t="n"/>
      <c r="AE146" s="2" t="n"/>
      <c r="AF146" s="2" t="n"/>
      <c r="AG146" s="2" t="n"/>
      <c r="AH146" s="2" t="n">
        <v>3300</v>
      </c>
      <c r="AI146" s="2" t="n"/>
      <c r="AJ146" s="2" t="n"/>
      <c r="AK146" s="2" t="n"/>
      <c r="AL146" s="2" t="n"/>
      <c r="AM146" s="2" t="n"/>
      <c r="AN146" s="2" t="n"/>
      <c r="AO146" s="2" t="inlineStr">
        <is>
          <t>2005</t>
        </is>
      </c>
      <c r="AP146" s="2" t="n">
        <v>2005</v>
      </c>
      <c r="AQ146" s="2" t="n"/>
      <c r="AR146" s="2" t="inlineStr">
        <is>
          <t>B</t>
        </is>
      </c>
      <c r="AS146" s="2" t="inlineStr">
        <is>
          <t>anuncio</t>
        </is>
      </c>
      <c r="AT146" s="2" t="n"/>
      <c r="AU146" s="2" t="inlineStr">
        <is>
          <t>no</t>
        </is>
      </c>
      <c r="AV146" s="2" t="inlineStr">
        <is>
          <t>B</t>
        </is>
      </c>
      <c r="AW146" s="2" t="n"/>
      <c r="AX146" s="2" t="inlineStr">
        <is>
          <t>no</t>
        </is>
      </c>
      <c r="AY146" s="2" t="inlineStr">
        <is>
          <t>no</t>
        </is>
      </c>
      <c r="AZ146" s="2" t="n"/>
      <c r="BA146" s="2" t="n"/>
      <c r="BB146" s="3" t="n">
        <v>2</v>
      </c>
      <c r="BC146" s="3" t="inlineStr">
        <is>
          <t>(por segmento)</t>
        </is>
      </c>
      <c r="BD146" s="2" t="inlineStr">
        <is>
          <t>exclusive</t>
        </is>
      </c>
      <c r="BE146" s="2" t="n"/>
      <c r="BF146" s="2" t="n"/>
      <c r="BG146" s="2" t="n"/>
      <c r="BH146" s="2" t="n"/>
      <c r="BI146" s="2" t="n"/>
      <c r="BJ146" s="2" t="n"/>
      <c r="BK146" s="2" t="n">
        <v>4</v>
      </c>
      <c r="BL146" s="2" t="inlineStr">
        <is>
          <t>no</t>
        </is>
      </c>
      <c r="BM146" s="2" t="n">
        <v>405</v>
      </c>
      <c r="BN146" s="2" t="n">
        <v>0</v>
      </c>
      <c r="BO146" s="2" t="n">
        <v>3</v>
      </c>
      <c r="BP146" s="2" t="n">
        <v>2500</v>
      </c>
      <c r="BQ146" s="2" t="n">
        <v>15</v>
      </c>
      <c r="BR146" s="2" t="inlineStr">
        <is>
          <t>modelo+año+km</t>
        </is>
      </c>
      <c r="BS146" s="2" t="n"/>
      <c r="BT146" s="2" t="inlineStr">
        <is>
          <t>vendedor profesional: sin ITP (operación con IVA/REBU, confirmar en factura); gastos de gestión del vendedor no indicados: se suma la tasa DGT; preguntar el precio final; revisar: no menciona la ITV; distancia no verificable (el anuncio solo indica la provincia): confirmar que está a &lt;= 70 km</t>
        </is>
      </c>
      <c r="BU146" s="2" t="inlineStr"/>
      <c r="BV146" s="2" t="inlineStr">
        <is>
          <t>https://www.coches.net/citroen/segunda-mano/castellon/?pg=4 /home/user/Alopecia/buscador-coches/raw/cochesnet/7c960809c15af364.json</t>
        </is>
      </c>
      <c r="BW146" s="3">
        <f>MAX(ANIO_ACTUAL-M146,0)</f>
        <v/>
      </c>
      <c r="BX146" s="4">
        <f>N146/MAX(BW146,0.5)</f>
        <v/>
      </c>
      <c r="BY146" s="4">
        <f>F146</f>
        <v/>
      </c>
      <c r="BZ146" s="3">
        <f>BY146&amp;"|"&amp;INT(M146/SEG_ANIO)*SEG_ANIO</f>
        <v/>
      </c>
      <c r="CA146" s="3">
        <f>BZ146&amp;"|"&amp;INT(N146/SEG_KM)*SEG_KM</f>
        <v/>
      </c>
      <c r="CB146" s="4">
        <f>COUNTIF($BY$2:$BY$209,BY146)</f>
        <v/>
      </c>
      <c r="CC146" s="4">
        <f>COUNTIF($BZ$2:$BZ$209,BZ146)</f>
        <v/>
      </c>
      <c r="CD146" s="4">
        <f>COUNTIF($CA$2:$CA$209,CA146)</f>
        <v/>
      </c>
      <c r="CE146" s="3">
        <f t="array" ref="CE146">IF(N(BQ146)&gt;=MIN_N,BP146,IF(CD146&gt;=MIN_N,MEDIAN(IF($CA$2:$CA$209=CA146,$O$2:$O$209)),IF(CC146&gt;=MIN_N,MEDIAN(IF($BZ$2:$BZ$209=BZ146,$O$2:$O$209)),MEDIAN(IF($BY$2:$BY$209=BY146,$O$2:$O$209)))))</f>
        <v/>
      </c>
      <c r="CF146" s="3">
        <f>IF(N(BQ146)&gt;=MIN_N,"mercado "&amp;BR146,IF(CD146&gt;=MIN_N,"modelo+año+km",IF(CC146&gt;=MIN_N,"modelo+año","modelo")))</f>
        <v/>
      </c>
      <c r="CG146" s="4">
        <f>(CE146-O146)/CE146</f>
        <v/>
      </c>
      <c r="CH146" s="3">
        <f>IF(COUNTIFS(FR_FUEL,K146,FR_YEAR,AP146)&gt;0,1,0)</f>
        <v/>
      </c>
      <c r="CI146" s="3">
        <f>IF(COUNTIFS(FR_FUEL,K146,FR_YEAR,AP146-1)&gt;0,1,0)</f>
        <v/>
      </c>
      <c r="CJ146" s="4">
        <f>IF(N(AQ146)&gt;0,AP146*100+AQ146,IF(AND(CH146=1,CI146=1),(AP146-1)*100+1,AP146*100+1))</f>
        <v/>
      </c>
      <c r="CK146" s="3">
        <f>IF(OR(K146="hibrido",K146="glp",K146="gnc",K146="phev"),"ECO",IF(K146="electrico","CERO",IF(K146="gasolina",IF(CJ146&gt;=GAS_C_YM,"C",IF(CJ146&gt;=GAS_B_YM,"B","A")),IF(K146="diesel",IF(CJ146&gt;=DIE_C_YM,"C",IF(CJ146&gt;=DIE_B_YM,"B","A")),""))))</f>
        <v/>
      </c>
      <c r="CL146" s="2" t="inlineStr">
        <is>
          <t>B</t>
        </is>
      </c>
      <c r="CM146" s="4">
        <f>IF(AU146="sí","sí",IF(AS146="regla",IF(AND(N(AQ146)=0,CH146=1),"sí","no"),"no"))</f>
        <v/>
      </c>
      <c r="CN146" s="3">
        <f>IFERROR(VLOOKUP(F146,MOD_TBL,16,0),IFERROR(VLOOKUP(E146,OCU_TBL,2,0),NEUTRO))</f>
        <v/>
      </c>
      <c r="CO146" s="3">
        <f>SUMIFS(MOT_AJUSTE,MOT_MOTOR,G146,MOT_MARCA,E146,MOT_DESDE,"&lt;="&amp;M146,MOT_HASTA,"&gt;="&amp;M146)+SUMIFS(MOT_AJUSTE,MOT_MOTOR,G146,MOT_MARCA,"(todas)",MOT_DESDE,"&lt;="&amp;M146,MOT_HASTA,"&gt;="&amp;M146)+SUMIFS(MOT_AJUSTE,MOT_MOTOR,"(cualquiera)",MOT_MARCA,E146,MOT_DESDE,"&lt;="&amp;M146,MOT_HASTA,"&gt;="&amp;M146)</f>
        <v/>
      </c>
      <c r="CP146" s="3">
        <f>SUMIFS(COMB_AJUSTE,COMB_COMB,K146)</f>
        <v/>
      </c>
      <c r="CQ146" s="3">
        <f>COUNTIFS(MOT_MOTOR,G146,MOT_MARCA,E146,MOT_DESDE,"&lt;="&amp;M146,MOT_HASTA,"&gt;="&amp;M146)+COUNTIFS(MOT_MOTOR,G146,MOT_MARCA,"(todas)",MOT_DESDE,"&lt;="&amp;M146,MOT_HASTA,"&gt;="&amp;M146)+COUNTIFS(MOT_MOTOR,"(cualquiera)",MOT_MARCA,E146,MOT_DESDE,"&lt;="&amp;M146,MOT_HASTA,"&gt;="&amp;M146)</f>
        <v/>
      </c>
      <c r="CR146" s="3">
        <f>IF(AND(K146="diesel",CQ146=0),MIN(CN146,NEUTRO),CN146)</f>
        <v/>
      </c>
      <c r="CS146" s="3">
        <f>MAX(0,MIN(100,CR146+CO146+CP146-IF(AX146="sí",ROB_PEN,0)))</f>
        <v/>
      </c>
      <c r="CT146" s="3">
        <f>100-MAX(0,N146-KM_TOPE_DESDE)/1000*KM_TOPE_PTS</f>
        <v/>
      </c>
      <c r="CU146" s="3">
        <f>MAX(0,MIN(100,50+CG146*PRECIO_PEND,CT146))</f>
        <v/>
      </c>
      <c r="CV146" s="3">
        <f>MAX(0,100*(1-N146/KM_MAX))</f>
        <v/>
      </c>
      <c r="CW146" s="3">
        <f>IF(BX146&lt;KMA_SOSP,IF(AA146="sí",100,KMA_PEN),IF(BX146&lt;=KMA_IDEAL_MAX,100,MAX(0,100*(KMA_CERO-BX146)/(KMA_CERO-KMA_IDEAL_MAX))))</f>
        <v/>
      </c>
      <c r="CX146" s="3">
        <f>MAX(0,MIN(100,100*(M146-ANIO_MIN)/(ANIO_ACTUAL-ANIO_MIN)))</f>
        <v/>
      </c>
      <c r="CY146" s="3">
        <f>W_KMT*CV146+W_KMA*CW146+W_EDAD*CX146</f>
        <v/>
      </c>
      <c r="CZ146" s="4">
        <f>E146&amp;"|"&amp;G146</f>
        <v/>
      </c>
      <c r="DA146" s="3">
        <f>IFERROR(VLOOKUP(CZ146,DIST_TBL,2,0),"")</f>
        <v/>
      </c>
      <c r="DB146" s="3">
        <f>E_ITV*(V146="sí")+E_LIBRO*(W146="sí")+E_PROP*IF(Y146=1,1,IF(Y146=2,0.5,0))+E_CORREA*IF(OR(DA146="cadena",AND(X146="sí",BH146="sí")),1,IF(X146="sí",0.5,0))+E_FACT*(BI146="sí")</f>
        <v/>
      </c>
      <c r="DC146" s="3">
        <f>MAX(0,MIN(100,IFERROR(VLOOKUP(CL146,ETQ_TBL,2,0),0)-IF(CM146="sí",ETQ_PEN_DUD,IF(AS146="regla",ETQ_PEN_REGLA,0))))</f>
        <v/>
      </c>
      <c r="DD146" s="3">
        <f>IF(K146&lt;&gt;"gasolina","",IFERROR(VLOOKUP(F146,CONS_MOD_TBL,2,0),IFERROR(VLOOKUP(L146,CONS_SEG_TBL,2,0),"")))</f>
        <v/>
      </c>
      <c r="DE146" s="3">
        <f>IF(DD146="",NEUTRO,MAX(0,MIN(100,100*(CONS_REF_MAX-DD146)/(CONS_REF_MAX-CONS_REF_MIN))))</f>
        <v/>
      </c>
      <c r="DF146" s="3">
        <f>IFERROR(VLOOKUP(L146,SEGURO_TBL,3,0),"")</f>
        <v/>
      </c>
      <c r="DG146" s="3">
        <f>IF(DF146="",NEUTRO,MAX(0,MIN(100,100*(SEG_REF_MAX-DF146)/(SEG_REF_MAX-SEG_REF_MIN))))</f>
        <v/>
      </c>
      <c r="DH146" s="3">
        <f>IFERROR(VLOOKUP(E146,MANT_MARCA_TBL,2,0)+0,NEUTRO)</f>
        <v/>
      </c>
      <c r="DI146" s="3">
        <f>IF(DA146="",NEUTRO,IFERROR(VLOOKUP(DA146,DIST_PTS_TBL,2,0)+0,NEUTRO))</f>
        <v/>
      </c>
      <c r="DJ146" s="4">
        <f>(DH146+DI146)/2</f>
        <v/>
      </c>
      <c r="DK146" s="3">
        <f>W_CONS*DE146+W_SEG*DG146+W_MANT*DJ146</f>
        <v/>
      </c>
      <c r="DL146" s="3">
        <f>IF(N(AB146)&gt;0,AB146,IF(AND(R146="profesional",SG_LEGAL_ON=1),GAR_LEGAL,0))</f>
        <v/>
      </c>
      <c r="DM146" s="3">
        <f>MAX(0,MIN(100,SG_GAR*MIN(1,DL146/SG_GAR_FULL)+SG_AMPL*(AC146="sí")+SG_KMC*(AF146="sí")+SG_REV*(N(AE146)&gt;0)+SG_DEV*MIN(1,N(AG146)/SG_DEV_FULL)+SG_HIST*(W146="sí")-IF(AND(R146="particular",DL146=0),SG_PART_PEN,0)))</f>
        <v/>
      </c>
      <c r="DN146" s="3">
        <f>IF(BK146="",NEUTRO,MAX(0,MIN(100,BK146/5*100)))</f>
        <v/>
      </c>
      <c r="DO146" s="3">
        <f>IF(BL146="sí",100,IF(BL146="no",0,NEUTRO))</f>
        <v/>
      </c>
      <c r="DP146" s="3">
        <f>SV_W_NCAP*DN146+SV_W_ESP*DO146</f>
        <v/>
      </c>
      <c r="DQ146" s="3">
        <f>MAX(0,MIN(100,ATR_BASE+ATR_ACAB*(BD146&lt;&gt;"")+IF(BE146="16+",ATR_LL16,IF(BE146="sí",ATR_LL,0))+ATR_FAROS*(BF146="sí")+ATR_TINT*(BG146="sí")-ATR_CHAPA*(BE146="chapa")))</f>
        <v/>
      </c>
      <c r="DR146" s="3">
        <f>EST_W_MOD*(BB146-1)/4*100+EST_W_ATR*DQ146</f>
        <v/>
      </c>
      <c r="DS146" s="3">
        <f>IF(BA146="",NEUTRO,IFERROR(VLOOKUP(BA146,COLOR_TBL,2,0)+0,NEUTRO))</f>
        <v/>
      </c>
      <c r="DT146" s="3">
        <f>MAX(0,MIN(100,100*N(BM146)/RV_N_FULL))</f>
        <v/>
      </c>
      <c r="DU146" s="3">
        <f>IF(OR(BN146="",N(BO146)&lt;RV_DIAS_MIN),NEUTRO,MAX(0,MIN(100,100*(RV_DIAS_CERO-BN146)/(RV_DIAS_CERO-RV_DIAS_FULL))))</f>
        <v/>
      </c>
      <c r="DV146" s="3">
        <f>RV_W_LIQ*DT146+RV_W_DIAS*DU146+RV_W_ETQ*DC146</f>
        <v/>
      </c>
      <c r="DW146" s="3">
        <f>IFERROR(VLOOKUP(L146,CARR_PEN_TBL,2,0),0)</f>
        <v/>
      </c>
      <c r="DX146" s="3">
        <f>W_FIAB*CS146+W_PRECIO*CU146+W_KMEDAD*CY146+W_ESTADO*DB146+W_USO*DK146+W_SEGURIDAD*DM146+W_SEGVIAL*DP146+W_ESTETICA*DR146+W_COLOR*DS146+W_REVENTA*DV146-DW146-EG146</f>
        <v/>
      </c>
      <c r="DY146" s="4">
        <f>IF(N(I146)&gt;0,I146,IFERROR(ROUND(_xlfn.NUMBERVALUE(LEFT(G146,FIND(" ",G146&amp;" ")-1),".")*1000,0),99999))</f>
        <v/>
      </c>
      <c r="DZ146" s="3">
        <f>IF(R146="profesional",0,IF(O146&lt;CUOTA_VALOR_MAX,IF(BW146&gt;ITP_TRAMO_ALTO,SUMIFS(CF_CUOTA,CF_MAS,ITP_TRAMO_ALTO,CF_CCMIN,"&lt;="&amp;DY146,CF_CCMAX,"&gt;="&amp;DY146),IF(BW146&gt;ITP_TRAMO_BAJO,SUMIFS(CF_CUOTA,CF_MAS,ITP_TRAMO_BAJO,CF_CCMIN,"&lt;="&amp;DY146,CF_CCMAX,"&gt;="&amp;DY146),O146*ITP_TIPO)),O146*ITP_TIPO))</f>
        <v/>
      </c>
      <c r="EA146" s="4">
        <f>IF(R146="profesional",N(AK146),0)</f>
        <v/>
      </c>
      <c r="EB146" s="3">
        <f>IF(AND(R146="profesional",ISNUMBER(AK146),AL146="sí"),0,TASA_DGT)</f>
        <v/>
      </c>
      <c r="EC146" s="3">
        <f>INFORME_DGT</f>
        <v/>
      </c>
      <c r="ED146" s="4">
        <f>O146+EA146+DZ146+EB146+EC146</f>
        <v/>
      </c>
      <c r="EE146" s="4">
        <f>ED146+N(DF146)</f>
        <v/>
      </c>
      <c r="EF146" s="3">
        <f>MAX(0,ED146-TOTAL_MAX)</f>
        <v/>
      </c>
      <c r="EG146" s="3">
        <f>EF146/100*PEN_100</f>
        <v/>
      </c>
      <c r="EH146" s="3">
        <f>IF(R146="particular",ED146+IF(AND(DA146&lt;&gt;"cadena",X146&lt;&gt;"sí"),RES_CORREA,0)+IF(AND(BJ146&lt;&gt;"sí",BW146&gt;=RES_NEUM_EDAD),RES_NEUM,0),"")</f>
        <v/>
      </c>
      <c r="EI146" s="3">
        <f>IF(ED146&lt;=TOTAL_MAX,"sí",IF(ED146&lt;=TECHO,"negociar","no"))</f>
        <v/>
      </c>
      <c r="EJ146" s="4">
        <f>ROUND(DX146,9)</f>
        <v/>
      </c>
      <c r="EK146" s="4">
        <f>IF(EI146&lt;&gt;"no",SUMPRODUCT(($EI$2:$EI$209&lt;&gt;"no")*($EJ$2:$EJ$209&gt;EJ146))+SUMPRODUCT(($EI$2:EI146&lt;&gt;"no")*($EJ$2:EJ146=EJ146)),"")</f>
        <v/>
      </c>
    </row>
    <row r="147">
      <c r="A147" s="2" t="inlineStr">
        <is>
          <t>cochesnet:71579420</t>
        </is>
      </c>
      <c r="B147" s="2" t="inlineStr">
        <is>
          <t>cochesnet</t>
        </is>
      </c>
      <c r="C147" s="2" t="inlineStr">
        <is>
          <t>https://www.coches.net/ford-focus-16-ghia-5p-gasolina-2003-en-castellon-71579420-covo.aspx</t>
        </is>
      </c>
      <c r="D147" s="2" t="inlineStr">
        <is>
          <t>FORD Focus 1.6 Ghia</t>
        </is>
      </c>
      <c r="E147" s="2" t="inlineStr">
        <is>
          <t>Ford</t>
        </is>
      </c>
      <c r="F147" s="2" t="inlineStr">
        <is>
          <t>Ford Focus</t>
        </is>
      </c>
      <c r="G147" s="2" t="inlineStr">
        <is>
          <t>1.6</t>
        </is>
      </c>
      <c r="H147" s="2" t="inlineStr">
        <is>
          <t>1.6 Ghia</t>
        </is>
      </c>
      <c r="I147" s="2" t="n"/>
      <c r="J147" s="2" t="n"/>
      <c r="K147" s="2" t="inlineStr">
        <is>
          <t>gasolina</t>
        </is>
      </c>
      <c r="L147" s="2" t="inlineStr">
        <is>
          <t>compacto</t>
        </is>
      </c>
      <c r="M147" s="2" t="n">
        <v>2003</v>
      </c>
      <c r="N147" s="2" t="n">
        <v>173000</v>
      </c>
      <c r="O147" s="2" t="n">
        <v>3300</v>
      </c>
      <c r="P147" s="2" t="inlineStr">
        <is>
          <t>manual</t>
        </is>
      </c>
      <c r="Q147" s="2" t="inlineStr">
        <is>
          <t>no</t>
        </is>
      </c>
      <c r="R147" s="2" t="inlineStr">
        <is>
          <t>profesional</t>
        </is>
      </c>
      <c r="S147" s="2" t="inlineStr">
        <is>
          <t>Automoviles Gual Castellón de la Plana / Castelló de la Plana</t>
        </is>
      </c>
      <c r="T147" s="2" t="inlineStr">
        <is>
          <t>2026-09-23T11:52:24Z</t>
        </is>
      </c>
      <c r="U147" s="2" t="n">
        <v>10</v>
      </c>
      <c r="V147" s="2" t="n"/>
      <c r="W147" s="2" t="n"/>
      <c r="X147" s="2" t="n"/>
      <c r="Y147" s="2" t="n"/>
      <c r="Z147" s="2" t="inlineStr">
        <is>
          <t>sí</t>
        </is>
      </c>
      <c r="AA147" s="2" t="n"/>
      <c r="AB147" s="2" t="n">
        <v>12</v>
      </c>
      <c r="AC147" s="2" t="n"/>
      <c r="AD147" s="2" t="n"/>
      <c r="AE147" s="2" t="n"/>
      <c r="AF147" s="2" t="n"/>
      <c r="AG147" s="2" t="n"/>
      <c r="AH147" s="2" t="n">
        <v>3300</v>
      </c>
      <c r="AI147" s="2" t="n"/>
      <c r="AJ147" s="2" t="n"/>
      <c r="AK147" s="2" t="n"/>
      <c r="AL147" s="2" t="n"/>
      <c r="AM147" s="2" t="n"/>
      <c r="AN147" s="2" t="n"/>
      <c r="AO147" s="2" t="inlineStr">
        <is>
          <t>2003</t>
        </is>
      </c>
      <c r="AP147" s="2" t="n">
        <v>2003</v>
      </c>
      <c r="AQ147" s="2" t="n"/>
      <c r="AR147" s="2" t="inlineStr">
        <is>
          <t>B</t>
        </is>
      </c>
      <c r="AS147" s="2" t="inlineStr">
        <is>
          <t>anuncio</t>
        </is>
      </c>
      <c r="AT147" s="2" t="n"/>
      <c r="AU147" s="2" t="inlineStr">
        <is>
          <t>no</t>
        </is>
      </c>
      <c r="AV147" s="2" t="inlineStr">
        <is>
          <t>B</t>
        </is>
      </c>
      <c r="AW147" s="2" t="n"/>
      <c r="AX147" s="2" t="inlineStr">
        <is>
          <t>no</t>
        </is>
      </c>
      <c r="AY147" s="2" t="inlineStr">
        <is>
          <t>no</t>
        </is>
      </c>
      <c r="AZ147" s="2" t="inlineStr">
        <is>
          <t>COMMON.COLOR_BLUE</t>
        </is>
      </c>
      <c r="BA147" s="2" t="inlineStr">
        <is>
          <t>azul</t>
        </is>
      </c>
      <c r="BB147" s="3" t="n">
        <v>3</v>
      </c>
      <c r="BC147" s="3" t="inlineStr">
        <is>
          <t>(por segmento)</t>
        </is>
      </c>
      <c r="BD147" s="2" t="n"/>
      <c r="BE147" s="2" t="n"/>
      <c r="BF147" s="2" t="n"/>
      <c r="BG147" s="2" t="n"/>
      <c r="BH147" s="2" t="n"/>
      <c r="BI147" s="2" t="n"/>
      <c r="BJ147" s="2" t="n"/>
      <c r="BK147" s="2" t="n"/>
      <c r="BL147" s="2" t="n"/>
      <c r="BM147" s="2" t="n">
        <v>421</v>
      </c>
      <c r="BN147" s="2" t="n">
        <v>0.05126157402992249</v>
      </c>
      <c r="BO147" s="2" t="n">
        <v>7</v>
      </c>
      <c r="BP147" s="2" t="n">
        <v>2600</v>
      </c>
      <c r="BQ147" s="2" t="n">
        <v>4</v>
      </c>
      <c r="BR147" s="2" t="inlineStr">
        <is>
          <t>modelo+año+km</t>
        </is>
      </c>
      <c r="BS147" s="2" t="n"/>
      <c r="BT147" s="2" t="inlineStr">
        <is>
          <t>vendedor profesional: sin ITP (operación con IVA/REBU, confirmar en factura); gastos de gestión del vendedor no indicados: se suma la tasa DGT; preguntar el precio final; Euro NCAP de la generación PENDIENTE (seguridad neutra); revisar: no menciona la ITV; distancia no verificable (el anuncio solo indica la provincia): confirmar que está a &lt;= 70 km</t>
        </is>
      </c>
      <c r="BU147" s="2" t="inlineStr">
        <is>
          <t xml:space="preserve">Vehículo con aire acondicionado ,dirección asistida , elevalunas eléctricos ,cierre centralizado , airbag de conductor.
 </t>
        </is>
      </c>
      <c r="BV147" s="2" t="inlineStr">
        <is>
          <t>https://www.coches.net/ford-focus-16-ghia-5p-gasolina-2003-en-castellon-71579420-covo.aspx (window.__INITIAL_PROPS__.ad) /home/user/Alopecia/buscador-coches/raw/cochesnet/9ba333c70dd1dab4.json</t>
        </is>
      </c>
      <c r="BW147" s="3">
        <f>MAX(ANIO_ACTUAL-M147,0)</f>
        <v/>
      </c>
      <c r="BX147" s="4">
        <f>N147/MAX(BW147,0.5)</f>
        <v/>
      </c>
      <c r="BY147" s="4">
        <f>F147</f>
        <v/>
      </c>
      <c r="BZ147" s="3">
        <f>BY147&amp;"|"&amp;INT(M147/SEG_ANIO)*SEG_ANIO</f>
        <v/>
      </c>
      <c r="CA147" s="3">
        <f>BZ147&amp;"|"&amp;INT(N147/SEG_KM)*SEG_KM</f>
        <v/>
      </c>
      <c r="CB147" s="4">
        <f>COUNTIF($BY$2:$BY$209,BY147)</f>
        <v/>
      </c>
      <c r="CC147" s="4">
        <f>COUNTIF($BZ$2:$BZ$209,BZ147)</f>
        <v/>
      </c>
      <c r="CD147" s="4">
        <f>COUNTIF($CA$2:$CA$209,CA147)</f>
        <v/>
      </c>
      <c r="CE147" s="3">
        <f t="array" ref="CE147">IF(N(BQ147)&gt;=MIN_N,BP147,IF(CD147&gt;=MIN_N,MEDIAN(IF($CA$2:$CA$209=CA147,$O$2:$O$209)),IF(CC147&gt;=MIN_N,MEDIAN(IF($BZ$2:$BZ$209=BZ147,$O$2:$O$209)),MEDIAN(IF($BY$2:$BY$209=BY147,$O$2:$O$209)))))</f>
        <v/>
      </c>
      <c r="CF147" s="3">
        <f>IF(N(BQ147)&gt;=MIN_N,"mercado "&amp;BR147,IF(CD147&gt;=MIN_N,"modelo+año+km",IF(CC147&gt;=MIN_N,"modelo+año","modelo")))</f>
        <v/>
      </c>
      <c r="CG147" s="4">
        <f>(CE147-O147)/CE147</f>
        <v/>
      </c>
      <c r="CH147" s="3">
        <f>IF(COUNTIFS(FR_FUEL,K147,FR_YEAR,AP147)&gt;0,1,0)</f>
        <v/>
      </c>
      <c r="CI147" s="3">
        <f>IF(COUNTIFS(FR_FUEL,K147,FR_YEAR,AP147-1)&gt;0,1,0)</f>
        <v/>
      </c>
      <c r="CJ147" s="4">
        <f>IF(N(AQ147)&gt;0,AP147*100+AQ147,IF(AND(CH147=1,CI147=1),(AP147-1)*100+1,AP147*100+1))</f>
        <v/>
      </c>
      <c r="CK147" s="3">
        <f>IF(OR(K147="hibrido",K147="glp",K147="gnc",K147="phev"),"ECO",IF(K147="electrico","CERO",IF(K147="gasolina",IF(CJ147&gt;=GAS_C_YM,"C",IF(CJ147&gt;=GAS_B_YM,"B","A")),IF(K147="diesel",IF(CJ147&gt;=DIE_C_YM,"C",IF(CJ147&gt;=DIE_B_YM,"B","A")),""))))</f>
        <v/>
      </c>
      <c r="CL147" s="2" t="inlineStr">
        <is>
          <t>B</t>
        </is>
      </c>
      <c r="CM147" s="4">
        <f>IF(AU147="sí","sí",IF(AS147="regla",IF(AND(N(AQ147)=0,CH147=1),"sí","no"),"no"))</f>
        <v/>
      </c>
      <c r="CN147" s="3">
        <f>IFERROR(VLOOKUP(F147,MOD_TBL,16,0),IFERROR(VLOOKUP(E147,OCU_TBL,2,0),NEUTRO))</f>
        <v/>
      </c>
      <c r="CO147" s="3">
        <f>SUMIFS(MOT_AJUSTE,MOT_MOTOR,G147,MOT_MARCA,E147,MOT_DESDE,"&lt;="&amp;M147,MOT_HASTA,"&gt;="&amp;M147)+SUMIFS(MOT_AJUSTE,MOT_MOTOR,G147,MOT_MARCA,"(todas)",MOT_DESDE,"&lt;="&amp;M147,MOT_HASTA,"&gt;="&amp;M147)+SUMIFS(MOT_AJUSTE,MOT_MOTOR,"(cualquiera)",MOT_MARCA,E147,MOT_DESDE,"&lt;="&amp;M147,MOT_HASTA,"&gt;="&amp;M147)</f>
        <v/>
      </c>
      <c r="CP147" s="3">
        <f>SUMIFS(COMB_AJUSTE,COMB_COMB,K147)</f>
        <v/>
      </c>
      <c r="CQ147" s="3">
        <f>COUNTIFS(MOT_MOTOR,G147,MOT_MARCA,E147,MOT_DESDE,"&lt;="&amp;M147,MOT_HASTA,"&gt;="&amp;M147)+COUNTIFS(MOT_MOTOR,G147,MOT_MARCA,"(todas)",MOT_DESDE,"&lt;="&amp;M147,MOT_HASTA,"&gt;="&amp;M147)+COUNTIFS(MOT_MOTOR,"(cualquiera)",MOT_MARCA,E147,MOT_DESDE,"&lt;="&amp;M147,MOT_HASTA,"&gt;="&amp;M147)</f>
        <v/>
      </c>
      <c r="CR147" s="3">
        <f>IF(AND(K147="diesel",CQ147=0),MIN(CN147,NEUTRO),CN147)</f>
        <v/>
      </c>
      <c r="CS147" s="3">
        <f>MAX(0,MIN(100,CR147+CO147+CP147-IF(AX147="sí",ROB_PEN,0)))</f>
        <v/>
      </c>
      <c r="CT147" s="3">
        <f>100-MAX(0,N147-KM_TOPE_DESDE)/1000*KM_TOPE_PTS</f>
        <v/>
      </c>
      <c r="CU147" s="3">
        <f>MAX(0,MIN(100,50+CG147*PRECIO_PEND,CT147))</f>
        <v/>
      </c>
      <c r="CV147" s="3">
        <f>MAX(0,100*(1-N147/KM_MAX))</f>
        <v/>
      </c>
      <c r="CW147" s="3">
        <f>IF(BX147&lt;KMA_SOSP,IF(AA147="sí",100,KMA_PEN),IF(BX147&lt;=KMA_IDEAL_MAX,100,MAX(0,100*(KMA_CERO-BX147)/(KMA_CERO-KMA_IDEAL_MAX))))</f>
        <v/>
      </c>
      <c r="CX147" s="3">
        <f>MAX(0,MIN(100,100*(M147-ANIO_MIN)/(ANIO_ACTUAL-ANIO_MIN)))</f>
        <v/>
      </c>
      <c r="CY147" s="3">
        <f>W_KMT*CV147+W_KMA*CW147+W_EDAD*CX147</f>
        <v/>
      </c>
      <c r="CZ147" s="4">
        <f>E147&amp;"|"&amp;G147</f>
        <v/>
      </c>
      <c r="DA147" s="3">
        <f>IFERROR(VLOOKUP(CZ147,DIST_TBL,2,0),"")</f>
        <v/>
      </c>
      <c r="DB147" s="3">
        <f>E_ITV*(V147="sí")+E_LIBRO*(W147="sí")+E_PROP*IF(Y147=1,1,IF(Y147=2,0.5,0))+E_CORREA*IF(OR(DA147="cadena",AND(X147="sí",BH147="sí")),1,IF(X147="sí",0.5,0))+E_FACT*(BI147="sí")</f>
        <v/>
      </c>
      <c r="DC147" s="3">
        <f>MAX(0,MIN(100,IFERROR(VLOOKUP(CL147,ETQ_TBL,2,0),0)-IF(CM147="sí",ETQ_PEN_DUD,IF(AS147="regla",ETQ_PEN_REGLA,0))))</f>
        <v/>
      </c>
      <c r="DD147" s="3">
        <f>IF(K147&lt;&gt;"gasolina","",IFERROR(VLOOKUP(F147,CONS_MOD_TBL,2,0),IFERROR(VLOOKUP(L147,CONS_SEG_TBL,2,0),"")))</f>
        <v/>
      </c>
      <c r="DE147" s="3">
        <f>IF(DD147="",NEUTRO,MAX(0,MIN(100,100*(CONS_REF_MAX-DD147)/(CONS_REF_MAX-CONS_REF_MIN))))</f>
        <v/>
      </c>
      <c r="DF147" s="3">
        <f>IFERROR(VLOOKUP(L147,SEGURO_TBL,3,0),"")</f>
        <v/>
      </c>
      <c r="DG147" s="3">
        <f>IF(DF147="",NEUTRO,MAX(0,MIN(100,100*(SEG_REF_MAX-DF147)/(SEG_REF_MAX-SEG_REF_MIN))))</f>
        <v/>
      </c>
      <c r="DH147" s="3">
        <f>IFERROR(VLOOKUP(E147,MANT_MARCA_TBL,2,0)+0,NEUTRO)</f>
        <v/>
      </c>
      <c r="DI147" s="3">
        <f>IF(DA147="",NEUTRO,IFERROR(VLOOKUP(DA147,DIST_PTS_TBL,2,0)+0,NEUTRO))</f>
        <v/>
      </c>
      <c r="DJ147" s="4">
        <f>(DH147+DI147)/2</f>
        <v/>
      </c>
      <c r="DK147" s="3">
        <f>W_CONS*DE147+W_SEG*DG147+W_MANT*DJ147</f>
        <v/>
      </c>
      <c r="DL147" s="3">
        <f>IF(N(AB147)&gt;0,AB147,IF(AND(R147="profesional",SG_LEGAL_ON=1),GAR_LEGAL,0))</f>
        <v/>
      </c>
      <c r="DM147" s="3">
        <f>MAX(0,MIN(100,SG_GAR*MIN(1,DL147/SG_GAR_FULL)+SG_AMPL*(AC147="sí")+SG_KMC*(AF147="sí")+SG_REV*(N(AE147)&gt;0)+SG_DEV*MIN(1,N(AG147)/SG_DEV_FULL)+SG_HIST*(W147="sí")-IF(AND(R147="particular",DL147=0),SG_PART_PEN,0)))</f>
        <v/>
      </c>
      <c r="DN147" s="3">
        <f>IF(BK147="",NEUTRO,MAX(0,MIN(100,BK147/5*100)))</f>
        <v/>
      </c>
      <c r="DO147" s="3">
        <f>IF(BL147="sí",100,IF(BL147="no",0,NEUTRO))</f>
        <v/>
      </c>
      <c r="DP147" s="3">
        <f>SV_W_NCAP*DN147+SV_W_ESP*DO147</f>
        <v/>
      </c>
      <c r="DQ147" s="3">
        <f>MAX(0,MIN(100,ATR_BASE+ATR_ACAB*(BD147&lt;&gt;"")+IF(BE147="16+",ATR_LL16,IF(BE147="sí",ATR_LL,0))+ATR_FAROS*(BF147="sí")+ATR_TINT*(BG147="sí")-ATR_CHAPA*(BE147="chapa")))</f>
        <v/>
      </c>
      <c r="DR147" s="3">
        <f>EST_W_MOD*(BB147-1)/4*100+EST_W_ATR*DQ147</f>
        <v/>
      </c>
      <c r="DS147" s="3">
        <f>IF(BA147="",NEUTRO,IFERROR(VLOOKUP(BA147,COLOR_TBL,2,0)+0,NEUTRO))</f>
        <v/>
      </c>
      <c r="DT147" s="3">
        <f>MAX(0,MIN(100,100*N(BM147)/RV_N_FULL))</f>
        <v/>
      </c>
      <c r="DU147" s="3">
        <f>IF(OR(BN147="",N(BO147)&lt;RV_DIAS_MIN),NEUTRO,MAX(0,MIN(100,100*(RV_DIAS_CERO-BN147)/(RV_DIAS_CERO-RV_DIAS_FULL))))</f>
        <v/>
      </c>
      <c r="DV147" s="3">
        <f>RV_W_LIQ*DT147+RV_W_DIAS*DU147+RV_W_ETQ*DC147</f>
        <v/>
      </c>
      <c r="DW147" s="3">
        <f>IFERROR(VLOOKUP(L147,CARR_PEN_TBL,2,0),0)</f>
        <v/>
      </c>
      <c r="DX147" s="3">
        <f>W_FIAB*CS147+W_PRECIO*CU147+W_KMEDAD*CY147+W_ESTADO*DB147+W_USO*DK147+W_SEGURIDAD*DM147+W_SEGVIAL*DP147+W_ESTETICA*DR147+W_COLOR*DS147+W_REVENTA*DV147-DW147-EG147</f>
        <v/>
      </c>
      <c r="DY147" s="4">
        <f>IF(N(I147)&gt;0,I147,IFERROR(ROUND(_xlfn.NUMBERVALUE(LEFT(G147,FIND(" ",G147&amp;" ")-1),".")*1000,0),99999))</f>
        <v/>
      </c>
      <c r="DZ147" s="3">
        <f>IF(R147="profesional",0,IF(O147&lt;CUOTA_VALOR_MAX,IF(BW147&gt;ITP_TRAMO_ALTO,SUMIFS(CF_CUOTA,CF_MAS,ITP_TRAMO_ALTO,CF_CCMIN,"&lt;="&amp;DY147,CF_CCMAX,"&gt;="&amp;DY147),IF(BW147&gt;ITP_TRAMO_BAJO,SUMIFS(CF_CUOTA,CF_MAS,ITP_TRAMO_BAJO,CF_CCMIN,"&lt;="&amp;DY147,CF_CCMAX,"&gt;="&amp;DY147),O147*ITP_TIPO)),O147*ITP_TIPO))</f>
        <v/>
      </c>
      <c r="EA147" s="4">
        <f>IF(R147="profesional",N(AK147),0)</f>
        <v/>
      </c>
      <c r="EB147" s="3">
        <f>IF(AND(R147="profesional",ISNUMBER(AK147),AL147="sí"),0,TASA_DGT)</f>
        <v/>
      </c>
      <c r="EC147" s="3">
        <f>INFORME_DGT</f>
        <v/>
      </c>
      <c r="ED147" s="4">
        <f>O147+EA147+DZ147+EB147+EC147</f>
        <v/>
      </c>
      <c r="EE147" s="4">
        <f>ED147+N(DF147)</f>
        <v/>
      </c>
      <c r="EF147" s="3">
        <f>MAX(0,ED147-TOTAL_MAX)</f>
        <v/>
      </c>
      <c r="EG147" s="3">
        <f>EF147/100*PEN_100</f>
        <v/>
      </c>
      <c r="EH147" s="3">
        <f>IF(R147="particular",ED147+IF(AND(DA147&lt;&gt;"cadena",X147&lt;&gt;"sí"),RES_CORREA,0)+IF(AND(BJ147&lt;&gt;"sí",BW147&gt;=RES_NEUM_EDAD),RES_NEUM,0),"")</f>
        <v/>
      </c>
      <c r="EI147" s="3">
        <f>IF(ED147&lt;=TOTAL_MAX,"sí",IF(ED147&lt;=TECHO,"negociar","no"))</f>
        <v/>
      </c>
      <c r="EJ147" s="4">
        <f>ROUND(DX147,9)</f>
        <v/>
      </c>
      <c r="EK147" s="4">
        <f>IF(EI147&lt;&gt;"no",SUMPRODUCT(($EI$2:$EI$209&lt;&gt;"no")*($EJ$2:$EJ$209&gt;EJ147))+SUMPRODUCT(($EI$2:EI147&lt;&gt;"no")*($EJ$2:EJ147=EJ147)),"")</f>
        <v/>
      </c>
    </row>
    <row r="148">
      <c r="A148" s="2" t="inlineStr">
        <is>
          <t>wallapop:1316422909</t>
        </is>
      </c>
      <c r="B148" s="2" t="inlineStr">
        <is>
          <t>wallapop</t>
        </is>
      </c>
      <c r="C148" s="2" t="inlineStr">
        <is>
          <t>https://es.wallapop.com/item/renault-megane-2005-1316422909</t>
        </is>
      </c>
      <c r="D148" s="2" t="inlineStr">
        <is>
          <t>Renault Megane solo 108.000km</t>
        </is>
      </c>
      <c r="E148" s="2" t="inlineStr">
        <is>
          <t>Renault</t>
        </is>
      </c>
      <c r="F148" s="2" t="inlineStr">
        <is>
          <t>Renault Mégane</t>
        </is>
      </c>
      <c r="G148" s="2" t="inlineStr">
        <is>
          <t>1.4</t>
        </is>
      </c>
      <c r="H148" s="2" t="inlineStr">
        <is>
          <t>1.4 98 Confort Dynamique 5p</t>
        </is>
      </c>
      <c r="I148" s="2" t="n"/>
      <c r="J148" s="2" t="n">
        <v>98</v>
      </c>
      <c r="K148" s="2" t="inlineStr">
        <is>
          <t>gasolina</t>
        </is>
      </c>
      <c r="L148" s="2" t="inlineStr">
        <is>
          <t>compacto</t>
        </is>
      </c>
      <c r="M148" s="2" t="n">
        <v>2005</v>
      </c>
      <c r="N148" s="2" t="n">
        <v>108000</v>
      </c>
      <c r="O148" s="2" t="n">
        <v>3490</v>
      </c>
      <c r="P148" s="2" t="inlineStr">
        <is>
          <t>manual</t>
        </is>
      </c>
      <c r="Q148" s="2" t="inlineStr">
        <is>
          <t>no</t>
        </is>
      </c>
      <c r="R148" s="2" t="inlineStr">
        <is>
          <t>profesional</t>
        </is>
      </c>
      <c r="S148" s="2" t="inlineStr">
        <is>
          <t>Valencia (46026)</t>
        </is>
      </c>
      <c r="T148" s="2" t="inlineStr">
        <is>
          <t>2026-10-30T22:08:22</t>
        </is>
      </c>
      <c r="U148" s="2" t="n">
        <v>15</v>
      </c>
      <c r="V148" s="2" t="n"/>
      <c r="W148" s="2" t="n"/>
      <c r="X148" s="2" t="n"/>
      <c r="Y148" s="2" t="n"/>
      <c r="Z148" s="2" t="n"/>
      <c r="AA148" s="2" t="n"/>
      <c r="AB148" s="2" t="n"/>
      <c r="AC148" s="2" t="n"/>
      <c r="AD148" s="2" t="n"/>
      <c r="AE148" s="2" t="n"/>
      <c r="AF148" s="2" t="n"/>
      <c r="AG148" s="2" t="n"/>
      <c r="AH148" s="2" t="n"/>
      <c r="AI148" s="2" t="n"/>
      <c r="AJ148" s="2" t="n"/>
      <c r="AK148" s="2" t="n"/>
      <c r="AL148" s="2" t="n"/>
      <c r="AM148" s="2" t="n">
        <v>2.4</v>
      </c>
      <c r="AN148" s="2" t="n"/>
      <c r="AO148" s="2" t="n"/>
      <c r="AP148" s="2" t="n">
        <v>2005</v>
      </c>
      <c r="AQ148" s="2" t="n"/>
      <c r="AR148" s="2" t="n"/>
      <c r="AS148" s="2" t="inlineStr">
        <is>
          <t>regla</t>
        </is>
      </c>
      <c r="AT148" s="2" t="n"/>
      <c r="AU148" s="2" t="inlineStr">
        <is>
          <t>no</t>
        </is>
      </c>
      <c r="AV148" s="2" t="inlineStr">
        <is>
          <t>B</t>
        </is>
      </c>
      <c r="AW148" s="2" t="n"/>
      <c r="AX148" s="2" t="inlineStr">
        <is>
          <t>no</t>
        </is>
      </c>
      <c r="AY148" s="2" t="inlineStr">
        <is>
          <t>no</t>
        </is>
      </c>
      <c r="AZ148" s="2" t="n"/>
      <c r="BA148" s="2" t="n"/>
      <c r="BB148" s="3" t="n">
        <v>3</v>
      </c>
      <c r="BC148" s="3" t="inlineStr">
        <is>
          <t>(por segmento)</t>
        </is>
      </c>
      <c r="BD148" s="2" t="n"/>
      <c r="BE148" s="2" t="n"/>
      <c r="BF148" s="2" t="n"/>
      <c r="BG148" s="2" t="n"/>
      <c r="BH148" s="2" t="n"/>
      <c r="BI148" s="2" t="n"/>
      <c r="BJ148" s="2" t="n"/>
      <c r="BK148" s="2" t="n">
        <v>5</v>
      </c>
      <c r="BL148" s="2" t="n"/>
      <c r="BM148" s="2" t="n">
        <v>387</v>
      </c>
      <c r="BN148" s="2" t="n">
        <v>0.07434027781710029</v>
      </c>
      <c r="BO148" s="2" t="n">
        <v>7</v>
      </c>
      <c r="BP148" s="2" t="n">
        <v>3700</v>
      </c>
      <c r="BQ148" s="2" t="n">
        <v>10</v>
      </c>
      <c r="BR148" s="2" t="inlineStr">
        <is>
          <t>modelo+año+km</t>
        </is>
      </c>
      <c r="BS148" s="2" t="n"/>
      <c r="BT148" s="2" t="inlineStr">
        <is>
          <t>vendedor profesional: sin ITP (operación con IVA/REBU, confirmar en factura); gastos de gestión del vendedor no indicados: se suma la tasa DGT; preguntar el precio final; etiqueta B deducida por fecha (sin matrícula ni dato del anuncio)</t>
        </is>
      </c>
      <c r="BU148" s="2" t="inlineStr">
        <is>
          <t>Megane con 108000  ITV vigente 10/27, etiqueta ambiental B, aire acondicionado,  elevalunas electrónicos, faros antinieblas, llantas de fábrica rueda de respuesta sin uso 
WhatsApp 685435844</t>
        </is>
      </c>
      <c r="BV148" s="2" t="inlineStr">
        <is>
          <t>https://es.wallapop.com/item/renault-megane-2005-1316422909 (__NEXT_DATA__ item) /home/user/Alopecia/buscador-coches/raw/wallapop/6c8ef9446c4d90ea.json</t>
        </is>
      </c>
      <c r="BW148" s="3">
        <f>MAX(ANIO_ACTUAL-M148,0)</f>
        <v/>
      </c>
      <c r="BX148" s="4">
        <f>N148/MAX(BW148,0.5)</f>
        <v/>
      </c>
      <c r="BY148" s="4">
        <f>F148</f>
        <v/>
      </c>
      <c r="BZ148" s="3">
        <f>BY148&amp;"|"&amp;INT(M148/SEG_ANIO)*SEG_ANIO</f>
        <v/>
      </c>
      <c r="CA148" s="3">
        <f>BZ148&amp;"|"&amp;INT(N148/SEG_KM)*SEG_KM</f>
        <v/>
      </c>
      <c r="CB148" s="4">
        <f>COUNTIF($BY$2:$BY$209,BY148)</f>
        <v/>
      </c>
      <c r="CC148" s="4">
        <f>COUNTIF($BZ$2:$BZ$209,BZ148)</f>
        <v/>
      </c>
      <c r="CD148" s="4">
        <f>COUNTIF($CA$2:$CA$209,CA148)</f>
        <v/>
      </c>
      <c r="CE148" s="3">
        <f t="array" ref="CE148">IF(N(BQ148)&gt;=MIN_N,BP148,IF(CD148&gt;=MIN_N,MEDIAN(IF($CA$2:$CA$209=CA148,$O$2:$O$209)),IF(CC148&gt;=MIN_N,MEDIAN(IF($BZ$2:$BZ$209=BZ148,$O$2:$O$209)),MEDIAN(IF($BY$2:$BY$209=BY148,$O$2:$O$209)))))</f>
        <v/>
      </c>
      <c r="CF148" s="3">
        <f>IF(N(BQ148)&gt;=MIN_N,"mercado "&amp;BR148,IF(CD148&gt;=MIN_N,"modelo+año+km",IF(CC148&gt;=MIN_N,"modelo+año","modelo")))</f>
        <v/>
      </c>
      <c r="CG148" s="4">
        <f>(CE148-O148)/CE148</f>
        <v/>
      </c>
      <c r="CH148" s="3">
        <f>IF(COUNTIFS(FR_FUEL,K148,FR_YEAR,AP148)&gt;0,1,0)</f>
        <v/>
      </c>
      <c r="CI148" s="3">
        <f>IF(COUNTIFS(FR_FUEL,K148,FR_YEAR,AP148-1)&gt;0,1,0)</f>
        <v/>
      </c>
      <c r="CJ148" s="4">
        <f>IF(N(AQ148)&gt;0,AP148*100+AQ148,IF(AND(CH148=1,CI148=1),(AP148-1)*100+1,AP148*100+1))</f>
        <v/>
      </c>
      <c r="CK148" s="3">
        <f>IF(OR(K148="hibrido",K148="glp",K148="gnc",K148="phev"),"ECO",IF(K148="electrico","CERO",IF(K148="gasolina",IF(CJ148&gt;=GAS_C_YM,"C",IF(CJ148&gt;=GAS_B_YM,"B","A")),IF(K148="diesel",IF(CJ148&gt;=DIE_C_YM,"C",IF(CJ148&gt;=DIE_B_YM,"B","A")),""))))</f>
        <v/>
      </c>
      <c r="CL148" s="4">
        <f>CK148</f>
        <v/>
      </c>
      <c r="CM148" s="4">
        <f>IF(AU148="sí","sí",IF(AS148="regla",IF(AND(N(AQ148)=0,CH148=1),"sí","no"),"no"))</f>
        <v/>
      </c>
      <c r="CN148" s="3">
        <f>IFERROR(VLOOKUP(F148,MOD_TBL,16,0),IFERROR(VLOOKUP(E148,OCU_TBL,2,0),NEUTRO))</f>
        <v/>
      </c>
      <c r="CO148" s="3">
        <f>SUMIFS(MOT_AJUSTE,MOT_MOTOR,G148,MOT_MARCA,E148,MOT_DESDE,"&lt;="&amp;M148,MOT_HASTA,"&gt;="&amp;M148)+SUMIFS(MOT_AJUSTE,MOT_MOTOR,G148,MOT_MARCA,"(todas)",MOT_DESDE,"&lt;="&amp;M148,MOT_HASTA,"&gt;="&amp;M148)+SUMIFS(MOT_AJUSTE,MOT_MOTOR,"(cualquiera)",MOT_MARCA,E148,MOT_DESDE,"&lt;="&amp;M148,MOT_HASTA,"&gt;="&amp;M148)</f>
        <v/>
      </c>
      <c r="CP148" s="3">
        <f>SUMIFS(COMB_AJUSTE,COMB_COMB,K148)</f>
        <v/>
      </c>
      <c r="CQ148" s="3">
        <f>COUNTIFS(MOT_MOTOR,G148,MOT_MARCA,E148,MOT_DESDE,"&lt;="&amp;M148,MOT_HASTA,"&gt;="&amp;M148)+COUNTIFS(MOT_MOTOR,G148,MOT_MARCA,"(todas)",MOT_DESDE,"&lt;="&amp;M148,MOT_HASTA,"&gt;="&amp;M148)+COUNTIFS(MOT_MOTOR,"(cualquiera)",MOT_MARCA,E148,MOT_DESDE,"&lt;="&amp;M148,MOT_HASTA,"&gt;="&amp;M148)</f>
        <v/>
      </c>
      <c r="CR148" s="3">
        <f>IF(AND(K148="diesel",CQ148=0),MIN(CN148,NEUTRO),CN148)</f>
        <v/>
      </c>
      <c r="CS148" s="3">
        <f>MAX(0,MIN(100,CR148+CO148+CP148-IF(AX148="sí",ROB_PEN,0)))</f>
        <v/>
      </c>
      <c r="CT148" s="3">
        <f>100-MAX(0,N148-KM_TOPE_DESDE)/1000*KM_TOPE_PTS</f>
        <v/>
      </c>
      <c r="CU148" s="3">
        <f>MAX(0,MIN(100,50+CG148*PRECIO_PEND,CT148))</f>
        <v/>
      </c>
      <c r="CV148" s="3">
        <f>MAX(0,100*(1-N148/KM_MAX))</f>
        <v/>
      </c>
      <c r="CW148" s="3">
        <f>IF(BX148&lt;KMA_SOSP,IF(AA148="sí",100,KMA_PEN),IF(BX148&lt;=KMA_IDEAL_MAX,100,MAX(0,100*(KMA_CERO-BX148)/(KMA_CERO-KMA_IDEAL_MAX))))</f>
        <v/>
      </c>
      <c r="CX148" s="3">
        <f>MAX(0,MIN(100,100*(M148-ANIO_MIN)/(ANIO_ACTUAL-ANIO_MIN)))</f>
        <v/>
      </c>
      <c r="CY148" s="3">
        <f>W_KMT*CV148+W_KMA*CW148+W_EDAD*CX148</f>
        <v/>
      </c>
      <c r="CZ148" s="4">
        <f>E148&amp;"|"&amp;G148</f>
        <v/>
      </c>
      <c r="DA148" s="3">
        <f>IFERROR(VLOOKUP(CZ148,DIST_TBL,2,0),"")</f>
        <v/>
      </c>
      <c r="DB148" s="3">
        <f>E_ITV*(V148="sí")+E_LIBRO*(W148="sí")+E_PROP*IF(Y148=1,1,IF(Y148=2,0.5,0))+E_CORREA*IF(OR(DA148="cadena",AND(X148="sí",BH148="sí")),1,IF(X148="sí",0.5,0))+E_FACT*(BI148="sí")</f>
        <v/>
      </c>
      <c r="DC148" s="3">
        <f>MAX(0,MIN(100,IFERROR(VLOOKUP(CL148,ETQ_TBL,2,0),0)-IF(CM148="sí",ETQ_PEN_DUD,IF(AS148="regla",ETQ_PEN_REGLA,0))))</f>
        <v/>
      </c>
      <c r="DD148" s="3">
        <f>IF(K148&lt;&gt;"gasolina","",IFERROR(VLOOKUP(F148,CONS_MOD_TBL,2,0),IFERROR(VLOOKUP(L148,CONS_SEG_TBL,2,0),"")))</f>
        <v/>
      </c>
      <c r="DE148" s="3">
        <f>IF(DD148="",NEUTRO,MAX(0,MIN(100,100*(CONS_REF_MAX-DD148)/(CONS_REF_MAX-CONS_REF_MIN))))</f>
        <v/>
      </c>
      <c r="DF148" s="3">
        <f>IFERROR(VLOOKUP(L148,SEGURO_TBL,3,0),"")</f>
        <v/>
      </c>
      <c r="DG148" s="3">
        <f>IF(DF148="",NEUTRO,MAX(0,MIN(100,100*(SEG_REF_MAX-DF148)/(SEG_REF_MAX-SEG_REF_MIN))))</f>
        <v/>
      </c>
      <c r="DH148" s="3">
        <f>IFERROR(VLOOKUP(E148,MANT_MARCA_TBL,2,0)+0,NEUTRO)</f>
        <v/>
      </c>
      <c r="DI148" s="3">
        <f>IF(DA148="",NEUTRO,IFERROR(VLOOKUP(DA148,DIST_PTS_TBL,2,0)+0,NEUTRO))</f>
        <v/>
      </c>
      <c r="DJ148" s="4">
        <f>(DH148+DI148)/2</f>
        <v/>
      </c>
      <c r="DK148" s="3">
        <f>W_CONS*DE148+W_SEG*DG148+W_MANT*DJ148</f>
        <v/>
      </c>
      <c r="DL148" s="3">
        <f>IF(N(AB148)&gt;0,AB148,IF(AND(R148="profesional",SG_LEGAL_ON=1),GAR_LEGAL,0))</f>
        <v/>
      </c>
      <c r="DM148" s="3">
        <f>MAX(0,MIN(100,SG_GAR*MIN(1,DL148/SG_GAR_FULL)+SG_AMPL*(AC148="sí")+SG_KMC*(AF148="sí")+SG_REV*(N(AE148)&gt;0)+SG_DEV*MIN(1,N(AG148)/SG_DEV_FULL)+SG_HIST*(W148="sí")-IF(AND(R148="particular",DL148=0),SG_PART_PEN,0)))</f>
        <v/>
      </c>
      <c r="DN148" s="3">
        <f>IF(BK148="",NEUTRO,MAX(0,MIN(100,BK148/5*100)))</f>
        <v/>
      </c>
      <c r="DO148" s="3">
        <f>IF(BL148="sí",100,IF(BL148="no",0,NEUTRO))</f>
        <v/>
      </c>
      <c r="DP148" s="3">
        <f>SV_W_NCAP*DN148+SV_W_ESP*DO148</f>
        <v/>
      </c>
      <c r="DQ148" s="3">
        <f>MAX(0,MIN(100,ATR_BASE+ATR_ACAB*(BD148&lt;&gt;"")+IF(BE148="16+",ATR_LL16,IF(BE148="sí",ATR_LL,0))+ATR_FAROS*(BF148="sí")+ATR_TINT*(BG148="sí")-ATR_CHAPA*(BE148="chapa")))</f>
        <v/>
      </c>
      <c r="DR148" s="3">
        <f>EST_W_MOD*(BB148-1)/4*100+EST_W_ATR*DQ148</f>
        <v/>
      </c>
      <c r="DS148" s="3">
        <f>IF(BA148="",NEUTRO,IFERROR(VLOOKUP(BA148,COLOR_TBL,2,0)+0,NEUTRO))</f>
        <v/>
      </c>
      <c r="DT148" s="3">
        <f>MAX(0,MIN(100,100*N(BM148)/RV_N_FULL))</f>
        <v/>
      </c>
      <c r="DU148" s="3">
        <f>IF(OR(BN148="",N(BO148)&lt;RV_DIAS_MIN),NEUTRO,MAX(0,MIN(100,100*(RV_DIAS_CERO-BN148)/(RV_DIAS_CERO-RV_DIAS_FULL))))</f>
        <v/>
      </c>
      <c r="DV148" s="3">
        <f>RV_W_LIQ*DT148+RV_W_DIAS*DU148+RV_W_ETQ*DC148</f>
        <v/>
      </c>
      <c r="DW148" s="3">
        <f>IFERROR(VLOOKUP(L148,CARR_PEN_TBL,2,0),0)</f>
        <v/>
      </c>
      <c r="DX148" s="3">
        <f>W_FIAB*CS148+W_PRECIO*CU148+W_KMEDAD*CY148+W_ESTADO*DB148+W_USO*DK148+W_SEGURIDAD*DM148+W_SEGVIAL*DP148+W_ESTETICA*DR148+W_COLOR*DS148+W_REVENTA*DV148-DW148-EG148</f>
        <v/>
      </c>
      <c r="DY148" s="4">
        <f>IF(N(I148)&gt;0,I148,IFERROR(ROUND(_xlfn.NUMBERVALUE(LEFT(G148,FIND(" ",G148&amp;" ")-1),".")*1000,0),99999))</f>
        <v/>
      </c>
      <c r="DZ148" s="3">
        <f>IF(R148="profesional",0,IF(O148&lt;CUOTA_VALOR_MAX,IF(BW148&gt;ITP_TRAMO_ALTO,SUMIFS(CF_CUOTA,CF_MAS,ITP_TRAMO_ALTO,CF_CCMIN,"&lt;="&amp;DY148,CF_CCMAX,"&gt;="&amp;DY148),IF(BW148&gt;ITP_TRAMO_BAJO,SUMIFS(CF_CUOTA,CF_MAS,ITP_TRAMO_BAJO,CF_CCMIN,"&lt;="&amp;DY148,CF_CCMAX,"&gt;="&amp;DY148),O148*ITP_TIPO)),O148*ITP_TIPO))</f>
        <v/>
      </c>
      <c r="EA148" s="4">
        <f>IF(R148="profesional",N(AK148),0)</f>
        <v/>
      </c>
      <c r="EB148" s="3">
        <f>IF(AND(R148="profesional",ISNUMBER(AK148),AL148="sí"),0,TASA_DGT)</f>
        <v/>
      </c>
      <c r="EC148" s="3">
        <f>INFORME_DGT</f>
        <v/>
      </c>
      <c r="ED148" s="4">
        <f>O148+EA148+DZ148+EB148+EC148</f>
        <v/>
      </c>
      <c r="EE148" s="4">
        <f>ED148+N(DF148)</f>
        <v/>
      </c>
      <c r="EF148" s="3">
        <f>MAX(0,ED148-TOTAL_MAX)</f>
        <v/>
      </c>
      <c r="EG148" s="3">
        <f>EF148/100*PEN_100</f>
        <v/>
      </c>
      <c r="EH148" s="3">
        <f>IF(R148="particular",ED148+IF(AND(DA148&lt;&gt;"cadena",X148&lt;&gt;"sí"),RES_CORREA,0)+IF(AND(BJ148&lt;&gt;"sí",BW148&gt;=RES_NEUM_EDAD),RES_NEUM,0),"")</f>
        <v/>
      </c>
      <c r="EI148" s="3">
        <f>IF(ED148&lt;=TOTAL_MAX,"sí",IF(ED148&lt;=TECHO,"negociar","no"))</f>
        <v/>
      </c>
      <c r="EJ148" s="4">
        <f>ROUND(DX148,9)</f>
        <v/>
      </c>
      <c r="EK148" s="4">
        <f>IF(EI148&lt;&gt;"no",SUMPRODUCT(($EI$2:$EI$209&lt;&gt;"no")*($EJ$2:$EJ$209&gt;EJ148))+SUMPRODUCT(($EI$2:EI148&lt;&gt;"no")*($EJ$2:EJ148=EJ148)),"")</f>
        <v/>
      </c>
    </row>
    <row r="149">
      <c r="A149" s="2" t="inlineStr">
        <is>
          <t>wallapop:1319022976</t>
        </is>
      </c>
      <c r="B149" s="2" t="inlineStr">
        <is>
          <t>wallapop</t>
        </is>
      </c>
      <c r="C149" s="2" t="inlineStr">
        <is>
          <t>https://es.wallapop.com/item/dacia-sandero-1-2-16v-base-55-kw-75-cv-1319022976</t>
        </is>
      </c>
      <c r="D149" s="2" t="inlineStr">
        <is>
          <t>Dacia Sandero 1.2 16v Base 55 kW (75 CV)</t>
        </is>
      </c>
      <c r="E149" s="2" t="inlineStr">
        <is>
          <t>Dacia</t>
        </is>
      </c>
      <c r="F149" s="2" t="inlineStr">
        <is>
          <t>Dacia Sandero</t>
        </is>
      </c>
      <c r="G149" s="2" t="inlineStr">
        <is>
          <t>1.2</t>
        </is>
      </c>
      <c r="H149" s="2" t="inlineStr">
        <is>
          <t>1.2 16v Base 55 kW (75 CV)</t>
        </is>
      </c>
      <c r="I149" s="2" t="n"/>
      <c r="J149" s="2" t="n">
        <v>75</v>
      </c>
      <c r="K149" s="2" t="inlineStr">
        <is>
          <t>gasolina</t>
        </is>
      </c>
      <c r="L149" s="2" t="inlineStr">
        <is>
          <t>utilitario</t>
        </is>
      </c>
      <c r="M149" s="2" t="n">
        <v>2010</v>
      </c>
      <c r="N149" s="2" t="n">
        <v>106960</v>
      </c>
      <c r="O149" s="2" t="n">
        <v>4750</v>
      </c>
      <c r="P149" s="2" t="inlineStr">
        <is>
          <t>manual</t>
        </is>
      </c>
      <c r="Q149" s="2" t="inlineStr">
        <is>
          <t>no</t>
        </is>
      </c>
      <c r="R149" s="2" t="inlineStr">
        <is>
          <t>profesional</t>
        </is>
      </c>
      <c r="S149" s="2" t="inlineStr">
        <is>
          <t>Paterna (46980)</t>
        </is>
      </c>
      <c r="T149" s="2" t="inlineStr">
        <is>
          <t>2026-10-31T11:02:57</t>
        </is>
      </c>
      <c r="U149" s="2" t="n">
        <v>11</v>
      </c>
      <c r="V149" s="2" t="n"/>
      <c r="W149" s="2" t="n"/>
      <c r="X149" s="2" t="n"/>
      <c r="Y149" s="2" t="n"/>
      <c r="Z149" s="2" t="inlineStr">
        <is>
          <t>sí</t>
        </is>
      </c>
      <c r="AA149" s="2" t="n"/>
      <c r="AB149" s="2" t="n"/>
      <c r="AC149" s="2" t="n"/>
      <c r="AD149" s="2" t="n"/>
      <c r="AE149" s="2" t="n"/>
      <c r="AF149" s="2" t="inlineStr">
        <is>
          <t>sí</t>
        </is>
      </c>
      <c r="AG149" s="2" t="n"/>
      <c r="AH149" s="2" t="n"/>
      <c r="AI149" s="2" t="n"/>
      <c r="AJ149" s="2" t="n"/>
      <c r="AK149" s="2" t="n"/>
      <c r="AL149" s="2" t="n"/>
      <c r="AM149" s="2" t="n">
        <v>6.4</v>
      </c>
      <c r="AN149" s="2" t="inlineStr">
        <is>
          <t>1000KMS</t>
        </is>
      </c>
      <c r="AO149" s="2" t="n"/>
      <c r="AP149" s="2" t="n">
        <v>2010</v>
      </c>
      <c r="AQ149" s="2" t="n"/>
      <c r="AR149" s="2" t="inlineStr">
        <is>
          <t>B</t>
        </is>
      </c>
      <c r="AS149" s="2" t="inlineStr">
        <is>
          <t>DGT</t>
        </is>
      </c>
      <c r="AT149" s="2" t="n"/>
      <c r="AU149" s="2" t="inlineStr">
        <is>
          <t>no</t>
        </is>
      </c>
      <c r="AV149" s="2" t="inlineStr">
        <is>
          <t>B</t>
        </is>
      </c>
      <c r="AW149" s="2" t="n"/>
      <c r="AX149" s="2" t="inlineStr">
        <is>
          <t>no</t>
        </is>
      </c>
      <c r="AY149" s="2" t="inlineStr">
        <is>
          <t>no</t>
        </is>
      </c>
      <c r="AZ149" s="2" t="n"/>
      <c r="BA149" s="2" t="n"/>
      <c r="BB149" s="3" t="n">
        <v>2</v>
      </c>
      <c r="BC149" s="3" t="inlineStr">
        <is>
          <t>(por segmento)</t>
        </is>
      </c>
      <c r="BD149" s="2" t="n"/>
      <c r="BE149" s="2" t="n"/>
      <c r="BF149" s="2" t="n"/>
      <c r="BG149" s="2" t="n"/>
      <c r="BH149" s="2" t="n"/>
      <c r="BI149" s="2" t="n"/>
      <c r="BJ149" s="2" t="n"/>
      <c r="BK149" s="2" t="n">
        <v>3</v>
      </c>
      <c r="BL149" s="2" t="inlineStr">
        <is>
          <t>no</t>
        </is>
      </c>
      <c r="BM149" s="2" t="n">
        <v>211</v>
      </c>
      <c r="BN149" s="2" t="n">
        <v>0.021909722359851</v>
      </c>
      <c r="BO149" s="2" t="n">
        <v>4</v>
      </c>
      <c r="BP149" s="2" t="n">
        <v>3800</v>
      </c>
      <c r="BQ149" s="2" t="n">
        <v>9</v>
      </c>
      <c r="BR149" s="2" t="inlineStr">
        <is>
          <t>modelo+año</t>
        </is>
      </c>
      <c r="BS149" s="2" t="n"/>
      <c r="BT149" s="2" t="inlineStr">
        <is>
          <t>vendedor profesional: sin ITP (operación con IVA/REBU, confirmar en factura); gastos de gestión del vendedor no indicados: se suma la tasa DGT; preguntar el precio final; revisar: no menciona la ITV</t>
        </is>
      </c>
      <c r="BU149" s="2" t="inlineStr">
        <is>
          <t>Ref.196575718
¡VILLA TAMBIÉN FICHA POR OCASIONPLUS!
VEN A GANAR. ¡VEN A OCASIONPLUS!
OCASIONPLUS - 20.000 COCHES  - 120 CENTROS
OCASIONPLUS Nº1 CALIDAD - PRECIO
Elige el coche que te guste y te lo llevamos a tu ciudad sólo con reservarlo
15 DÍAS / 1000 KMS DE PRUEBA
ADEMÁS, HACEMOS LAS MEJORES FINANCIACIONES DEL MERCADO, PREGÚNTANOS!!
            - Coche Nacional.
                - Garantía total 1 año, con cobertura nacional, ampliable a 24 meses.
                - Certificado de Kilómetros y ausencia de golpes estructurales.
            - Sobrevaloramos tu coche en operaciones de cambio. Tásalo ahora en ocasionplus.com
            - Entregamos cualquier coche en cualquier centro
            - Abierto Domingo y Festivos.</t>
        </is>
      </c>
      <c r="BV149" s="2" t="inlineStr">
        <is>
          <t>https://es.wallapop.com/item/dacia-sandero-1-2-16v-base-55-kw-75-cv-1319022976 (__NEXT_DATA__ item) /home/user/Alopecia/buscador-coches/raw/wallapop/f8706f822d87b0f9.json</t>
        </is>
      </c>
      <c r="BW149" s="3">
        <f>MAX(ANIO_ACTUAL-M149,0)</f>
        <v/>
      </c>
      <c r="BX149" s="4">
        <f>N149/MAX(BW149,0.5)</f>
        <v/>
      </c>
      <c r="BY149" s="4">
        <f>F149</f>
        <v/>
      </c>
      <c r="BZ149" s="3">
        <f>BY149&amp;"|"&amp;INT(M149/SEG_ANIO)*SEG_ANIO</f>
        <v/>
      </c>
      <c r="CA149" s="3">
        <f>BZ149&amp;"|"&amp;INT(N149/SEG_KM)*SEG_KM</f>
        <v/>
      </c>
      <c r="CB149" s="4">
        <f>COUNTIF($BY$2:$BY$209,BY149)</f>
        <v/>
      </c>
      <c r="CC149" s="4">
        <f>COUNTIF($BZ$2:$BZ$209,BZ149)</f>
        <v/>
      </c>
      <c r="CD149" s="4">
        <f>COUNTIF($CA$2:$CA$209,CA149)</f>
        <v/>
      </c>
      <c r="CE149" s="3">
        <f t="array" ref="CE149">IF(N(BQ149)&gt;=MIN_N,BP149,IF(CD149&gt;=MIN_N,MEDIAN(IF($CA$2:$CA$209=CA149,$O$2:$O$209)),IF(CC149&gt;=MIN_N,MEDIAN(IF($BZ$2:$BZ$209=BZ149,$O$2:$O$209)),MEDIAN(IF($BY$2:$BY$209=BY149,$O$2:$O$209)))))</f>
        <v/>
      </c>
      <c r="CF149" s="3">
        <f>IF(N(BQ149)&gt;=MIN_N,"mercado "&amp;BR149,IF(CD149&gt;=MIN_N,"modelo+año+km",IF(CC149&gt;=MIN_N,"modelo+año","modelo")))</f>
        <v/>
      </c>
      <c r="CG149" s="4">
        <f>(CE149-O149)/CE149</f>
        <v/>
      </c>
      <c r="CH149" s="3">
        <f>IF(COUNTIFS(FR_FUEL,K149,FR_YEAR,AP149)&gt;0,1,0)</f>
        <v/>
      </c>
      <c r="CI149" s="3">
        <f>IF(COUNTIFS(FR_FUEL,K149,FR_YEAR,AP149-1)&gt;0,1,0)</f>
        <v/>
      </c>
      <c r="CJ149" s="4">
        <f>IF(N(AQ149)&gt;0,AP149*100+AQ149,IF(AND(CH149=1,CI149=1),(AP149-1)*100+1,AP149*100+1))</f>
        <v/>
      </c>
      <c r="CK149" s="3">
        <f>IF(OR(K149="hibrido",K149="glp",K149="gnc",K149="phev"),"ECO",IF(K149="electrico","CERO",IF(K149="gasolina",IF(CJ149&gt;=GAS_C_YM,"C",IF(CJ149&gt;=GAS_B_YM,"B","A")),IF(K149="diesel",IF(CJ149&gt;=DIE_C_YM,"C",IF(CJ149&gt;=DIE_B_YM,"B","A")),""))))</f>
        <v/>
      </c>
      <c r="CL149" s="2" t="inlineStr">
        <is>
          <t>B</t>
        </is>
      </c>
      <c r="CM149" s="4">
        <f>IF(AU149="sí","sí",IF(AS149="regla",IF(AND(N(AQ149)=0,CH149=1),"sí","no"),"no"))</f>
        <v/>
      </c>
      <c r="CN149" s="3">
        <f>IFERROR(VLOOKUP(F149,MOD_TBL,16,0),IFERROR(VLOOKUP(E149,OCU_TBL,2,0),NEUTRO))</f>
        <v/>
      </c>
      <c r="CO149" s="3">
        <f>SUMIFS(MOT_AJUSTE,MOT_MOTOR,G149,MOT_MARCA,E149,MOT_DESDE,"&lt;="&amp;M149,MOT_HASTA,"&gt;="&amp;M149)+SUMIFS(MOT_AJUSTE,MOT_MOTOR,G149,MOT_MARCA,"(todas)",MOT_DESDE,"&lt;="&amp;M149,MOT_HASTA,"&gt;="&amp;M149)+SUMIFS(MOT_AJUSTE,MOT_MOTOR,"(cualquiera)",MOT_MARCA,E149,MOT_DESDE,"&lt;="&amp;M149,MOT_HASTA,"&gt;="&amp;M149)</f>
        <v/>
      </c>
      <c r="CP149" s="3">
        <f>SUMIFS(COMB_AJUSTE,COMB_COMB,K149)</f>
        <v/>
      </c>
      <c r="CQ149" s="3">
        <f>COUNTIFS(MOT_MOTOR,G149,MOT_MARCA,E149,MOT_DESDE,"&lt;="&amp;M149,MOT_HASTA,"&gt;="&amp;M149)+COUNTIFS(MOT_MOTOR,G149,MOT_MARCA,"(todas)",MOT_DESDE,"&lt;="&amp;M149,MOT_HASTA,"&gt;="&amp;M149)+COUNTIFS(MOT_MOTOR,"(cualquiera)",MOT_MARCA,E149,MOT_DESDE,"&lt;="&amp;M149,MOT_HASTA,"&gt;="&amp;M149)</f>
        <v/>
      </c>
      <c r="CR149" s="3">
        <f>IF(AND(K149="diesel",CQ149=0),MIN(CN149,NEUTRO),CN149)</f>
        <v/>
      </c>
      <c r="CS149" s="3">
        <f>MAX(0,MIN(100,CR149+CO149+CP149-IF(AX149="sí",ROB_PEN,0)))</f>
        <v/>
      </c>
      <c r="CT149" s="3">
        <f>100-MAX(0,N149-KM_TOPE_DESDE)/1000*KM_TOPE_PTS</f>
        <v/>
      </c>
      <c r="CU149" s="3">
        <f>MAX(0,MIN(100,50+CG149*PRECIO_PEND,CT149))</f>
        <v/>
      </c>
      <c r="CV149" s="3">
        <f>MAX(0,100*(1-N149/KM_MAX))</f>
        <v/>
      </c>
      <c r="CW149" s="3">
        <f>IF(BX149&lt;KMA_SOSP,IF(AA149="sí",100,KMA_PEN),IF(BX149&lt;=KMA_IDEAL_MAX,100,MAX(0,100*(KMA_CERO-BX149)/(KMA_CERO-KMA_IDEAL_MAX))))</f>
        <v/>
      </c>
      <c r="CX149" s="3">
        <f>MAX(0,MIN(100,100*(M149-ANIO_MIN)/(ANIO_ACTUAL-ANIO_MIN)))</f>
        <v/>
      </c>
      <c r="CY149" s="3">
        <f>W_KMT*CV149+W_KMA*CW149+W_EDAD*CX149</f>
        <v/>
      </c>
      <c r="CZ149" s="4">
        <f>E149&amp;"|"&amp;G149</f>
        <v/>
      </c>
      <c r="DA149" s="3">
        <f>IFERROR(VLOOKUP(CZ149,DIST_TBL,2,0),"")</f>
        <v/>
      </c>
      <c r="DB149" s="3">
        <f>E_ITV*(V149="sí")+E_LIBRO*(W149="sí")+E_PROP*IF(Y149=1,1,IF(Y149=2,0.5,0))+E_CORREA*IF(OR(DA149="cadena",AND(X149="sí",BH149="sí")),1,IF(X149="sí",0.5,0))+E_FACT*(BI149="sí")</f>
        <v/>
      </c>
      <c r="DC149" s="3">
        <f>MAX(0,MIN(100,IFERROR(VLOOKUP(CL149,ETQ_TBL,2,0),0)-IF(CM149="sí",ETQ_PEN_DUD,IF(AS149="regla",ETQ_PEN_REGLA,0))))</f>
        <v/>
      </c>
      <c r="DD149" s="3">
        <f>IF(K149&lt;&gt;"gasolina","",IFERROR(VLOOKUP(F149,CONS_MOD_TBL,2,0),IFERROR(VLOOKUP(L149,CONS_SEG_TBL,2,0),"")))</f>
        <v/>
      </c>
      <c r="DE149" s="3">
        <f>IF(DD149="",NEUTRO,MAX(0,MIN(100,100*(CONS_REF_MAX-DD149)/(CONS_REF_MAX-CONS_REF_MIN))))</f>
        <v/>
      </c>
      <c r="DF149" s="3">
        <f>IFERROR(VLOOKUP(L149,SEGURO_TBL,3,0),"")</f>
        <v/>
      </c>
      <c r="DG149" s="3">
        <f>IF(DF149="",NEUTRO,MAX(0,MIN(100,100*(SEG_REF_MAX-DF149)/(SEG_REF_MAX-SEG_REF_MIN))))</f>
        <v/>
      </c>
      <c r="DH149" s="3">
        <f>IFERROR(VLOOKUP(E149,MANT_MARCA_TBL,2,0)+0,NEUTRO)</f>
        <v/>
      </c>
      <c r="DI149" s="3">
        <f>IF(DA149="",NEUTRO,IFERROR(VLOOKUP(DA149,DIST_PTS_TBL,2,0)+0,NEUTRO))</f>
        <v/>
      </c>
      <c r="DJ149" s="4">
        <f>(DH149+DI149)/2</f>
        <v/>
      </c>
      <c r="DK149" s="3">
        <f>W_CONS*DE149+W_SEG*DG149+W_MANT*DJ149</f>
        <v/>
      </c>
      <c r="DL149" s="3">
        <f>IF(N(AB149)&gt;0,AB149,IF(AND(R149="profesional",SG_LEGAL_ON=1),GAR_LEGAL,0))</f>
        <v/>
      </c>
      <c r="DM149" s="3">
        <f>MAX(0,MIN(100,SG_GAR*MIN(1,DL149/SG_GAR_FULL)+SG_AMPL*(AC149="sí")+SG_KMC*(AF149="sí")+SG_REV*(N(AE149)&gt;0)+SG_DEV*MIN(1,N(AG149)/SG_DEV_FULL)+SG_HIST*(W149="sí")-IF(AND(R149="particular",DL149=0),SG_PART_PEN,0)))</f>
        <v/>
      </c>
      <c r="DN149" s="3">
        <f>IF(BK149="",NEUTRO,MAX(0,MIN(100,BK149/5*100)))</f>
        <v/>
      </c>
      <c r="DO149" s="3">
        <f>IF(BL149="sí",100,IF(BL149="no",0,NEUTRO))</f>
        <v/>
      </c>
      <c r="DP149" s="3">
        <f>SV_W_NCAP*DN149+SV_W_ESP*DO149</f>
        <v/>
      </c>
      <c r="DQ149" s="3">
        <f>MAX(0,MIN(100,ATR_BASE+ATR_ACAB*(BD149&lt;&gt;"")+IF(BE149="16+",ATR_LL16,IF(BE149="sí",ATR_LL,0))+ATR_FAROS*(BF149="sí")+ATR_TINT*(BG149="sí")-ATR_CHAPA*(BE149="chapa")))</f>
        <v/>
      </c>
      <c r="DR149" s="3">
        <f>EST_W_MOD*(BB149-1)/4*100+EST_W_ATR*DQ149</f>
        <v/>
      </c>
      <c r="DS149" s="3">
        <f>IF(BA149="",NEUTRO,IFERROR(VLOOKUP(BA149,COLOR_TBL,2,0)+0,NEUTRO))</f>
        <v/>
      </c>
      <c r="DT149" s="3">
        <f>MAX(0,MIN(100,100*N(BM149)/RV_N_FULL))</f>
        <v/>
      </c>
      <c r="DU149" s="3">
        <f>IF(OR(BN149="",N(BO149)&lt;RV_DIAS_MIN),NEUTRO,MAX(0,MIN(100,100*(RV_DIAS_CERO-BN149)/(RV_DIAS_CERO-RV_DIAS_FULL))))</f>
        <v/>
      </c>
      <c r="DV149" s="3">
        <f>RV_W_LIQ*DT149+RV_W_DIAS*DU149+RV_W_ETQ*DC149</f>
        <v/>
      </c>
      <c r="DW149" s="3">
        <f>IFERROR(VLOOKUP(L149,CARR_PEN_TBL,2,0),0)</f>
        <v/>
      </c>
      <c r="DX149" s="3">
        <f>W_FIAB*CS149+W_PRECIO*CU149+W_KMEDAD*CY149+W_ESTADO*DB149+W_USO*DK149+W_SEGURIDAD*DM149+W_SEGVIAL*DP149+W_ESTETICA*DR149+W_COLOR*DS149+W_REVENTA*DV149-DW149-EG149</f>
        <v/>
      </c>
      <c r="DY149" s="4">
        <f>IF(N(I149)&gt;0,I149,IFERROR(ROUND(_xlfn.NUMBERVALUE(LEFT(G149,FIND(" ",G149&amp;" ")-1),".")*1000,0),99999))</f>
        <v/>
      </c>
      <c r="DZ149" s="3">
        <f>IF(R149="profesional",0,IF(O149&lt;CUOTA_VALOR_MAX,IF(BW149&gt;ITP_TRAMO_ALTO,SUMIFS(CF_CUOTA,CF_MAS,ITP_TRAMO_ALTO,CF_CCMIN,"&lt;="&amp;DY149,CF_CCMAX,"&gt;="&amp;DY149),IF(BW149&gt;ITP_TRAMO_BAJO,SUMIFS(CF_CUOTA,CF_MAS,ITP_TRAMO_BAJO,CF_CCMIN,"&lt;="&amp;DY149,CF_CCMAX,"&gt;="&amp;DY149),O149*ITP_TIPO)),O149*ITP_TIPO))</f>
        <v/>
      </c>
      <c r="EA149" s="4">
        <f>IF(R149="profesional",N(AK149),0)</f>
        <v/>
      </c>
      <c r="EB149" s="3">
        <f>IF(AND(R149="profesional",ISNUMBER(AK149),AL149="sí"),0,TASA_DGT)</f>
        <v/>
      </c>
      <c r="EC149" s="3">
        <f>INFORME_DGT</f>
        <v/>
      </c>
      <c r="ED149" s="4">
        <f>O149+EA149+DZ149+EB149+EC149</f>
        <v/>
      </c>
      <c r="EE149" s="4">
        <f>ED149+N(DF149)</f>
        <v/>
      </c>
      <c r="EF149" s="3">
        <f>MAX(0,ED149-TOTAL_MAX)</f>
        <v/>
      </c>
      <c r="EG149" s="3">
        <f>EF149/100*PEN_100</f>
        <v/>
      </c>
      <c r="EH149" s="3">
        <f>IF(R149="particular",ED149+IF(AND(DA149&lt;&gt;"cadena",X149&lt;&gt;"sí"),RES_CORREA,0)+IF(AND(BJ149&lt;&gt;"sí",BW149&gt;=RES_NEUM_EDAD),RES_NEUM,0),"")</f>
        <v/>
      </c>
      <c r="EI149" s="3">
        <f>IF(ED149&lt;=TOTAL_MAX,"sí",IF(ED149&lt;=TECHO,"negociar","no"))</f>
        <v/>
      </c>
      <c r="EJ149" s="4">
        <f>ROUND(DX149,9)</f>
        <v/>
      </c>
      <c r="EK149" s="4">
        <f>IF(EI149&lt;&gt;"no",SUMPRODUCT(($EI$2:$EI$209&lt;&gt;"no")*($EJ$2:$EJ$209&gt;EJ149))+SUMPRODUCT(($EI$2:EI149&lt;&gt;"no")*($EJ$2:EJ149=EJ149)),"")</f>
        <v/>
      </c>
    </row>
    <row r="150">
      <c r="A150" s="2" t="inlineStr">
        <is>
          <t>wallapop:1308930723</t>
        </is>
      </c>
      <c r="B150" s="2" t="inlineStr">
        <is>
          <t>wallapop</t>
        </is>
      </c>
      <c r="C150" s="2" t="inlineStr">
        <is>
          <t>https://es.wallapop.com/item/peugeot-206-2004-1308930723</t>
        </is>
      </c>
      <c r="D150" s="2" t="inlineStr">
        <is>
          <t>Peugeot 206 2004</t>
        </is>
      </c>
      <c r="E150" s="2" t="inlineStr">
        <is>
          <t>Peugeot</t>
        </is>
      </c>
      <c r="F150" s="2" t="inlineStr">
        <is>
          <t>Peugeot 206</t>
        </is>
      </c>
      <c r="G150" s="2" t="inlineStr">
        <is>
          <t>1.4</t>
        </is>
      </c>
      <c r="H150" s="2" t="inlineStr">
        <is>
          <t>1.4 75 X-Line 5p</t>
        </is>
      </c>
      <c r="I150" s="2" t="n"/>
      <c r="J150" s="2" t="n">
        <v>75</v>
      </c>
      <c r="K150" s="2" t="inlineStr">
        <is>
          <t>gasolina</t>
        </is>
      </c>
      <c r="L150" s="2" t="inlineStr">
        <is>
          <t>utilitario</t>
        </is>
      </c>
      <c r="M150" s="2" t="n">
        <v>2004</v>
      </c>
      <c r="N150" s="2" t="n">
        <v>83500</v>
      </c>
      <c r="O150" s="2" t="n">
        <v>4490</v>
      </c>
      <c r="P150" s="2" t="inlineStr">
        <is>
          <t>manual</t>
        </is>
      </c>
      <c r="Q150" s="2" t="inlineStr">
        <is>
          <t>no</t>
        </is>
      </c>
      <c r="R150" s="2" t="inlineStr">
        <is>
          <t>profesional</t>
        </is>
      </c>
      <c r="S150" s="2" t="inlineStr">
        <is>
          <t>Valencia (46003)</t>
        </is>
      </c>
      <c r="T150" s="2" t="inlineStr">
        <is>
          <t>2026-10-27T09:23:01</t>
        </is>
      </c>
      <c r="U150" s="2" t="n">
        <v>27</v>
      </c>
      <c r="V150" s="2" t="inlineStr">
        <is>
          <t>sí</t>
        </is>
      </c>
      <c r="W150" s="2" t="n"/>
      <c r="X150" s="2" t="inlineStr">
        <is>
          <t>sí</t>
        </is>
      </c>
      <c r="Y150" s="2" t="n"/>
      <c r="Z150" s="2" t="n"/>
      <c r="AA150" s="2" t="n"/>
      <c r="AB150" s="2" t="n"/>
      <c r="AC150" s="2" t="n"/>
      <c r="AD150" s="2" t="n"/>
      <c r="AE150" s="2" t="n"/>
      <c r="AF150" s="2" t="n"/>
      <c r="AG150" s="2" t="n"/>
      <c r="AH150" s="2" t="n"/>
      <c r="AI150" s="2" t="n"/>
      <c r="AJ150" s="2" t="n"/>
      <c r="AK150" s="2" t="n"/>
      <c r="AL150" s="2" t="n"/>
      <c r="AM150" s="2" t="n">
        <v>1.4</v>
      </c>
      <c r="AN150" s="2" t="n"/>
      <c r="AO150" s="2" t="n"/>
      <c r="AP150" s="2" t="n">
        <v>2004</v>
      </c>
      <c r="AQ150" s="2" t="n"/>
      <c r="AR150" s="2" t="n"/>
      <c r="AS150" s="2" t="inlineStr">
        <is>
          <t>regla</t>
        </is>
      </c>
      <c r="AT150" s="2" t="n"/>
      <c r="AU150" s="2" t="inlineStr">
        <is>
          <t>no</t>
        </is>
      </c>
      <c r="AV150" s="2" t="inlineStr">
        <is>
          <t>B</t>
        </is>
      </c>
      <c r="AW150" s="2" t="n"/>
      <c r="AX150" s="2" t="inlineStr">
        <is>
          <t>no</t>
        </is>
      </c>
      <c r="AY150" s="2" t="inlineStr">
        <is>
          <t>no</t>
        </is>
      </c>
      <c r="AZ150" s="2" t="n"/>
      <c r="BA150" s="2" t="n"/>
      <c r="BB150" s="3" t="n">
        <v>2</v>
      </c>
      <c r="BC150" s="3" t="inlineStr">
        <is>
          <t>(por segmento)</t>
        </is>
      </c>
      <c r="BD150" s="2" t="n"/>
      <c r="BE150" s="2" t="n"/>
      <c r="BF150" s="2" t="n"/>
      <c r="BG150" s="2" t="n"/>
      <c r="BH150" s="2" t="n"/>
      <c r="BI150" s="2" t="n"/>
      <c r="BJ150" s="2" t="n"/>
      <c r="BK150" s="2" t="n"/>
      <c r="BL150" s="2" t="n"/>
      <c r="BM150" s="2" t="n">
        <v>72</v>
      </c>
      <c r="BN150" s="2" t="n"/>
      <c r="BO150" s="2" t="n">
        <v>0</v>
      </c>
      <c r="BP150" s="2" t="n">
        <v>3000</v>
      </c>
      <c r="BQ150" s="2" t="n">
        <v>7</v>
      </c>
      <c r="BR150" s="2" t="inlineStr">
        <is>
          <t>modelo+año+km</t>
        </is>
      </c>
      <c r="BS150" s="2" t="n"/>
      <c r="BT150" s="2" t="inlineStr">
        <is>
          <t>vendedor profesional: sin ITP (operación con IVA/REBU, confirmar en factura); gastos de gestión del vendedor no indicados: se suma la tasa DGT; preguntar el precio final; Euro NCAP de la generación PENDIENTE (seguridad neutra); etiqueta B deducida por fecha (sin matrícula ni dato del anuncio); fiabilidad del modelo PENDIENTE de fuente (puntuación neutra)</t>
        </is>
      </c>
      <c r="BU150" s="2" t="inlineStr">
        <is>
          <t>🚗 PEUGEOT 206 X-LINE 1.4 GASOLINA – 2004
⭐ ¡SOLO 83.000 KM! – ESTADO EXCEPCIONAL
Se vende Peugeot 206 X-Line 1.4 gasolina del año 2004 con solo 83.000 km, en un estado de conservación excepcional.
🔧 MECÁNICA Y MANTENIMIENTO
* Motor 1.4 gasolina
* Solo 83.000 km
* Distribución realizada recientemente 
* 🛠️ Mantenimiento recién realizado
* Mecánica en excelente estado
* Funcionamiento perfecto
* Listo para usar, sin tener que hacerle nada
✨ ESTADO DE CONSERVACIÓN
Vehículo en un estado realmente excelente para sus años, muy cuidado en todos los aspectos:
🧼 Interior impecable y muy bien conservado
🎨 Pintura en excelente estado
⚙️ Mecánica y funcionamiento perfectos
🎯 EQUIPAMIENTO X-LINE
* ❄️ Aire acondicionado
* 🔄 Dirección asistida
* ⚡ Elevalunas eléctricos
* 🔐 Cierre centralizado
* 🛡️ Airbags
* 🔑 3 juegos de llaves
📅 ITV hasta 02/2027
🌱 Distintivo ambiental B de la DGT
Una unidad difícil de encontrar por kilometraje, conservación y estado general. Ideal para quien busque un coche económico, sencillo y fiable para el día a día.
✅ 83.000 km
✅ Distribución hecha recientemente 
✅ Mantenimiento recién realizado
✅ 3 juegos de llaves
✅ ITV hasta 02/2027
✅ Distintivo ambiental B
✅ Excelente estado interior, exterior y mecánico
📍 Se puede ver y probar sin compromiso.
Ven a verlo y comprueba tú mismo su estado y funcionamiento.</t>
        </is>
      </c>
      <c r="BV150" s="2" t="inlineStr">
        <is>
          <t>https://es.wallapop.com/item/peugeot-206-2004-1308930723 (__NEXT_DATA__ item) /home/user/Alopecia/buscador-coches/raw/wallapop/4030838ea57dee3f.json</t>
        </is>
      </c>
      <c r="BW150" s="3">
        <f>MAX(ANIO_ACTUAL-M150,0)</f>
        <v/>
      </c>
      <c r="BX150" s="4">
        <f>N150/MAX(BW150,0.5)</f>
        <v/>
      </c>
      <c r="BY150" s="4">
        <f>F150</f>
        <v/>
      </c>
      <c r="BZ150" s="3">
        <f>BY150&amp;"|"&amp;INT(M150/SEG_ANIO)*SEG_ANIO</f>
        <v/>
      </c>
      <c r="CA150" s="3">
        <f>BZ150&amp;"|"&amp;INT(N150/SEG_KM)*SEG_KM</f>
        <v/>
      </c>
      <c r="CB150" s="4">
        <f>COUNTIF($BY$2:$BY$209,BY150)</f>
        <v/>
      </c>
      <c r="CC150" s="4">
        <f>COUNTIF($BZ$2:$BZ$209,BZ150)</f>
        <v/>
      </c>
      <c r="CD150" s="4">
        <f>COUNTIF($CA$2:$CA$209,CA150)</f>
        <v/>
      </c>
      <c r="CE150" s="3">
        <f t="array" ref="CE150">IF(N(BQ150)&gt;=MIN_N,BP150,IF(CD150&gt;=MIN_N,MEDIAN(IF($CA$2:$CA$209=CA150,$O$2:$O$209)),IF(CC150&gt;=MIN_N,MEDIAN(IF($BZ$2:$BZ$209=BZ150,$O$2:$O$209)),MEDIAN(IF($BY$2:$BY$209=BY150,$O$2:$O$209)))))</f>
        <v/>
      </c>
      <c r="CF150" s="3">
        <f>IF(N(BQ150)&gt;=MIN_N,"mercado "&amp;BR150,IF(CD150&gt;=MIN_N,"modelo+año+km",IF(CC150&gt;=MIN_N,"modelo+año","modelo")))</f>
        <v/>
      </c>
      <c r="CG150" s="4">
        <f>(CE150-O150)/CE150</f>
        <v/>
      </c>
      <c r="CH150" s="3">
        <f>IF(COUNTIFS(FR_FUEL,K150,FR_YEAR,AP150)&gt;0,1,0)</f>
        <v/>
      </c>
      <c r="CI150" s="3">
        <f>IF(COUNTIFS(FR_FUEL,K150,FR_YEAR,AP150-1)&gt;0,1,0)</f>
        <v/>
      </c>
      <c r="CJ150" s="4">
        <f>IF(N(AQ150)&gt;0,AP150*100+AQ150,IF(AND(CH150=1,CI150=1),(AP150-1)*100+1,AP150*100+1))</f>
        <v/>
      </c>
      <c r="CK150" s="3">
        <f>IF(OR(K150="hibrido",K150="glp",K150="gnc",K150="phev"),"ECO",IF(K150="electrico","CERO",IF(K150="gasolina",IF(CJ150&gt;=GAS_C_YM,"C",IF(CJ150&gt;=GAS_B_YM,"B","A")),IF(K150="diesel",IF(CJ150&gt;=DIE_C_YM,"C",IF(CJ150&gt;=DIE_B_YM,"B","A")),""))))</f>
        <v/>
      </c>
      <c r="CL150" s="4">
        <f>CK150</f>
        <v/>
      </c>
      <c r="CM150" s="4">
        <f>IF(AU150="sí","sí",IF(AS150="regla",IF(AND(N(AQ150)=0,CH150=1),"sí","no"),"no"))</f>
        <v/>
      </c>
      <c r="CN150" s="3">
        <f>IFERROR(VLOOKUP(F150,MOD_TBL,16,0),IFERROR(VLOOKUP(E150,OCU_TBL,2,0),NEUTRO))</f>
        <v/>
      </c>
      <c r="CO150" s="3">
        <f>SUMIFS(MOT_AJUSTE,MOT_MOTOR,G150,MOT_MARCA,E150,MOT_DESDE,"&lt;="&amp;M150,MOT_HASTA,"&gt;="&amp;M150)+SUMIFS(MOT_AJUSTE,MOT_MOTOR,G150,MOT_MARCA,"(todas)",MOT_DESDE,"&lt;="&amp;M150,MOT_HASTA,"&gt;="&amp;M150)+SUMIFS(MOT_AJUSTE,MOT_MOTOR,"(cualquiera)",MOT_MARCA,E150,MOT_DESDE,"&lt;="&amp;M150,MOT_HASTA,"&gt;="&amp;M150)</f>
        <v/>
      </c>
      <c r="CP150" s="3">
        <f>SUMIFS(COMB_AJUSTE,COMB_COMB,K150)</f>
        <v/>
      </c>
      <c r="CQ150" s="3">
        <f>COUNTIFS(MOT_MOTOR,G150,MOT_MARCA,E150,MOT_DESDE,"&lt;="&amp;M150,MOT_HASTA,"&gt;="&amp;M150)+COUNTIFS(MOT_MOTOR,G150,MOT_MARCA,"(todas)",MOT_DESDE,"&lt;="&amp;M150,MOT_HASTA,"&gt;="&amp;M150)+COUNTIFS(MOT_MOTOR,"(cualquiera)",MOT_MARCA,E150,MOT_DESDE,"&lt;="&amp;M150,MOT_HASTA,"&gt;="&amp;M150)</f>
        <v/>
      </c>
      <c r="CR150" s="3">
        <f>IF(AND(K150="diesel",CQ150=0),MIN(CN150,NEUTRO),CN150)</f>
        <v/>
      </c>
      <c r="CS150" s="3">
        <f>MAX(0,MIN(100,CR150+CO150+CP150-IF(AX150="sí",ROB_PEN,0)))</f>
        <v/>
      </c>
      <c r="CT150" s="3">
        <f>100-MAX(0,N150-KM_TOPE_DESDE)/1000*KM_TOPE_PTS</f>
        <v/>
      </c>
      <c r="CU150" s="3">
        <f>MAX(0,MIN(100,50+CG150*PRECIO_PEND,CT150))</f>
        <v/>
      </c>
      <c r="CV150" s="3">
        <f>MAX(0,100*(1-N150/KM_MAX))</f>
        <v/>
      </c>
      <c r="CW150" s="3">
        <f>IF(BX150&lt;KMA_SOSP,IF(AA150="sí",100,KMA_PEN),IF(BX150&lt;=KMA_IDEAL_MAX,100,MAX(0,100*(KMA_CERO-BX150)/(KMA_CERO-KMA_IDEAL_MAX))))</f>
        <v/>
      </c>
      <c r="CX150" s="3">
        <f>MAX(0,MIN(100,100*(M150-ANIO_MIN)/(ANIO_ACTUAL-ANIO_MIN)))</f>
        <v/>
      </c>
      <c r="CY150" s="3">
        <f>W_KMT*CV150+W_KMA*CW150+W_EDAD*CX150</f>
        <v/>
      </c>
      <c r="CZ150" s="4">
        <f>E150&amp;"|"&amp;G150</f>
        <v/>
      </c>
      <c r="DA150" s="3">
        <f>IFERROR(VLOOKUP(CZ150,DIST_TBL,2,0),"")</f>
        <v/>
      </c>
      <c r="DB150" s="3">
        <f>E_ITV*(V150="sí")+E_LIBRO*(W150="sí")+E_PROP*IF(Y150=1,1,IF(Y150=2,0.5,0))+E_CORREA*IF(OR(DA150="cadena",AND(X150="sí",BH150="sí")),1,IF(X150="sí",0.5,0))+E_FACT*(BI150="sí")</f>
        <v/>
      </c>
      <c r="DC150" s="3">
        <f>MAX(0,MIN(100,IFERROR(VLOOKUP(CL150,ETQ_TBL,2,0),0)-IF(CM150="sí",ETQ_PEN_DUD,IF(AS150="regla",ETQ_PEN_REGLA,0))))</f>
        <v/>
      </c>
      <c r="DD150" s="3">
        <f>IF(K150&lt;&gt;"gasolina","",IFERROR(VLOOKUP(F150,CONS_MOD_TBL,2,0),IFERROR(VLOOKUP(L150,CONS_SEG_TBL,2,0),"")))</f>
        <v/>
      </c>
      <c r="DE150" s="3">
        <f>IF(DD150="",NEUTRO,MAX(0,MIN(100,100*(CONS_REF_MAX-DD150)/(CONS_REF_MAX-CONS_REF_MIN))))</f>
        <v/>
      </c>
      <c r="DF150" s="3">
        <f>IFERROR(VLOOKUP(L150,SEGURO_TBL,3,0),"")</f>
        <v/>
      </c>
      <c r="DG150" s="3">
        <f>IF(DF150="",NEUTRO,MAX(0,MIN(100,100*(SEG_REF_MAX-DF150)/(SEG_REF_MAX-SEG_REF_MIN))))</f>
        <v/>
      </c>
      <c r="DH150" s="3">
        <f>IFERROR(VLOOKUP(E150,MANT_MARCA_TBL,2,0)+0,NEUTRO)</f>
        <v/>
      </c>
      <c r="DI150" s="3">
        <f>IF(DA150="",NEUTRO,IFERROR(VLOOKUP(DA150,DIST_PTS_TBL,2,0)+0,NEUTRO))</f>
        <v/>
      </c>
      <c r="DJ150" s="4">
        <f>(DH150+DI150)/2</f>
        <v/>
      </c>
      <c r="DK150" s="3">
        <f>W_CONS*DE150+W_SEG*DG150+W_MANT*DJ150</f>
        <v/>
      </c>
      <c r="DL150" s="3">
        <f>IF(N(AB150)&gt;0,AB150,IF(AND(R150="profesional",SG_LEGAL_ON=1),GAR_LEGAL,0))</f>
        <v/>
      </c>
      <c r="DM150" s="3">
        <f>MAX(0,MIN(100,SG_GAR*MIN(1,DL150/SG_GAR_FULL)+SG_AMPL*(AC150="sí")+SG_KMC*(AF150="sí")+SG_REV*(N(AE150)&gt;0)+SG_DEV*MIN(1,N(AG150)/SG_DEV_FULL)+SG_HIST*(W150="sí")-IF(AND(R150="particular",DL150=0),SG_PART_PEN,0)))</f>
        <v/>
      </c>
      <c r="DN150" s="3">
        <f>IF(BK150="",NEUTRO,MAX(0,MIN(100,BK150/5*100)))</f>
        <v/>
      </c>
      <c r="DO150" s="3">
        <f>IF(BL150="sí",100,IF(BL150="no",0,NEUTRO))</f>
        <v/>
      </c>
      <c r="DP150" s="3">
        <f>SV_W_NCAP*DN150+SV_W_ESP*DO150</f>
        <v/>
      </c>
      <c r="DQ150" s="3">
        <f>MAX(0,MIN(100,ATR_BASE+ATR_ACAB*(BD150&lt;&gt;"")+IF(BE150="16+",ATR_LL16,IF(BE150="sí",ATR_LL,0))+ATR_FAROS*(BF150="sí")+ATR_TINT*(BG150="sí")-ATR_CHAPA*(BE150="chapa")))</f>
        <v/>
      </c>
      <c r="DR150" s="3">
        <f>EST_W_MOD*(BB150-1)/4*100+EST_W_ATR*DQ150</f>
        <v/>
      </c>
      <c r="DS150" s="3">
        <f>IF(BA150="",NEUTRO,IFERROR(VLOOKUP(BA150,COLOR_TBL,2,0)+0,NEUTRO))</f>
        <v/>
      </c>
      <c r="DT150" s="3">
        <f>MAX(0,MIN(100,100*N(BM150)/RV_N_FULL))</f>
        <v/>
      </c>
      <c r="DU150" s="3">
        <f>IF(OR(BN150="",N(BO150)&lt;RV_DIAS_MIN),NEUTRO,MAX(0,MIN(100,100*(RV_DIAS_CERO-BN150)/(RV_DIAS_CERO-RV_DIAS_FULL))))</f>
        <v/>
      </c>
      <c r="DV150" s="3">
        <f>RV_W_LIQ*DT150+RV_W_DIAS*DU150+RV_W_ETQ*DC150</f>
        <v/>
      </c>
      <c r="DW150" s="3">
        <f>IFERROR(VLOOKUP(L150,CARR_PEN_TBL,2,0),0)</f>
        <v/>
      </c>
      <c r="DX150" s="3">
        <f>W_FIAB*CS150+W_PRECIO*CU150+W_KMEDAD*CY150+W_ESTADO*DB150+W_USO*DK150+W_SEGURIDAD*DM150+W_SEGVIAL*DP150+W_ESTETICA*DR150+W_COLOR*DS150+W_REVENTA*DV150-DW150-EG150</f>
        <v/>
      </c>
      <c r="DY150" s="4">
        <f>IF(N(I150)&gt;0,I150,IFERROR(ROUND(_xlfn.NUMBERVALUE(LEFT(G150,FIND(" ",G150&amp;" ")-1),".")*1000,0),99999))</f>
        <v/>
      </c>
      <c r="DZ150" s="3">
        <f>IF(R150="profesional",0,IF(O150&lt;CUOTA_VALOR_MAX,IF(BW150&gt;ITP_TRAMO_ALTO,SUMIFS(CF_CUOTA,CF_MAS,ITP_TRAMO_ALTO,CF_CCMIN,"&lt;="&amp;DY150,CF_CCMAX,"&gt;="&amp;DY150),IF(BW150&gt;ITP_TRAMO_BAJO,SUMIFS(CF_CUOTA,CF_MAS,ITP_TRAMO_BAJO,CF_CCMIN,"&lt;="&amp;DY150,CF_CCMAX,"&gt;="&amp;DY150),O150*ITP_TIPO)),O150*ITP_TIPO))</f>
        <v/>
      </c>
      <c r="EA150" s="4">
        <f>IF(R150="profesional",N(AK150),0)</f>
        <v/>
      </c>
      <c r="EB150" s="3">
        <f>IF(AND(R150="profesional",ISNUMBER(AK150),AL150="sí"),0,TASA_DGT)</f>
        <v/>
      </c>
      <c r="EC150" s="3">
        <f>INFORME_DGT</f>
        <v/>
      </c>
      <c r="ED150" s="4">
        <f>O150+EA150+DZ150+EB150+EC150</f>
        <v/>
      </c>
      <c r="EE150" s="4">
        <f>ED150+N(DF150)</f>
        <v/>
      </c>
      <c r="EF150" s="3">
        <f>MAX(0,ED150-TOTAL_MAX)</f>
        <v/>
      </c>
      <c r="EG150" s="3">
        <f>EF150/100*PEN_100</f>
        <v/>
      </c>
      <c r="EH150" s="3">
        <f>IF(R150="particular",ED150+IF(AND(DA150&lt;&gt;"cadena",X150&lt;&gt;"sí"),RES_CORREA,0)+IF(AND(BJ150&lt;&gt;"sí",BW150&gt;=RES_NEUM_EDAD),RES_NEUM,0),"")</f>
        <v/>
      </c>
      <c r="EI150" s="3">
        <f>IF(ED150&lt;=TOTAL_MAX,"sí",IF(ED150&lt;=TECHO,"negociar","no"))</f>
        <v/>
      </c>
      <c r="EJ150" s="4">
        <f>ROUND(DX150,9)</f>
        <v/>
      </c>
      <c r="EK150" s="4">
        <f>IF(EI150&lt;&gt;"no",SUMPRODUCT(($EI$2:$EI$209&lt;&gt;"no")*($EJ$2:$EJ$209&gt;EJ150))+SUMPRODUCT(($EI$2:EI150&lt;&gt;"no")*($EJ$2:EJ150=EJ150)),"")</f>
        <v/>
      </c>
    </row>
    <row r="151">
      <c r="A151" s="2" t="inlineStr">
        <is>
          <t>wallapop:1286177883</t>
        </is>
      </c>
      <c r="B151" s="2" t="inlineStr">
        <is>
          <t>wallapop</t>
        </is>
      </c>
      <c r="C151" s="2" t="inlineStr">
        <is>
          <t>https://es.wallapop.com/item/audi-a4-3-0-tdi-quattro-automatico-1286177883</t>
        </is>
      </c>
      <c r="D151" s="2" t="inlineStr">
        <is>
          <t>Audi A4, 3.0 TDI quattro , automático</t>
        </is>
      </c>
      <c r="E151" s="2" t="inlineStr">
        <is>
          <t>Audi</t>
        </is>
      </c>
      <c r="F151" s="2" t="inlineStr">
        <is>
          <t>Audi A4</t>
        </is>
      </c>
      <c r="G151" s="2" t="inlineStr">
        <is>
          <t>3.0 TDI</t>
        </is>
      </c>
      <c r="H151" s="2" t="inlineStr">
        <is>
          <t>3.0 TDI 233 quattro 4p Tip.6v</t>
        </is>
      </c>
      <c r="I151" s="2" t="n"/>
      <c r="J151" s="2" t="n">
        <v>233</v>
      </c>
      <c r="K151" s="2" t="inlineStr">
        <is>
          <t>diesel</t>
        </is>
      </c>
      <c r="L151" s="2" t="inlineStr">
        <is>
          <t>berlina</t>
        </is>
      </c>
      <c r="M151" s="2" t="n">
        <v>2007</v>
      </c>
      <c r="N151" s="2" t="n">
        <v>178000</v>
      </c>
      <c r="O151" s="2" t="n">
        <v>4999</v>
      </c>
      <c r="P151" s="2" t="inlineStr">
        <is>
          <t>automatico</t>
        </is>
      </c>
      <c r="Q151" s="2" t="inlineStr">
        <is>
          <t>sí</t>
        </is>
      </c>
      <c r="R151" s="2" t="inlineStr">
        <is>
          <t>profesional</t>
        </is>
      </c>
      <c r="S151" s="2" t="inlineStr">
        <is>
          <t>Gandía (46700)</t>
        </is>
      </c>
      <c r="T151" s="2" t="inlineStr">
        <is>
          <t>2026-10-22T10:40:54</t>
        </is>
      </c>
      <c r="U151" s="2" t="n">
        <v>7</v>
      </c>
      <c r="V151" s="2" t="n"/>
      <c r="W151" s="2" t="n"/>
      <c r="X151" s="2" t="n"/>
      <c r="Y151" s="2" t="n"/>
      <c r="Z151" s="2" t="n"/>
      <c r="AA151" s="2" t="n"/>
      <c r="AB151" s="2" t="n"/>
      <c r="AC151" s="2" t="n"/>
      <c r="AD151" s="2" t="n"/>
      <c r="AE151" s="2" t="n"/>
      <c r="AF151" s="2" t="n"/>
      <c r="AG151" s="2" t="n"/>
      <c r="AH151" s="2" t="n"/>
      <c r="AI151" s="2" t="n"/>
      <c r="AJ151" s="2" t="n"/>
      <c r="AK151" s="2" t="n"/>
      <c r="AL151" s="2" t="n"/>
      <c r="AM151" s="2" t="n">
        <v>58.1</v>
      </c>
      <c r="AN151" s="2" t="inlineStr">
        <is>
          <t>DE2007EN</t>
        </is>
      </c>
      <c r="AO151" s="2" t="n"/>
      <c r="AP151" s="2" t="n">
        <v>2007</v>
      </c>
      <c r="AQ151" s="2" t="n"/>
      <c r="AR151" s="2" t="n"/>
      <c r="AS151" s="2" t="inlineStr">
        <is>
          <t>regla</t>
        </is>
      </c>
      <c r="AT151" s="2" t="n"/>
      <c r="AU151" s="2" t="inlineStr">
        <is>
          <t>no</t>
        </is>
      </c>
      <c r="AV151" s="2" t="inlineStr">
        <is>
          <t>B</t>
        </is>
      </c>
      <c r="AW151" s="2" t="n"/>
      <c r="AX151" s="2" t="inlineStr">
        <is>
          <t>no</t>
        </is>
      </c>
      <c r="AY151" s="2" t="inlineStr">
        <is>
          <t>no</t>
        </is>
      </c>
      <c r="AZ151" s="2" t="inlineStr">
        <is>
          <t>color gris</t>
        </is>
      </c>
      <c r="BA151" s="2" t="inlineStr">
        <is>
          <t>gris_medio</t>
        </is>
      </c>
      <c r="BB151" s="3" t="n">
        <v>3</v>
      </c>
      <c r="BC151" s="3" t="inlineStr">
        <is>
          <t>(por segmento)</t>
        </is>
      </c>
      <c r="BD151" s="2" t="n"/>
      <c r="BE151" s="2" t="n"/>
      <c r="BF151" s="2" t="inlineStr">
        <is>
          <t>sí</t>
        </is>
      </c>
      <c r="BG151" s="2" t="n"/>
      <c r="BH151" s="2" t="n"/>
      <c r="BI151" s="2" t="n"/>
      <c r="BJ151" s="2" t="n"/>
      <c r="BK151" s="2" t="n">
        <v>4</v>
      </c>
      <c r="BL151" s="2" t="inlineStr">
        <is>
          <t>sí</t>
        </is>
      </c>
      <c r="BM151" s="2" t="n">
        <v>324</v>
      </c>
      <c r="BN151" s="2" t="n"/>
      <c r="BO151" s="2" t="n">
        <v>0</v>
      </c>
      <c r="BP151" s="2" t="n">
        <v>7550</v>
      </c>
      <c r="BQ151" s="2" t="n">
        <v>8</v>
      </c>
      <c r="BR151" s="2" t="inlineStr">
        <is>
          <t>modelo+año+km</t>
        </is>
      </c>
      <c r="BS151" s="2" t="n"/>
      <c r="BT151" s="2" t="inlineStr">
        <is>
          <t>por encima del presupuesto: negociar 63 € (coste 5063 €; -1.3 puntos); vendedor profesional: sin ITP (operación con IVA/REBU, confirmar en factura); gastos de gestión del vendedor no indicados: se suma la tasa DGT; preguntar el precio final; diésel: motor sin fuente de fiabilidad (fiabilidad limitada a neutra); etiqueta B deducida por fecha (sin matrícula ni dato del anuncio); revisar: no menciona la ITV; fiabilidad del modelo PENDIENTE de fuente (puntuación neutra)</t>
        </is>
      </c>
      <c r="BU151" s="2" t="inlineStr">
        <is>
          <t>Audi A4 sedán de 2007 en color gris.
- Modelo A4.
- Año 2007.
- Color gris.
Navegador GPS
Faros de xenon</t>
        </is>
      </c>
      <c r="BV151" s="2" t="inlineStr">
        <is>
          <t>https://es.wallapop.com/item/audi-a4-3-0-tdi-quattro-automatico-1286177883 (__NEXT_DATA__ item) /home/user/Alopecia/buscador-coches/raw/wallapop/4c7fd121a22ba350.json</t>
        </is>
      </c>
      <c r="BW151" s="3">
        <f>MAX(ANIO_ACTUAL-M151,0)</f>
        <v/>
      </c>
      <c r="BX151" s="4">
        <f>N151/MAX(BW151,0.5)</f>
        <v/>
      </c>
      <c r="BY151" s="4">
        <f>F151</f>
        <v/>
      </c>
      <c r="BZ151" s="3">
        <f>BY151&amp;"|"&amp;INT(M151/SEG_ANIO)*SEG_ANIO</f>
        <v/>
      </c>
      <c r="CA151" s="3">
        <f>BZ151&amp;"|"&amp;INT(N151/SEG_KM)*SEG_KM</f>
        <v/>
      </c>
      <c r="CB151" s="4">
        <f>COUNTIF($BY$2:$BY$209,BY151)</f>
        <v/>
      </c>
      <c r="CC151" s="4">
        <f>COUNTIF($BZ$2:$BZ$209,BZ151)</f>
        <v/>
      </c>
      <c r="CD151" s="4">
        <f>COUNTIF($CA$2:$CA$209,CA151)</f>
        <v/>
      </c>
      <c r="CE151" s="3">
        <f t="array" ref="CE151">IF(N(BQ151)&gt;=MIN_N,BP151,IF(CD151&gt;=MIN_N,MEDIAN(IF($CA$2:$CA$209=CA151,$O$2:$O$209)),IF(CC151&gt;=MIN_N,MEDIAN(IF($BZ$2:$BZ$209=BZ151,$O$2:$O$209)),MEDIAN(IF($BY$2:$BY$209=BY151,$O$2:$O$209)))))</f>
        <v/>
      </c>
      <c r="CF151" s="3">
        <f>IF(N(BQ151)&gt;=MIN_N,"mercado "&amp;BR151,IF(CD151&gt;=MIN_N,"modelo+año+km",IF(CC151&gt;=MIN_N,"modelo+año","modelo")))</f>
        <v/>
      </c>
      <c r="CG151" s="4">
        <f>(CE151-O151)/CE151</f>
        <v/>
      </c>
      <c r="CH151" s="3">
        <f>IF(COUNTIFS(FR_FUEL,K151,FR_YEAR,AP151)&gt;0,1,0)</f>
        <v/>
      </c>
      <c r="CI151" s="3">
        <f>IF(COUNTIFS(FR_FUEL,K151,FR_YEAR,AP151-1)&gt;0,1,0)</f>
        <v/>
      </c>
      <c r="CJ151" s="4">
        <f>IF(N(AQ151)&gt;0,AP151*100+AQ151,IF(AND(CH151=1,CI151=1),(AP151-1)*100+1,AP151*100+1))</f>
        <v/>
      </c>
      <c r="CK151" s="3">
        <f>IF(OR(K151="hibrido",K151="glp",K151="gnc",K151="phev"),"ECO",IF(K151="electrico","CERO",IF(K151="gasolina",IF(CJ151&gt;=GAS_C_YM,"C",IF(CJ151&gt;=GAS_B_YM,"B","A")),IF(K151="diesel",IF(CJ151&gt;=DIE_C_YM,"C",IF(CJ151&gt;=DIE_B_YM,"B","A")),""))))</f>
        <v/>
      </c>
      <c r="CL151" s="4">
        <f>CK151</f>
        <v/>
      </c>
      <c r="CM151" s="4">
        <f>IF(AU151="sí","sí",IF(AS151="regla",IF(AND(N(AQ151)=0,CH151=1),"sí","no"),"no"))</f>
        <v/>
      </c>
      <c r="CN151" s="3">
        <f>IFERROR(VLOOKUP(F151,MOD_TBL,16,0),IFERROR(VLOOKUP(E151,OCU_TBL,2,0),NEUTRO))</f>
        <v/>
      </c>
      <c r="CO151" s="3">
        <f>SUMIFS(MOT_AJUSTE,MOT_MOTOR,G151,MOT_MARCA,E151,MOT_DESDE,"&lt;="&amp;M151,MOT_HASTA,"&gt;="&amp;M151)+SUMIFS(MOT_AJUSTE,MOT_MOTOR,G151,MOT_MARCA,"(todas)",MOT_DESDE,"&lt;="&amp;M151,MOT_HASTA,"&gt;="&amp;M151)+SUMIFS(MOT_AJUSTE,MOT_MOTOR,"(cualquiera)",MOT_MARCA,E151,MOT_DESDE,"&lt;="&amp;M151,MOT_HASTA,"&gt;="&amp;M151)</f>
        <v/>
      </c>
      <c r="CP151" s="3">
        <f>SUMIFS(COMB_AJUSTE,COMB_COMB,K151)</f>
        <v/>
      </c>
      <c r="CQ151" s="3">
        <f>COUNTIFS(MOT_MOTOR,G151,MOT_MARCA,E151,MOT_DESDE,"&lt;="&amp;M151,MOT_HASTA,"&gt;="&amp;M151)+COUNTIFS(MOT_MOTOR,G151,MOT_MARCA,"(todas)",MOT_DESDE,"&lt;="&amp;M151,MOT_HASTA,"&gt;="&amp;M151)+COUNTIFS(MOT_MOTOR,"(cualquiera)",MOT_MARCA,E151,MOT_DESDE,"&lt;="&amp;M151,MOT_HASTA,"&gt;="&amp;M151)</f>
        <v/>
      </c>
      <c r="CR151" s="3">
        <f>IF(AND(K151="diesel",CQ151=0),MIN(CN151,NEUTRO),CN151)</f>
        <v/>
      </c>
      <c r="CS151" s="3">
        <f>MAX(0,MIN(100,CR151+CO151+CP151-IF(AX151="sí",ROB_PEN,0)))</f>
        <v/>
      </c>
      <c r="CT151" s="3">
        <f>100-MAX(0,N151-KM_TOPE_DESDE)/1000*KM_TOPE_PTS</f>
        <v/>
      </c>
      <c r="CU151" s="3">
        <f>MAX(0,MIN(100,50+CG151*PRECIO_PEND,CT151))</f>
        <v/>
      </c>
      <c r="CV151" s="3">
        <f>MAX(0,100*(1-N151/KM_MAX))</f>
        <v/>
      </c>
      <c r="CW151" s="3">
        <f>IF(BX151&lt;KMA_SOSP,IF(AA151="sí",100,KMA_PEN),IF(BX151&lt;=KMA_IDEAL_MAX,100,MAX(0,100*(KMA_CERO-BX151)/(KMA_CERO-KMA_IDEAL_MAX))))</f>
        <v/>
      </c>
      <c r="CX151" s="3">
        <f>MAX(0,MIN(100,100*(M151-ANIO_MIN)/(ANIO_ACTUAL-ANIO_MIN)))</f>
        <v/>
      </c>
      <c r="CY151" s="3">
        <f>W_KMT*CV151+W_KMA*CW151+W_EDAD*CX151</f>
        <v/>
      </c>
      <c r="CZ151" s="4">
        <f>E151&amp;"|"&amp;G151</f>
        <v/>
      </c>
      <c r="DA151" s="3">
        <f>IFERROR(VLOOKUP(CZ151,DIST_TBL,2,0),"")</f>
        <v/>
      </c>
      <c r="DB151" s="3">
        <f>E_ITV*(V151="sí")+E_LIBRO*(W151="sí")+E_PROP*IF(Y151=1,1,IF(Y151=2,0.5,0))+E_CORREA*IF(OR(DA151="cadena",AND(X151="sí",BH151="sí")),1,IF(X151="sí",0.5,0))+E_FACT*(BI151="sí")</f>
        <v/>
      </c>
      <c r="DC151" s="3">
        <f>MAX(0,MIN(100,IFERROR(VLOOKUP(CL151,ETQ_TBL,2,0),0)-IF(CM151="sí",ETQ_PEN_DUD,IF(AS151="regla",ETQ_PEN_REGLA,0))))</f>
        <v/>
      </c>
      <c r="DD151" s="3">
        <f>IF(K151&lt;&gt;"gasolina","",IFERROR(VLOOKUP(F151,CONS_MOD_TBL,2,0),IFERROR(VLOOKUP(L151,CONS_SEG_TBL,2,0),"")))</f>
        <v/>
      </c>
      <c r="DE151" s="3">
        <f>IF(DD151="",NEUTRO,MAX(0,MIN(100,100*(CONS_REF_MAX-DD151)/(CONS_REF_MAX-CONS_REF_MIN))))</f>
        <v/>
      </c>
      <c r="DF151" s="3">
        <f>IFERROR(VLOOKUP(L151,SEGURO_TBL,3,0),"")</f>
        <v/>
      </c>
      <c r="DG151" s="3">
        <f>IF(DF151="",NEUTRO,MAX(0,MIN(100,100*(SEG_REF_MAX-DF151)/(SEG_REF_MAX-SEG_REF_MIN))))</f>
        <v/>
      </c>
      <c r="DH151" s="3">
        <f>IFERROR(VLOOKUP(E151,MANT_MARCA_TBL,2,0)+0,NEUTRO)</f>
        <v/>
      </c>
      <c r="DI151" s="3">
        <f>IF(DA151="",NEUTRO,IFERROR(VLOOKUP(DA151,DIST_PTS_TBL,2,0)+0,NEUTRO))</f>
        <v/>
      </c>
      <c r="DJ151" s="4">
        <f>(DH151+DI151)/2</f>
        <v/>
      </c>
      <c r="DK151" s="3">
        <f>W_CONS*DE151+W_SEG*DG151+W_MANT*DJ151</f>
        <v/>
      </c>
      <c r="DL151" s="3">
        <f>IF(N(AB151)&gt;0,AB151,IF(AND(R151="profesional",SG_LEGAL_ON=1),GAR_LEGAL,0))</f>
        <v/>
      </c>
      <c r="DM151" s="3">
        <f>MAX(0,MIN(100,SG_GAR*MIN(1,DL151/SG_GAR_FULL)+SG_AMPL*(AC151="sí")+SG_KMC*(AF151="sí")+SG_REV*(N(AE151)&gt;0)+SG_DEV*MIN(1,N(AG151)/SG_DEV_FULL)+SG_HIST*(W151="sí")-IF(AND(R151="particular",DL151=0),SG_PART_PEN,0)))</f>
        <v/>
      </c>
      <c r="DN151" s="3">
        <f>IF(BK151="",NEUTRO,MAX(0,MIN(100,BK151/5*100)))</f>
        <v/>
      </c>
      <c r="DO151" s="3">
        <f>IF(BL151="sí",100,IF(BL151="no",0,NEUTRO))</f>
        <v/>
      </c>
      <c r="DP151" s="3">
        <f>SV_W_NCAP*DN151+SV_W_ESP*DO151</f>
        <v/>
      </c>
      <c r="DQ151" s="3">
        <f>MAX(0,MIN(100,ATR_BASE+ATR_ACAB*(BD151&lt;&gt;"")+IF(BE151="16+",ATR_LL16,IF(BE151="sí",ATR_LL,0))+ATR_FAROS*(BF151="sí")+ATR_TINT*(BG151="sí")-ATR_CHAPA*(BE151="chapa")))</f>
        <v/>
      </c>
      <c r="DR151" s="3">
        <f>EST_W_MOD*(BB151-1)/4*100+EST_W_ATR*DQ151</f>
        <v/>
      </c>
      <c r="DS151" s="3">
        <f>IF(BA151="",NEUTRO,IFERROR(VLOOKUP(BA151,COLOR_TBL,2,0)+0,NEUTRO))</f>
        <v/>
      </c>
      <c r="DT151" s="3">
        <f>MAX(0,MIN(100,100*N(BM151)/RV_N_FULL))</f>
        <v/>
      </c>
      <c r="DU151" s="3">
        <f>IF(OR(BN151="",N(BO151)&lt;RV_DIAS_MIN),NEUTRO,MAX(0,MIN(100,100*(RV_DIAS_CERO-BN151)/(RV_DIAS_CERO-RV_DIAS_FULL))))</f>
        <v/>
      </c>
      <c r="DV151" s="3">
        <f>RV_W_LIQ*DT151+RV_W_DIAS*DU151+RV_W_ETQ*DC151</f>
        <v/>
      </c>
      <c r="DW151" s="3">
        <f>IFERROR(VLOOKUP(L151,CARR_PEN_TBL,2,0),0)</f>
        <v/>
      </c>
      <c r="DX151" s="3">
        <f>W_FIAB*CS151+W_PRECIO*CU151+W_KMEDAD*CY151+W_ESTADO*DB151+W_USO*DK151+W_SEGURIDAD*DM151+W_SEGVIAL*DP151+W_ESTETICA*DR151+W_COLOR*DS151+W_REVENTA*DV151-DW151-EG151</f>
        <v/>
      </c>
      <c r="DY151" s="4">
        <f>IF(N(I151)&gt;0,I151,IFERROR(ROUND(_xlfn.NUMBERVALUE(LEFT(G151,FIND(" ",G151&amp;" ")-1),".")*1000,0),99999))</f>
        <v/>
      </c>
      <c r="DZ151" s="3">
        <f>IF(R151="profesional",0,IF(O151&lt;CUOTA_VALOR_MAX,IF(BW151&gt;ITP_TRAMO_ALTO,SUMIFS(CF_CUOTA,CF_MAS,ITP_TRAMO_ALTO,CF_CCMIN,"&lt;="&amp;DY151,CF_CCMAX,"&gt;="&amp;DY151),IF(BW151&gt;ITP_TRAMO_BAJO,SUMIFS(CF_CUOTA,CF_MAS,ITP_TRAMO_BAJO,CF_CCMIN,"&lt;="&amp;DY151,CF_CCMAX,"&gt;="&amp;DY151),O151*ITP_TIPO)),O151*ITP_TIPO))</f>
        <v/>
      </c>
      <c r="EA151" s="4">
        <f>IF(R151="profesional",N(AK151),0)</f>
        <v/>
      </c>
      <c r="EB151" s="3">
        <f>IF(AND(R151="profesional",ISNUMBER(AK151),AL151="sí"),0,TASA_DGT)</f>
        <v/>
      </c>
      <c r="EC151" s="3">
        <f>INFORME_DGT</f>
        <v/>
      </c>
      <c r="ED151" s="4">
        <f>O151+EA151+DZ151+EB151+EC151</f>
        <v/>
      </c>
      <c r="EE151" s="4">
        <f>ED151+N(DF151)</f>
        <v/>
      </c>
      <c r="EF151" s="3">
        <f>MAX(0,ED151-TOTAL_MAX)</f>
        <v/>
      </c>
      <c r="EG151" s="3">
        <f>EF151/100*PEN_100</f>
        <v/>
      </c>
      <c r="EH151" s="3">
        <f>IF(R151="particular",ED151+IF(AND(DA151&lt;&gt;"cadena",X151&lt;&gt;"sí"),RES_CORREA,0)+IF(AND(BJ151&lt;&gt;"sí",BW151&gt;=RES_NEUM_EDAD),RES_NEUM,0),"")</f>
        <v/>
      </c>
      <c r="EI151" s="3">
        <f>IF(ED151&lt;=TOTAL_MAX,"sí",IF(ED151&lt;=TECHO,"negociar","no"))</f>
        <v/>
      </c>
      <c r="EJ151" s="4">
        <f>ROUND(DX151,9)</f>
        <v/>
      </c>
      <c r="EK151" s="4">
        <f>IF(EI151&lt;&gt;"no",SUMPRODUCT(($EI$2:$EI$209&lt;&gt;"no")*($EJ$2:$EJ$209&gt;EJ151))+SUMPRODUCT(($EI$2:EI151&lt;&gt;"no")*($EJ$2:EJ151=EJ151)),"")</f>
        <v/>
      </c>
    </row>
    <row r="152">
      <c r="A152" s="2" t="inlineStr">
        <is>
          <t>autoscout24:2528c455-49de-4234-bf19-aa358e92ee05</t>
        </is>
      </c>
      <c r="B152" s="2" t="inlineStr">
        <is>
          <t>autoscout24</t>
        </is>
      </c>
      <c r="C152" s="2" t="inlineStr">
        <is>
          <t>https://www.autoscout24.es/anuncios/skoda-fabia-1-2-spirit-gasolina-blanco-cat_ma65mo15878-2528c455-49de-4234-bf19-aa358e92ee05</t>
        </is>
      </c>
      <c r="D152" s="2" t="inlineStr">
        <is>
          <t>Skoda Fabia 1.2 Spirit</t>
        </is>
      </c>
      <c r="E152" s="2" t="inlineStr">
        <is>
          <t>Skoda</t>
        </is>
      </c>
      <c r="F152" s="2" t="inlineStr">
        <is>
          <t>Skoda Fabia</t>
        </is>
      </c>
      <c r="G152" s="2" t="inlineStr">
        <is>
          <t>1.2</t>
        </is>
      </c>
      <c r="H152" s="2" t="inlineStr">
        <is>
          <t>1.2 Spirit 1.2</t>
        </is>
      </c>
      <c r="I152" s="2" t="n">
        <v>1198</v>
      </c>
      <c r="J152" s="2" t="n">
        <v>60</v>
      </c>
      <c r="K152" s="2" t="inlineStr">
        <is>
          <t>gasolina</t>
        </is>
      </c>
      <c r="L152" s="2" t="inlineStr">
        <is>
          <t>utilitario</t>
        </is>
      </c>
      <c r="M152" s="2" t="n">
        <v>2010</v>
      </c>
      <c r="N152" s="2" t="n">
        <v>120000</v>
      </c>
      <c r="O152" s="2" t="n">
        <v>5490</v>
      </c>
      <c r="P152" s="2" t="inlineStr">
        <is>
          <t>manual</t>
        </is>
      </c>
      <c r="Q152" s="2" t="inlineStr">
        <is>
          <t>no</t>
        </is>
      </c>
      <c r="R152" s="2" t="inlineStr">
        <is>
          <t>profesional</t>
        </is>
      </c>
      <c r="S152" s="2" t="inlineStr">
        <is>
          <t>SAGA VEHICULOS — MASSANASSA (46470)</t>
        </is>
      </c>
      <c r="T152" s="2" t="n"/>
      <c r="U152" s="2" t="n">
        <v>24</v>
      </c>
      <c r="V152" s="2" t="n"/>
      <c r="W152" s="2" t="n"/>
      <c r="X152" s="2" t="n"/>
      <c r="Y152" s="2" t="n"/>
      <c r="Z152" s="2" t="inlineStr">
        <is>
          <t>sí</t>
        </is>
      </c>
      <c r="AA152" s="2" t="n"/>
      <c r="AB152" s="2" t="n">
        <v>12</v>
      </c>
      <c r="AC152" s="2" t="inlineStr">
        <is>
          <t>sí</t>
        </is>
      </c>
      <c r="AD152" s="2" t="n"/>
      <c r="AE152" s="2" t="n"/>
      <c r="AF152" s="2" t="n"/>
      <c r="AG152" s="2" t="n"/>
      <c r="AH152" s="2" t="n"/>
      <c r="AI152" s="2" t="n"/>
      <c r="AJ152" s="2" t="n"/>
      <c r="AK152" s="2" t="n">
        <v>350</v>
      </c>
      <c r="AL152" s="2" t="inlineStr">
        <is>
          <t>no</t>
        </is>
      </c>
      <c r="AM152" s="2" t="n">
        <v>7.1</v>
      </c>
      <c r="AN152" s="2" t="n"/>
      <c r="AO152" s="2" t="inlineStr">
        <is>
          <t>2010-09</t>
        </is>
      </c>
      <c r="AP152" s="2" t="n">
        <v>2010</v>
      </c>
      <c r="AQ152" s="2" t="n">
        <v>9</v>
      </c>
      <c r="AR152" s="2" t="n"/>
      <c r="AS152" s="2" t="inlineStr">
        <is>
          <t>regla</t>
        </is>
      </c>
      <c r="AT152" s="2" t="n"/>
      <c r="AU152" s="2" t="inlineStr">
        <is>
          <t>no</t>
        </is>
      </c>
      <c r="AV152" s="2" t="inlineStr">
        <is>
          <t>C</t>
        </is>
      </c>
      <c r="AW152" s="2" t="n"/>
      <c r="AX152" s="2" t="inlineStr">
        <is>
          <t>no</t>
        </is>
      </c>
      <c r="AY152" s="2" t="inlineStr">
        <is>
          <t>no</t>
        </is>
      </c>
      <c r="AZ152" s="2" t="inlineStr">
        <is>
          <t>Blanco</t>
        </is>
      </c>
      <c r="BA152" s="2" t="inlineStr">
        <is>
          <t>blanco</t>
        </is>
      </c>
      <c r="BB152" s="3" t="n">
        <v>2</v>
      </c>
      <c r="BC152" s="3" t="inlineStr">
        <is>
          <t>(por segmento)</t>
        </is>
      </c>
      <c r="BD152" s="2" t="n"/>
      <c r="BE152" s="2" t="n"/>
      <c r="BF152" s="2" t="n"/>
      <c r="BG152" s="2" t="n"/>
      <c r="BH152" s="2" t="n"/>
      <c r="BI152" s="2" t="n"/>
      <c r="BJ152" s="2" t="n"/>
      <c r="BK152" s="2" t="n">
        <v>4</v>
      </c>
      <c r="BL152" s="2" t="inlineStr">
        <is>
          <t>sí</t>
        </is>
      </c>
      <c r="BM152" s="2" t="n">
        <v>148</v>
      </c>
      <c r="BN152" s="2" t="n">
        <v>0.0437789352145046</v>
      </c>
      <c r="BO152" s="2" t="n">
        <v>2</v>
      </c>
      <c r="BP152" s="2" t="n">
        <v>5187</v>
      </c>
      <c r="BQ152" s="2" t="n">
        <v>6</v>
      </c>
      <c r="BR152" s="2" t="inlineStr">
        <is>
          <t>modelo+año</t>
        </is>
      </c>
      <c r="BS152" s="2" t="n"/>
      <c r="BT152" s="2" t="inlineStr">
        <is>
          <t>por encima del presupuesto: negociar 904 € (coste 5904 €; -18.1 puntos); vendedor profesional: sin ITP (operación con IVA/REBU, confirmar en factura); gastos del vendedor sin indicar si incluyen la transferencia: se suma la tasa DGT; etiqueta C deducida por fecha (sin matrícula ni dato del anuncio); revisar: no menciona la ITV</t>
        </is>
      </c>
      <c r="BU152" s="2" t="inlineStr">
        <is>
          <t>Skoda Fabia 1.2 Spirit, 60CV, Gasolina, vehículo muy bien cuidado.&lt;br /&gt;Más de 100 coches en stock, Por favor llámenos para más información, atendemos SOLO CON CITA PREVIA. Gracias!!!!&lt;br /&gt;Financiación de hasta el 100% del vehículo!&lt;br /&gt;Gestión documental no incluido 350€ &lt;br /&gt;Garantía Premium 12 Meses con cobertura a nivel nacional 399€&lt;br /&gt;Saga Vehículos, estamos en C/ Motor Sant Agustí, 41, 46470 Massanassa, Valencia.&lt;br /&gt;Horario: De lunes a viernes de 10:00 a 14:00 y de 16:00 a 19:00.&lt;br /&gt;Sabado de 10:00 a 14:00.&lt;br /&gt;- Aire acondicionado&lt;br /&gt;- Dirección asistida&lt;br /&gt;- Freno ABS/EBD&lt;br /&gt;- Control de estabilidad ESP&lt;br /&gt;- Airbags&lt;br /&gt;- Ordenador abordo&lt;br /&gt;- Sistema multimedia/BLUETOOTH/CD&lt;br /&gt;- Llaves mandos a distancia y mucho mas....&lt;br /&gt;Este anuncio no es vinculante, se muestra a titulo informativo y no contractual.&lt;br /&gt;&lt;br /&gt;&lt;br /&gt; &lt;strong&gt;Extras&lt;/strong&gt; &lt;br /&gt; &lt;strong&gt;Equipamiento destacado seleccionado por el usuario&lt;/strong&gt; &lt;br /&gt; &lt;br /&gt;- Airbag pasajero con sistema de desconexión&lt;br /&gt;</t>
        </is>
      </c>
      <c r="BV152" s="2" t="inlineStr">
        <is>
          <t>https://www.autoscout24.es/anuncios/skoda-fabia-1-2-spirit-gasolina-blanco-cat_ma65mo15878-2528c455-49de-4234-bf19-aa358e92ee05 (__NEXT_DATA__ listingDetails) /home/user/Alopecia/buscador-coches/raw/autoscout24/4b1186411808b565.json</t>
        </is>
      </c>
      <c r="BW152" s="3">
        <f>MAX(ANIO_ACTUAL-M152,0)</f>
        <v/>
      </c>
      <c r="BX152" s="4">
        <f>N152/MAX(BW152,0.5)</f>
        <v/>
      </c>
      <c r="BY152" s="4">
        <f>F152</f>
        <v/>
      </c>
      <c r="BZ152" s="3">
        <f>BY152&amp;"|"&amp;INT(M152/SEG_ANIO)*SEG_ANIO</f>
        <v/>
      </c>
      <c r="CA152" s="3">
        <f>BZ152&amp;"|"&amp;INT(N152/SEG_KM)*SEG_KM</f>
        <v/>
      </c>
      <c r="CB152" s="4">
        <f>COUNTIF($BY$2:$BY$209,BY152)</f>
        <v/>
      </c>
      <c r="CC152" s="4">
        <f>COUNTIF($BZ$2:$BZ$209,BZ152)</f>
        <v/>
      </c>
      <c r="CD152" s="4">
        <f>COUNTIF($CA$2:$CA$209,CA152)</f>
        <v/>
      </c>
      <c r="CE152" s="3">
        <f t="array" ref="CE152">IF(N(BQ152)&gt;=MIN_N,BP152,IF(CD152&gt;=MIN_N,MEDIAN(IF($CA$2:$CA$209=CA152,$O$2:$O$209)),IF(CC152&gt;=MIN_N,MEDIAN(IF($BZ$2:$BZ$209=BZ152,$O$2:$O$209)),MEDIAN(IF($BY$2:$BY$209=BY152,$O$2:$O$209)))))</f>
        <v/>
      </c>
      <c r="CF152" s="3">
        <f>IF(N(BQ152)&gt;=MIN_N,"mercado "&amp;BR152,IF(CD152&gt;=MIN_N,"modelo+año+km",IF(CC152&gt;=MIN_N,"modelo+año","modelo")))</f>
        <v/>
      </c>
      <c r="CG152" s="4">
        <f>(CE152-O152)/CE152</f>
        <v/>
      </c>
      <c r="CH152" s="3">
        <f>IF(COUNTIFS(FR_FUEL,K152,FR_YEAR,AP152)&gt;0,1,0)</f>
        <v/>
      </c>
      <c r="CI152" s="3">
        <f>IF(COUNTIFS(FR_FUEL,K152,FR_YEAR,AP152-1)&gt;0,1,0)</f>
        <v/>
      </c>
      <c r="CJ152" s="4">
        <f>IF(N(AQ152)&gt;0,AP152*100+AQ152,IF(AND(CH152=1,CI152=1),(AP152-1)*100+1,AP152*100+1))</f>
        <v/>
      </c>
      <c r="CK152" s="3">
        <f>IF(OR(K152="hibrido",K152="glp",K152="gnc",K152="phev"),"ECO",IF(K152="electrico","CERO",IF(K152="gasolina",IF(CJ152&gt;=GAS_C_YM,"C",IF(CJ152&gt;=GAS_B_YM,"B","A")),IF(K152="diesel",IF(CJ152&gt;=DIE_C_YM,"C",IF(CJ152&gt;=DIE_B_YM,"B","A")),""))))</f>
        <v/>
      </c>
      <c r="CL152" s="4">
        <f>CK152</f>
        <v/>
      </c>
      <c r="CM152" s="4">
        <f>IF(AU152="sí","sí",IF(AS152="regla",IF(AND(N(AQ152)=0,CH152=1),"sí","no"),"no"))</f>
        <v/>
      </c>
      <c r="CN152" s="3">
        <f>IFERROR(VLOOKUP(F152,MOD_TBL,16,0),IFERROR(VLOOKUP(E152,OCU_TBL,2,0),NEUTRO))</f>
        <v/>
      </c>
      <c r="CO152" s="3">
        <f>SUMIFS(MOT_AJUSTE,MOT_MOTOR,G152,MOT_MARCA,E152,MOT_DESDE,"&lt;="&amp;M152,MOT_HASTA,"&gt;="&amp;M152)+SUMIFS(MOT_AJUSTE,MOT_MOTOR,G152,MOT_MARCA,"(todas)",MOT_DESDE,"&lt;="&amp;M152,MOT_HASTA,"&gt;="&amp;M152)+SUMIFS(MOT_AJUSTE,MOT_MOTOR,"(cualquiera)",MOT_MARCA,E152,MOT_DESDE,"&lt;="&amp;M152,MOT_HASTA,"&gt;="&amp;M152)</f>
        <v/>
      </c>
      <c r="CP152" s="3">
        <f>SUMIFS(COMB_AJUSTE,COMB_COMB,K152)</f>
        <v/>
      </c>
      <c r="CQ152" s="3">
        <f>COUNTIFS(MOT_MOTOR,G152,MOT_MARCA,E152,MOT_DESDE,"&lt;="&amp;M152,MOT_HASTA,"&gt;="&amp;M152)+COUNTIFS(MOT_MOTOR,G152,MOT_MARCA,"(todas)",MOT_DESDE,"&lt;="&amp;M152,MOT_HASTA,"&gt;="&amp;M152)+COUNTIFS(MOT_MOTOR,"(cualquiera)",MOT_MARCA,E152,MOT_DESDE,"&lt;="&amp;M152,MOT_HASTA,"&gt;="&amp;M152)</f>
        <v/>
      </c>
      <c r="CR152" s="3">
        <f>IF(AND(K152="diesel",CQ152=0),MIN(CN152,NEUTRO),CN152)</f>
        <v/>
      </c>
      <c r="CS152" s="3">
        <f>MAX(0,MIN(100,CR152+CO152+CP152-IF(AX152="sí",ROB_PEN,0)))</f>
        <v/>
      </c>
      <c r="CT152" s="3">
        <f>100-MAX(0,N152-KM_TOPE_DESDE)/1000*KM_TOPE_PTS</f>
        <v/>
      </c>
      <c r="CU152" s="3">
        <f>MAX(0,MIN(100,50+CG152*PRECIO_PEND,CT152))</f>
        <v/>
      </c>
      <c r="CV152" s="3">
        <f>MAX(0,100*(1-N152/KM_MAX))</f>
        <v/>
      </c>
      <c r="CW152" s="3">
        <f>IF(BX152&lt;KMA_SOSP,IF(AA152="sí",100,KMA_PEN),IF(BX152&lt;=KMA_IDEAL_MAX,100,MAX(0,100*(KMA_CERO-BX152)/(KMA_CERO-KMA_IDEAL_MAX))))</f>
        <v/>
      </c>
      <c r="CX152" s="3">
        <f>MAX(0,MIN(100,100*(M152-ANIO_MIN)/(ANIO_ACTUAL-ANIO_MIN)))</f>
        <v/>
      </c>
      <c r="CY152" s="3">
        <f>W_KMT*CV152+W_KMA*CW152+W_EDAD*CX152</f>
        <v/>
      </c>
      <c r="CZ152" s="4">
        <f>E152&amp;"|"&amp;G152</f>
        <v/>
      </c>
      <c r="DA152" s="3">
        <f>IFERROR(VLOOKUP(CZ152,DIST_TBL,2,0),"")</f>
        <v/>
      </c>
      <c r="DB152" s="3">
        <f>E_ITV*(V152="sí")+E_LIBRO*(W152="sí")+E_PROP*IF(Y152=1,1,IF(Y152=2,0.5,0))+E_CORREA*IF(OR(DA152="cadena",AND(X152="sí",BH152="sí")),1,IF(X152="sí",0.5,0))+E_FACT*(BI152="sí")</f>
        <v/>
      </c>
      <c r="DC152" s="3">
        <f>MAX(0,MIN(100,IFERROR(VLOOKUP(CL152,ETQ_TBL,2,0),0)-IF(CM152="sí",ETQ_PEN_DUD,IF(AS152="regla",ETQ_PEN_REGLA,0))))</f>
        <v/>
      </c>
      <c r="DD152" s="3">
        <f>IF(K152&lt;&gt;"gasolina","",IFERROR(VLOOKUP(F152,CONS_MOD_TBL,2,0),IFERROR(VLOOKUP(L152,CONS_SEG_TBL,2,0),"")))</f>
        <v/>
      </c>
      <c r="DE152" s="3">
        <f>IF(DD152="",NEUTRO,MAX(0,MIN(100,100*(CONS_REF_MAX-DD152)/(CONS_REF_MAX-CONS_REF_MIN))))</f>
        <v/>
      </c>
      <c r="DF152" s="3">
        <f>IFERROR(VLOOKUP(L152,SEGURO_TBL,3,0),"")</f>
        <v/>
      </c>
      <c r="DG152" s="3">
        <f>IF(DF152="",NEUTRO,MAX(0,MIN(100,100*(SEG_REF_MAX-DF152)/(SEG_REF_MAX-SEG_REF_MIN))))</f>
        <v/>
      </c>
      <c r="DH152" s="3">
        <f>IFERROR(VLOOKUP(E152,MANT_MARCA_TBL,2,0)+0,NEUTRO)</f>
        <v/>
      </c>
      <c r="DI152" s="3">
        <f>IF(DA152="",NEUTRO,IFERROR(VLOOKUP(DA152,DIST_PTS_TBL,2,0)+0,NEUTRO))</f>
        <v/>
      </c>
      <c r="DJ152" s="4">
        <f>(DH152+DI152)/2</f>
        <v/>
      </c>
      <c r="DK152" s="3">
        <f>W_CONS*DE152+W_SEG*DG152+W_MANT*DJ152</f>
        <v/>
      </c>
      <c r="DL152" s="3">
        <f>IF(N(AB152)&gt;0,AB152,IF(AND(R152="profesional",SG_LEGAL_ON=1),GAR_LEGAL,0))</f>
        <v/>
      </c>
      <c r="DM152" s="3">
        <f>MAX(0,MIN(100,SG_GAR*MIN(1,DL152/SG_GAR_FULL)+SG_AMPL*(AC152="sí")+SG_KMC*(AF152="sí")+SG_REV*(N(AE152)&gt;0)+SG_DEV*MIN(1,N(AG152)/SG_DEV_FULL)+SG_HIST*(W152="sí")-IF(AND(R152="particular",DL152=0),SG_PART_PEN,0)))</f>
        <v/>
      </c>
      <c r="DN152" s="3">
        <f>IF(BK152="",NEUTRO,MAX(0,MIN(100,BK152/5*100)))</f>
        <v/>
      </c>
      <c r="DO152" s="3">
        <f>IF(BL152="sí",100,IF(BL152="no",0,NEUTRO))</f>
        <v/>
      </c>
      <c r="DP152" s="3">
        <f>SV_W_NCAP*DN152+SV_W_ESP*DO152</f>
        <v/>
      </c>
      <c r="DQ152" s="3">
        <f>MAX(0,MIN(100,ATR_BASE+ATR_ACAB*(BD152&lt;&gt;"")+IF(BE152="16+",ATR_LL16,IF(BE152="sí",ATR_LL,0))+ATR_FAROS*(BF152="sí")+ATR_TINT*(BG152="sí")-ATR_CHAPA*(BE152="chapa")))</f>
        <v/>
      </c>
      <c r="DR152" s="3">
        <f>EST_W_MOD*(BB152-1)/4*100+EST_W_ATR*DQ152</f>
        <v/>
      </c>
      <c r="DS152" s="3">
        <f>IF(BA152="",NEUTRO,IFERROR(VLOOKUP(BA152,COLOR_TBL,2,0)+0,NEUTRO))</f>
        <v/>
      </c>
      <c r="DT152" s="3">
        <f>MAX(0,MIN(100,100*N(BM152)/RV_N_FULL))</f>
        <v/>
      </c>
      <c r="DU152" s="3">
        <f>IF(OR(BN152="",N(BO152)&lt;RV_DIAS_MIN),NEUTRO,MAX(0,MIN(100,100*(RV_DIAS_CERO-BN152)/(RV_DIAS_CERO-RV_DIAS_FULL))))</f>
        <v/>
      </c>
      <c r="DV152" s="3">
        <f>RV_W_LIQ*DT152+RV_W_DIAS*DU152+RV_W_ETQ*DC152</f>
        <v/>
      </c>
      <c r="DW152" s="3">
        <f>IFERROR(VLOOKUP(L152,CARR_PEN_TBL,2,0),0)</f>
        <v/>
      </c>
      <c r="DX152" s="3">
        <f>W_FIAB*CS152+W_PRECIO*CU152+W_KMEDAD*CY152+W_ESTADO*DB152+W_USO*DK152+W_SEGURIDAD*DM152+W_SEGVIAL*DP152+W_ESTETICA*DR152+W_COLOR*DS152+W_REVENTA*DV152-DW152-EG152</f>
        <v/>
      </c>
      <c r="DY152" s="4">
        <f>IF(N(I152)&gt;0,I152,IFERROR(ROUND(_xlfn.NUMBERVALUE(LEFT(G152,FIND(" ",G152&amp;" ")-1),".")*1000,0),99999))</f>
        <v/>
      </c>
      <c r="DZ152" s="3">
        <f>IF(R152="profesional",0,IF(O152&lt;CUOTA_VALOR_MAX,IF(BW152&gt;ITP_TRAMO_ALTO,SUMIFS(CF_CUOTA,CF_MAS,ITP_TRAMO_ALTO,CF_CCMIN,"&lt;="&amp;DY152,CF_CCMAX,"&gt;="&amp;DY152),IF(BW152&gt;ITP_TRAMO_BAJO,SUMIFS(CF_CUOTA,CF_MAS,ITP_TRAMO_BAJO,CF_CCMIN,"&lt;="&amp;DY152,CF_CCMAX,"&gt;="&amp;DY152),O152*ITP_TIPO)),O152*ITP_TIPO))</f>
        <v/>
      </c>
      <c r="EA152" s="4">
        <f>IF(R152="profesional",N(AK152),0)</f>
        <v/>
      </c>
      <c r="EB152" s="3">
        <f>IF(AND(R152="profesional",ISNUMBER(AK152),AL152="sí"),0,TASA_DGT)</f>
        <v/>
      </c>
      <c r="EC152" s="3">
        <f>INFORME_DGT</f>
        <v/>
      </c>
      <c r="ED152" s="4">
        <f>O152+EA152+DZ152+EB152+EC152</f>
        <v/>
      </c>
      <c r="EE152" s="4">
        <f>ED152+N(DF152)</f>
        <v/>
      </c>
      <c r="EF152" s="3">
        <f>MAX(0,ED152-TOTAL_MAX)</f>
        <v/>
      </c>
      <c r="EG152" s="3">
        <f>EF152/100*PEN_100</f>
        <v/>
      </c>
      <c r="EH152" s="3">
        <f>IF(R152="particular",ED152+IF(AND(DA152&lt;&gt;"cadena",X152&lt;&gt;"sí"),RES_CORREA,0)+IF(AND(BJ152&lt;&gt;"sí",BW152&gt;=RES_NEUM_EDAD),RES_NEUM,0),"")</f>
        <v/>
      </c>
      <c r="EI152" s="3">
        <f>IF(ED152&lt;=TOTAL_MAX,"sí",IF(ED152&lt;=TECHO,"negociar","no"))</f>
        <v/>
      </c>
      <c r="EJ152" s="4">
        <f>ROUND(DX152,9)</f>
        <v/>
      </c>
      <c r="EK152" s="4">
        <f>IF(EI152&lt;&gt;"no",SUMPRODUCT(($EI$2:$EI$209&lt;&gt;"no")*($EJ$2:$EJ$209&gt;EJ152))+SUMPRODUCT(($EI$2:EI152&lt;&gt;"no")*($EJ$2:EJ152=EJ152)),"")</f>
        <v/>
      </c>
    </row>
    <row r="153">
      <c r="A153" s="2" t="inlineStr">
        <is>
          <t>autoscout24:01905e88-fea5-4b70-b812-43bbb48a64c8</t>
        </is>
      </c>
      <c r="B153" s="2" t="inlineStr">
        <is>
          <t>autoscout24</t>
        </is>
      </c>
      <c r="C153" s="2" t="inlineStr">
        <is>
          <t>https://www.autoscout24.es/anuncios/seat-ibiza-1-9-tdi-100cv-sport-diesel-rojo-cat_ma64mo2006-01905e88-fea5-4b70-b812-43bbb48a64c8</t>
        </is>
      </c>
      <c r="D153" s="2" t="inlineStr">
        <is>
          <t>SEAT Ibiza 1.9 TDI 100cv Sport</t>
        </is>
      </c>
      <c r="E153" s="2" t="inlineStr">
        <is>
          <t>Seat</t>
        </is>
      </c>
      <c r="F153" s="2" t="inlineStr">
        <is>
          <t>Seat Ibiza</t>
        </is>
      </c>
      <c r="G153" s="2" t="inlineStr">
        <is>
          <t>1.9 TDI</t>
        </is>
      </c>
      <c r="H153" s="2" t="inlineStr">
        <is>
          <t>1.9 TDI 100cv Sport 1.9 TDI</t>
        </is>
      </c>
      <c r="I153" s="2" t="n">
        <v>1896</v>
      </c>
      <c r="J153" s="2" t="n">
        <v>101</v>
      </c>
      <c r="K153" s="2" t="inlineStr">
        <is>
          <t>diesel</t>
        </is>
      </c>
      <c r="L153" s="2" t="inlineStr">
        <is>
          <t>utilitario</t>
        </is>
      </c>
      <c r="M153" s="2" t="n">
        <v>2007</v>
      </c>
      <c r="N153" s="2" t="n">
        <v>140000</v>
      </c>
      <c r="O153" s="2" t="n">
        <v>5490</v>
      </c>
      <c r="P153" s="2" t="inlineStr">
        <is>
          <t>manual</t>
        </is>
      </c>
      <c r="Q153" s="2" t="inlineStr">
        <is>
          <t>no</t>
        </is>
      </c>
      <c r="R153" s="2" t="inlineStr">
        <is>
          <t>profesional</t>
        </is>
      </c>
      <c r="S153" s="2" t="inlineStr">
        <is>
          <t>MOTORCENTER ALZIRA — ALZIRA (46600)</t>
        </is>
      </c>
      <c r="T153" s="2" t="n"/>
      <c r="U153" s="2" t="n">
        <v>2</v>
      </c>
      <c r="V153" s="2" t="inlineStr">
        <is>
          <t>sí</t>
        </is>
      </c>
      <c r="W153" s="2" t="n"/>
      <c r="X153" s="2" t="n"/>
      <c r="Y153" s="2" t="n">
        <v>1</v>
      </c>
      <c r="Z153" s="2" t="inlineStr">
        <is>
          <t>sí</t>
        </is>
      </c>
      <c r="AA153" s="2" t="n"/>
      <c r="AB153" s="2" t="n">
        <v>12</v>
      </c>
      <c r="AC153" s="2" t="n"/>
      <c r="AD153" s="2" t="n"/>
      <c r="AE153" s="2" t="n"/>
      <c r="AF153" s="2" t="n"/>
      <c r="AG153" s="2" t="n"/>
      <c r="AH153" s="2" t="n"/>
      <c r="AI153" s="2" t="n"/>
      <c r="AJ153" s="2" t="n"/>
      <c r="AK153" s="2" t="n"/>
      <c r="AL153" s="2" t="n"/>
      <c r="AM153" s="2" t="n">
        <v>35.9</v>
      </c>
      <c r="AN153" s="2" t="n"/>
      <c r="AO153" s="2" t="inlineStr">
        <is>
          <t>2007-07</t>
        </is>
      </c>
      <c r="AP153" s="2" t="n">
        <v>2007</v>
      </c>
      <c r="AQ153" s="2" t="n">
        <v>7</v>
      </c>
      <c r="AR153" s="2" t="n"/>
      <c r="AS153" s="2" t="inlineStr">
        <is>
          <t>regla</t>
        </is>
      </c>
      <c r="AT153" s="2" t="n"/>
      <c r="AU153" s="2" t="inlineStr">
        <is>
          <t>no</t>
        </is>
      </c>
      <c r="AV153" s="2" t="inlineStr">
        <is>
          <t>B</t>
        </is>
      </c>
      <c r="AW153" s="2" t="n"/>
      <c r="AX153" s="2" t="inlineStr">
        <is>
          <t>no</t>
        </is>
      </c>
      <c r="AY153" s="2" t="inlineStr">
        <is>
          <t>no</t>
        </is>
      </c>
      <c r="AZ153" s="2" t="inlineStr">
        <is>
          <t>Rojo</t>
        </is>
      </c>
      <c r="BA153" s="2" t="inlineStr">
        <is>
          <t>rojo</t>
        </is>
      </c>
      <c r="BB153" s="3" t="n">
        <v>2</v>
      </c>
      <c r="BC153" s="3" t="inlineStr">
        <is>
          <t>(por segmento)</t>
        </is>
      </c>
      <c r="BD153" s="2" t="inlineStr">
        <is>
          <t>sport</t>
        </is>
      </c>
      <c r="BE153" s="2" t="n"/>
      <c r="BF153" s="2" t="n"/>
      <c r="BG153" s="2" t="n"/>
      <c r="BH153" s="2" t="n"/>
      <c r="BI153" s="2" t="n"/>
      <c r="BJ153" s="2" t="n"/>
      <c r="BK153" s="2" t="n">
        <v>4</v>
      </c>
      <c r="BL153" s="2" t="inlineStr">
        <is>
          <t>no</t>
        </is>
      </c>
      <c r="BM153" s="2" t="n">
        <v>385</v>
      </c>
      <c r="BN153" s="2" t="n">
        <v>0.07434027781710029</v>
      </c>
      <c r="BO153" s="2" t="n">
        <v>10</v>
      </c>
      <c r="BP153" s="2" t="n">
        <v>4745</v>
      </c>
      <c r="BQ153" s="2" t="n">
        <v>4</v>
      </c>
      <c r="BR153" s="2" t="inlineStr">
        <is>
          <t>modelo+año+km</t>
        </is>
      </c>
      <c r="BS153" s="2" t="n"/>
      <c r="BT153" s="2" t="inlineStr">
        <is>
          <t>por encima del presupuesto: negociar 554 € (coste 5554 €; -11.1 puntos); vendedor profesional: sin ITP (operación con IVA/REBU, confirmar en factura); gastos de gestión del vendedor no indicados: se suma la tasa DGT; preguntar el precio final; diésel: motor sin fuente de fiabilidad (fiabilidad limitada a neutra); etiqueta B deducida por fecha (sin matrícula ni dato del anuncio)</t>
        </is>
      </c>
      <c r="BU153" s="2" t="inlineStr">
        <is>
          <t>Nacional&lt;br /&gt;Único propietario&lt;br /&gt;Mantenimientos al día&lt;br /&gt;ITV al día&lt;br /&gt;&lt;br /&gt;Vehículo en perfecto estado de mecánica.&lt;br /&gt;&lt;br /&gt;SEAT Ibiza 1.9 TDI 100cv Sport, una oportunidad excelente dentro del mercado de ocasión por su equilibrio entre rendimiento, fiabilidad y consumo. Comercializado por MOTORCENTER ALZIRA SL en Valencia, este vehículo utilitario de 5 puertas combina la versatilidad diaria con la respuesta ágil de la icónica motorización turbodiésel del Grupo Volkswagen.&lt;br /&gt;&lt;br /&gt;Estado y garantías:&lt;br /&gt;En MOTORCENTER ALZIRA SL entregamos este vehículo revisado exhaustivamente en sus puntos vitales de mecánica y seguridad. Para su absoluta tranquilidad, la venta incluye 12 meses de garantía profesional.&lt;br /&gt;&lt;br /&gt;Ubicación y contacto:&lt;br /&gt;El coche se encuentra disponible para inspección técnica y prueba dinámica en nuestras instalaciones de Valencia / València. Póngase en contacto con el equipo comercial de MOTORCENTER ALZIRA SL para solicitar más información o agendar una cita.</t>
        </is>
      </c>
      <c r="BV153" s="2" t="inlineStr">
        <is>
          <t>https://www.autoscout24.es/anuncios/seat-ibiza-1-9-tdi-100cv-sport-diesel-rojo-cat_ma64mo2006-01905e88-fea5-4b70-b812-43bbb48a64c8 (__NEXT_DATA__ listingDetails) /home/user/Alopecia/buscador-coches/raw/autoscout24/5c087e0fbd720178.json</t>
        </is>
      </c>
      <c r="BW153" s="3">
        <f>MAX(ANIO_ACTUAL-M153,0)</f>
        <v/>
      </c>
      <c r="BX153" s="4">
        <f>N153/MAX(BW153,0.5)</f>
        <v/>
      </c>
      <c r="BY153" s="4">
        <f>F153</f>
        <v/>
      </c>
      <c r="BZ153" s="3">
        <f>BY153&amp;"|"&amp;INT(M153/SEG_ANIO)*SEG_ANIO</f>
        <v/>
      </c>
      <c r="CA153" s="3">
        <f>BZ153&amp;"|"&amp;INT(N153/SEG_KM)*SEG_KM</f>
        <v/>
      </c>
      <c r="CB153" s="4">
        <f>COUNTIF($BY$2:$BY$209,BY153)</f>
        <v/>
      </c>
      <c r="CC153" s="4">
        <f>COUNTIF($BZ$2:$BZ$209,BZ153)</f>
        <v/>
      </c>
      <c r="CD153" s="4">
        <f>COUNTIF($CA$2:$CA$209,CA153)</f>
        <v/>
      </c>
      <c r="CE153" s="3">
        <f t="array" ref="CE153">IF(N(BQ153)&gt;=MIN_N,BP153,IF(CD153&gt;=MIN_N,MEDIAN(IF($CA$2:$CA$209=CA153,$O$2:$O$209)),IF(CC153&gt;=MIN_N,MEDIAN(IF($BZ$2:$BZ$209=BZ153,$O$2:$O$209)),MEDIAN(IF($BY$2:$BY$209=BY153,$O$2:$O$209)))))</f>
        <v/>
      </c>
      <c r="CF153" s="3">
        <f>IF(N(BQ153)&gt;=MIN_N,"mercado "&amp;BR153,IF(CD153&gt;=MIN_N,"modelo+año+km",IF(CC153&gt;=MIN_N,"modelo+año","modelo")))</f>
        <v/>
      </c>
      <c r="CG153" s="4">
        <f>(CE153-O153)/CE153</f>
        <v/>
      </c>
      <c r="CH153" s="3">
        <f>IF(COUNTIFS(FR_FUEL,K153,FR_YEAR,AP153)&gt;0,1,0)</f>
        <v/>
      </c>
      <c r="CI153" s="3">
        <f>IF(COUNTIFS(FR_FUEL,K153,FR_YEAR,AP153-1)&gt;0,1,0)</f>
        <v/>
      </c>
      <c r="CJ153" s="4">
        <f>IF(N(AQ153)&gt;0,AP153*100+AQ153,IF(AND(CH153=1,CI153=1),(AP153-1)*100+1,AP153*100+1))</f>
        <v/>
      </c>
      <c r="CK153" s="3">
        <f>IF(OR(K153="hibrido",K153="glp",K153="gnc",K153="phev"),"ECO",IF(K153="electrico","CERO",IF(K153="gasolina",IF(CJ153&gt;=GAS_C_YM,"C",IF(CJ153&gt;=GAS_B_YM,"B","A")),IF(K153="diesel",IF(CJ153&gt;=DIE_C_YM,"C",IF(CJ153&gt;=DIE_B_YM,"B","A")),""))))</f>
        <v/>
      </c>
      <c r="CL153" s="4">
        <f>CK153</f>
        <v/>
      </c>
      <c r="CM153" s="4">
        <f>IF(AU153="sí","sí",IF(AS153="regla",IF(AND(N(AQ153)=0,CH153=1),"sí","no"),"no"))</f>
        <v/>
      </c>
      <c r="CN153" s="3">
        <f>IFERROR(VLOOKUP(F153,MOD_TBL,16,0),IFERROR(VLOOKUP(E153,OCU_TBL,2,0),NEUTRO))</f>
        <v/>
      </c>
      <c r="CO153" s="3">
        <f>SUMIFS(MOT_AJUSTE,MOT_MOTOR,G153,MOT_MARCA,E153,MOT_DESDE,"&lt;="&amp;M153,MOT_HASTA,"&gt;="&amp;M153)+SUMIFS(MOT_AJUSTE,MOT_MOTOR,G153,MOT_MARCA,"(todas)",MOT_DESDE,"&lt;="&amp;M153,MOT_HASTA,"&gt;="&amp;M153)+SUMIFS(MOT_AJUSTE,MOT_MOTOR,"(cualquiera)",MOT_MARCA,E153,MOT_DESDE,"&lt;="&amp;M153,MOT_HASTA,"&gt;="&amp;M153)</f>
        <v/>
      </c>
      <c r="CP153" s="3">
        <f>SUMIFS(COMB_AJUSTE,COMB_COMB,K153)</f>
        <v/>
      </c>
      <c r="CQ153" s="3">
        <f>COUNTIFS(MOT_MOTOR,G153,MOT_MARCA,E153,MOT_DESDE,"&lt;="&amp;M153,MOT_HASTA,"&gt;="&amp;M153)+COUNTIFS(MOT_MOTOR,G153,MOT_MARCA,"(todas)",MOT_DESDE,"&lt;="&amp;M153,MOT_HASTA,"&gt;="&amp;M153)+COUNTIFS(MOT_MOTOR,"(cualquiera)",MOT_MARCA,E153,MOT_DESDE,"&lt;="&amp;M153,MOT_HASTA,"&gt;="&amp;M153)</f>
        <v/>
      </c>
      <c r="CR153" s="3">
        <f>IF(AND(K153="diesel",CQ153=0),MIN(CN153,NEUTRO),CN153)</f>
        <v/>
      </c>
      <c r="CS153" s="3">
        <f>MAX(0,MIN(100,CR153+CO153+CP153-IF(AX153="sí",ROB_PEN,0)))</f>
        <v/>
      </c>
      <c r="CT153" s="3">
        <f>100-MAX(0,N153-KM_TOPE_DESDE)/1000*KM_TOPE_PTS</f>
        <v/>
      </c>
      <c r="CU153" s="3">
        <f>MAX(0,MIN(100,50+CG153*PRECIO_PEND,CT153))</f>
        <v/>
      </c>
      <c r="CV153" s="3">
        <f>MAX(0,100*(1-N153/KM_MAX))</f>
        <v/>
      </c>
      <c r="CW153" s="3">
        <f>IF(BX153&lt;KMA_SOSP,IF(AA153="sí",100,KMA_PEN),IF(BX153&lt;=KMA_IDEAL_MAX,100,MAX(0,100*(KMA_CERO-BX153)/(KMA_CERO-KMA_IDEAL_MAX))))</f>
        <v/>
      </c>
      <c r="CX153" s="3">
        <f>MAX(0,MIN(100,100*(M153-ANIO_MIN)/(ANIO_ACTUAL-ANIO_MIN)))</f>
        <v/>
      </c>
      <c r="CY153" s="3">
        <f>W_KMT*CV153+W_KMA*CW153+W_EDAD*CX153</f>
        <v/>
      </c>
      <c r="CZ153" s="4">
        <f>E153&amp;"|"&amp;G153</f>
        <v/>
      </c>
      <c r="DA153" s="3">
        <f>IFERROR(VLOOKUP(CZ153,DIST_TBL,2,0),"")</f>
        <v/>
      </c>
      <c r="DB153" s="3">
        <f>E_ITV*(V153="sí")+E_LIBRO*(W153="sí")+E_PROP*IF(Y153=1,1,IF(Y153=2,0.5,0))+E_CORREA*IF(OR(DA153="cadena",AND(X153="sí",BH153="sí")),1,IF(X153="sí",0.5,0))+E_FACT*(BI153="sí")</f>
        <v/>
      </c>
      <c r="DC153" s="3">
        <f>MAX(0,MIN(100,IFERROR(VLOOKUP(CL153,ETQ_TBL,2,0),0)-IF(CM153="sí",ETQ_PEN_DUD,IF(AS153="regla",ETQ_PEN_REGLA,0))))</f>
        <v/>
      </c>
      <c r="DD153" s="3">
        <f>IF(K153&lt;&gt;"gasolina","",IFERROR(VLOOKUP(F153,CONS_MOD_TBL,2,0),IFERROR(VLOOKUP(L153,CONS_SEG_TBL,2,0),"")))</f>
        <v/>
      </c>
      <c r="DE153" s="3">
        <f>IF(DD153="",NEUTRO,MAX(0,MIN(100,100*(CONS_REF_MAX-DD153)/(CONS_REF_MAX-CONS_REF_MIN))))</f>
        <v/>
      </c>
      <c r="DF153" s="3">
        <f>IFERROR(VLOOKUP(L153,SEGURO_TBL,3,0),"")</f>
        <v/>
      </c>
      <c r="DG153" s="3">
        <f>IF(DF153="",NEUTRO,MAX(0,MIN(100,100*(SEG_REF_MAX-DF153)/(SEG_REF_MAX-SEG_REF_MIN))))</f>
        <v/>
      </c>
      <c r="DH153" s="3">
        <f>IFERROR(VLOOKUP(E153,MANT_MARCA_TBL,2,0)+0,NEUTRO)</f>
        <v/>
      </c>
      <c r="DI153" s="3">
        <f>IF(DA153="",NEUTRO,IFERROR(VLOOKUP(DA153,DIST_PTS_TBL,2,0)+0,NEUTRO))</f>
        <v/>
      </c>
      <c r="DJ153" s="4">
        <f>(DH153+DI153)/2</f>
        <v/>
      </c>
      <c r="DK153" s="3">
        <f>W_CONS*DE153+W_SEG*DG153+W_MANT*DJ153</f>
        <v/>
      </c>
      <c r="DL153" s="3">
        <f>IF(N(AB153)&gt;0,AB153,IF(AND(R153="profesional",SG_LEGAL_ON=1),GAR_LEGAL,0))</f>
        <v/>
      </c>
      <c r="DM153" s="3">
        <f>MAX(0,MIN(100,SG_GAR*MIN(1,DL153/SG_GAR_FULL)+SG_AMPL*(AC153="sí")+SG_KMC*(AF153="sí")+SG_REV*(N(AE153)&gt;0)+SG_DEV*MIN(1,N(AG153)/SG_DEV_FULL)+SG_HIST*(W153="sí")-IF(AND(R153="particular",DL153=0),SG_PART_PEN,0)))</f>
        <v/>
      </c>
      <c r="DN153" s="3">
        <f>IF(BK153="",NEUTRO,MAX(0,MIN(100,BK153/5*100)))</f>
        <v/>
      </c>
      <c r="DO153" s="3">
        <f>IF(BL153="sí",100,IF(BL153="no",0,NEUTRO))</f>
        <v/>
      </c>
      <c r="DP153" s="3">
        <f>SV_W_NCAP*DN153+SV_W_ESP*DO153</f>
        <v/>
      </c>
      <c r="DQ153" s="3">
        <f>MAX(0,MIN(100,ATR_BASE+ATR_ACAB*(BD153&lt;&gt;"")+IF(BE153="16+",ATR_LL16,IF(BE153="sí",ATR_LL,0))+ATR_FAROS*(BF153="sí")+ATR_TINT*(BG153="sí")-ATR_CHAPA*(BE153="chapa")))</f>
        <v/>
      </c>
      <c r="DR153" s="3">
        <f>EST_W_MOD*(BB153-1)/4*100+EST_W_ATR*DQ153</f>
        <v/>
      </c>
      <c r="DS153" s="3">
        <f>IF(BA153="",NEUTRO,IFERROR(VLOOKUP(BA153,COLOR_TBL,2,0)+0,NEUTRO))</f>
        <v/>
      </c>
      <c r="DT153" s="3">
        <f>MAX(0,MIN(100,100*N(BM153)/RV_N_FULL))</f>
        <v/>
      </c>
      <c r="DU153" s="3">
        <f>IF(OR(BN153="",N(BO153)&lt;RV_DIAS_MIN),NEUTRO,MAX(0,MIN(100,100*(RV_DIAS_CERO-BN153)/(RV_DIAS_CERO-RV_DIAS_FULL))))</f>
        <v/>
      </c>
      <c r="DV153" s="3">
        <f>RV_W_LIQ*DT153+RV_W_DIAS*DU153+RV_W_ETQ*DC153</f>
        <v/>
      </c>
      <c r="DW153" s="3">
        <f>IFERROR(VLOOKUP(L153,CARR_PEN_TBL,2,0),0)</f>
        <v/>
      </c>
      <c r="DX153" s="3">
        <f>W_FIAB*CS153+W_PRECIO*CU153+W_KMEDAD*CY153+W_ESTADO*DB153+W_USO*DK153+W_SEGURIDAD*DM153+W_SEGVIAL*DP153+W_ESTETICA*DR153+W_COLOR*DS153+W_REVENTA*DV153-DW153-EG153</f>
        <v/>
      </c>
      <c r="DY153" s="4">
        <f>IF(N(I153)&gt;0,I153,IFERROR(ROUND(_xlfn.NUMBERVALUE(LEFT(G153,FIND(" ",G153&amp;" ")-1),".")*1000,0),99999))</f>
        <v/>
      </c>
      <c r="DZ153" s="3">
        <f>IF(R153="profesional",0,IF(O153&lt;CUOTA_VALOR_MAX,IF(BW153&gt;ITP_TRAMO_ALTO,SUMIFS(CF_CUOTA,CF_MAS,ITP_TRAMO_ALTO,CF_CCMIN,"&lt;="&amp;DY153,CF_CCMAX,"&gt;="&amp;DY153),IF(BW153&gt;ITP_TRAMO_BAJO,SUMIFS(CF_CUOTA,CF_MAS,ITP_TRAMO_BAJO,CF_CCMIN,"&lt;="&amp;DY153,CF_CCMAX,"&gt;="&amp;DY153),O153*ITP_TIPO)),O153*ITP_TIPO))</f>
        <v/>
      </c>
      <c r="EA153" s="4">
        <f>IF(R153="profesional",N(AK153),0)</f>
        <v/>
      </c>
      <c r="EB153" s="3">
        <f>IF(AND(R153="profesional",ISNUMBER(AK153),AL153="sí"),0,TASA_DGT)</f>
        <v/>
      </c>
      <c r="EC153" s="3">
        <f>INFORME_DGT</f>
        <v/>
      </c>
      <c r="ED153" s="4">
        <f>O153+EA153+DZ153+EB153+EC153</f>
        <v/>
      </c>
      <c r="EE153" s="4">
        <f>ED153+N(DF153)</f>
        <v/>
      </c>
      <c r="EF153" s="3">
        <f>MAX(0,ED153-TOTAL_MAX)</f>
        <v/>
      </c>
      <c r="EG153" s="3">
        <f>EF153/100*PEN_100</f>
        <v/>
      </c>
      <c r="EH153" s="3">
        <f>IF(R153="particular",ED153+IF(AND(DA153&lt;&gt;"cadena",X153&lt;&gt;"sí"),RES_CORREA,0)+IF(AND(BJ153&lt;&gt;"sí",BW153&gt;=RES_NEUM_EDAD),RES_NEUM,0),"")</f>
        <v/>
      </c>
      <c r="EI153" s="3">
        <f>IF(ED153&lt;=TOTAL_MAX,"sí",IF(ED153&lt;=TECHO,"negociar","no"))</f>
        <v/>
      </c>
      <c r="EJ153" s="4">
        <f>ROUND(DX153,9)</f>
        <v/>
      </c>
      <c r="EK153" s="4">
        <f>IF(EI153&lt;&gt;"no",SUMPRODUCT(($EI$2:$EI$209&lt;&gt;"no")*($EJ$2:$EJ$209&gt;EJ153))+SUMPRODUCT(($EI$2:EI153&lt;&gt;"no")*($EJ$2:EJ153=EJ153)),"")</f>
        <v/>
      </c>
    </row>
    <row r="154">
      <c r="A154" s="2" t="inlineStr">
        <is>
          <t>autoscout24:87815191-41a1-4861-940d-27880019176b</t>
        </is>
      </c>
      <c r="B154" s="2" t="inlineStr">
        <is>
          <t>autoscout24</t>
        </is>
      </c>
      <c r="C154" s="2" t="inlineStr">
        <is>
          <t>https://www.autoscout24.es/anuncios/opel-astra-sedan-1-4t-elegance-140-gasolina-azul-cat_ma54mo1916-87815191-41a1-4861-940d-27880019176b</t>
        </is>
      </c>
      <c r="D154" s="2" t="inlineStr">
        <is>
          <t>Opel Astra Sedán 1.4T Elegance 140</t>
        </is>
      </c>
      <c r="E154" s="2" t="inlineStr">
        <is>
          <t>Opel</t>
        </is>
      </c>
      <c r="F154" s="2" t="inlineStr">
        <is>
          <t>Opel Astra</t>
        </is>
      </c>
      <c r="G154" s="2" t="inlineStr">
        <is>
          <t>1.4 Turbo</t>
        </is>
      </c>
      <c r="H154" s="2" t="inlineStr">
        <is>
          <t>Sedán 1.4T Elegance 140 1.4 Turbo</t>
        </is>
      </c>
      <c r="I154" s="2" t="n">
        <v>1362</v>
      </c>
      <c r="J154" s="2" t="n">
        <v>140</v>
      </c>
      <c r="K154" s="2" t="inlineStr">
        <is>
          <t>gasolina</t>
        </is>
      </c>
      <c r="L154" s="2" t="inlineStr">
        <is>
          <t>berlina</t>
        </is>
      </c>
      <c r="M154" s="2" t="n">
        <v>2015</v>
      </c>
      <c r="N154" s="2" t="n">
        <v>177000</v>
      </c>
      <c r="O154" s="2" t="n">
        <v>5700</v>
      </c>
      <c r="P154" s="2" t="inlineStr">
        <is>
          <t>manual</t>
        </is>
      </c>
      <c r="Q154" s="2" t="inlineStr">
        <is>
          <t>no</t>
        </is>
      </c>
      <c r="R154" s="2" t="inlineStr">
        <is>
          <t>profesional</t>
        </is>
      </c>
      <c r="S154" s="2" t="inlineStr">
        <is>
          <t>Los Autos Locos Xirivella — CHIRIVELLA (46950)</t>
        </is>
      </c>
      <c r="T154" s="2" t="n"/>
      <c r="U154" s="2" t="n">
        <v>10</v>
      </c>
      <c r="V154" s="2" t="inlineStr">
        <is>
          <t>sí</t>
        </is>
      </c>
      <c r="W154" s="2" t="n"/>
      <c r="X154" s="2" t="n"/>
      <c r="Y154" s="2" t="n"/>
      <c r="Z154" s="2" t="inlineStr">
        <is>
          <t>sí</t>
        </is>
      </c>
      <c r="AA154" s="2" t="n"/>
      <c r="AB154" s="2" t="n">
        <v>12</v>
      </c>
      <c r="AC154" s="2" t="n"/>
      <c r="AD154" s="2" t="n"/>
      <c r="AE154" s="2" t="n"/>
      <c r="AF154" s="2" t="n"/>
      <c r="AG154" s="2" t="n"/>
      <c r="AH154" s="2" t="n"/>
      <c r="AI154" s="2" t="n"/>
      <c r="AJ154" s="2" t="n"/>
      <c r="AK154" s="2" t="n"/>
      <c r="AL154" s="2" t="n"/>
      <c r="AM154" s="2" t="n">
        <v>5.1</v>
      </c>
      <c r="AN154" s="2" t="n"/>
      <c r="AO154" s="2" t="inlineStr">
        <is>
          <t>2015-09</t>
        </is>
      </c>
      <c r="AP154" s="2" t="n">
        <v>2015</v>
      </c>
      <c r="AQ154" s="2" t="n">
        <v>9</v>
      </c>
      <c r="AR154" s="2" t="n"/>
      <c r="AS154" s="2" t="inlineStr">
        <is>
          <t>regla</t>
        </is>
      </c>
      <c r="AT154" s="2" t="n"/>
      <c r="AU154" s="2" t="inlineStr">
        <is>
          <t>no</t>
        </is>
      </c>
      <c r="AV154" s="2" t="inlineStr">
        <is>
          <t>C</t>
        </is>
      </c>
      <c r="AW154" s="2" t="n"/>
      <c r="AX154" s="2" t="inlineStr">
        <is>
          <t>no</t>
        </is>
      </c>
      <c r="AY154" s="2" t="inlineStr">
        <is>
          <t>no</t>
        </is>
      </c>
      <c r="AZ154" s="2" t="inlineStr">
        <is>
          <t>Azul Metalizado</t>
        </is>
      </c>
      <c r="BA154" s="2" t="inlineStr">
        <is>
          <t>azul</t>
        </is>
      </c>
      <c r="BB154" s="3" t="n">
        <v>3</v>
      </c>
      <c r="BC154" s="3" t="inlineStr">
        <is>
          <t>(por segmento)</t>
        </is>
      </c>
      <c r="BD154" s="2" t="n"/>
      <c r="BE154" s="2" t="inlineStr">
        <is>
          <t>sí</t>
        </is>
      </c>
      <c r="BF154" s="2" t="n"/>
      <c r="BG154" s="2" t="n"/>
      <c r="BH154" s="2" t="n"/>
      <c r="BI154" s="2" t="n"/>
      <c r="BJ154" s="2" t="n"/>
      <c r="BK154" s="2" t="n"/>
      <c r="BL154" s="2" t="inlineStr">
        <is>
          <t>sí</t>
        </is>
      </c>
      <c r="BM154" s="2" t="n">
        <v>402</v>
      </c>
      <c r="BN154" s="2" t="n">
        <v>0.06280092592351139</v>
      </c>
      <c r="BO154" s="2" t="n">
        <v>4</v>
      </c>
      <c r="BP154" s="2" t="n">
        <v>5700</v>
      </c>
      <c r="BQ154" s="2" t="n">
        <v>8</v>
      </c>
      <c r="BR154" s="2" t="inlineStr">
        <is>
          <t>modelo+año+km</t>
        </is>
      </c>
      <c r="BS154" s="2" t="inlineStr">
        <is>
          <t>cochesnet:71753887 (https://www.coches.net/opel-astra-14-turbo-excellence-st-5p-gasolina-2016-en-valencia-71753887-covo.aspx)</t>
        </is>
      </c>
      <c r="BT154" s="2" t="inlineStr">
        <is>
          <t>por encima del presupuesto: negociar 764 € (coste 5764 €; -15.3 puntos); vendedor profesional: sin ITP (operación con IVA/REBU, confirmar en factura); gastos de gestión del vendedor no indicados: se suma la tasa DGT; preguntar el precio final; Euro NCAP de la generación PENDIENTE (seguridad neutra); etiqueta C deducida por fecha (sin matrícula ni dato del anuncio)</t>
        </is>
      </c>
      <c r="BU154" s="2" t="inlineStr">
        <is>
          <t>Se entrega con la ITV pasada &lt;br /&gt;en perfecto estado &lt;br /&gt;12 meses garantia de nuestro taller &lt;br /&gt;177000 km&lt;br /&gt;aceite y filtros cambiados &lt;br /&gt;full equipe &lt;br /&gt;cambio nombre incluido &lt;br /&gt;visitanos en calle valencia 33 xirivella &lt;br /&gt;los autos locos &lt;br /&gt;</t>
        </is>
      </c>
      <c r="BV154" s="2" t="inlineStr">
        <is>
          <t>https://www.autoscout24.es/anuncios/opel-astra-sedan-1-4t-elegance-140-gasolina-azul-cat_ma54mo1916-87815191-41a1-4861-940d-27880019176b (__NEXT_DATA__ listingDetails) /home/user/Alopecia/buscador-coches/raw/autoscout24/bfa0bebe480e180e.json</t>
        </is>
      </c>
      <c r="BW154" s="3">
        <f>MAX(ANIO_ACTUAL-M154,0)</f>
        <v/>
      </c>
      <c r="BX154" s="4">
        <f>N154/MAX(BW154,0.5)</f>
        <v/>
      </c>
      <c r="BY154" s="4">
        <f>F154</f>
        <v/>
      </c>
      <c r="BZ154" s="3">
        <f>BY154&amp;"|"&amp;INT(M154/SEG_ANIO)*SEG_ANIO</f>
        <v/>
      </c>
      <c r="CA154" s="3">
        <f>BZ154&amp;"|"&amp;INT(N154/SEG_KM)*SEG_KM</f>
        <v/>
      </c>
      <c r="CB154" s="4">
        <f>COUNTIF($BY$2:$BY$209,BY154)</f>
        <v/>
      </c>
      <c r="CC154" s="4">
        <f>COUNTIF($BZ$2:$BZ$209,BZ154)</f>
        <v/>
      </c>
      <c r="CD154" s="4">
        <f>COUNTIF($CA$2:$CA$209,CA154)</f>
        <v/>
      </c>
      <c r="CE154" s="3">
        <f t="array" ref="CE154">IF(N(BQ154)&gt;=MIN_N,BP154,IF(CD154&gt;=MIN_N,MEDIAN(IF($CA$2:$CA$209=CA154,$O$2:$O$209)),IF(CC154&gt;=MIN_N,MEDIAN(IF($BZ$2:$BZ$209=BZ154,$O$2:$O$209)),MEDIAN(IF($BY$2:$BY$209=BY154,$O$2:$O$209)))))</f>
        <v/>
      </c>
      <c r="CF154" s="3">
        <f>IF(N(BQ154)&gt;=MIN_N,"mercado "&amp;BR154,IF(CD154&gt;=MIN_N,"modelo+año+km",IF(CC154&gt;=MIN_N,"modelo+año","modelo")))</f>
        <v/>
      </c>
      <c r="CG154" s="4">
        <f>(CE154-O154)/CE154</f>
        <v/>
      </c>
      <c r="CH154" s="3">
        <f>IF(COUNTIFS(FR_FUEL,K154,FR_YEAR,AP154)&gt;0,1,0)</f>
        <v/>
      </c>
      <c r="CI154" s="3">
        <f>IF(COUNTIFS(FR_FUEL,K154,FR_YEAR,AP154-1)&gt;0,1,0)</f>
        <v/>
      </c>
      <c r="CJ154" s="4">
        <f>IF(N(AQ154)&gt;0,AP154*100+AQ154,IF(AND(CH154=1,CI154=1),(AP154-1)*100+1,AP154*100+1))</f>
        <v/>
      </c>
      <c r="CK154" s="3">
        <f>IF(OR(K154="hibrido",K154="glp",K154="gnc",K154="phev"),"ECO",IF(K154="electrico","CERO",IF(K154="gasolina",IF(CJ154&gt;=GAS_C_YM,"C",IF(CJ154&gt;=GAS_B_YM,"B","A")),IF(K154="diesel",IF(CJ154&gt;=DIE_C_YM,"C",IF(CJ154&gt;=DIE_B_YM,"B","A")),""))))</f>
        <v/>
      </c>
      <c r="CL154" s="4">
        <f>CK154</f>
        <v/>
      </c>
      <c r="CM154" s="4">
        <f>IF(AU154="sí","sí",IF(AS154="regla",IF(AND(N(AQ154)=0,CH154=1),"sí","no"),"no"))</f>
        <v/>
      </c>
      <c r="CN154" s="3">
        <f>IFERROR(VLOOKUP(F154,MOD_TBL,16,0),IFERROR(VLOOKUP(E154,OCU_TBL,2,0),NEUTRO))</f>
        <v/>
      </c>
      <c r="CO154" s="3">
        <f>SUMIFS(MOT_AJUSTE,MOT_MOTOR,G154,MOT_MARCA,E154,MOT_DESDE,"&lt;="&amp;M154,MOT_HASTA,"&gt;="&amp;M154)+SUMIFS(MOT_AJUSTE,MOT_MOTOR,G154,MOT_MARCA,"(todas)",MOT_DESDE,"&lt;="&amp;M154,MOT_HASTA,"&gt;="&amp;M154)+SUMIFS(MOT_AJUSTE,MOT_MOTOR,"(cualquiera)",MOT_MARCA,E154,MOT_DESDE,"&lt;="&amp;M154,MOT_HASTA,"&gt;="&amp;M154)</f>
        <v/>
      </c>
      <c r="CP154" s="3">
        <f>SUMIFS(COMB_AJUSTE,COMB_COMB,K154)</f>
        <v/>
      </c>
      <c r="CQ154" s="3">
        <f>COUNTIFS(MOT_MOTOR,G154,MOT_MARCA,E154,MOT_DESDE,"&lt;="&amp;M154,MOT_HASTA,"&gt;="&amp;M154)+COUNTIFS(MOT_MOTOR,G154,MOT_MARCA,"(todas)",MOT_DESDE,"&lt;="&amp;M154,MOT_HASTA,"&gt;="&amp;M154)+COUNTIFS(MOT_MOTOR,"(cualquiera)",MOT_MARCA,E154,MOT_DESDE,"&lt;="&amp;M154,MOT_HASTA,"&gt;="&amp;M154)</f>
        <v/>
      </c>
      <c r="CR154" s="3">
        <f>IF(AND(K154="diesel",CQ154=0),MIN(CN154,NEUTRO),CN154)</f>
        <v/>
      </c>
      <c r="CS154" s="3">
        <f>MAX(0,MIN(100,CR154+CO154+CP154-IF(AX154="sí",ROB_PEN,0)))</f>
        <v/>
      </c>
      <c r="CT154" s="3">
        <f>100-MAX(0,N154-KM_TOPE_DESDE)/1000*KM_TOPE_PTS</f>
        <v/>
      </c>
      <c r="CU154" s="3">
        <f>MAX(0,MIN(100,50+CG154*PRECIO_PEND,CT154))</f>
        <v/>
      </c>
      <c r="CV154" s="3">
        <f>MAX(0,100*(1-N154/KM_MAX))</f>
        <v/>
      </c>
      <c r="CW154" s="3">
        <f>IF(BX154&lt;KMA_SOSP,IF(AA154="sí",100,KMA_PEN),IF(BX154&lt;=KMA_IDEAL_MAX,100,MAX(0,100*(KMA_CERO-BX154)/(KMA_CERO-KMA_IDEAL_MAX))))</f>
        <v/>
      </c>
      <c r="CX154" s="3">
        <f>MAX(0,MIN(100,100*(M154-ANIO_MIN)/(ANIO_ACTUAL-ANIO_MIN)))</f>
        <v/>
      </c>
      <c r="CY154" s="3">
        <f>W_KMT*CV154+W_KMA*CW154+W_EDAD*CX154</f>
        <v/>
      </c>
      <c r="CZ154" s="4">
        <f>E154&amp;"|"&amp;G154</f>
        <v/>
      </c>
      <c r="DA154" s="3">
        <f>IFERROR(VLOOKUP(CZ154,DIST_TBL,2,0),"")</f>
        <v/>
      </c>
      <c r="DB154" s="3">
        <f>E_ITV*(V154="sí")+E_LIBRO*(W154="sí")+E_PROP*IF(Y154=1,1,IF(Y154=2,0.5,0))+E_CORREA*IF(OR(DA154="cadena",AND(X154="sí",BH154="sí")),1,IF(X154="sí",0.5,0))+E_FACT*(BI154="sí")</f>
        <v/>
      </c>
      <c r="DC154" s="3">
        <f>MAX(0,MIN(100,IFERROR(VLOOKUP(CL154,ETQ_TBL,2,0),0)-IF(CM154="sí",ETQ_PEN_DUD,IF(AS154="regla",ETQ_PEN_REGLA,0))))</f>
        <v/>
      </c>
      <c r="DD154" s="3">
        <f>IF(K154&lt;&gt;"gasolina","",IFERROR(VLOOKUP(F154,CONS_MOD_TBL,2,0),IFERROR(VLOOKUP(L154,CONS_SEG_TBL,2,0),"")))</f>
        <v/>
      </c>
      <c r="DE154" s="3">
        <f>IF(DD154="",NEUTRO,MAX(0,MIN(100,100*(CONS_REF_MAX-DD154)/(CONS_REF_MAX-CONS_REF_MIN))))</f>
        <v/>
      </c>
      <c r="DF154" s="3">
        <f>IFERROR(VLOOKUP(L154,SEGURO_TBL,3,0),"")</f>
        <v/>
      </c>
      <c r="DG154" s="3">
        <f>IF(DF154="",NEUTRO,MAX(0,MIN(100,100*(SEG_REF_MAX-DF154)/(SEG_REF_MAX-SEG_REF_MIN))))</f>
        <v/>
      </c>
      <c r="DH154" s="3">
        <f>IFERROR(VLOOKUP(E154,MANT_MARCA_TBL,2,0)+0,NEUTRO)</f>
        <v/>
      </c>
      <c r="DI154" s="3">
        <f>IF(DA154="",NEUTRO,IFERROR(VLOOKUP(DA154,DIST_PTS_TBL,2,0)+0,NEUTRO))</f>
        <v/>
      </c>
      <c r="DJ154" s="4">
        <f>(DH154+DI154)/2</f>
        <v/>
      </c>
      <c r="DK154" s="3">
        <f>W_CONS*DE154+W_SEG*DG154+W_MANT*DJ154</f>
        <v/>
      </c>
      <c r="DL154" s="3">
        <f>IF(N(AB154)&gt;0,AB154,IF(AND(R154="profesional",SG_LEGAL_ON=1),GAR_LEGAL,0))</f>
        <v/>
      </c>
      <c r="DM154" s="3">
        <f>MAX(0,MIN(100,SG_GAR*MIN(1,DL154/SG_GAR_FULL)+SG_AMPL*(AC154="sí")+SG_KMC*(AF154="sí")+SG_REV*(N(AE154)&gt;0)+SG_DEV*MIN(1,N(AG154)/SG_DEV_FULL)+SG_HIST*(W154="sí")-IF(AND(R154="particular",DL154=0),SG_PART_PEN,0)))</f>
        <v/>
      </c>
      <c r="DN154" s="3">
        <f>IF(BK154="",NEUTRO,MAX(0,MIN(100,BK154/5*100)))</f>
        <v/>
      </c>
      <c r="DO154" s="3">
        <f>IF(BL154="sí",100,IF(BL154="no",0,NEUTRO))</f>
        <v/>
      </c>
      <c r="DP154" s="3">
        <f>SV_W_NCAP*DN154+SV_W_ESP*DO154</f>
        <v/>
      </c>
      <c r="DQ154" s="3">
        <f>MAX(0,MIN(100,ATR_BASE+ATR_ACAB*(BD154&lt;&gt;"")+IF(BE154="16+",ATR_LL16,IF(BE154="sí",ATR_LL,0))+ATR_FAROS*(BF154="sí")+ATR_TINT*(BG154="sí")-ATR_CHAPA*(BE154="chapa")))</f>
        <v/>
      </c>
      <c r="DR154" s="3">
        <f>EST_W_MOD*(BB154-1)/4*100+EST_W_ATR*DQ154</f>
        <v/>
      </c>
      <c r="DS154" s="3">
        <f>IF(BA154="",NEUTRO,IFERROR(VLOOKUP(BA154,COLOR_TBL,2,0)+0,NEUTRO))</f>
        <v/>
      </c>
      <c r="DT154" s="3">
        <f>MAX(0,MIN(100,100*N(BM154)/RV_N_FULL))</f>
        <v/>
      </c>
      <c r="DU154" s="3">
        <f>IF(OR(BN154="",N(BO154)&lt;RV_DIAS_MIN),NEUTRO,MAX(0,MIN(100,100*(RV_DIAS_CERO-BN154)/(RV_DIAS_CERO-RV_DIAS_FULL))))</f>
        <v/>
      </c>
      <c r="DV154" s="3">
        <f>RV_W_LIQ*DT154+RV_W_DIAS*DU154+RV_W_ETQ*DC154</f>
        <v/>
      </c>
      <c r="DW154" s="3">
        <f>IFERROR(VLOOKUP(L154,CARR_PEN_TBL,2,0),0)</f>
        <v/>
      </c>
      <c r="DX154" s="3">
        <f>W_FIAB*CS154+W_PRECIO*CU154+W_KMEDAD*CY154+W_ESTADO*DB154+W_USO*DK154+W_SEGURIDAD*DM154+W_SEGVIAL*DP154+W_ESTETICA*DR154+W_COLOR*DS154+W_REVENTA*DV154-DW154-EG154</f>
        <v/>
      </c>
      <c r="DY154" s="4">
        <f>IF(N(I154)&gt;0,I154,IFERROR(ROUND(_xlfn.NUMBERVALUE(LEFT(G154,FIND(" ",G154&amp;" ")-1),".")*1000,0),99999))</f>
        <v/>
      </c>
      <c r="DZ154" s="3">
        <f>IF(R154="profesional",0,IF(O154&lt;CUOTA_VALOR_MAX,IF(BW154&gt;ITP_TRAMO_ALTO,SUMIFS(CF_CUOTA,CF_MAS,ITP_TRAMO_ALTO,CF_CCMIN,"&lt;="&amp;DY154,CF_CCMAX,"&gt;="&amp;DY154),IF(BW154&gt;ITP_TRAMO_BAJO,SUMIFS(CF_CUOTA,CF_MAS,ITP_TRAMO_BAJO,CF_CCMIN,"&lt;="&amp;DY154,CF_CCMAX,"&gt;="&amp;DY154),O154*ITP_TIPO)),O154*ITP_TIPO))</f>
        <v/>
      </c>
      <c r="EA154" s="4">
        <f>IF(R154="profesional",N(AK154),0)</f>
        <v/>
      </c>
      <c r="EB154" s="3">
        <f>IF(AND(R154="profesional",ISNUMBER(AK154),AL154="sí"),0,TASA_DGT)</f>
        <v/>
      </c>
      <c r="EC154" s="3">
        <f>INFORME_DGT</f>
        <v/>
      </c>
      <c r="ED154" s="4">
        <f>O154+EA154+DZ154+EB154+EC154</f>
        <v/>
      </c>
      <c r="EE154" s="4">
        <f>ED154+N(DF154)</f>
        <v/>
      </c>
      <c r="EF154" s="3">
        <f>MAX(0,ED154-TOTAL_MAX)</f>
        <v/>
      </c>
      <c r="EG154" s="3">
        <f>EF154/100*PEN_100</f>
        <v/>
      </c>
      <c r="EH154" s="3">
        <f>IF(R154="particular",ED154+IF(AND(DA154&lt;&gt;"cadena",X154&lt;&gt;"sí"),RES_CORREA,0)+IF(AND(BJ154&lt;&gt;"sí",BW154&gt;=RES_NEUM_EDAD),RES_NEUM,0),"")</f>
        <v/>
      </c>
      <c r="EI154" s="3">
        <f>IF(ED154&lt;=TOTAL_MAX,"sí",IF(ED154&lt;=TECHO,"negociar","no"))</f>
        <v/>
      </c>
      <c r="EJ154" s="4">
        <f>ROUND(DX154,9)</f>
        <v/>
      </c>
      <c r="EK154" s="4">
        <f>IF(EI154&lt;&gt;"no",SUMPRODUCT(($EI$2:$EI$209&lt;&gt;"no")*($EJ$2:$EJ$209&gt;EJ154))+SUMPRODUCT(($EI$2:EI154&lt;&gt;"no")*($EJ$2:EJ154=EJ154)),"")</f>
        <v/>
      </c>
    </row>
    <row r="155">
      <c r="A155" s="2" t="inlineStr">
        <is>
          <t>autoscout24:dcf734e7-b06f-4873-8c2a-a26be965dbe9</t>
        </is>
      </c>
      <c r="B155" s="2" t="inlineStr">
        <is>
          <t>autoscout24</t>
        </is>
      </c>
      <c r="C155" s="2" t="inlineStr">
        <is>
          <t>https://www.autoscout24.es/anuncios/renault-megane-1-2-tce-energy-dynamique-ss-gasolina-azul-cat_ma60mo1965-dcf734e7-b06f-4873-8c2a-a26be965dbe9</t>
        </is>
      </c>
      <c r="D155" s="2" t="inlineStr">
        <is>
          <t>Renault Megane 1.2 TCE Energy Dynamique S&amp;S</t>
        </is>
      </c>
      <c r="E155" s="2" t="inlineStr">
        <is>
          <t>Renault</t>
        </is>
      </c>
      <c r="F155" s="2" t="inlineStr">
        <is>
          <t>Renault Mégane</t>
        </is>
      </c>
      <c r="G155" s="2" t="inlineStr">
        <is>
          <t>1.2 TCe</t>
        </is>
      </c>
      <c r="H155" s="2" t="inlineStr">
        <is>
          <t>1.2 TCE Energy Dynamique S&amp;S 115 TCe</t>
        </is>
      </c>
      <c r="I155" s="2" t="n">
        <v>1198</v>
      </c>
      <c r="J155" s="2" t="n">
        <v>116</v>
      </c>
      <c r="K155" s="2" t="inlineStr">
        <is>
          <t>gasolina</t>
        </is>
      </c>
      <c r="L155" s="2" t="inlineStr">
        <is>
          <t>compacto</t>
        </is>
      </c>
      <c r="M155" s="2" t="n">
        <v>2012</v>
      </c>
      <c r="N155" s="2" t="n">
        <v>157377</v>
      </c>
      <c r="O155" s="2" t="n">
        <v>5800</v>
      </c>
      <c r="P155" s="2" t="inlineStr">
        <is>
          <t>manual</t>
        </is>
      </c>
      <c r="Q155" s="2" t="inlineStr">
        <is>
          <t>no</t>
        </is>
      </c>
      <c r="R155" s="2" t="inlineStr">
        <is>
          <t>profesional</t>
        </is>
      </c>
      <c r="S155" s="2" t="inlineStr">
        <is>
          <t>OCASIONPLUS VILLAREAL 2 — VILA-REAL (12540)</t>
        </is>
      </c>
      <c r="T155" s="2" t="n"/>
      <c r="U155" s="2" t="n">
        <v>10</v>
      </c>
      <c r="V155" s="2" t="n"/>
      <c r="W155" s="2" t="n"/>
      <c r="X155" s="2" t="n"/>
      <c r="Y155" s="2" t="n">
        <v>1</v>
      </c>
      <c r="Z155" s="2" t="inlineStr">
        <is>
          <t>sí</t>
        </is>
      </c>
      <c r="AA155" s="2" t="n"/>
      <c r="AB155" s="2" t="n">
        <v>12</v>
      </c>
      <c r="AC155" s="2" t="n"/>
      <c r="AD155" s="2" t="n"/>
      <c r="AE155" s="2" t="n"/>
      <c r="AF155" s="2" t="inlineStr">
        <is>
          <t>sí</t>
        </is>
      </c>
      <c r="AG155" s="2" t="n"/>
      <c r="AH155" s="2" t="n">
        <v>5800</v>
      </c>
      <c r="AI155" s="2" t="n"/>
      <c r="AJ155" s="2" t="n"/>
      <c r="AK155" s="2" t="n"/>
      <c r="AL155" s="2" t="n"/>
      <c r="AM155" s="2" t="n">
        <v>58.2</v>
      </c>
      <c r="AN155" s="2" t="inlineStr">
        <is>
          <t>1000KMS</t>
        </is>
      </c>
      <c r="AO155" s="2" t="inlineStr">
        <is>
          <t>2012-08</t>
        </is>
      </c>
      <c r="AP155" s="2" t="n">
        <v>2012</v>
      </c>
      <c r="AQ155" s="2" t="n">
        <v>8</v>
      </c>
      <c r="AR155" s="2" t="inlineStr">
        <is>
          <t>B</t>
        </is>
      </c>
      <c r="AS155" s="2" t="inlineStr">
        <is>
          <t>DGT</t>
        </is>
      </c>
      <c r="AT155" s="2" t="n"/>
      <c r="AU155" s="2" t="inlineStr">
        <is>
          <t>no</t>
        </is>
      </c>
      <c r="AV155" s="2" t="inlineStr">
        <is>
          <t>B</t>
        </is>
      </c>
      <c r="AW155" s="2" t="n"/>
      <c r="AX155" s="2" t="inlineStr">
        <is>
          <t>no</t>
        </is>
      </c>
      <c r="AY155" s="2" t="inlineStr">
        <is>
          <t>no</t>
        </is>
      </c>
      <c r="AZ155" s="2" t="inlineStr">
        <is>
          <t>Azul</t>
        </is>
      </c>
      <c r="BA155" s="2" t="inlineStr">
        <is>
          <t>azul</t>
        </is>
      </c>
      <c r="BB155" s="3" t="n">
        <v>3</v>
      </c>
      <c r="BC155" s="3" t="inlineStr">
        <is>
          <t>(por segmento)</t>
        </is>
      </c>
      <c r="BD155" s="2" t="n"/>
      <c r="BE155" s="2" t="inlineStr">
        <is>
          <t>16+</t>
        </is>
      </c>
      <c r="BF155" s="2" t="n"/>
      <c r="BG155" s="2" t="n"/>
      <c r="BH155" s="2" t="n"/>
      <c r="BI155" s="2" t="n"/>
      <c r="BJ155" s="2" t="n"/>
      <c r="BK155" s="2" t="n"/>
      <c r="BL155" s="2" t="inlineStr">
        <is>
          <t>sí</t>
        </is>
      </c>
      <c r="BM155" s="2" t="n">
        <v>387</v>
      </c>
      <c r="BN155" s="2" t="n">
        <v>0.07434027781710029</v>
      </c>
      <c r="BO155" s="2" t="n">
        <v>7</v>
      </c>
      <c r="BP155" s="2" t="n">
        <v>5295</v>
      </c>
      <c r="BQ155" s="2" t="n">
        <v>14</v>
      </c>
      <c r="BR155" s="2" t="inlineStr">
        <is>
          <t>modelo+año+km</t>
        </is>
      </c>
      <c r="BS155" s="2" t="inlineStr">
        <is>
          <t>cochesnet:71803499 (https://www.coches.net/renault-megane-dynamique-energy-tce-115-ss-5p-gasolina-2012-en-castellon-71803499-covo.aspx)</t>
        </is>
      </c>
      <c r="BT155" s="2" t="inlineStr">
        <is>
          <t>por encima del presupuesto: negociar 864 € (coste 5864 €; -17.3 puntos); vendedor profesional: sin ITP (operación con IVA/REBU, confirmar en factura); gastos de gestión del vendedor no indicados: se suma la tasa DGT; preguntar el precio final; Euro NCAP de la generación PENDIENTE (seguridad neutra); revisar: no menciona la ITV</t>
        </is>
      </c>
      <c r="BU155" s="2" t="inlineStr">
        <is>
          <t>&lt;strong&gt;Precio al contado: 5800 euros&lt;/strong&gt; &lt;br /&gt;&lt;br /&gt;&lt;strong&gt;Condiciones de la financiación&lt;/strong&gt; &lt;br /&gt;&lt;br /&gt;Consultar condiciones de financiación en este anuncio o contactando con el anunciante &lt;br /&gt;&lt;br /&gt;¡VILLA TAMBIÉN FICHA POR OCASIONPLUS!&lt;br /&gt;VEN A GANAR. ¡VEN A OCASIONPLUS!&lt;br /&gt;&lt;br /&gt;OCASIONPLUS - 20.000 COCHES  - 120 CENTROS&lt;br /&gt;OCASIONPLUS Nº1 CALIDAD - PRECIO&lt;br /&gt;&lt;br /&gt;Elige el coche que te guste y te lo llevamos a tu ciudad sólo con reservarlo&lt;br /&gt;15 DÍAS / 1000 KMS DE PRUEBA&lt;br /&gt;&lt;br /&gt;Hasta 500€ de descuento en este coche&lt;br /&gt;&lt;br /&gt;ADEMÁS, HACEMOS LAS MEJORES FINANCIACIONES DEL MERCADO, PREGÚNTANOS!!&lt;br /&gt;&lt;br /&gt;            Equipamiento destacado: Ayuda aparcamiento, Encendido automático de faros, Sensor de lluvia, Start/Stop automático, Control de velocidad, Limitador de velocidad, Volante multifunción, Aire Acondicionado (Climatizador), Freno de estacionamiento eléctrico, Arranque por botón, Bluetooth, CD, Isofix, Llantas de aleación (16&amp;quot;).&lt;br /&gt;&lt;br /&gt;                - Coche Nacional, Único propietario.&lt;br /&gt;                - Garantía total 1 año, con cobertura nacional, ampliable a 24 meses.&lt;br /&gt;                - Certificado de Kilómetros y ausencia de golpes estructurales.&lt;br /&gt;            - Sobrevaloramos tu coche en operaciones de cambio. Tásalo ahora en ocasionplus.com&lt;br /&gt;            - Entregamos cualquier coche en cualquier centro&lt;br /&gt;            - Abierto Domingo y Festivos.&lt;br /&gt; &lt;strong&gt;Extras&lt;/strong&gt; &lt;br /&gt; &lt;strong&gt;Equipamient</t>
        </is>
      </c>
      <c r="BV155" s="2" t="inlineStr">
        <is>
          <t>https://www.autoscout24.es/anuncios/renault-megane-1-2-tce-energy-dynamique-ss-gasolina-azul-cat_ma60mo1965-dcf734e7-b06f-4873-8c2a-a26be965dbe9 (__NEXT_DATA__ listingDetails) /home/user/Alopecia/buscador-coches/raw/autoscout24/578287a5edd3b776.json</t>
        </is>
      </c>
      <c r="BW155" s="3">
        <f>MAX(ANIO_ACTUAL-M155,0)</f>
        <v/>
      </c>
      <c r="BX155" s="4">
        <f>N155/MAX(BW155,0.5)</f>
        <v/>
      </c>
      <c r="BY155" s="4">
        <f>F155</f>
        <v/>
      </c>
      <c r="BZ155" s="3">
        <f>BY155&amp;"|"&amp;INT(M155/SEG_ANIO)*SEG_ANIO</f>
        <v/>
      </c>
      <c r="CA155" s="3">
        <f>BZ155&amp;"|"&amp;INT(N155/SEG_KM)*SEG_KM</f>
        <v/>
      </c>
      <c r="CB155" s="4">
        <f>COUNTIF($BY$2:$BY$209,BY155)</f>
        <v/>
      </c>
      <c r="CC155" s="4">
        <f>COUNTIF($BZ$2:$BZ$209,BZ155)</f>
        <v/>
      </c>
      <c r="CD155" s="4">
        <f>COUNTIF($CA$2:$CA$209,CA155)</f>
        <v/>
      </c>
      <c r="CE155" s="3">
        <f t="array" ref="CE155">IF(N(BQ155)&gt;=MIN_N,BP155,IF(CD155&gt;=MIN_N,MEDIAN(IF($CA$2:$CA$209=CA155,$O$2:$O$209)),IF(CC155&gt;=MIN_N,MEDIAN(IF($BZ$2:$BZ$209=BZ155,$O$2:$O$209)),MEDIAN(IF($BY$2:$BY$209=BY155,$O$2:$O$209)))))</f>
        <v/>
      </c>
      <c r="CF155" s="3">
        <f>IF(N(BQ155)&gt;=MIN_N,"mercado "&amp;BR155,IF(CD155&gt;=MIN_N,"modelo+año+km",IF(CC155&gt;=MIN_N,"modelo+año","modelo")))</f>
        <v/>
      </c>
      <c r="CG155" s="4">
        <f>(CE155-O155)/CE155</f>
        <v/>
      </c>
      <c r="CH155" s="3">
        <f>IF(COUNTIFS(FR_FUEL,K155,FR_YEAR,AP155)&gt;0,1,0)</f>
        <v/>
      </c>
      <c r="CI155" s="3">
        <f>IF(COUNTIFS(FR_FUEL,K155,FR_YEAR,AP155-1)&gt;0,1,0)</f>
        <v/>
      </c>
      <c r="CJ155" s="4">
        <f>IF(N(AQ155)&gt;0,AP155*100+AQ155,IF(AND(CH155=1,CI155=1),(AP155-1)*100+1,AP155*100+1))</f>
        <v/>
      </c>
      <c r="CK155" s="3">
        <f>IF(OR(K155="hibrido",K155="glp",K155="gnc",K155="phev"),"ECO",IF(K155="electrico","CERO",IF(K155="gasolina",IF(CJ155&gt;=GAS_C_YM,"C",IF(CJ155&gt;=GAS_B_YM,"B","A")),IF(K155="diesel",IF(CJ155&gt;=DIE_C_YM,"C",IF(CJ155&gt;=DIE_B_YM,"B","A")),""))))</f>
        <v/>
      </c>
      <c r="CL155" s="2" t="inlineStr">
        <is>
          <t>B</t>
        </is>
      </c>
      <c r="CM155" s="4">
        <f>IF(AU155="sí","sí",IF(AS155="regla",IF(AND(N(AQ155)=0,CH155=1),"sí","no"),"no"))</f>
        <v/>
      </c>
      <c r="CN155" s="3">
        <f>IFERROR(VLOOKUP(F155,MOD_TBL,16,0),IFERROR(VLOOKUP(E155,OCU_TBL,2,0),NEUTRO))</f>
        <v/>
      </c>
      <c r="CO155" s="3">
        <f>SUMIFS(MOT_AJUSTE,MOT_MOTOR,G155,MOT_MARCA,E155,MOT_DESDE,"&lt;="&amp;M155,MOT_HASTA,"&gt;="&amp;M155)+SUMIFS(MOT_AJUSTE,MOT_MOTOR,G155,MOT_MARCA,"(todas)",MOT_DESDE,"&lt;="&amp;M155,MOT_HASTA,"&gt;="&amp;M155)+SUMIFS(MOT_AJUSTE,MOT_MOTOR,"(cualquiera)",MOT_MARCA,E155,MOT_DESDE,"&lt;="&amp;M155,MOT_HASTA,"&gt;="&amp;M155)</f>
        <v/>
      </c>
      <c r="CP155" s="3">
        <f>SUMIFS(COMB_AJUSTE,COMB_COMB,K155)</f>
        <v/>
      </c>
      <c r="CQ155" s="3">
        <f>COUNTIFS(MOT_MOTOR,G155,MOT_MARCA,E155,MOT_DESDE,"&lt;="&amp;M155,MOT_HASTA,"&gt;="&amp;M155)+COUNTIFS(MOT_MOTOR,G155,MOT_MARCA,"(todas)",MOT_DESDE,"&lt;="&amp;M155,MOT_HASTA,"&gt;="&amp;M155)+COUNTIFS(MOT_MOTOR,"(cualquiera)",MOT_MARCA,E155,MOT_DESDE,"&lt;="&amp;M155,MOT_HASTA,"&gt;="&amp;M155)</f>
        <v/>
      </c>
      <c r="CR155" s="3">
        <f>IF(AND(K155="diesel",CQ155=0),MIN(CN155,NEUTRO),CN155)</f>
        <v/>
      </c>
      <c r="CS155" s="3">
        <f>MAX(0,MIN(100,CR155+CO155+CP155-IF(AX155="sí",ROB_PEN,0)))</f>
        <v/>
      </c>
      <c r="CT155" s="3">
        <f>100-MAX(0,N155-KM_TOPE_DESDE)/1000*KM_TOPE_PTS</f>
        <v/>
      </c>
      <c r="CU155" s="3">
        <f>MAX(0,MIN(100,50+CG155*PRECIO_PEND,CT155))</f>
        <v/>
      </c>
      <c r="CV155" s="3">
        <f>MAX(0,100*(1-N155/KM_MAX))</f>
        <v/>
      </c>
      <c r="CW155" s="3">
        <f>IF(BX155&lt;KMA_SOSP,IF(AA155="sí",100,KMA_PEN),IF(BX155&lt;=KMA_IDEAL_MAX,100,MAX(0,100*(KMA_CERO-BX155)/(KMA_CERO-KMA_IDEAL_MAX))))</f>
        <v/>
      </c>
      <c r="CX155" s="3">
        <f>MAX(0,MIN(100,100*(M155-ANIO_MIN)/(ANIO_ACTUAL-ANIO_MIN)))</f>
        <v/>
      </c>
      <c r="CY155" s="3">
        <f>W_KMT*CV155+W_KMA*CW155+W_EDAD*CX155</f>
        <v/>
      </c>
      <c r="CZ155" s="4">
        <f>E155&amp;"|"&amp;G155</f>
        <v/>
      </c>
      <c r="DA155" s="3">
        <f>IFERROR(VLOOKUP(CZ155,DIST_TBL,2,0),"")</f>
        <v/>
      </c>
      <c r="DB155" s="3">
        <f>E_ITV*(V155="sí")+E_LIBRO*(W155="sí")+E_PROP*IF(Y155=1,1,IF(Y155=2,0.5,0))+E_CORREA*IF(OR(DA155="cadena",AND(X155="sí",BH155="sí")),1,IF(X155="sí",0.5,0))+E_FACT*(BI155="sí")</f>
        <v/>
      </c>
      <c r="DC155" s="3">
        <f>MAX(0,MIN(100,IFERROR(VLOOKUP(CL155,ETQ_TBL,2,0),0)-IF(CM155="sí",ETQ_PEN_DUD,IF(AS155="regla",ETQ_PEN_REGLA,0))))</f>
        <v/>
      </c>
      <c r="DD155" s="3">
        <f>IF(K155&lt;&gt;"gasolina","",IFERROR(VLOOKUP(F155,CONS_MOD_TBL,2,0),IFERROR(VLOOKUP(L155,CONS_SEG_TBL,2,0),"")))</f>
        <v/>
      </c>
      <c r="DE155" s="3">
        <f>IF(DD155="",NEUTRO,MAX(0,MIN(100,100*(CONS_REF_MAX-DD155)/(CONS_REF_MAX-CONS_REF_MIN))))</f>
        <v/>
      </c>
      <c r="DF155" s="3">
        <f>IFERROR(VLOOKUP(L155,SEGURO_TBL,3,0),"")</f>
        <v/>
      </c>
      <c r="DG155" s="3">
        <f>IF(DF155="",NEUTRO,MAX(0,MIN(100,100*(SEG_REF_MAX-DF155)/(SEG_REF_MAX-SEG_REF_MIN))))</f>
        <v/>
      </c>
      <c r="DH155" s="3">
        <f>IFERROR(VLOOKUP(E155,MANT_MARCA_TBL,2,0)+0,NEUTRO)</f>
        <v/>
      </c>
      <c r="DI155" s="3">
        <f>IF(DA155="",NEUTRO,IFERROR(VLOOKUP(DA155,DIST_PTS_TBL,2,0)+0,NEUTRO))</f>
        <v/>
      </c>
      <c r="DJ155" s="4">
        <f>(DH155+DI155)/2</f>
        <v/>
      </c>
      <c r="DK155" s="3">
        <f>W_CONS*DE155+W_SEG*DG155+W_MANT*DJ155</f>
        <v/>
      </c>
      <c r="DL155" s="3">
        <f>IF(N(AB155)&gt;0,AB155,IF(AND(R155="profesional",SG_LEGAL_ON=1),GAR_LEGAL,0))</f>
        <v/>
      </c>
      <c r="DM155" s="3">
        <f>MAX(0,MIN(100,SG_GAR*MIN(1,DL155/SG_GAR_FULL)+SG_AMPL*(AC155="sí")+SG_KMC*(AF155="sí")+SG_REV*(N(AE155)&gt;0)+SG_DEV*MIN(1,N(AG155)/SG_DEV_FULL)+SG_HIST*(W155="sí")-IF(AND(R155="particular",DL155=0),SG_PART_PEN,0)))</f>
        <v/>
      </c>
      <c r="DN155" s="3">
        <f>IF(BK155="",NEUTRO,MAX(0,MIN(100,BK155/5*100)))</f>
        <v/>
      </c>
      <c r="DO155" s="3">
        <f>IF(BL155="sí",100,IF(BL155="no",0,NEUTRO))</f>
        <v/>
      </c>
      <c r="DP155" s="3">
        <f>SV_W_NCAP*DN155+SV_W_ESP*DO155</f>
        <v/>
      </c>
      <c r="DQ155" s="3">
        <f>MAX(0,MIN(100,ATR_BASE+ATR_ACAB*(BD155&lt;&gt;"")+IF(BE155="16+",ATR_LL16,IF(BE155="sí",ATR_LL,0))+ATR_FAROS*(BF155="sí")+ATR_TINT*(BG155="sí")-ATR_CHAPA*(BE155="chapa")))</f>
        <v/>
      </c>
      <c r="DR155" s="3">
        <f>EST_W_MOD*(BB155-1)/4*100+EST_W_ATR*DQ155</f>
        <v/>
      </c>
      <c r="DS155" s="3">
        <f>IF(BA155="",NEUTRO,IFERROR(VLOOKUP(BA155,COLOR_TBL,2,0)+0,NEUTRO))</f>
        <v/>
      </c>
      <c r="DT155" s="3">
        <f>MAX(0,MIN(100,100*N(BM155)/RV_N_FULL))</f>
        <v/>
      </c>
      <c r="DU155" s="3">
        <f>IF(OR(BN155="",N(BO155)&lt;RV_DIAS_MIN),NEUTRO,MAX(0,MIN(100,100*(RV_DIAS_CERO-BN155)/(RV_DIAS_CERO-RV_DIAS_FULL))))</f>
        <v/>
      </c>
      <c r="DV155" s="3">
        <f>RV_W_LIQ*DT155+RV_W_DIAS*DU155+RV_W_ETQ*DC155</f>
        <v/>
      </c>
      <c r="DW155" s="3">
        <f>IFERROR(VLOOKUP(L155,CARR_PEN_TBL,2,0),0)</f>
        <v/>
      </c>
      <c r="DX155" s="3">
        <f>W_FIAB*CS155+W_PRECIO*CU155+W_KMEDAD*CY155+W_ESTADO*DB155+W_USO*DK155+W_SEGURIDAD*DM155+W_SEGVIAL*DP155+W_ESTETICA*DR155+W_COLOR*DS155+W_REVENTA*DV155-DW155-EG155</f>
        <v/>
      </c>
      <c r="DY155" s="4">
        <f>IF(N(I155)&gt;0,I155,IFERROR(ROUND(_xlfn.NUMBERVALUE(LEFT(G155,FIND(" ",G155&amp;" ")-1),".")*1000,0),99999))</f>
        <v/>
      </c>
      <c r="DZ155" s="3">
        <f>IF(R155="profesional",0,IF(O155&lt;CUOTA_VALOR_MAX,IF(BW155&gt;ITP_TRAMO_ALTO,SUMIFS(CF_CUOTA,CF_MAS,ITP_TRAMO_ALTO,CF_CCMIN,"&lt;="&amp;DY155,CF_CCMAX,"&gt;="&amp;DY155),IF(BW155&gt;ITP_TRAMO_BAJO,SUMIFS(CF_CUOTA,CF_MAS,ITP_TRAMO_BAJO,CF_CCMIN,"&lt;="&amp;DY155,CF_CCMAX,"&gt;="&amp;DY155),O155*ITP_TIPO)),O155*ITP_TIPO))</f>
        <v/>
      </c>
      <c r="EA155" s="4">
        <f>IF(R155="profesional",N(AK155),0)</f>
        <v/>
      </c>
      <c r="EB155" s="3">
        <f>IF(AND(R155="profesional",ISNUMBER(AK155),AL155="sí"),0,TASA_DGT)</f>
        <v/>
      </c>
      <c r="EC155" s="3">
        <f>INFORME_DGT</f>
        <v/>
      </c>
      <c r="ED155" s="4">
        <f>O155+EA155+DZ155+EB155+EC155</f>
        <v/>
      </c>
      <c r="EE155" s="4">
        <f>ED155+N(DF155)</f>
        <v/>
      </c>
      <c r="EF155" s="3">
        <f>MAX(0,ED155-TOTAL_MAX)</f>
        <v/>
      </c>
      <c r="EG155" s="3">
        <f>EF155/100*PEN_100</f>
        <v/>
      </c>
      <c r="EH155" s="3">
        <f>IF(R155="particular",ED155+IF(AND(DA155&lt;&gt;"cadena",X155&lt;&gt;"sí"),RES_CORREA,0)+IF(AND(BJ155&lt;&gt;"sí",BW155&gt;=RES_NEUM_EDAD),RES_NEUM,0),"")</f>
        <v/>
      </c>
      <c r="EI155" s="3">
        <f>IF(ED155&lt;=TOTAL_MAX,"sí",IF(ED155&lt;=TECHO,"negociar","no"))</f>
        <v/>
      </c>
      <c r="EJ155" s="4">
        <f>ROUND(DX155,9)</f>
        <v/>
      </c>
      <c r="EK155" s="4">
        <f>IF(EI155&lt;&gt;"no",SUMPRODUCT(($EI$2:$EI$209&lt;&gt;"no")*($EJ$2:$EJ$209&gt;EJ155))+SUMPRODUCT(($EI$2:EI155&lt;&gt;"no")*($EJ$2:EJ155=EJ155)),"")</f>
        <v/>
      </c>
    </row>
    <row r="156">
      <c r="A156" s="2" t="inlineStr">
        <is>
          <t>autoscout24:682fe799-90a7-47c2-8845-cfba7d40563c</t>
        </is>
      </c>
      <c r="B156" s="2" t="inlineStr">
        <is>
          <t>autoscout24</t>
        </is>
      </c>
      <c r="C156" s="2" t="inlineStr">
        <is>
          <t>https://www.autoscout24.es/anuncios/renault-fluence-1-5dci-dynamique-110-eco2-diesel-gris-cat_ma60mo19250-682fe799-90a7-47c2-8845-cfba7d40563c</t>
        </is>
      </c>
      <c r="D156" s="2" t="inlineStr">
        <is>
          <t>Renault Fluence 1.5dCi Dynamique 110 eco2</t>
        </is>
      </c>
      <c r="E156" s="2" t="inlineStr">
        <is>
          <t>Renault</t>
        </is>
      </c>
      <c r="F156" s="2" t="inlineStr">
        <is>
          <t>Renault Fluence</t>
        </is>
      </c>
      <c r="G156" s="2" t="inlineStr">
        <is>
          <t>1.5 dCi</t>
        </is>
      </c>
      <c r="H156" s="2" t="inlineStr">
        <is>
          <t>1.5dCi Dynamique 110 eco2 110 DCI</t>
        </is>
      </c>
      <c r="I156" s="2" t="n">
        <v>1461</v>
      </c>
      <c r="J156" s="2" t="n">
        <v>110</v>
      </c>
      <c r="K156" s="2" t="inlineStr">
        <is>
          <t>diesel</t>
        </is>
      </c>
      <c r="L156" s="2" t="inlineStr">
        <is>
          <t>berlina</t>
        </is>
      </c>
      <c r="M156" s="2" t="n">
        <v>2011</v>
      </c>
      <c r="N156" s="2" t="n">
        <v>98000</v>
      </c>
      <c r="O156" s="2" t="n">
        <v>5750</v>
      </c>
      <c r="P156" s="2" t="inlineStr">
        <is>
          <t>manual</t>
        </is>
      </c>
      <c r="Q156" s="2" t="inlineStr">
        <is>
          <t>no</t>
        </is>
      </c>
      <c r="R156" s="2" t="inlineStr">
        <is>
          <t>profesional</t>
        </is>
      </c>
      <c r="S156" s="2" t="inlineStr">
        <is>
          <t>Cañada 29 Automóviles — VALENCIA (46017)</t>
        </is>
      </c>
      <c r="T156" s="2" t="n"/>
      <c r="U156" s="2" t="n">
        <v>21</v>
      </c>
      <c r="V156" s="2" t="n"/>
      <c r="W156" s="2" t="n"/>
      <c r="X156" s="2" t="n"/>
      <c r="Y156" s="2" t="n">
        <v>1</v>
      </c>
      <c r="Z156" s="2" t="inlineStr">
        <is>
          <t>sí</t>
        </is>
      </c>
      <c r="AA156" s="2" t="n"/>
      <c r="AB156" s="2" t="n">
        <v>12</v>
      </c>
      <c r="AC156" s="2" t="n"/>
      <c r="AD156" s="2" t="n"/>
      <c r="AE156" s="2" t="n"/>
      <c r="AF156" s="2" t="n"/>
      <c r="AG156" s="2" t="n"/>
      <c r="AH156" s="2" t="n">
        <v>5750</v>
      </c>
      <c r="AI156" s="2" t="n"/>
      <c r="AJ156" s="2" t="n"/>
      <c r="AK156" s="2" t="n"/>
      <c r="AL156" s="2" t="n"/>
      <c r="AM156" s="2" t="n">
        <v>2.9</v>
      </c>
      <c r="AN156" s="2" t="n"/>
      <c r="AO156" s="2" t="inlineStr">
        <is>
          <t>2011-09</t>
        </is>
      </c>
      <c r="AP156" s="2" t="n">
        <v>2011</v>
      </c>
      <c r="AQ156" s="2" t="n">
        <v>9</v>
      </c>
      <c r="AR156" s="2" t="n"/>
      <c r="AS156" s="2" t="inlineStr">
        <is>
          <t>regla</t>
        </is>
      </c>
      <c r="AT156" s="2" t="n"/>
      <c r="AU156" s="2" t="inlineStr">
        <is>
          <t>no</t>
        </is>
      </c>
      <c r="AV156" s="2" t="inlineStr">
        <is>
          <t>B</t>
        </is>
      </c>
      <c r="AW156" s="2" t="n"/>
      <c r="AX156" s="2" t="inlineStr">
        <is>
          <t>no</t>
        </is>
      </c>
      <c r="AY156" s="2" t="inlineStr">
        <is>
          <t>no</t>
        </is>
      </c>
      <c r="AZ156" s="2" t="inlineStr">
        <is>
          <t>Gris Metalizado</t>
        </is>
      </c>
      <c r="BA156" s="2" t="inlineStr">
        <is>
          <t>gris_medio</t>
        </is>
      </c>
      <c r="BB156" s="3" t="n">
        <v>3</v>
      </c>
      <c r="BC156" s="3" t="inlineStr">
        <is>
          <t>(por segmento)</t>
        </is>
      </c>
      <c r="BD156" s="2" t="n"/>
      <c r="BE156" s="2" t="inlineStr">
        <is>
          <t>sí</t>
        </is>
      </c>
      <c r="BF156" s="2" t="n"/>
      <c r="BG156" s="2" t="n"/>
      <c r="BH156" s="2" t="n"/>
      <c r="BI156" s="2" t="n"/>
      <c r="BJ156" s="2" t="inlineStr">
        <is>
          <t>sí</t>
        </is>
      </c>
      <c r="BK156" s="2" t="n"/>
      <c r="BL156" s="2" t="inlineStr">
        <is>
          <t>sí</t>
        </is>
      </c>
      <c r="BM156" s="2" t="n">
        <v>9</v>
      </c>
      <c r="BN156" s="2" t="n">
        <v>0</v>
      </c>
      <c r="BO156" s="2" t="n">
        <v>1</v>
      </c>
      <c r="BP156" s="2" t="n">
        <v>5300</v>
      </c>
      <c r="BQ156" s="2" t="n">
        <v>5</v>
      </c>
      <c r="BR156" s="2" t="inlineStr">
        <is>
          <t>modelo+año</t>
        </is>
      </c>
      <c r="BS156" s="2" t="inlineStr">
        <is>
          <t>wallapop:1305670540 (https://es.wallapop.com/item/renault-fluence-2011-1305670540)</t>
        </is>
      </c>
      <c r="BT156" s="2" t="inlineStr">
        <is>
          <t>por encima del presupuesto: negociar 814 € (coste 5814 €; -16.3 puntos); vendedor profesional: sin ITP (operación con IVA/REBU, confirmar en factura); gastos de gestión del vendedor no indicados: se suma la tasa DGT; preguntar el precio final; Euro NCAP de la generación PENDIENTE (seguridad neutra); etiqueta B deducida por fecha (sin matrícula ni dato del anuncio); fiabilidad del modelo PENDIENTE de fuente (puntuación neutra)</t>
        </is>
      </c>
      <c r="BU156" s="2" t="inlineStr">
        <is>
          <t>&lt;strong&gt;Precio al contado: 5750 euros&lt;/strong&gt; &lt;br /&gt;&lt;br /&gt;&lt;strong&gt;Condiciones de la financiación&lt;/strong&gt; &lt;br /&gt;&lt;br /&gt;sin entrada con su nomina !&lt;br /&gt; &lt;br /&gt;&lt;br /&gt;unico dueño , muy buen estado general, neumaticos nuevos , se entrega con itv para un año , revisiones al dia !&lt;br /&gt; clima, tapiceria de cuero -tela, llantas de aleacion , cierre con mando , elevalunas electricos , retrovisores electricos plegables, radio cd + manos libres, ordenador a bordo , velocidad de crucero , senores de parking, etc !&lt;br /&gt; posibilidad de financiar !&lt;br /&gt; aceptamos su coche como parte de pago ! &lt;br /&gt;COMPRAMOS TODO TIPO DE VEHICULOS ! PAGO AL INSTANTE !&lt;br /&gt; oferta con caracter informativo, puede contener errores y no es vinculante !&lt;br /&gt;&lt;br /&gt;</t>
        </is>
      </c>
      <c r="BV156" s="2" t="inlineStr">
        <is>
          <t>https://www.autoscout24.es/anuncios/renault-fluence-1-5dci-dynamique-110-eco2-diesel-gris-cat_ma60mo19250-682fe799-90a7-47c2-8845-cfba7d40563c (__NEXT_DATA__ listingDetails) /home/user/Alopecia/buscador-coches/raw/autoscout24/85b03daf348b4319.json</t>
        </is>
      </c>
      <c r="BW156" s="3">
        <f>MAX(ANIO_ACTUAL-M156,0)</f>
        <v/>
      </c>
      <c r="BX156" s="4">
        <f>N156/MAX(BW156,0.5)</f>
        <v/>
      </c>
      <c r="BY156" s="4">
        <f>F156</f>
        <v/>
      </c>
      <c r="BZ156" s="3">
        <f>BY156&amp;"|"&amp;INT(M156/SEG_ANIO)*SEG_ANIO</f>
        <v/>
      </c>
      <c r="CA156" s="3">
        <f>BZ156&amp;"|"&amp;INT(N156/SEG_KM)*SEG_KM</f>
        <v/>
      </c>
      <c r="CB156" s="4">
        <f>COUNTIF($BY$2:$BY$209,BY156)</f>
        <v/>
      </c>
      <c r="CC156" s="4">
        <f>COUNTIF($BZ$2:$BZ$209,BZ156)</f>
        <v/>
      </c>
      <c r="CD156" s="4">
        <f>COUNTIF($CA$2:$CA$209,CA156)</f>
        <v/>
      </c>
      <c r="CE156" s="3">
        <f t="array" ref="CE156">IF(N(BQ156)&gt;=MIN_N,BP156,IF(CD156&gt;=MIN_N,MEDIAN(IF($CA$2:$CA$209=CA156,$O$2:$O$209)),IF(CC156&gt;=MIN_N,MEDIAN(IF($BZ$2:$BZ$209=BZ156,$O$2:$O$209)),MEDIAN(IF($BY$2:$BY$209=BY156,$O$2:$O$209)))))</f>
        <v/>
      </c>
      <c r="CF156" s="3">
        <f>IF(N(BQ156)&gt;=MIN_N,"mercado "&amp;BR156,IF(CD156&gt;=MIN_N,"modelo+año+km",IF(CC156&gt;=MIN_N,"modelo+año","modelo")))</f>
        <v/>
      </c>
      <c r="CG156" s="4">
        <f>(CE156-O156)/CE156</f>
        <v/>
      </c>
      <c r="CH156" s="3">
        <f>IF(COUNTIFS(FR_FUEL,K156,FR_YEAR,AP156)&gt;0,1,0)</f>
        <v/>
      </c>
      <c r="CI156" s="3">
        <f>IF(COUNTIFS(FR_FUEL,K156,FR_YEAR,AP156-1)&gt;0,1,0)</f>
        <v/>
      </c>
      <c r="CJ156" s="4">
        <f>IF(N(AQ156)&gt;0,AP156*100+AQ156,IF(AND(CH156=1,CI156=1),(AP156-1)*100+1,AP156*100+1))</f>
        <v/>
      </c>
      <c r="CK156" s="3">
        <f>IF(OR(K156="hibrido",K156="glp",K156="gnc",K156="phev"),"ECO",IF(K156="electrico","CERO",IF(K156="gasolina",IF(CJ156&gt;=GAS_C_YM,"C",IF(CJ156&gt;=GAS_B_YM,"B","A")),IF(K156="diesel",IF(CJ156&gt;=DIE_C_YM,"C",IF(CJ156&gt;=DIE_B_YM,"B","A")),""))))</f>
        <v/>
      </c>
      <c r="CL156" s="4">
        <f>CK156</f>
        <v/>
      </c>
      <c r="CM156" s="4">
        <f>IF(AU156="sí","sí",IF(AS156="regla",IF(AND(N(AQ156)=0,CH156=1),"sí","no"),"no"))</f>
        <v/>
      </c>
      <c r="CN156" s="3">
        <f>IFERROR(VLOOKUP(F156,MOD_TBL,16,0),IFERROR(VLOOKUP(E156,OCU_TBL,2,0),NEUTRO))</f>
        <v/>
      </c>
      <c r="CO156" s="3">
        <f>SUMIFS(MOT_AJUSTE,MOT_MOTOR,G156,MOT_MARCA,E156,MOT_DESDE,"&lt;="&amp;M156,MOT_HASTA,"&gt;="&amp;M156)+SUMIFS(MOT_AJUSTE,MOT_MOTOR,G156,MOT_MARCA,"(todas)",MOT_DESDE,"&lt;="&amp;M156,MOT_HASTA,"&gt;="&amp;M156)+SUMIFS(MOT_AJUSTE,MOT_MOTOR,"(cualquiera)",MOT_MARCA,E156,MOT_DESDE,"&lt;="&amp;M156,MOT_HASTA,"&gt;="&amp;M156)</f>
        <v/>
      </c>
      <c r="CP156" s="3">
        <f>SUMIFS(COMB_AJUSTE,COMB_COMB,K156)</f>
        <v/>
      </c>
      <c r="CQ156" s="3">
        <f>COUNTIFS(MOT_MOTOR,G156,MOT_MARCA,E156,MOT_DESDE,"&lt;="&amp;M156,MOT_HASTA,"&gt;="&amp;M156)+COUNTIFS(MOT_MOTOR,G156,MOT_MARCA,"(todas)",MOT_DESDE,"&lt;="&amp;M156,MOT_HASTA,"&gt;="&amp;M156)+COUNTIFS(MOT_MOTOR,"(cualquiera)",MOT_MARCA,E156,MOT_DESDE,"&lt;="&amp;M156,MOT_HASTA,"&gt;="&amp;M156)</f>
        <v/>
      </c>
      <c r="CR156" s="3">
        <f>IF(AND(K156="diesel",CQ156=0),MIN(CN156,NEUTRO),CN156)</f>
        <v/>
      </c>
      <c r="CS156" s="3">
        <f>MAX(0,MIN(100,CR156+CO156+CP156-IF(AX156="sí",ROB_PEN,0)))</f>
        <v/>
      </c>
      <c r="CT156" s="3">
        <f>100-MAX(0,N156-KM_TOPE_DESDE)/1000*KM_TOPE_PTS</f>
        <v/>
      </c>
      <c r="CU156" s="3">
        <f>MAX(0,MIN(100,50+CG156*PRECIO_PEND,CT156))</f>
        <v/>
      </c>
      <c r="CV156" s="3">
        <f>MAX(0,100*(1-N156/KM_MAX))</f>
        <v/>
      </c>
      <c r="CW156" s="3">
        <f>IF(BX156&lt;KMA_SOSP,IF(AA156="sí",100,KMA_PEN),IF(BX156&lt;=KMA_IDEAL_MAX,100,MAX(0,100*(KMA_CERO-BX156)/(KMA_CERO-KMA_IDEAL_MAX))))</f>
        <v/>
      </c>
      <c r="CX156" s="3">
        <f>MAX(0,MIN(100,100*(M156-ANIO_MIN)/(ANIO_ACTUAL-ANIO_MIN)))</f>
        <v/>
      </c>
      <c r="CY156" s="3">
        <f>W_KMT*CV156+W_KMA*CW156+W_EDAD*CX156</f>
        <v/>
      </c>
      <c r="CZ156" s="4">
        <f>E156&amp;"|"&amp;G156</f>
        <v/>
      </c>
      <c r="DA156" s="3">
        <f>IFERROR(VLOOKUP(CZ156,DIST_TBL,2,0),"")</f>
        <v/>
      </c>
      <c r="DB156" s="3">
        <f>E_ITV*(V156="sí")+E_LIBRO*(W156="sí")+E_PROP*IF(Y156=1,1,IF(Y156=2,0.5,0))+E_CORREA*IF(OR(DA156="cadena",AND(X156="sí",BH156="sí")),1,IF(X156="sí",0.5,0))+E_FACT*(BI156="sí")</f>
        <v/>
      </c>
      <c r="DC156" s="3">
        <f>MAX(0,MIN(100,IFERROR(VLOOKUP(CL156,ETQ_TBL,2,0),0)-IF(CM156="sí",ETQ_PEN_DUD,IF(AS156="regla",ETQ_PEN_REGLA,0))))</f>
        <v/>
      </c>
      <c r="DD156" s="3">
        <f>IF(K156&lt;&gt;"gasolina","",IFERROR(VLOOKUP(F156,CONS_MOD_TBL,2,0),IFERROR(VLOOKUP(L156,CONS_SEG_TBL,2,0),"")))</f>
        <v/>
      </c>
      <c r="DE156" s="3">
        <f>IF(DD156="",NEUTRO,MAX(0,MIN(100,100*(CONS_REF_MAX-DD156)/(CONS_REF_MAX-CONS_REF_MIN))))</f>
        <v/>
      </c>
      <c r="DF156" s="3">
        <f>IFERROR(VLOOKUP(L156,SEGURO_TBL,3,0),"")</f>
        <v/>
      </c>
      <c r="DG156" s="3">
        <f>IF(DF156="",NEUTRO,MAX(0,MIN(100,100*(SEG_REF_MAX-DF156)/(SEG_REF_MAX-SEG_REF_MIN))))</f>
        <v/>
      </c>
      <c r="DH156" s="3">
        <f>IFERROR(VLOOKUP(E156,MANT_MARCA_TBL,2,0)+0,NEUTRO)</f>
        <v/>
      </c>
      <c r="DI156" s="3">
        <f>IF(DA156="",NEUTRO,IFERROR(VLOOKUP(DA156,DIST_PTS_TBL,2,0)+0,NEUTRO))</f>
        <v/>
      </c>
      <c r="DJ156" s="4">
        <f>(DH156+DI156)/2</f>
        <v/>
      </c>
      <c r="DK156" s="3">
        <f>W_CONS*DE156+W_SEG*DG156+W_MANT*DJ156</f>
        <v/>
      </c>
      <c r="DL156" s="3">
        <f>IF(N(AB156)&gt;0,AB156,IF(AND(R156="profesional",SG_LEGAL_ON=1),GAR_LEGAL,0))</f>
        <v/>
      </c>
      <c r="DM156" s="3">
        <f>MAX(0,MIN(100,SG_GAR*MIN(1,DL156/SG_GAR_FULL)+SG_AMPL*(AC156="sí")+SG_KMC*(AF156="sí")+SG_REV*(N(AE156)&gt;0)+SG_DEV*MIN(1,N(AG156)/SG_DEV_FULL)+SG_HIST*(W156="sí")-IF(AND(R156="particular",DL156=0),SG_PART_PEN,0)))</f>
        <v/>
      </c>
      <c r="DN156" s="3">
        <f>IF(BK156="",NEUTRO,MAX(0,MIN(100,BK156/5*100)))</f>
        <v/>
      </c>
      <c r="DO156" s="3">
        <f>IF(BL156="sí",100,IF(BL156="no",0,NEUTRO))</f>
        <v/>
      </c>
      <c r="DP156" s="3">
        <f>SV_W_NCAP*DN156+SV_W_ESP*DO156</f>
        <v/>
      </c>
      <c r="DQ156" s="3">
        <f>MAX(0,MIN(100,ATR_BASE+ATR_ACAB*(BD156&lt;&gt;"")+IF(BE156="16+",ATR_LL16,IF(BE156="sí",ATR_LL,0))+ATR_FAROS*(BF156="sí")+ATR_TINT*(BG156="sí")-ATR_CHAPA*(BE156="chapa")))</f>
        <v/>
      </c>
      <c r="DR156" s="3">
        <f>EST_W_MOD*(BB156-1)/4*100+EST_W_ATR*DQ156</f>
        <v/>
      </c>
      <c r="DS156" s="3">
        <f>IF(BA156="",NEUTRO,IFERROR(VLOOKUP(BA156,COLOR_TBL,2,0)+0,NEUTRO))</f>
        <v/>
      </c>
      <c r="DT156" s="3">
        <f>MAX(0,MIN(100,100*N(BM156)/RV_N_FULL))</f>
        <v/>
      </c>
      <c r="DU156" s="3">
        <f>IF(OR(BN156="",N(BO156)&lt;RV_DIAS_MIN),NEUTRO,MAX(0,MIN(100,100*(RV_DIAS_CERO-BN156)/(RV_DIAS_CERO-RV_DIAS_FULL))))</f>
        <v/>
      </c>
      <c r="DV156" s="3">
        <f>RV_W_LIQ*DT156+RV_W_DIAS*DU156+RV_W_ETQ*DC156</f>
        <v/>
      </c>
      <c r="DW156" s="3">
        <f>IFERROR(VLOOKUP(L156,CARR_PEN_TBL,2,0),0)</f>
        <v/>
      </c>
      <c r="DX156" s="3">
        <f>W_FIAB*CS156+W_PRECIO*CU156+W_KMEDAD*CY156+W_ESTADO*DB156+W_USO*DK156+W_SEGURIDAD*DM156+W_SEGVIAL*DP156+W_ESTETICA*DR156+W_COLOR*DS156+W_REVENTA*DV156-DW156-EG156</f>
        <v/>
      </c>
      <c r="DY156" s="4">
        <f>IF(N(I156)&gt;0,I156,IFERROR(ROUND(_xlfn.NUMBERVALUE(LEFT(G156,FIND(" ",G156&amp;" ")-1),".")*1000,0),99999))</f>
        <v/>
      </c>
      <c r="DZ156" s="3">
        <f>IF(R156="profesional",0,IF(O156&lt;CUOTA_VALOR_MAX,IF(BW156&gt;ITP_TRAMO_ALTO,SUMIFS(CF_CUOTA,CF_MAS,ITP_TRAMO_ALTO,CF_CCMIN,"&lt;="&amp;DY156,CF_CCMAX,"&gt;="&amp;DY156),IF(BW156&gt;ITP_TRAMO_BAJO,SUMIFS(CF_CUOTA,CF_MAS,ITP_TRAMO_BAJO,CF_CCMIN,"&lt;="&amp;DY156,CF_CCMAX,"&gt;="&amp;DY156),O156*ITP_TIPO)),O156*ITP_TIPO))</f>
        <v/>
      </c>
      <c r="EA156" s="4">
        <f>IF(R156="profesional",N(AK156),0)</f>
        <v/>
      </c>
      <c r="EB156" s="3">
        <f>IF(AND(R156="profesional",ISNUMBER(AK156),AL156="sí"),0,TASA_DGT)</f>
        <v/>
      </c>
      <c r="EC156" s="3">
        <f>INFORME_DGT</f>
        <v/>
      </c>
      <c r="ED156" s="4">
        <f>O156+EA156+DZ156+EB156+EC156</f>
        <v/>
      </c>
      <c r="EE156" s="4">
        <f>ED156+N(DF156)</f>
        <v/>
      </c>
      <c r="EF156" s="3">
        <f>MAX(0,ED156-TOTAL_MAX)</f>
        <v/>
      </c>
      <c r="EG156" s="3">
        <f>EF156/100*PEN_100</f>
        <v/>
      </c>
      <c r="EH156" s="3">
        <f>IF(R156="particular",ED156+IF(AND(DA156&lt;&gt;"cadena",X156&lt;&gt;"sí"),RES_CORREA,0)+IF(AND(BJ156&lt;&gt;"sí",BW156&gt;=RES_NEUM_EDAD),RES_NEUM,0),"")</f>
        <v/>
      </c>
      <c r="EI156" s="3">
        <f>IF(ED156&lt;=TOTAL_MAX,"sí",IF(ED156&lt;=TECHO,"negociar","no"))</f>
        <v/>
      </c>
      <c r="EJ156" s="4">
        <f>ROUND(DX156,9)</f>
        <v/>
      </c>
      <c r="EK156" s="4">
        <f>IF(EI156&lt;&gt;"no",SUMPRODUCT(($EI$2:$EI$209&lt;&gt;"no")*($EJ$2:$EJ$209&gt;EJ156))+SUMPRODUCT(($EI$2:EI156&lt;&gt;"no")*($EJ$2:EJ156=EJ156)),"")</f>
        <v/>
      </c>
    </row>
    <row r="157">
      <c r="A157" s="2" t="inlineStr">
        <is>
          <t>autoscout24:a52f6c03-ffbc-4d50-a86c-77631d36c9a9</t>
        </is>
      </c>
      <c r="B157" s="2" t="inlineStr">
        <is>
          <t>autoscout24</t>
        </is>
      </c>
      <c r="C157" s="2" t="inlineStr">
        <is>
          <t>https://www.autoscout24.es/anuncios/renault-megane-1-5dci-dynamique-110-diesel-azul-cat_ma60mo1965-a52f6c03-ffbc-4d50-a86c-77631d36c9a9</t>
        </is>
      </c>
      <c r="D157" s="2" t="inlineStr">
        <is>
          <t>Renault Megane 1.5dCi Dynamique 110</t>
        </is>
      </c>
      <c r="E157" s="2" t="inlineStr">
        <is>
          <t>Renault</t>
        </is>
      </c>
      <c r="F157" s="2" t="inlineStr">
        <is>
          <t>Renault Mégane</t>
        </is>
      </c>
      <c r="G157" s="2" t="inlineStr">
        <is>
          <t>1.5</t>
        </is>
      </c>
      <c r="H157" s="2" t="inlineStr">
        <is>
          <t>1.5dCi Dynamique 110 1.6</t>
        </is>
      </c>
      <c r="I157" s="2" t="n">
        <v>1461</v>
      </c>
      <c r="J157" s="2" t="n">
        <v>110</v>
      </c>
      <c r="K157" s="2" t="inlineStr">
        <is>
          <t>diesel</t>
        </is>
      </c>
      <c r="L157" s="2" t="inlineStr">
        <is>
          <t>compacto</t>
        </is>
      </c>
      <c r="M157" s="2" t="n">
        <v>2010</v>
      </c>
      <c r="N157" s="2" t="n">
        <v>165000</v>
      </c>
      <c r="O157" s="2" t="n">
        <v>5490</v>
      </c>
      <c r="P157" s="2" t="inlineStr">
        <is>
          <t>manual</t>
        </is>
      </c>
      <c r="Q157" s="2" t="inlineStr">
        <is>
          <t>no</t>
        </is>
      </c>
      <c r="R157" s="2" t="inlineStr">
        <is>
          <t>profesional</t>
        </is>
      </c>
      <c r="S157" s="2" t="inlineStr">
        <is>
          <t>SAGA VEHICULOS — MASSANASSA (46470)</t>
        </is>
      </c>
      <c r="T157" s="2" t="n"/>
      <c r="U157" s="2" t="n">
        <v>28</v>
      </c>
      <c r="V157" s="2" t="n"/>
      <c r="W157" s="2" t="n"/>
      <c r="X157" s="2" t="n"/>
      <c r="Y157" s="2" t="n"/>
      <c r="Z157" s="2" t="inlineStr">
        <is>
          <t>sí</t>
        </is>
      </c>
      <c r="AA157" s="2" t="n"/>
      <c r="AB157" s="2" t="n">
        <v>12</v>
      </c>
      <c r="AC157" s="2" t="inlineStr">
        <is>
          <t>sí</t>
        </is>
      </c>
      <c r="AD157" s="2" t="n"/>
      <c r="AE157" s="2" t="n"/>
      <c r="AF157" s="2" t="n"/>
      <c r="AG157" s="2" t="n"/>
      <c r="AH157" s="2" t="n"/>
      <c r="AI157" s="2" t="n"/>
      <c r="AJ157" s="2" t="n"/>
      <c r="AK157" s="2" t="n">
        <v>350</v>
      </c>
      <c r="AL157" s="2" t="inlineStr">
        <is>
          <t>no</t>
        </is>
      </c>
      <c r="AM157" s="2" t="n">
        <v>7.1</v>
      </c>
      <c r="AN157" s="2" t="n"/>
      <c r="AO157" s="2" t="inlineStr">
        <is>
          <t>2010-05</t>
        </is>
      </c>
      <c r="AP157" s="2" t="n">
        <v>2010</v>
      </c>
      <c r="AQ157" s="2" t="n">
        <v>5</v>
      </c>
      <c r="AR157" s="2" t="n"/>
      <c r="AS157" s="2" t="inlineStr">
        <is>
          <t>regla</t>
        </is>
      </c>
      <c r="AT157" s="2" t="n"/>
      <c r="AU157" s="2" t="inlineStr">
        <is>
          <t>no</t>
        </is>
      </c>
      <c r="AV157" s="2" t="inlineStr">
        <is>
          <t>B</t>
        </is>
      </c>
      <c r="AW157" s="2" t="n"/>
      <c r="AX157" s="2" t="inlineStr">
        <is>
          <t>no</t>
        </is>
      </c>
      <c r="AY157" s="2" t="inlineStr">
        <is>
          <t>no</t>
        </is>
      </c>
      <c r="AZ157" s="2" t="inlineStr">
        <is>
          <t>Azul Metalizado</t>
        </is>
      </c>
      <c r="BA157" s="2" t="inlineStr">
        <is>
          <t>azul</t>
        </is>
      </c>
      <c r="BB157" s="3" t="n">
        <v>3</v>
      </c>
      <c r="BC157" s="3" t="inlineStr">
        <is>
          <t>(por segmento)</t>
        </is>
      </c>
      <c r="BD157" s="2" t="n"/>
      <c r="BE157" s="2" t="n"/>
      <c r="BF157" s="2" t="n"/>
      <c r="BG157" s="2" t="n"/>
      <c r="BH157" s="2" t="n"/>
      <c r="BI157" s="2" t="n"/>
      <c r="BJ157" s="2" t="n"/>
      <c r="BK157" s="2" t="n"/>
      <c r="BL157" s="2" t="inlineStr">
        <is>
          <t>sí</t>
        </is>
      </c>
      <c r="BM157" s="2" t="n">
        <v>387</v>
      </c>
      <c r="BN157" s="2" t="n">
        <v>0.07434027781710029</v>
      </c>
      <c r="BO157" s="2" t="n">
        <v>7</v>
      </c>
      <c r="BP157" s="2" t="n">
        <v>5295</v>
      </c>
      <c r="BQ157" s="2" t="n">
        <v>14</v>
      </c>
      <c r="BR157" s="2" t="inlineStr">
        <is>
          <t>modelo+año+km</t>
        </is>
      </c>
      <c r="BS157" s="2" t="inlineStr">
        <is>
          <t>cochesnet:71576808 (https://www.coches.net/renault-megane-dynamique-dci-105-eco2-5p-diesel-2010-en-valencia-71576808-covo.aspx)</t>
        </is>
      </c>
      <c r="BT157" s="2" t="inlineStr">
        <is>
          <t>por encima del presupuesto: negociar 904 € (coste 5904 €; -18.1 puntos); vendedor profesional: sin ITP (operación con IVA/REBU, confirmar en factura); gastos del vendedor sin indicar si incluyen la transferencia: se suma la tasa DGT; Euro NCAP de la generación PENDIENTE (seguridad neutra); diésel: motor sin fuente de fiabilidad (fiabilidad limitada a neutra); etiqueta B deducida por fecha (sin matrícula ni dato del anuncio); revisar: no menciona la ITV</t>
        </is>
      </c>
      <c r="BU157" s="2" t="inlineStr">
        <is>
          <t>Renault Megane 1.5 dCi Dynamique, 105CV, diésel, vehículo muy bien cuidado.&lt;br /&gt;Más de 100 coches en stock, Por favor llámenos para más información, atendemos SOLO CON CITA PREVIA. Gracias!!!!&lt;br /&gt;Financiacíon de hasta el 100% del vehículo!&lt;br /&gt;Gestión documental no incluido 350€ &lt;br /&gt;Garantía Premium 12 Meses con cobertura a nivel nacional 399€&lt;br /&gt;Saga Vehículos, estamos en C/ Motor Sant Agustí, 41, 46470 Massanassa, Valencia.&lt;br /&gt;Horario: De lunes a viernes de 10:00 a 14:00 y de 16:00 a 19:00.&lt;br /&gt;Sabado de 10:00 a 14:00.&lt;br /&gt;- Aire acondicionado dual zone &lt;br /&gt;- Dirección asistida&lt;br /&gt;- Frenos ABS/EBD&lt;br /&gt;- Control de estabilidad ESP&lt;br /&gt;- Airbags&lt;br /&gt;- Techo de cristal panorámico&lt;br /&gt;- Control de crucero&lt;br /&gt;- Ordenador abordo&lt;br /&gt;- Sistema multimedia Bluetooth&lt;br /&gt;- Sensores crepuscular y lluvia &lt;br /&gt;- Sensores Park-Distance-Control&lt;br /&gt;- Llaves presencial con mandos a distancia y mucho mas....&lt;br /&gt;Este anuncio no es vinculante, se muestra a titulo informativo y no contractual.&lt;br /&gt;&lt;br /&gt;&lt;br /&gt;&lt;br /&gt; &lt;strong&gt;Extras&lt;/strong&gt; &lt;br /&gt; &lt;strong&gt;Equipamiento destacado seleccionado por el usuario&lt;/strong&gt; &lt;br /&gt; &lt;br /&gt;- Pack Sport +&lt;br /&gt;- RadioSat ´´3D Sound by Arkamys´´ Bluetooth, CD MP3 Plug &amp;amp; Music&lt;br /&gt;- RadioSat Classic, CD MP3&lt;br /&gt;- Radar de proximidad trasero&lt;br /&gt;- Techo eléctrico panorámico&lt;br /&gt;- Tarjeta Renault manos libres&lt;br /&gt;- Pintura metalizada&lt;br /&gt;- Pack Confort&lt;br /&gt;</t>
        </is>
      </c>
      <c r="BV157" s="2" t="inlineStr">
        <is>
          <t>https://www.autoscout24.es/anuncios/renault-megane-1-5dci-dynamique-110-diesel-azul-cat_ma60mo1965-a52f6c03-ffbc-4d50-a86c-77631d36c9a9 (__NEXT_DATA__ listingDetails) /home/user/Alopecia/buscador-coches/raw/autoscout24/7b9b2c529e35d475.json</t>
        </is>
      </c>
      <c r="BW157" s="3">
        <f>MAX(ANIO_ACTUAL-M157,0)</f>
        <v/>
      </c>
      <c r="BX157" s="4">
        <f>N157/MAX(BW157,0.5)</f>
        <v/>
      </c>
      <c r="BY157" s="4">
        <f>F157</f>
        <v/>
      </c>
      <c r="BZ157" s="3">
        <f>BY157&amp;"|"&amp;INT(M157/SEG_ANIO)*SEG_ANIO</f>
        <v/>
      </c>
      <c r="CA157" s="3">
        <f>BZ157&amp;"|"&amp;INT(N157/SEG_KM)*SEG_KM</f>
        <v/>
      </c>
      <c r="CB157" s="4">
        <f>COUNTIF($BY$2:$BY$209,BY157)</f>
        <v/>
      </c>
      <c r="CC157" s="4">
        <f>COUNTIF($BZ$2:$BZ$209,BZ157)</f>
        <v/>
      </c>
      <c r="CD157" s="4">
        <f>COUNTIF($CA$2:$CA$209,CA157)</f>
        <v/>
      </c>
      <c r="CE157" s="3">
        <f t="array" ref="CE157">IF(N(BQ157)&gt;=MIN_N,BP157,IF(CD157&gt;=MIN_N,MEDIAN(IF($CA$2:$CA$209=CA157,$O$2:$O$209)),IF(CC157&gt;=MIN_N,MEDIAN(IF($BZ$2:$BZ$209=BZ157,$O$2:$O$209)),MEDIAN(IF($BY$2:$BY$209=BY157,$O$2:$O$209)))))</f>
        <v/>
      </c>
      <c r="CF157" s="3">
        <f>IF(N(BQ157)&gt;=MIN_N,"mercado "&amp;BR157,IF(CD157&gt;=MIN_N,"modelo+año+km",IF(CC157&gt;=MIN_N,"modelo+año","modelo")))</f>
        <v/>
      </c>
      <c r="CG157" s="4">
        <f>(CE157-O157)/CE157</f>
        <v/>
      </c>
      <c r="CH157" s="3">
        <f>IF(COUNTIFS(FR_FUEL,K157,FR_YEAR,AP157)&gt;0,1,0)</f>
        <v/>
      </c>
      <c r="CI157" s="3">
        <f>IF(COUNTIFS(FR_FUEL,K157,FR_YEAR,AP157-1)&gt;0,1,0)</f>
        <v/>
      </c>
      <c r="CJ157" s="4">
        <f>IF(N(AQ157)&gt;0,AP157*100+AQ157,IF(AND(CH157=1,CI157=1),(AP157-1)*100+1,AP157*100+1))</f>
        <v/>
      </c>
      <c r="CK157" s="3">
        <f>IF(OR(K157="hibrido",K157="glp",K157="gnc",K157="phev"),"ECO",IF(K157="electrico","CERO",IF(K157="gasolina",IF(CJ157&gt;=GAS_C_YM,"C",IF(CJ157&gt;=GAS_B_YM,"B","A")),IF(K157="diesel",IF(CJ157&gt;=DIE_C_YM,"C",IF(CJ157&gt;=DIE_B_YM,"B","A")),""))))</f>
        <v/>
      </c>
      <c r="CL157" s="4">
        <f>CK157</f>
        <v/>
      </c>
      <c r="CM157" s="4">
        <f>IF(AU157="sí","sí",IF(AS157="regla",IF(AND(N(AQ157)=0,CH157=1),"sí","no"),"no"))</f>
        <v/>
      </c>
      <c r="CN157" s="3">
        <f>IFERROR(VLOOKUP(F157,MOD_TBL,16,0),IFERROR(VLOOKUP(E157,OCU_TBL,2,0),NEUTRO))</f>
        <v/>
      </c>
      <c r="CO157" s="3">
        <f>SUMIFS(MOT_AJUSTE,MOT_MOTOR,G157,MOT_MARCA,E157,MOT_DESDE,"&lt;="&amp;M157,MOT_HASTA,"&gt;="&amp;M157)+SUMIFS(MOT_AJUSTE,MOT_MOTOR,G157,MOT_MARCA,"(todas)",MOT_DESDE,"&lt;="&amp;M157,MOT_HASTA,"&gt;="&amp;M157)+SUMIFS(MOT_AJUSTE,MOT_MOTOR,"(cualquiera)",MOT_MARCA,E157,MOT_DESDE,"&lt;="&amp;M157,MOT_HASTA,"&gt;="&amp;M157)</f>
        <v/>
      </c>
      <c r="CP157" s="3">
        <f>SUMIFS(COMB_AJUSTE,COMB_COMB,K157)</f>
        <v/>
      </c>
      <c r="CQ157" s="3">
        <f>COUNTIFS(MOT_MOTOR,G157,MOT_MARCA,E157,MOT_DESDE,"&lt;="&amp;M157,MOT_HASTA,"&gt;="&amp;M157)+COUNTIFS(MOT_MOTOR,G157,MOT_MARCA,"(todas)",MOT_DESDE,"&lt;="&amp;M157,MOT_HASTA,"&gt;="&amp;M157)+COUNTIFS(MOT_MOTOR,"(cualquiera)",MOT_MARCA,E157,MOT_DESDE,"&lt;="&amp;M157,MOT_HASTA,"&gt;="&amp;M157)</f>
        <v/>
      </c>
      <c r="CR157" s="3">
        <f>IF(AND(K157="diesel",CQ157=0),MIN(CN157,NEUTRO),CN157)</f>
        <v/>
      </c>
      <c r="CS157" s="3">
        <f>MAX(0,MIN(100,CR157+CO157+CP157-IF(AX157="sí",ROB_PEN,0)))</f>
        <v/>
      </c>
      <c r="CT157" s="3">
        <f>100-MAX(0,N157-KM_TOPE_DESDE)/1000*KM_TOPE_PTS</f>
        <v/>
      </c>
      <c r="CU157" s="3">
        <f>MAX(0,MIN(100,50+CG157*PRECIO_PEND,CT157))</f>
        <v/>
      </c>
      <c r="CV157" s="3">
        <f>MAX(0,100*(1-N157/KM_MAX))</f>
        <v/>
      </c>
      <c r="CW157" s="3">
        <f>IF(BX157&lt;KMA_SOSP,IF(AA157="sí",100,KMA_PEN),IF(BX157&lt;=KMA_IDEAL_MAX,100,MAX(0,100*(KMA_CERO-BX157)/(KMA_CERO-KMA_IDEAL_MAX))))</f>
        <v/>
      </c>
      <c r="CX157" s="3">
        <f>MAX(0,MIN(100,100*(M157-ANIO_MIN)/(ANIO_ACTUAL-ANIO_MIN)))</f>
        <v/>
      </c>
      <c r="CY157" s="3">
        <f>W_KMT*CV157+W_KMA*CW157+W_EDAD*CX157</f>
        <v/>
      </c>
      <c r="CZ157" s="4">
        <f>E157&amp;"|"&amp;G157</f>
        <v/>
      </c>
      <c r="DA157" s="3">
        <f>IFERROR(VLOOKUP(CZ157,DIST_TBL,2,0),"")</f>
        <v/>
      </c>
      <c r="DB157" s="3">
        <f>E_ITV*(V157="sí")+E_LIBRO*(W157="sí")+E_PROP*IF(Y157=1,1,IF(Y157=2,0.5,0))+E_CORREA*IF(OR(DA157="cadena",AND(X157="sí",BH157="sí")),1,IF(X157="sí",0.5,0))+E_FACT*(BI157="sí")</f>
        <v/>
      </c>
      <c r="DC157" s="3">
        <f>MAX(0,MIN(100,IFERROR(VLOOKUP(CL157,ETQ_TBL,2,0),0)-IF(CM157="sí",ETQ_PEN_DUD,IF(AS157="regla",ETQ_PEN_REGLA,0))))</f>
        <v/>
      </c>
      <c r="DD157" s="3">
        <f>IF(K157&lt;&gt;"gasolina","",IFERROR(VLOOKUP(F157,CONS_MOD_TBL,2,0),IFERROR(VLOOKUP(L157,CONS_SEG_TBL,2,0),"")))</f>
        <v/>
      </c>
      <c r="DE157" s="3">
        <f>IF(DD157="",NEUTRO,MAX(0,MIN(100,100*(CONS_REF_MAX-DD157)/(CONS_REF_MAX-CONS_REF_MIN))))</f>
        <v/>
      </c>
      <c r="DF157" s="3">
        <f>IFERROR(VLOOKUP(L157,SEGURO_TBL,3,0),"")</f>
        <v/>
      </c>
      <c r="DG157" s="3">
        <f>IF(DF157="",NEUTRO,MAX(0,MIN(100,100*(SEG_REF_MAX-DF157)/(SEG_REF_MAX-SEG_REF_MIN))))</f>
        <v/>
      </c>
      <c r="DH157" s="3">
        <f>IFERROR(VLOOKUP(E157,MANT_MARCA_TBL,2,0)+0,NEUTRO)</f>
        <v/>
      </c>
      <c r="DI157" s="3">
        <f>IF(DA157="",NEUTRO,IFERROR(VLOOKUP(DA157,DIST_PTS_TBL,2,0)+0,NEUTRO))</f>
        <v/>
      </c>
      <c r="DJ157" s="4">
        <f>(DH157+DI157)/2</f>
        <v/>
      </c>
      <c r="DK157" s="3">
        <f>W_CONS*DE157+W_SEG*DG157+W_MANT*DJ157</f>
        <v/>
      </c>
      <c r="DL157" s="3">
        <f>IF(N(AB157)&gt;0,AB157,IF(AND(R157="profesional",SG_LEGAL_ON=1),GAR_LEGAL,0))</f>
        <v/>
      </c>
      <c r="DM157" s="3">
        <f>MAX(0,MIN(100,SG_GAR*MIN(1,DL157/SG_GAR_FULL)+SG_AMPL*(AC157="sí")+SG_KMC*(AF157="sí")+SG_REV*(N(AE157)&gt;0)+SG_DEV*MIN(1,N(AG157)/SG_DEV_FULL)+SG_HIST*(W157="sí")-IF(AND(R157="particular",DL157=0),SG_PART_PEN,0)))</f>
        <v/>
      </c>
      <c r="DN157" s="3">
        <f>IF(BK157="",NEUTRO,MAX(0,MIN(100,BK157/5*100)))</f>
        <v/>
      </c>
      <c r="DO157" s="3">
        <f>IF(BL157="sí",100,IF(BL157="no",0,NEUTRO))</f>
        <v/>
      </c>
      <c r="DP157" s="3">
        <f>SV_W_NCAP*DN157+SV_W_ESP*DO157</f>
        <v/>
      </c>
      <c r="DQ157" s="3">
        <f>MAX(0,MIN(100,ATR_BASE+ATR_ACAB*(BD157&lt;&gt;"")+IF(BE157="16+",ATR_LL16,IF(BE157="sí",ATR_LL,0))+ATR_FAROS*(BF157="sí")+ATR_TINT*(BG157="sí")-ATR_CHAPA*(BE157="chapa")))</f>
        <v/>
      </c>
      <c r="DR157" s="3">
        <f>EST_W_MOD*(BB157-1)/4*100+EST_W_ATR*DQ157</f>
        <v/>
      </c>
      <c r="DS157" s="3">
        <f>IF(BA157="",NEUTRO,IFERROR(VLOOKUP(BA157,COLOR_TBL,2,0)+0,NEUTRO))</f>
        <v/>
      </c>
      <c r="DT157" s="3">
        <f>MAX(0,MIN(100,100*N(BM157)/RV_N_FULL))</f>
        <v/>
      </c>
      <c r="DU157" s="3">
        <f>IF(OR(BN157="",N(BO157)&lt;RV_DIAS_MIN),NEUTRO,MAX(0,MIN(100,100*(RV_DIAS_CERO-BN157)/(RV_DIAS_CERO-RV_DIAS_FULL))))</f>
        <v/>
      </c>
      <c r="DV157" s="3">
        <f>RV_W_LIQ*DT157+RV_W_DIAS*DU157+RV_W_ETQ*DC157</f>
        <v/>
      </c>
      <c r="DW157" s="3">
        <f>IFERROR(VLOOKUP(L157,CARR_PEN_TBL,2,0),0)</f>
        <v/>
      </c>
      <c r="DX157" s="3">
        <f>W_FIAB*CS157+W_PRECIO*CU157+W_KMEDAD*CY157+W_ESTADO*DB157+W_USO*DK157+W_SEGURIDAD*DM157+W_SEGVIAL*DP157+W_ESTETICA*DR157+W_COLOR*DS157+W_REVENTA*DV157-DW157-EG157</f>
        <v/>
      </c>
      <c r="DY157" s="4">
        <f>IF(N(I157)&gt;0,I157,IFERROR(ROUND(_xlfn.NUMBERVALUE(LEFT(G157,FIND(" ",G157&amp;" ")-1),".")*1000,0),99999))</f>
        <v/>
      </c>
      <c r="DZ157" s="3">
        <f>IF(R157="profesional",0,IF(O157&lt;CUOTA_VALOR_MAX,IF(BW157&gt;ITP_TRAMO_ALTO,SUMIFS(CF_CUOTA,CF_MAS,ITP_TRAMO_ALTO,CF_CCMIN,"&lt;="&amp;DY157,CF_CCMAX,"&gt;="&amp;DY157),IF(BW157&gt;ITP_TRAMO_BAJO,SUMIFS(CF_CUOTA,CF_MAS,ITP_TRAMO_BAJO,CF_CCMIN,"&lt;="&amp;DY157,CF_CCMAX,"&gt;="&amp;DY157),O157*ITP_TIPO)),O157*ITP_TIPO))</f>
        <v/>
      </c>
      <c r="EA157" s="4">
        <f>IF(R157="profesional",N(AK157),0)</f>
        <v/>
      </c>
      <c r="EB157" s="3">
        <f>IF(AND(R157="profesional",ISNUMBER(AK157),AL157="sí"),0,TASA_DGT)</f>
        <v/>
      </c>
      <c r="EC157" s="3">
        <f>INFORME_DGT</f>
        <v/>
      </c>
      <c r="ED157" s="4">
        <f>O157+EA157+DZ157+EB157+EC157</f>
        <v/>
      </c>
      <c r="EE157" s="4">
        <f>ED157+N(DF157)</f>
        <v/>
      </c>
      <c r="EF157" s="3">
        <f>MAX(0,ED157-TOTAL_MAX)</f>
        <v/>
      </c>
      <c r="EG157" s="3">
        <f>EF157/100*PEN_100</f>
        <v/>
      </c>
      <c r="EH157" s="3">
        <f>IF(R157="particular",ED157+IF(AND(DA157&lt;&gt;"cadena",X157&lt;&gt;"sí"),RES_CORREA,0)+IF(AND(BJ157&lt;&gt;"sí",BW157&gt;=RES_NEUM_EDAD),RES_NEUM,0),"")</f>
        <v/>
      </c>
      <c r="EI157" s="3">
        <f>IF(ED157&lt;=TOTAL_MAX,"sí",IF(ED157&lt;=TECHO,"negociar","no"))</f>
        <v/>
      </c>
      <c r="EJ157" s="4">
        <f>ROUND(DX157,9)</f>
        <v/>
      </c>
      <c r="EK157" s="4">
        <f>IF(EI157&lt;&gt;"no",SUMPRODUCT(($EI$2:$EI$209&lt;&gt;"no")*($EJ$2:$EJ$209&gt;EJ157))+SUMPRODUCT(($EI$2:EI157&lt;&gt;"no")*($EJ$2:EJ157=EJ157)),"")</f>
        <v/>
      </c>
    </row>
    <row r="158">
      <c r="A158" s="2" t="inlineStr">
        <is>
          <t>autoscout24:0a491974-eb0b-4e52-aef9-279fd8045ac1</t>
        </is>
      </c>
      <c r="B158" s="2" t="inlineStr">
        <is>
          <t>autoscout24</t>
        </is>
      </c>
      <c r="C158" s="2" t="inlineStr">
        <is>
          <t>https://www.autoscout24.es/anuncios/renault-clio-1-2-business-gasolina-burdeos-cat_ma60mo1961-0a491974-eb0b-4e52-aef9-279fd8045ac1</t>
        </is>
      </c>
      <c r="D158" s="2" t="inlineStr">
        <is>
          <t>Renault Clio 1.2 Business</t>
        </is>
      </c>
      <c r="E158" s="2" t="inlineStr">
        <is>
          <t>Renault</t>
        </is>
      </c>
      <c r="F158" s="2" t="inlineStr">
        <is>
          <t>Renault Clio</t>
        </is>
      </c>
      <c r="G158" s="2" t="inlineStr">
        <is>
          <t>1.1</t>
        </is>
      </c>
      <c r="H158" s="2" t="inlineStr">
        <is>
          <t>1.2 Business 1.2</t>
        </is>
      </c>
      <c r="I158" s="2" t="n">
        <v>1149</v>
      </c>
      <c r="J158" s="2" t="n">
        <v>75</v>
      </c>
      <c r="K158" s="2" t="inlineStr">
        <is>
          <t>gasolina</t>
        </is>
      </c>
      <c r="L158" s="2" t="inlineStr">
        <is>
          <t>utilitario</t>
        </is>
      </c>
      <c r="M158" s="2" t="n">
        <v>2011</v>
      </c>
      <c r="N158" s="2" t="n">
        <v>22010</v>
      </c>
      <c r="O158" s="2" t="n">
        <v>5900</v>
      </c>
      <c r="P158" s="2" t="inlineStr">
        <is>
          <t>manual</t>
        </is>
      </c>
      <c r="Q158" s="2" t="inlineStr">
        <is>
          <t>no</t>
        </is>
      </c>
      <c r="R158" s="2" t="inlineStr">
        <is>
          <t>profesional</t>
        </is>
      </c>
      <c r="S158" s="2" t="inlineStr">
        <is>
          <t>JMMGENIUS — VALENCIA (46016)</t>
        </is>
      </c>
      <c r="T158" s="2" t="n"/>
      <c r="U158" s="2" t="n">
        <v>32</v>
      </c>
      <c r="V158" s="2" t="inlineStr">
        <is>
          <t>sí</t>
        </is>
      </c>
      <c r="W158" s="2" t="n"/>
      <c r="X158" s="2" t="n"/>
      <c r="Y158" s="2" t="n"/>
      <c r="Z158" s="2" t="inlineStr">
        <is>
          <t>sí</t>
        </is>
      </c>
      <c r="AA158" s="2" t="n"/>
      <c r="AB158" s="2" t="n">
        <v>12</v>
      </c>
      <c r="AC158" s="2" t="n"/>
      <c r="AD158" s="2" t="n"/>
      <c r="AE158" s="2" t="n"/>
      <c r="AF158" s="2" t="n"/>
      <c r="AG158" s="2" t="n"/>
      <c r="AH158" s="2" t="n"/>
      <c r="AI158" s="2" t="n"/>
      <c r="AJ158" s="2" t="n"/>
      <c r="AK158" s="2" t="n"/>
      <c r="AL158" s="2" t="n"/>
      <c r="AM158" s="2" t="n">
        <v>5</v>
      </c>
      <c r="AN158" s="2" t="n"/>
      <c r="AO158" s="2" t="inlineStr">
        <is>
          <t>2011-10</t>
        </is>
      </c>
      <c r="AP158" s="2" t="n">
        <v>2011</v>
      </c>
      <c r="AQ158" s="2" t="n">
        <v>10</v>
      </c>
      <c r="AR158" s="2" t="n"/>
      <c r="AS158" s="2" t="inlineStr">
        <is>
          <t>regla</t>
        </is>
      </c>
      <c r="AT158" s="2" t="n"/>
      <c r="AU158" s="2" t="inlineStr">
        <is>
          <t>no</t>
        </is>
      </c>
      <c r="AV158" s="2" t="inlineStr">
        <is>
          <t>C</t>
        </is>
      </c>
      <c r="AW158" s="2" t="n"/>
      <c r="AX158" s="2" t="inlineStr">
        <is>
          <t>no</t>
        </is>
      </c>
      <c r="AY158" s="2" t="inlineStr">
        <is>
          <t>no</t>
        </is>
      </c>
      <c r="AZ158" s="2" t="inlineStr">
        <is>
          <t>Burdeos Metalizado</t>
        </is>
      </c>
      <c r="BA158" s="2" t="inlineStr">
        <is>
          <t>granate</t>
        </is>
      </c>
      <c r="BB158" s="3" t="n">
        <v>2</v>
      </c>
      <c r="BC158" s="3" t="inlineStr">
        <is>
          <t>(por segmento)</t>
        </is>
      </c>
      <c r="BD158" s="2" t="n"/>
      <c r="BE158" s="2" t="n"/>
      <c r="BF158" s="2" t="n"/>
      <c r="BG158" s="2" t="n"/>
      <c r="BH158" s="2" t="n"/>
      <c r="BI158" s="2" t="n"/>
      <c r="BJ158" s="2" t="inlineStr">
        <is>
          <t>sí</t>
        </is>
      </c>
      <c r="BK158" s="2" t="n">
        <v>5</v>
      </c>
      <c r="BL158" s="2" t="n"/>
      <c r="BM158" s="2" t="n">
        <v>332</v>
      </c>
      <c r="BN158" s="2" t="n">
        <v>0.05126157402992249</v>
      </c>
      <c r="BO158" s="2" t="n">
        <v>9</v>
      </c>
      <c r="BP158" s="2" t="n">
        <v>4845</v>
      </c>
      <c r="BQ158" s="2" t="n">
        <v>16</v>
      </c>
      <c r="BR158" s="2" t="inlineStr">
        <is>
          <t>modelo+año</t>
        </is>
      </c>
      <c r="BS158" s="2" t="n"/>
      <c r="BT158" s="2" t="inlineStr">
        <is>
          <t>por encima del presupuesto: negociar 964 € (coste 5964 €; -19.3 puntos); vendedor profesional: sin ITP (operación con IVA/REBU, confirmar en factura); gastos de gestión del vendedor no indicados: se suma la tasa DGT; preguntar el precio final; etiqueta C deducida por fecha (sin matrícula ni dato del anuncio)</t>
        </is>
      </c>
      <c r="BU158" s="2" t="inlineStr">
        <is>
          <t>VEHICULO PRACTICAMENTE NUEVO CON TAN SOLO 22 MIL KM ITV HASTA EL 2027 TODO AL DIA RUEDAS NUEVAS AIR ACONDICIONADO UNICA OPORTUNIDAD PARA TENER UN COCHE PRACTICAMENTE NUEVO &lt;br /&gt;&lt;br /&gt;</t>
        </is>
      </c>
      <c r="BV158" s="2" t="inlineStr">
        <is>
          <t>https://www.autoscout24.es/anuncios/renault-clio-1-2-business-gasolina-burdeos-cat_ma60mo1961-0a491974-eb0b-4e52-aef9-279fd8045ac1 (__NEXT_DATA__ listingDetails) /home/user/Alopecia/buscador-coches/raw/autoscout24/2575e1ea73c5787f.json</t>
        </is>
      </c>
      <c r="BW158" s="3">
        <f>MAX(ANIO_ACTUAL-M158,0)</f>
        <v/>
      </c>
      <c r="BX158" s="4">
        <f>N158/MAX(BW158,0.5)</f>
        <v/>
      </c>
      <c r="BY158" s="4">
        <f>F158</f>
        <v/>
      </c>
      <c r="BZ158" s="3">
        <f>BY158&amp;"|"&amp;INT(M158/SEG_ANIO)*SEG_ANIO</f>
        <v/>
      </c>
      <c r="CA158" s="3">
        <f>BZ158&amp;"|"&amp;INT(N158/SEG_KM)*SEG_KM</f>
        <v/>
      </c>
      <c r="CB158" s="4">
        <f>COUNTIF($BY$2:$BY$209,BY158)</f>
        <v/>
      </c>
      <c r="CC158" s="4">
        <f>COUNTIF($BZ$2:$BZ$209,BZ158)</f>
        <v/>
      </c>
      <c r="CD158" s="4">
        <f>COUNTIF($CA$2:$CA$209,CA158)</f>
        <v/>
      </c>
      <c r="CE158" s="3">
        <f t="array" ref="CE158">IF(N(BQ158)&gt;=MIN_N,BP158,IF(CD158&gt;=MIN_N,MEDIAN(IF($CA$2:$CA$209=CA158,$O$2:$O$209)),IF(CC158&gt;=MIN_N,MEDIAN(IF($BZ$2:$BZ$209=BZ158,$O$2:$O$209)),MEDIAN(IF($BY$2:$BY$209=BY158,$O$2:$O$209)))))</f>
        <v/>
      </c>
      <c r="CF158" s="3">
        <f>IF(N(BQ158)&gt;=MIN_N,"mercado "&amp;BR158,IF(CD158&gt;=MIN_N,"modelo+año+km",IF(CC158&gt;=MIN_N,"modelo+año","modelo")))</f>
        <v/>
      </c>
      <c r="CG158" s="4">
        <f>(CE158-O158)/CE158</f>
        <v/>
      </c>
      <c r="CH158" s="3">
        <f>IF(COUNTIFS(FR_FUEL,K158,FR_YEAR,AP158)&gt;0,1,0)</f>
        <v/>
      </c>
      <c r="CI158" s="3">
        <f>IF(COUNTIFS(FR_FUEL,K158,FR_YEAR,AP158-1)&gt;0,1,0)</f>
        <v/>
      </c>
      <c r="CJ158" s="4">
        <f>IF(N(AQ158)&gt;0,AP158*100+AQ158,IF(AND(CH158=1,CI158=1),(AP158-1)*100+1,AP158*100+1))</f>
        <v/>
      </c>
      <c r="CK158" s="3">
        <f>IF(OR(K158="hibrido",K158="glp",K158="gnc",K158="phev"),"ECO",IF(K158="electrico","CERO",IF(K158="gasolina",IF(CJ158&gt;=GAS_C_YM,"C",IF(CJ158&gt;=GAS_B_YM,"B","A")),IF(K158="diesel",IF(CJ158&gt;=DIE_C_YM,"C",IF(CJ158&gt;=DIE_B_YM,"B","A")),""))))</f>
        <v/>
      </c>
      <c r="CL158" s="4">
        <f>CK158</f>
        <v/>
      </c>
      <c r="CM158" s="4">
        <f>IF(AU158="sí","sí",IF(AS158="regla",IF(AND(N(AQ158)=0,CH158=1),"sí","no"),"no"))</f>
        <v/>
      </c>
      <c r="CN158" s="3">
        <f>IFERROR(VLOOKUP(F158,MOD_TBL,16,0),IFERROR(VLOOKUP(E158,OCU_TBL,2,0),NEUTRO))</f>
        <v/>
      </c>
      <c r="CO158" s="3">
        <f>SUMIFS(MOT_AJUSTE,MOT_MOTOR,G158,MOT_MARCA,E158,MOT_DESDE,"&lt;="&amp;M158,MOT_HASTA,"&gt;="&amp;M158)+SUMIFS(MOT_AJUSTE,MOT_MOTOR,G158,MOT_MARCA,"(todas)",MOT_DESDE,"&lt;="&amp;M158,MOT_HASTA,"&gt;="&amp;M158)+SUMIFS(MOT_AJUSTE,MOT_MOTOR,"(cualquiera)",MOT_MARCA,E158,MOT_DESDE,"&lt;="&amp;M158,MOT_HASTA,"&gt;="&amp;M158)</f>
        <v/>
      </c>
      <c r="CP158" s="3">
        <f>SUMIFS(COMB_AJUSTE,COMB_COMB,K158)</f>
        <v/>
      </c>
      <c r="CQ158" s="3">
        <f>COUNTIFS(MOT_MOTOR,G158,MOT_MARCA,E158,MOT_DESDE,"&lt;="&amp;M158,MOT_HASTA,"&gt;="&amp;M158)+COUNTIFS(MOT_MOTOR,G158,MOT_MARCA,"(todas)",MOT_DESDE,"&lt;="&amp;M158,MOT_HASTA,"&gt;="&amp;M158)+COUNTIFS(MOT_MOTOR,"(cualquiera)",MOT_MARCA,E158,MOT_DESDE,"&lt;="&amp;M158,MOT_HASTA,"&gt;="&amp;M158)</f>
        <v/>
      </c>
      <c r="CR158" s="3">
        <f>IF(AND(K158="diesel",CQ158=0),MIN(CN158,NEUTRO),CN158)</f>
        <v/>
      </c>
      <c r="CS158" s="3">
        <f>MAX(0,MIN(100,CR158+CO158+CP158-IF(AX158="sí",ROB_PEN,0)))</f>
        <v/>
      </c>
      <c r="CT158" s="3">
        <f>100-MAX(0,N158-KM_TOPE_DESDE)/1000*KM_TOPE_PTS</f>
        <v/>
      </c>
      <c r="CU158" s="3">
        <f>MAX(0,MIN(100,50+CG158*PRECIO_PEND,CT158))</f>
        <v/>
      </c>
      <c r="CV158" s="3">
        <f>MAX(0,100*(1-N158/KM_MAX))</f>
        <v/>
      </c>
      <c r="CW158" s="3">
        <f>IF(BX158&lt;KMA_SOSP,IF(AA158="sí",100,KMA_PEN),IF(BX158&lt;=KMA_IDEAL_MAX,100,MAX(0,100*(KMA_CERO-BX158)/(KMA_CERO-KMA_IDEAL_MAX))))</f>
        <v/>
      </c>
      <c r="CX158" s="3">
        <f>MAX(0,MIN(100,100*(M158-ANIO_MIN)/(ANIO_ACTUAL-ANIO_MIN)))</f>
        <v/>
      </c>
      <c r="CY158" s="3">
        <f>W_KMT*CV158+W_KMA*CW158+W_EDAD*CX158</f>
        <v/>
      </c>
      <c r="CZ158" s="4">
        <f>E158&amp;"|"&amp;G158</f>
        <v/>
      </c>
      <c r="DA158" s="3">
        <f>IFERROR(VLOOKUP(CZ158,DIST_TBL,2,0),"")</f>
        <v/>
      </c>
      <c r="DB158" s="3">
        <f>E_ITV*(V158="sí")+E_LIBRO*(W158="sí")+E_PROP*IF(Y158=1,1,IF(Y158=2,0.5,0))+E_CORREA*IF(OR(DA158="cadena",AND(X158="sí",BH158="sí")),1,IF(X158="sí",0.5,0))+E_FACT*(BI158="sí")</f>
        <v/>
      </c>
      <c r="DC158" s="3">
        <f>MAX(0,MIN(100,IFERROR(VLOOKUP(CL158,ETQ_TBL,2,0),0)-IF(CM158="sí",ETQ_PEN_DUD,IF(AS158="regla",ETQ_PEN_REGLA,0))))</f>
        <v/>
      </c>
      <c r="DD158" s="3">
        <f>IF(K158&lt;&gt;"gasolina","",IFERROR(VLOOKUP(F158,CONS_MOD_TBL,2,0),IFERROR(VLOOKUP(L158,CONS_SEG_TBL,2,0),"")))</f>
        <v/>
      </c>
      <c r="DE158" s="3">
        <f>IF(DD158="",NEUTRO,MAX(0,MIN(100,100*(CONS_REF_MAX-DD158)/(CONS_REF_MAX-CONS_REF_MIN))))</f>
        <v/>
      </c>
      <c r="DF158" s="3">
        <f>IFERROR(VLOOKUP(L158,SEGURO_TBL,3,0),"")</f>
        <v/>
      </c>
      <c r="DG158" s="3">
        <f>IF(DF158="",NEUTRO,MAX(0,MIN(100,100*(SEG_REF_MAX-DF158)/(SEG_REF_MAX-SEG_REF_MIN))))</f>
        <v/>
      </c>
      <c r="DH158" s="3">
        <f>IFERROR(VLOOKUP(E158,MANT_MARCA_TBL,2,0)+0,NEUTRO)</f>
        <v/>
      </c>
      <c r="DI158" s="3">
        <f>IF(DA158="",NEUTRO,IFERROR(VLOOKUP(DA158,DIST_PTS_TBL,2,0)+0,NEUTRO))</f>
        <v/>
      </c>
      <c r="DJ158" s="4">
        <f>(DH158+DI158)/2</f>
        <v/>
      </c>
      <c r="DK158" s="3">
        <f>W_CONS*DE158+W_SEG*DG158+W_MANT*DJ158</f>
        <v/>
      </c>
      <c r="DL158" s="3">
        <f>IF(N(AB158)&gt;0,AB158,IF(AND(R158="profesional",SG_LEGAL_ON=1),GAR_LEGAL,0))</f>
        <v/>
      </c>
      <c r="DM158" s="3">
        <f>MAX(0,MIN(100,SG_GAR*MIN(1,DL158/SG_GAR_FULL)+SG_AMPL*(AC158="sí")+SG_KMC*(AF158="sí")+SG_REV*(N(AE158)&gt;0)+SG_DEV*MIN(1,N(AG158)/SG_DEV_FULL)+SG_HIST*(W158="sí")-IF(AND(R158="particular",DL158=0),SG_PART_PEN,0)))</f>
        <v/>
      </c>
      <c r="DN158" s="3">
        <f>IF(BK158="",NEUTRO,MAX(0,MIN(100,BK158/5*100)))</f>
        <v/>
      </c>
      <c r="DO158" s="3">
        <f>IF(BL158="sí",100,IF(BL158="no",0,NEUTRO))</f>
        <v/>
      </c>
      <c r="DP158" s="3">
        <f>SV_W_NCAP*DN158+SV_W_ESP*DO158</f>
        <v/>
      </c>
      <c r="DQ158" s="3">
        <f>MAX(0,MIN(100,ATR_BASE+ATR_ACAB*(BD158&lt;&gt;"")+IF(BE158="16+",ATR_LL16,IF(BE158="sí",ATR_LL,0))+ATR_FAROS*(BF158="sí")+ATR_TINT*(BG158="sí")-ATR_CHAPA*(BE158="chapa")))</f>
        <v/>
      </c>
      <c r="DR158" s="3">
        <f>EST_W_MOD*(BB158-1)/4*100+EST_W_ATR*DQ158</f>
        <v/>
      </c>
      <c r="DS158" s="3">
        <f>IF(BA158="",NEUTRO,IFERROR(VLOOKUP(BA158,COLOR_TBL,2,0)+0,NEUTRO))</f>
        <v/>
      </c>
      <c r="DT158" s="3">
        <f>MAX(0,MIN(100,100*N(BM158)/RV_N_FULL))</f>
        <v/>
      </c>
      <c r="DU158" s="3">
        <f>IF(OR(BN158="",N(BO158)&lt;RV_DIAS_MIN),NEUTRO,MAX(0,MIN(100,100*(RV_DIAS_CERO-BN158)/(RV_DIAS_CERO-RV_DIAS_FULL))))</f>
        <v/>
      </c>
      <c r="DV158" s="3">
        <f>RV_W_LIQ*DT158+RV_W_DIAS*DU158+RV_W_ETQ*DC158</f>
        <v/>
      </c>
      <c r="DW158" s="3">
        <f>IFERROR(VLOOKUP(L158,CARR_PEN_TBL,2,0),0)</f>
        <v/>
      </c>
      <c r="DX158" s="3">
        <f>W_FIAB*CS158+W_PRECIO*CU158+W_KMEDAD*CY158+W_ESTADO*DB158+W_USO*DK158+W_SEGURIDAD*DM158+W_SEGVIAL*DP158+W_ESTETICA*DR158+W_COLOR*DS158+W_REVENTA*DV158-DW158-EG158</f>
        <v/>
      </c>
      <c r="DY158" s="4">
        <f>IF(N(I158)&gt;0,I158,IFERROR(ROUND(_xlfn.NUMBERVALUE(LEFT(G158,FIND(" ",G158&amp;" ")-1),".")*1000,0),99999))</f>
        <v/>
      </c>
      <c r="DZ158" s="3">
        <f>IF(R158="profesional",0,IF(O158&lt;CUOTA_VALOR_MAX,IF(BW158&gt;ITP_TRAMO_ALTO,SUMIFS(CF_CUOTA,CF_MAS,ITP_TRAMO_ALTO,CF_CCMIN,"&lt;="&amp;DY158,CF_CCMAX,"&gt;="&amp;DY158),IF(BW158&gt;ITP_TRAMO_BAJO,SUMIFS(CF_CUOTA,CF_MAS,ITP_TRAMO_BAJO,CF_CCMIN,"&lt;="&amp;DY158,CF_CCMAX,"&gt;="&amp;DY158),O158*ITP_TIPO)),O158*ITP_TIPO))</f>
        <v/>
      </c>
      <c r="EA158" s="4">
        <f>IF(R158="profesional",N(AK158),0)</f>
        <v/>
      </c>
      <c r="EB158" s="3">
        <f>IF(AND(R158="profesional",ISNUMBER(AK158),AL158="sí"),0,TASA_DGT)</f>
        <v/>
      </c>
      <c r="EC158" s="3">
        <f>INFORME_DGT</f>
        <v/>
      </c>
      <c r="ED158" s="4">
        <f>O158+EA158+DZ158+EB158+EC158</f>
        <v/>
      </c>
      <c r="EE158" s="4">
        <f>ED158+N(DF158)</f>
        <v/>
      </c>
      <c r="EF158" s="3">
        <f>MAX(0,ED158-TOTAL_MAX)</f>
        <v/>
      </c>
      <c r="EG158" s="3">
        <f>EF158/100*PEN_100</f>
        <v/>
      </c>
      <c r="EH158" s="3">
        <f>IF(R158="particular",ED158+IF(AND(DA158&lt;&gt;"cadena",X158&lt;&gt;"sí"),RES_CORREA,0)+IF(AND(BJ158&lt;&gt;"sí",BW158&gt;=RES_NEUM_EDAD),RES_NEUM,0),"")</f>
        <v/>
      </c>
      <c r="EI158" s="3">
        <f>IF(ED158&lt;=TOTAL_MAX,"sí",IF(ED158&lt;=TECHO,"negociar","no"))</f>
        <v/>
      </c>
      <c r="EJ158" s="4">
        <f>ROUND(DX158,9)</f>
        <v/>
      </c>
      <c r="EK158" s="4">
        <f>IF(EI158&lt;&gt;"no",SUMPRODUCT(($EI$2:$EI$209&lt;&gt;"no")*($EJ$2:$EJ$209&gt;EJ158))+SUMPRODUCT(($EI$2:EI158&lt;&gt;"no")*($EJ$2:EJ158=EJ158)),"")</f>
        <v/>
      </c>
    </row>
    <row r="159">
      <c r="A159" s="2" t="inlineStr">
        <is>
          <t>autoscout24:bbe29d01-3db6-4f0d-95a0-24b286321907</t>
        </is>
      </c>
      <c r="B159" s="2" t="inlineStr">
        <is>
          <t>autoscout24</t>
        </is>
      </c>
      <c r="C159" s="2" t="inlineStr">
        <is>
          <t>https://www.autoscout24.es/anuncios/peugeot-208-1-2-puretech-ss-active-82-gasolina-gris-cat_ma55mo20057-bbe29d01-3db6-4f0d-95a0-24b286321907</t>
        </is>
      </c>
      <c r="D159" s="2" t="inlineStr">
        <is>
          <t>Peugeot 208 1.2 PureTech S&amp;S Active 82</t>
        </is>
      </c>
      <c r="E159" s="2" t="inlineStr">
        <is>
          <t>Peugeot</t>
        </is>
      </c>
      <c r="F159" s="2" t="inlineStr">
        <is>
          <t>Peugeot 208</t>
        </is>
      </c>
      <c r="G159" s="2" t="inlineStr">
        <is>
          <t>1.2 PureTech</t>
        </is>
      </c>
      <c r="H159" s="2" t="inlineStr">
        <is>
          <t>1.2 PureTech S&amp;S Active 82 82</t>
        </is>
      </c>
      <c r="I159" s="2" t="n">
        <v>1199</v>
      </c>
      <c r="J159" s="2" t="n">
        <v>83</v>
      </c>
      <c r="K159" s="2" t="inlineStr">
        <is>
          <t>gasolina</t>
        </is>
      </c>
      <c r="L159" s="2" t="inlineStr">
        <is>
          <t>utilitario</t>
        </is>
      </c>
      <c r="M159" s="2" t="n">
        <v>2015</v>
      </c>
      <c r="N159" s="2" t="n">
        <v>144119</v>
      </c>
      <c r="O159" s="2" t="n">
        <v>5480</v>
      </c>
      <c r="P159" s="2" t="inlineStr">
        <is>
          <t>manual</t>
        </is>
      </c>
      <c r="Q159" s="2" t="inlineStr">
        <is>
          <t>no</t>
        </is>
      </c>
      <c r="R159" s="2" t="inlineStr">
        <is>
          <t>profesional</t>
        </is>
      </c>
      <c r="S159" s="2" t="inlineStr">
        <is>
          <t>OCASIONPLUS PISTA DE SILLA -Macrocentro — Massanassa (46470)</t>
        </is>
      </c>
      <c r="T159" s="2" t="n"/>
      <c r="U159" s="2" t="n">
        <v>10</v>
      </c>
      <c r="V159" s="2" t="n"/>
      <c r="W159" s="2" t="inlineStr">
        <is>
          <t>sí</t>
        </is>
      </c>
      <c r="X159" s="2" t="n"/>
      <c r="Y159" s="2" t="n"/>
      <c r="Z159" s="2" t="inlineStr">
        <is>
          <t>sí</t>
        </is>
      </c>
      <c r="AA159" s="2" t="n"/>
      <c r="AB159" s="2" t="n">
        <v>12</v>
      </c>
      <c r="AC159" s="2" t="n"/>
      <c r="AD159" s="2" t="n"/>
      <c r="AE159" s="2" t="n"/>
      <c r="AF159" s="2" t="inlineStr">
        <is>
          <t>sí</t>
        </is>
      </c>
      <c r="AG159" s="2" t="n"/>
      <c r="AH159" s="2" t="n">
        <v>5480</v>
      </c>
      <c r="AI159" s="2" t="n"/>
      <c r="AJ159" s="2" t="n"/>
      <c r="AK159" s="2" t="n"/>
      <c r="AL159" s="2" t="n"/>
      <c r="AM159" s="2" t="n">
        <v>7.3</v>
      </c>
      <c r="AN159" s="2" t="inlineStr">
        <is>
          <t>1000KMS</t>
        </is>
      </c>
      <c r="AO159" s="2" t="inlineStr">
        <is>
          <t>2015-10</t>
        </is>
      </c>
      <c r="AP159" s="2" t="n">
        <v>2015</v>
      </c>
      <c r="AQ159" s="2" t="n">
        <v>10</v>
      </c>
      <c r="AR159" s="2" t="inlineStr">
        <is>
          <t>B</t>
        </is>
      </c>
      <c r="AS159" s="2" t="inlineStr">
        <is>
          <t>DGT</t>
        </is>
      </c>
      <c r="AT159" s="2" t="n"/>
      <c r="AU159" s="2" t="inlineStr">
        <is>
          <t>no</t>
        </is>
      </c>
      <c r="AV159" s="2" t="inlineStr">
        <is>
          <t>B</t>
        </is>
      </c>
      <c r="AW159" s="2" t="n"/>
      <c r="AX159" s="2" t="inlineStr">
        <is>
          <t>no</t>
        </is>
      </c>
      <c r="AY159" s="2" t="inlineStr">
        <is>
          <t>no</t>
        </is>
      </c>
      <c r="AZ159" s="2" t="inlineStr">
        <is>
          <t>Gris</t>
        </is>
      </c>
      <c r="BA159" s="2" t="inlineStr">
        <is>
          <t>gris_medio</t>
        </is>
      </c>
      <c r="BB159" s="3" t="n">
        <v>2</v>
      </c>
      <c r="BC159" s="3" t="inlineStr">
        <is>
          <t>(por segmento)</t>
        </is>
      </c>
      <c r="BD159" s="2" t="n"/>
      <c r="BE159" s="2" t="n"/>
      <c r="BF159" s="2" t="n"/>
      <c r="BG159" s="2" t="n"/>
      <c r="BH159" s="2" t="n"/>
      <c r="BI159" s="2" t="n"/>
      <c r="BJ159" s="2" t="n"/>
      <c r="BK159" s="2" t="n"/>
      <c r="BL159" s="2" t="inlineStr">
        <is>
          <t>sí</t>
        </is>
      </c>
      <c r="BM159" s="2" t="n">
        <v>374</v>
      </c>
      <c r="BN159" s="2" t="n">
        <v>0.05126157402992249</v>
      </c>
      <c r="BO159" s="2" t="n">
        <v>4</v>
      </c>
      <c r="BP159" s="2" t="n">
        <v>5990</v>
      </c>
      <c r="BQ159" s="2" t="n">
        <v>18</v>
      </c>
      <c r="BR159" s="2" t="inlineStr">
        <is>
          <t>modelo+año+km</t>
        </is>
      </c>
      <c r="BS159" s="2" t="inlineStr">
        <is>
          <t>cochesnet:71845402 (https://www.coches.net/peugeot-208-5p-active-12l-puretech-82-5p-gasolina-2015-en-valencia-71845402-covo.aspx)</t>
        </is>
      </c>
      <c r="BT159" s="2" t="inlineStr">
        <is>
          <t>por encima del presupuesto: negociar 544 € (coste 5544 €; -10.9 puntos); vendedor profesional: sin ITP (operación con IVA/REBU, confirmar en factura); gastos de gestión del vendedor no indicados: se suma la tasa DGT; preguntar el precio final; Euro NCAP de la generación PENDIENTE (seguridad neutra); revisar: no menciona la ITV</t>
        </is>
      </c>
      <c r="BU159" s="2" t="inlineStr">
        <is>
          <t>&lt;strong&gt;Precio al contado: 5480 euros&lt;/strong&gt; &lt;br /&gt;&lt;br /&gt;&lt;strong&gt;Condiciones de la financiación&lt;/strong&gt; &lt;br /&gt;&lt;br /&gt;Consultar condiciones de financiación en este anuncio o contactando con el anunciante &lt;br /&gt;&lt;br /&gt;¡VILLA TAMBIÉN FICHA POR OCASIONPLUS!&lt;br /&gt;VEN A GANAR. ¡VEN A OCASIONPLUS!&lt;br /&gt;&lt;br /&gt;OCASIONPLUS - 20.000 COCHES  - 120 CENTROS&lt;br /&gt;OCASIONPLUS Nº1 CALIDAD - PRECIO&lt;br /&gt;&lt;br /&gt;Elige el coche que te guste y te lo llevamos a tu ciudad sólo con reservarlo&lt;br /&gt;15 DÍAS / 1000 KMS DE PRUEBA&lt;br /&gt;&lt;br /&gt;Hasta 710€ de descuento en este coche&lt;br /&gt;&lt;br /&gt;ADEMÁS, HACEMOS LAS MEJORES FINANCIACIONES DEL MERCADO, PREGÚNTANOS!!&lt;br /&gt;&lt;br /&gt;            Equipamiento destacado: Navegador, Control de velocidad, Limitador de velocidad, Volante multifunción, Aire Acondicionado, Bluetooth.&lt;br /&gt;&lt;br /&gt;                - Coche Nacional, Historial Mantenimiento.&lt;br /&gt;                - Garantía total 1 año, con cobertura nacional, ampliable a 24 meses.&lt;br /&gt;                - Certificado de Kilómetros y ausencia de golpes estructurales.&lt;br /&gt;            - Sobrevaloramos tu coche en operaciones de cambio. Tásalo ahora en ocasionplus.com&lt;br /&gt;            - Entregamos cualquier coche en cualquier centro&lt;br /&gt;            - Abierto Domingo y Festivos.&lt;br /&gt; &lt;strong&gt;Extras&lt;/strong&gt; &lt;br /&gt; &lt;strong&gt;Equipamiento destacado seleccionado por el usuario&lt;/strong&gt; &lt;br /&gt; &lt;br /&gt;- Navegador&lt;br /&gt;-  Control de velocidad&lt;br /&gt;-  Limitador de velocidad&lt;br /&gt;-  Volante multifunción&lt;br /&gt;-  Aire Acondicionado&lt;</t>
        </is>
      </c>
      <c r="BV159" s="2" t="inlineStr">
        <is>
          <t>https://www.autoscout24.es/anuncios/peugeot-208-1-2-puretech-ss-active-82-gasolina-gris-cat_ma55mo20057-bbe29d01-3db6-4f0d-95a0-24b286321907 (__NEXT_DATA__ listingDetails) /home/user/Alopecia/buscador-coches/raw/autoscout24/d22058dcd60d90d1.json</t>
        </is>
      </c>
      <c r="BW159" s="3">
        <f>MAX(ANIO_ACTUAL-M159,0)</f>
        <v/>
      </c>
      <c r="BX159" s="4">
        <f>N159/MAX(BW159,0.5)</f>
        <v/>
      </c>
      <c r="BY159" s="4">
        <f>F159</f>
        <v/>
      </c>
      <c r="BZ159" s="3">
        <f>BY159&amp;"|"&amp;INT(M159/SEG_ANIO)*SEG_ANIO</f>
        <v/>
      </c>
      <c r="CA159" s="3">
        <f>BZ159&amp;"|"&amp;INT(N159/SEG_KM)*SEG_KM</f>
        <v/>
      </c>
      <c r="CB159" s="4">
        <f>COUNTIF($BY$2:$BY$209,BY159)</f>
        <v/>
      </c>
      <c r="CC159" s="4">
        <f>COUNTIF($BZ$2:$BZ$209,BZ159)</f>
        <v/>
      </c>
      <c r="CD159" s="4">
        <f>COUNTIF($CA$2:$CA$209,CA159)</f>
        <v/>
      </c>
      <c r="CE159" s="3">
        <f t="array" ref="CE159">IF(N(BQ159)&gt;=MIN_N,BP159,IF(CD159&gt;=MIN_N,MEDIAN(IF($CA$2:$CA$209=CA159,$O$2:$O$209)),IF(CC159&gt;=MIN_N,MEDIAN(IF($BZ$2:$BZ$209=BZ159,$O$2:$O$209)),MEDIAN(IF($BY$2:$BY$209=BY159,$O$2:$O$209)))))</f>
        <v/>
      </c>
      <c r="CF159" s="3">
        <f>IF(N(BQ159)&gt;=MIN_N,"mercado "&amp;BR159,IF(CD159&gt;=MIN_N,"modelo+año+km",IF(CC159&gt;=MIN_N,"modelo+año","modelo")))</f>
        <v/>
      </c>
      <c r="CG159" s="4">
        <f>(CE159-O159)/CE159</f>
        <v/>
      </c>
      <c r="CH159" s="3">
        <f>IF(COUNTIFS(FR_FUEL,K159,FR_YEAR,AP159)&gt;0,1,0)</f>
        <v/>
      </c>
      <c r="CI159" s="3">
        <f>IF(COUNTIFS(FR_FUEL,K159,FR_YEAR,AP159-1)&gt;0,1,0)</f>
        <v/>
      </c>
      <c r="CJ159" s="4">
        <f>IF(N(AQ159)&gt;0,AP159*100+AQ159,IF(AND(CH159=1,CI159=1),(AP159-1)*100+1,AP159*100+1))</f>
        <v/>
      </c>
      <c r="CK159" s="3">
        <f>IF(OR(K159="hibrido",K159="glp",K159="gnc",K159="phev"),"ECO",IF(K159="electrico","CERO",IF(K159="gasolina",IF(CJ159&gt;=GAS_C_YM,"C",IF(CJ159&gt;=GAS_B_YM,"B","A")),IF(K159="diesel",IF(CJ159&gt;=DIE_C_YM,"C",IF(CJ159&gt;=DIE_B_YM,"B","A")),""))))</f>
        <v/>
      </c>
      <c r="CL159" s="2" t="inlineStr">
        <is>
          <t>B</t>
        </is>
      </c>
      <c r="CM159" s="4">
        <f>IF(AU159="sí","sí",IF(AS159="regla",IF(AND(N(AQ159)=0,CH159=1),"sí","no"),"no"))</f>
        <v/>
      </c>
      <c r="CN159" s="3">
        <f>IFERROR(VLOOKUP(F159,MOD_TBL,16,0),IFERROR(VLOOKUP(E159,OCU_TBL,2,0),NEUTRO))</f>
        <v/>
      </c>
      <c r="CO159" s="3">
        <f>SUMIFS(MOT_AJUSTE,MOT_MOTOR,G159,MOT_MARCA,E159,MOT_DESDE,"&lt;="&amp;M159,MOT_HASTA,"&gt;="&amp;M159)+SUMIFS(MOT_AJUSTE,MOT_MOTOR,G159,MOT_MARCA,"(todas)",MOT_DESDE,"&lt;="&amp;M159,MOT_HASTA,"&gt;="&amp;M159)+SUMIFS(MOT_AJUSTE,MOT_MOTOR,"(cualquiera)",MOT_MARCA,E159,MOT_DESDE,"&lt;="&amp;M159,MOT_HASTA,"&gt;="&amp;M159)</f>
        <v/>
      </c>
      <c r="CP159" s="3">
        <f>SUMIFS(COMB_AJUSTE,COMB_COMB,K159)</f>
        <v/>
      </c>
      <c r="CQ159" s="3">
        <f>COUNTIFS(MOT_MOTOR,G159,MOT_MARCA,E159,MOT_DESDE,"&lt;="&amp;M159,MOT_HASTA,"&gt;="&amp;M159)+COUNTIFS(MOT_MOTOR,G159,MOT_MARCA,"(todas)",MOT_DESDE,"&lt;="&amp;M159,MOT_HASTA,"&gt;="&amp;M159)+COUNTIFS(MOT_MOTOR,"(cualquiera)",MOT_MARCA,E159,MOT_DESDE,"&lt;="&amp;M159,MOT_HASTA,"&gt;="&amp;M159)</f>
        <v/>
      </c>
      <c r="CR159" s="3">
        <f>IF(AND(K159="diesel",CQ159=0),MIN(CN159,NEUTRO),CN159)</f>
        <v/>
      </c>
      <c r="CS159" s="3">
        <f>MAX(0,MIN(100,CR159+CO159+CP159-IF(AX159="sí",ROB_PEN,0)))</f>
        <v/>
      </c>
      <c r="CT159" s="3">
        <f>100-MAX(0,N159-KM_TOPE_DESDE)/1000*KM_TOPE_PTS</f>
        <v/>
      </c>
      <c r="CU159" s="3">
        <f>MAX(0,MIN(100,50+CG159*PRECIO_PEND,CT159))</f>
        <v/>
      </c>
      <c r="CV159" s="3">
        <f>MAX(0,100*(1-N159/KM_MAX))</f>
        <v/>
      </c>
      <c r="CW159" s="3">
        <f>IF(BX159&lt;KMA_SOSP,IF(AA159="sí",100,KMA_PEN),IF(BX159&lt;=KMA_IDEAL_MAX,100,MAX(0,100*(KMA_CERO-BX159)/(KMA_CERO-KMA_IDEAL_MAX))))</f>
        <v/>
      </c>
      <c r="CX159" s="3">
        <f>MAX(0,MIN(100,100*(M159-ANIO_MIN)/(ANIO_ACTUAL-ANIO_MIN)))</f>
        <v/>
      </c>
      <c r="CY159" s="3">
        <f>W_KMT*CV159+W_KMA*CW159+W_EDAD*CX159</f>
        <v/>
      </c>
      <c r="CZ159" s="4">
        <f>E159&amp;"|"&amp;G159</f>
        <v/>
      </c>
      <c r="DA159" s="3">
        <f>IFERROR(VLOOKUP(CZ159,DIST_TBL,2,0),"")</f>
        <v/>
      </c>
      <c r="DB159" s="3">
        <f>E_ITV*(V159="sí")+E_LIBRO*(W159="sí")+E_PROP*IF(Y159=1,1,IF(Y159=2,0.5,0))+E_CORREA*IF(OR(DA159="cadena",AND(X159="sí",BH159="sí")),1,IF(X159="sí",0.5,0))+E_FACT*(BI159="sí")</f>
        <v/>
      </c>
      <c r="DC159" s="3">
        <f>MAX(0,MIN(100,IFERROR(VLOOKUP(CL159,ETQ_TBL,2,0),0)-IF(CM159="sí",ETQ_PEN_DUD,IF(AS159="regla",ETQ_PEN_REGLA,0))))</f>
        <v/>
      </c>
      <c r="DD159" s="3">
        <f>IF(K159&lt;&gt;"gasolina","",IFERROR(VLOOKUP(F159,CONS_MOD_TBL,2,0),IFERROR(VLOOKUP(L159,CONS_SEG_TBL,2,0),"")))</f>
        <v/>
      </c>
      <c r="DE159" s="3">
        <f>IF(DD159="",NEUTRO,MAX(0,MIN(100,100*(CONS_REF_MAX-DD159)/(CONS_REF_MAX-CONS_REF_MIN))))</f>
        <v/>
      </c>
      <c r="DF159" s="3">
        <f>IFERROR(VLOOKUP(L159,SEGURO_TBL,3,0),"")</f>
        <v/>
      </c>
      <c r="DG159" s="3">
        <f>IF(DF159="",NEUTRO,MAX(0,MIN(100,100*(SEG_REF_MAX-DF159)/(SEG_REF_MAX-SEG_REF_MIN))))</f>
        <v/>
      </c>
      <c r="DH159" s="3">
        <f>IFERROR(VLOOKUP(E159,MANT_MARCA_TBL,2,0)+0,NEUTRO)</f>
        <v/>
      </c>
      <c r="DI159" s="3">
        <f>IF(DA159="",NEUTRO,IFERROR(VLOOKUP(DA159,DIST_PTS_TBL,2,0)+0,NEUTRO))</f>
        <v/>
      </c>
      <c r="DJ159" s="4">
        <f>(DH159+DI159)/2</f>
        <v/>
      </c>
      <c r="DK159" s="3">
        <f>W_CONS*DE159+W_SEG*DG159+W_MANT*DJ159</f>
        <v/>
      </c>
      <c r="DL159" s="3">
        <f>IF(N(AB159)&gt;0,AB159,IF(AND(R159="profesional",SG_LEGAL_ON=1),GAR_LEGAL,0))</f>
        <v/>
      </c>
      <c r="DM159" s="3">
        <f>MAX(0,MIN(100,SG_GAR*MIN(1,DL159/SG_GAR_FULL)+SG_AMPL*(AC159="sí")+SG_KMC*(AF159="sí")+SG_REV*(N(AE159)&gt;0)+SG_DEV*MIN(1,N(AG159)/SG_DEV_FULL)+SG_HIST*(W159="sí")-IF(AND(R159="particular",DL159=0),SG_PART_PEN,0)))</f>
        <v/>
      </c>
      <c r="DN159" s="3">
        <f>IF(BK159="",NEUTRO,MAX(0,MIN(100,BK159/5*100)))</f>
        <v/>
      </c>
      <c r="DO159" s="3">
        <f>IF(BL159="sí",100,IF(BL159="no",0,NEUTRO))</f>
        <v/>
      </c>
      <c r="DP159" s="3">
        <f>SV_W_NCAP*DN159+SV_W_ESP*DO159</f>
        <v/>
      </c>
      <c r="DQ159" s="3">
        <f>MAX(0,MIN(100,ATR_BASE+ATR_ACAB*(BD159&lt;&gt;"")+IF(BE159="16+",ATR_LL16,IF(BE159="sí",ATR_LL,0))+ATR_FAROS*(BF159="sí")+ATR_TINT*(BG159="sí")-ATR_CHAPA*(BE159="chapa")))</f>
        <v/>
      </c>
      <c r="DR159" s="3">
        <f>EST_W_MOD*(BB159-1)/4*100+EST_W_ATR*DQ159</f>
        <v/>
      </c>
      <c r="DS159" s="3">
        <f>IF(BA159="",NEUTRO,IFERROR(VLOOKUP(BA159,COLOR_TBL,2,0)+0,NEUTRO))</f>
        <v/>
      </c>
      <c r="DT159" s="3">
        <f>MAX(0,MIN(100,100*N(BM159)/RV_N_FULL))</f>
        <v/>
      </c>
      <c r="DU159" s="3">
        <f>IF(OR(BN159="",N(BO159)&lt;RV_DIAS_MIN),NEUTRO,MAX(0,MIN(100,100*(RV_DIAS_CERO-BN159)/(RV_DIAS_CERO-RV_DIAS_FULL))))</f>
        <v/>
      </c>
      <c r="DV159" s="3">
        <f>RV_W_LIQ*DT159+RV_W_DIAS*DU159+RV_W_ETQ*DC159</f>
        <v/>
      </c>
      <c r="DW159" s="3">
        <f>IFERROR(VLOOKUP(L159,CARR_PEN_TBL,2,0),0)</f>
        <v/>
      </c>
      <c r="DX159" s="3">
        <f>W_FIAB*CS159+W_PRECIO*CU159+W_KMEDAD*CY159+W_ESTADO*DB159+W_USO*DK159+W_SEGURIDAD*DM159+W_SEGVIAL*DP159+W_ESTETICA*DR159+W_COLOR*DS159+W_REVENTA*DV159-DW159-EG159</f>
        <v/>
      </c>
      <c r="DY159" s="4">
        <f>IF(N(I159)&gt;0,I159,IFERROR(ROUND(_xlfn.NUMBERVALUE(LEFT(G159,FIND(" ",G159&amp;" ")-1),".")*1000,0),99999))</f>
        <v/>
      </c>
      <c r="DZ159" s="3">
        <f>IF(R159="profesional",0,IF(O159&lt;CUOTA_VALOR_MAX,IF(BW159&gt;ITP_TRAMO_ALTO,SUMIFS(CF_CUOTA,CF_MAS,ITP_TRAMO_ALTO,CF_CCMIN,"&lt;="&amp;DY159,CF_CCMAX,"&gt;="&amp;DY159),IF(BW159&gt;ITP_TRAMO_BAJO,SUMIFS(CF_CUOTA,CF_MAS,ITP_TRAMO_BAJO,CF_CCMIN,"&lt;="&amp;DY159,CF_CCMAX,"&gt;="&amp;DY159),O159*ITP_TIPO)),O159*ITP_TIPO))</f>
        <v/>
      </c>
      <c r="EA159" s="4">
        <f>IF(R159="profesional",N(AK159),0)</f>
        <v/>
      </c>
      <c r="EB159" s="3">
        <f>IF(AND(R159="profesional",ISNUMBER(AK159),AL159="sí"),0,TASA_DGT)</f>
        <v/>
      </c>
      <c r="EC159" s="3">
        <f>INFORME_DGT</f>
        <v/>
      </c>
      <c r="ED159" s="4">
        <f>O159+EA159+DZ159+EB159+EC159</f>
        <v/>
      </c>
      <c r="EE159" s="4">
        <f>ED159+N(DF159)</f>
        <v/>
      </c>
      <c r="EF159" s="3">
        <f>MAX(0,ED159-TOTAL_MAX)</f>
        <v/>
      </c>
      <c r="EG159" s="3">
        <f>EF159/100*PEN_100</f>
        <v/>
      </c>
      <c r="EH159" s="3">
        <f>IF(R159="particular",ED159+IF(AND(DA159&lt;&gt;"cadena",X159&lt;&gt;"sí"),RES_CORREA,0)+IF(AND(BJ159&lt;&gt;"sí",BW159&gt;=RES_NEUM_EDAD),RES_NEUM,0),"")</f>
        <v/>
      </c>
      <c r="EI159" s="3">
        <f>IF(ED159&lt;=TOTAL_MAX,"sí",IF(ED159&lt;=TECHO,"negociar","no"))</f>
        <v/>
      </c>
      <c r="EJ159" s="4">
        <f>ROUND(DX159,9)</f>
        <v/>
      </c>
      <c r="EK159" s="4">
        <f>IF(EI159&lt;&gt;"no",SUMPRODUCT(($EI$2:$EI$209&lt;&gt;"no")*($EJ$2:$EJ$209&gt;EJ159))+SUMPRODUCT(($EI$2:EI159&lt;&gt;"no")*($EJ$2:EJ159=EJ159)),"")</f>
        <v/>
      </c>
    </row>
    <row r="160">
      <c r="A160" s="2" t="inlineStr">
        <is>
          <t>autoscout24:8fb7026e-627e-4f5e-ba25-2926cf11b165</t>
        </is>
      </c>
      <c r="B160" s="2" t="inlineStr">
        <is>
          <t>autoscout24</t>
        </is>
      </c>
      <c r="C160" s="2" t="inlineStr">
        <is>
          <t>https://www.autoscout24.es/anuncios/peugeot-207-1-4-vti-16v-confort-gasolina-gris-cat_ma55mo18797-8fb7026e-627e-4f5e-ba25-2926cf11b165</t>
        </is>
      </c>
      <c r="D160" s="2" t="inlineStr">
        <is>
          <t>Peugeot 207 1.4 VTi 16v Confort</t>
        </is>
      </c>
      <c r="E160" s="2" t="inlineStr">
        <is>
          <t>Peugeot</t>
        </is>
      </c>
      <c r="F160" s="2" t="inlineStr">
        <is>
          <t>Peugeot 207</t>
        </is>
      </c>
      <c r="G160" s="2" t="inlineStr">
        <is>
          <t>1.4 VTi</t>
        </is>
      </c>
      <c r="H160" s="2" t="inlineStr">
        <is>
          <t>1.4 VTi 16v Confort 95 VTI</t>
        </is>
      </c>
      <c r="I160" s="2" t="n">
        <v>1397</v>
      </c>
      <c r="J160" s="2" t="n">
        <v>95</v>
      </c>
      <c r="K160" s="2" t="inlineStr">
        <is>
          <t>gasolina</t>
        </is>
      </c>
      <c r="L160" s="2" t="inlineStr">
        <is>
          <t>utilitario</t>
        </is>
      </c>
      <c r="M160" s="2" t="n">
        <v>2009</v>
      </c>
      <c r="N160" s="2" t="n">
        <v>78980</v>
      </c>
      <c r="O160" s="2" t="n">
        <v>5900</v>
      </c>
      <c r="P160" s="2" t="inlineStr">
        <is>
          <t>manual</t>
        </is>
      </c>
      <c r="Q160" s="2" t="inlineStr">
        <is>
          <t>no</t>
        </is>
      </c>
      <c r="R160" s="2" t="inlineStr">
        <is>
          <t>profesional</t>
        </is>
      </c>
      <c r="S160" s="2" t="inlineStr">
        <is>
          <t>COCHESAMIL — Manises (46940)</t>
        </is>
      </c>
      <c r="T160" s="2" t="n"/>
      <c r="U160" s="2" t="n">
        <v>19</v>
      </c>
      <c r="V160" s="2" t="n"/>
      <c r="W160" s="2" t="n"/>
      <c r="X160" s="2" t="n"/>
      <c r="Y160" s="2" t="n"/>
      <c r="Z160" s="2" t="inlineStr">
        <is>
          <t>sí</t>
        </is>
      </c>
      <c r="AA160" s="2" t="n"/>
      <c r="AB160" s="2" t="n">
        <v>12</v>
      </c>
      <c r="AC160" s="2" t="n"/>
      <c r="AD160" s="2" t="n"/>
      <c r="AE160" s="2" t="n"/>
      <c r="AF160" s="2" t="n"/>
      <c r="AG160" s="2" t="n"/>
      <c r="AH160" s="2" t="n"/>
      <c r="AI160" s="2" t="n"/>
      <c r="AJ160" s="2" t="n"/>
      <c r="AK160" s="2" t="n"/>
      <c r="AL160" s="2" t="n"/>
      <c r="AM160" s="2" t="n">
        <v>8.199999999999999</v>
      </c>
      <c r="AN160" s="2" t="n"/>
      <c r="AO160" s="2" t="inlineStr">
        <is>
          <t>2009-11</t>
        </is>
      </c>
      <c r="AP160" s="2" t="n">
        <v>2009</v>
      </c>
      <c r="AQ160" s="2" t="n">
        <v>11</v>
      </c>
      <c r="AR160" s="2" t="n"/>
      <c r="AS160" s="2" t="inlineStr">
        <is>
          <t>regla</t>
        </is>
      </c>
      <c r="AT160" s="2" t="n"/>
      <c r="AU160" s="2" t="inlineStr">
        <is>
          <t>no</t>
        </is>
      </c>
      <c r="AV160" s="2" t="inlineStr">
        <is>
          <t>C</t>
        </is>
      </c>
      <c r="AW160" s="2" t="n"/>
      <c r="AX160" s="2" t="inlineStr">
        <is>
          <t>no</t>
        </is>
      </c>
      <c r="AY160" s="2" t="inlineStr">
        <is>
          <t>no</t>
        </is>
      </c>
      <c r="AZ160" s="2" t="inlineStr">
        <is>
          <t>Gris</t>
        </is>
      </c>
      <c r="BA160" s="2" t="inlineStr">
        <is>
          <t>gris_medio</t>
        </is>
      </c>
      <c r="BB160" s="3" t="n">
        <v>2</v>
      </c>
      <c r="BC160" s="3" t="inlineStr">
        <is>
          <t>(por segmento)</t>
        </is>
      </c>
      <c r="BD160" s="2" t="n"/>
      <c r="BE160" s="2" t="n"/>
      <c r="BF160" s="2" t="n"/>
      <c r="BG160" s="2" t="n"/>
      <c r="BH160" s="2" t="n"/>
      <c r="BI160" s="2" t="n"/>
      <c r="BJ160" s="2" t="n"/>
      <c r="BK160" s="2" t="n">
        <v>5</v>
      </c>
      <c r="BL160" s="2" t="inlineStr">
        <is>
          <t>sí</t>
        </is>
      </c>
      <c r="BM160" s="2" t="n">
        <v>125</v>
      </c>
      <c r="BN160" s="2" t="n"/>
      <c r="BO160" s="2" t="n">
        <v>0</v>
      </c>
      <c r="BP160" s="2" t="n">
        <v>4750</v>
      </c>
      <c r="BQ160" s="2" t="n">
        <v>13</v>
      </c>
      <c r="BR160" s="2" t="inlineStr">
        <is>
          <t>modelo+año+km</t>
        </is>
      </c>
      <c r="BS160" s="2" t="inlineStr">
        <is>
          <t>cochesnet:71797767 (https://www.coches.net/peugeot-207-confort-14-vti-16v-95-5p-gasolina-2009-en-valencia-71797767-covo.aspx)</t>
        </is>
      </c>
      <c r="BT160" s="2" t="inlineStr">
        <is>
          <t>por encima del presupuesto: negociar 964 € (coste 5964 €; -19.3 puntos); vendedor profesional: sin ITP (operación con IVA/REBU, confirmar en factura); gastos de gestión del vendedor no indicados: se suma la tasa DGT; preguntar el precio final; etiqueta C deducida por fecha (sin matrícula ni dato del anuncio); revisar: no menciona la ITV; fiabilidad del modelo PENDIENTE de fuente (puntuación neutra)</t>
        </is>
      </c>
      <c r="BU160" s="2" t="inlineStr">
        <is>
          <t xml:space="preserve"> &lt;strong&gt;Este anuncio es meramente informativo, no es vinculante ni contractual.&lt;/strong&gt;&lt;br /&gt;&lt;strong&gt;Garantía : 12 meses&lt;/strong&gt;&lt;br /&gt;</t>
        </is>
      </c>
      <c r="BV160" s="2" t="inlineStr">
        <is>
          <t>https://www.autoscout24.es/anuncios/peugeot-207-1-4-vti-16v-confort-gasolina-gris-cat_ma55mo18797-8fb7026e-627e-4f5e-ba25-2926cf11b165 (__NEXT_DATA__ listingDetails) /home/user/Alopecia/buscador-coches/raw/autoscout24/fa0a12f62bae1ca6.json</t>
        </is>
      </c>
      <c r="BW160" s="3">
        <f>MAX(ANIO_ACTUAL-M160,0)</f>
        <v/>
      </c>
      <c r="BX160" s="4">
        <f>N160/MAX(BW160,0.5)</f>
        <v/>
      </c>
      <c r="BY160" s="4">
        <f>F160</f>
        <v/>
      </c>
      <c r="BZ160" s="3">
        <f>BY160&amp;"|"&amp;INT(M160/SEG_ANIO)*SEG_ANIO</f>
        <v/>
      </c>
      <c r="CA160" s="3">
        <f>BZ160&amp;"|"&amp;INT(N160/SEG_KM)*SEG_KM</f>
        <v/>
      </c>
      <c r="CB160" s="4">
        <f>COUNTIF($BY$2:$BY$209,BY160)</f>
        <v/>
      </c>
      <c r="CC160" s="4">
        <f>COUNTIF($BZ$2:$BZ$209,BZ160)</f>
        <v/>
      </c>
      <c r="CD160" s="4">
        <f>COUNTIF($CA$2:$CA$209,CA160)</f>
        <v/>
      </c>
      <c r="CE160" s="3">
        <f t="array" ref="CE160">IF(N(BQ160)&gt;=MIN_N,BP160,IF(CD160&gt;=MIN_N,MEDIAN(IF($CA$2:$CA$209=CA160,$O$2:$O$209)),IF(CC160&gt;=MIN_N,MEDIAN(IF($BZ$2:$BZ$209=BZ160,$O$2:$O$209)),MEDIAN(IF($BY$2:$BY$209=BY160,$O$2:$O$209)))))</f>
        <v/>
      </c>
      <c r="CF160" s="3">
        <f>IF(N(BQ160)&gt;=MIN_N,"mercado "&amp;BR160,IF(CD160&gt;=MIN_N,"modelo+año+km",IF(CC160&gt;=MIN_N,"modelo+año","modelo")))</f>
        <v/>
      </c>
      <c r="CG160" s="4">
        <f>(CE160-O160)/CE160</f>
        <v/>
      </c>
      <c r="CH160" s="3">
        <f>IF(COUNTIFS(FR_FUEL,K160,FR_YEAR,AP160)&gt;0,1,0)</f>
        <v/>
      </c>
      <c r="CI160" s="3">
        <f>IF(COUNTIFS(FR_FUEL,K160,FR_YEAR,AP160-1)&gt;0,1,0)</f>
        <v/>
      </c>
      <c r="CJ160" s="4">
        <f>IF(N(AQ160)&gt;0,AP160*100+AQ160,IF(AND(CH160=1,CI160=1),(AP160-1)*100+1,AP160*100+1))</f>
        <v/>
      </c>
      <c r="CK160" s="3">
        <f>IF(OR(K160="hibrido",K160="glp",K160="gnc",K160="phev"),"ECO",IF(K160="electrico","CERO",IF(K160="gasolina",IF(CJ160&gt;=GAS_C_YM,"C",IF(CJ160&gt;=GAS_B_YM,"B","A")),IF(K160="diesel",IF(CJ160&gt;=DIE_C_YM,"C",IF(CJ160&gt;=DIE_B_YM,"B","A")),""))))</f>
        <v/>
      </c>
      <c r="CL160" s="4">
        <f>CK160</f>
        <v/>
      </c>
      <c r="CM160" s="4">
        <f>IF(AU160="sí","sí",IF(AS160="regla",IF(AND(N(AQ160)=0,CH160=1),"sí","no"),"no"))</f>
        <v/>
      </c>
      <c r="CN160" s="3">
        <f>IFERROR(VLOOKUP(F160,MOD_TBL,16,0),IFERROR(VLOOKUP(E160,OCU_TBL,2,0),NEUTRO))</f>
        <v/>
      </c>
      <c r="CO160" s="3">
        <f>SUMIFS(MOT_AJUSTE,MOT_MOTOR,G160,MOT_MARCA,E160,MOT_DESDE,"&lt;="&amp;M160,MOT_HASTA,"&gt;="&amp;M160)+SUMIFS(MOT_AJUSTE,MOT_MOTOR,G160,MOT_MARCA,"(todas)",MOT_DESDE,"&lt;="&amp;M160,MOT_HASTA,"&gt;="&amp;M160)+SUMIFS(MOT_AJUSTE,MOT_MOTOR,"(cualquiera)",MOT_MARCA,E160,MOT_DESDE,"&lt;="&amp;M160,MOT_HASTA,"&gt;="&amp;M160)</f>
        <v/>
      </c>
      <c r="CP160" s="3">
        <f>SUMIFS(COMB_AJUSTE,COMB_COMB,K160)</f>
        <v/>
      </c>
      <c r="CQ160" s="3">
        <f>COUNTIFS(MOT_MOTOR,G160,MOT_MARCA,E160,MOT_DESDE,"&lt;="&amp;M160,MOT_HASTA,"&gt;="&amp;M160)+COUNTIFS(MOT_MOTOR,G160,MOT_MARCA,"(todas)",MOT_DESDE,"&lt;="&amp;M160,MOT_HASTA,"&gt;="&amp;M160)+COUNTIFS(MOT_MOTOR,"(cualquiera)",MOT_MARCA,E160,MOT_DESDE,"&lt;="&amp;M160,MOT_HASTA,"&gt;="&amp;M160)</f>
        <v/>
      </c>
      <c r="CR160" s="3">
        <f>IF(AND(K160="diesel",CQ160=0),MIN(CN160,NEUTRO),CN160)</f>
        <v/>
      </c>
      <c r="CS160" s="3">
        <f>MAX(0,MIN(100,CR160+CO160+CP160-IF(AX160="sí",ROB_PEN,0)))</f>
        <v/>
      </c>
      <c r="CT160" s="3">
        <f>100-MAX(0,N160-KM_TOPE_DESDE)/1000*KM_TOPE_PTS</f>
        <v/>
      </c>
      <c r="CU160" s="3">
        <f>MAX(0,MIN(100,50+CG160*PRECIO_PEND,CT160))</f>
        <v/>
      </c>
      <c r="CV160" s="3">
        <f>MAX(0,100*(1-N160/KM_MAX))</f>
        <v/>
      </c>
      <c r="CW160" s="3">
        <f>IF(BX160&lt;KMA_SOSP,IF(AA160="sí",100,KMA_PEN),IF(BX160&lt;=KMA_IDEAL_MAX,100,MAX(0,100*(KMA_CERO-BX160)/(KMA_CERO-KMA_IDEAL_MAX))))</f>
        <v/>
      </c>
      <c r="CX160" s="3">
        <f>MAX(0,MIN(100,100*(M160-ANIO_MIN)/(ANIO_ACTUAL-ANIO_MIN)))</f>
        <v/>
      </c>
      <c r="CY160" s="3">
        <f>W_KMT*CV160+W_KMA*CW160+W_EDAD*CX160</f>
        <v/>
      </c>
      <c r="CZ160" s="4">
        <f>E160&amp;"|"&amp;G160</f>
        <v/>
      </c>
      <c r="DA160" s="3">
        <f>IFERROR(VLOOKUP(CZ160,DIST_TBL,2,0),"")</f>
        <v/>
      </c>
      <c r="DB160" s="3">
        <f>E_ITV*(V160="sí")+E_LIBRO*(W160="sí")+E_PROP*IF(Y160=1,1,IF(Y160=2,0.5,0))+E_CORREA*IF(OR(DA160="cadena",AND(X160="sí",BH160="sí")),1,IF(X160="sí",0.5,0))+E_FACT*(BI160="sí")</f>
        <v/>
      </c>
      <c r="DC160" s="3">
        <f>MAX(0,MIN(100,IFERROR(VLOOKUP(CL160,ETQ_TBL,2,0),0)-IF(CM160="sí",ETQ_PEN_DUD,IF(AS160="regla",ETQ_PEN_REGLA,0))))</f>
        <v/>
      </c>
      <c r="DD160" s="3">
        <f>IF(K160&lt;&gt;"gasolina","",IFERROR(VLOOKUP(F160,CONS_MOD_TBL,2,0),IFERROR(VLOOKUP(L160,CONS_SEG_TBL,2,0),"")))</f>
        <v/>
      </c>
      <c r="DE160" s="3">
        <f>IF(DD160="",NEUTRO,MAX(0,MIN(100,100*(CONS_REF_MAX-DD160)/(CONS_REF_MAX-CONS_REF_MIN))))</f>
        <v/>
      </c>
      <c r="DF160" s="3">
        <f>IFERROR(VLOOKUP(L160,SEGURO_TBL,3,0),"")</f>
        <v/>
      </c>
      <c r="DG160" s="3">
        <f>IF(DF160="",NEUTRO,MAX(0,MIN(100,100*(SEG_REF_MAX-DF160)/(SEG_REF_MAX-SEG_REF_MIN))))</f>
        <v/>
      </c>
      <c r="DH160" s="3">
        <f>IFERROR(VLOOKUP(E160,MANT_MARCA_TBL,2,0)+0,NEUTRO)</f>
        <v/>
      </c>
      <c r="DI160" s="3">
        <f>IF(DA160="",NEUTRO,IFERROR(VLOOKUP(DA160,DIST_PTS_TBL,2,0)+0,NEUTRO))</f>
        <v/>
      </c>
      <c r="DJ160" s="4">
        <f>(DH160+DI160)/2</f>
        <v/>
      </c>
      <c r="DK160" s="3">
        <f>W_CONS*DE160+W_SEG*DG160+W_MANT*DJ160</f>
        <v/>
      </c>
      <c r="DL160" s="3">
        <f>IF(N(AB160)&gt;0,AB160,IF(AND(R160="profesional",SG_LEGAL_ON=1),GAR_LEGAL,0))</f>
        <v/>
      </c>
      <c r="DM160" s="3">
        <f>MAX(0,MIN(100,SG_GAR*MIN(1,DL160/SG_GAR_FULL)+SG_AMPL*(AC160="sí")+SG_KMC*(AF160="sí")+SG_REV*(N(AE160)&gt;0)+SG_DEV*MIN(1,N(AG160)/SG_DEV_FULL)+SG_HIST*(W160="sí")-IF(AND(R160="particular",DL160=0),SG_PART_PEN,0)))</f>
        <v/>
      </c>
      <c r="DN160" s="3">
        <f>IF(BK160="",NEUTRO,MAX(0,MIN(100,BK160/5*100)))</f>
        <v/>
      </c>
      <c r="DO160" s="3">
        <f>IF(BL160="sí",100,IF(BL160="no",0,NEUTRO))</f>
        <v/>
      </c>
      <c r="DP160" s="3">
        <f>SV_W_NCAP*DN160+SV_W_ESP*DO160</f>
        <v/>
      </c>
      <c r="DQ160" s="3">
        <f>MAX(0,MIN(100,ATR_BASE+ATR_ACAB*(BD160&lt;&gt;"")+IF(BE160="16+",ATR_LL16,IF(BE160="sí",ATR_LL,0))+ATR_FAROS*(BF160="sí")+ATR_TINT*(BG160="sí")-ATR_CHAPA*(BE160="chapa")))</f>
        <v/>
      </c>
      <c r="DR160" s="3">
        <f>EST_W_MOD*(BB160-1)/4*100+EST_W_ATR*DQ160</f>
        <v/>
      </c>
      <c r="DS160" s="3">
        <f>IF(BA160="",NEUTRO,IFERROR(VLOOKUP(BA160,COLOR_TBL,2,0)+0,NEUTRO))</f>
        <v/>
      </c>
      <c r="DT160" s="3">
        <f>MAX(0,MIN(100,100*N(BM160)/RV_N_FULL))</f>
        <v/>
      </c>
      <c r="DU160" s="3">
        <f>IF(OR(BN160="",N(BO160)&lt;RV_DIAS_MIN),NEUTRO,MAX(0,MIN(100,100*(RV_DIAS_CERO-BN160)/(RV_DIAS_CERO-RV_DIAS_FULL))))</f>
        <v/>
      </c>
      <c r="DV160" s="3">
        <f>RV_W_LIQ*DT160+RV_W_DIAS*DU160+RV_W_ETQ*DC160</f>
        <v/>
      </c>
      <c r="DW160" s="3">
        <f>IFERROR(VLOOKUP(L160,CARR_PEN_TBL,2,0),0)</f>
        <v/>
      </c>
      <c r="DX160" s="3">
        <f>W_FIAB*CS160+W_PRECIO*CU160+W_KMEDAD*CY160+W_ESTADO*DB160+W_USO*DK160+W_SEGURIDAD*DM160+W_SEGVIAL*DP160+W_ESTETICA*DR160+W_COLOR*DS160+W_REVENTA*DV160-DW160-EG160</f>
        <v/>
      </c>
      <c r="DY160" s="4">
        <f>IF(N(I160)&gt;0,I160,IFERROR(ROUND(_xlfn.NUMBERVALUE(LEFT(G160,FIND(" ",G160&amp;" ")-1),".")*1000,0),99999))</f>
        <v/>
      </c>
      <c r="DZ160" s="3">
        <f>IF(R160="profesional",0,IF(O160&lt;CUOTA_VALOR_MAX,IF(BW160&gt;ITP_TRAMO_ALTO,SUMIFS(CF_CUOTA,CF_MAS,ITP_TRAMO_ALTO,CF_CCMIN,"&lt;="&amp;DY160,CF_CCMAX,"&gt;="&amp;DY160),IF(BW160&gt;ITP_TRAMO_BAJO,SUMIFS(CF_CUOTA,CF_MAS,ITP_TRAMO_BAJO,CF_CCMIN,"&lt;="&amp;DY160,CF_CCMAX,"&gt;="&amp;DY160),O160*ITP_TIPO)),O160*ITP_TIPO))</f>
        <v/>
      </c>
      <c r="EA160" s="4">
        <f>IF(R160="profesional",N(AK160),0)</f>
        <v/>
      </c>
      <c r="EB160" s="3">
        <f>IF(AND(R160="profesional",ISNUMBER(AK160),AL160="sí"),0,TASA_DGT)</f>
        <v/>
      </c>
      <c r="EC160" s="3">
        <f>INFORME_DGT</f>
        <v/>
      </c>
      <c r="ED160" s="4">
        <f>O160+EA160+DZ160+EB160+EC160</f>
        <v/>
      </c>
      <c r="EE160" s="4">
        <f>ED160+N(DF160)</f>
        <v/>
      </c>
      <c r="EF160" s="3">
        <f>MAX(0,ED160-TOTAL_MAX)</f>
        <v/>
      </c>
      <c r="EG160" s="3">
        <f>EF160/100*PEN_100</f>
        <v/>
      </c>
      <c r="EH160" s="3">
        <f>IF(R160="particular",ED160+IF(AND(DA160&lt;&gt;"cadena",X160&lt;&gt;"sí"),RES_CORREA,0)+IF(AND(BJ160&lt;&gt;"sí",BW160&gt;=RES_NEUM_EDAD),RES_NEUM,0),"")</f>
        <v/>
      </c>
      <c r="EI160" s="3">
        <f>IF(ED160&lt;=TOTAL_MAX,"sí",IF(ED160&lt;=TECHO,"negociar","no"))</f>
        <v/>
      </c>
      <c r="EJ160" s="4">
        <f>ROUND(DX160,9)</f>
        <v/>
      </c>
      <c r="EK160" s="4">
        <f>IF(EI160&lt;&gt;"no",SUMPRODUCT(($EI$2:$EI$209&lt;&gt;"no")*($EJ$2:$EJ$209&gt;EJ160))+SUMPRODUCT(($EI$2:EI160&lt;&gt;"no")*($EJ$2:EJ160=EJ160)),"")</f>
        <v/>
      </c>
    </row>
    <row r="161">
      <c r="A161" s="2" t="inlineStr">
        <is>
          <t>autoscout24:db98863e-3a97-4c44-bf18-f5d2ea088b12</t>
        </is>
      </c>
      <c r="B161" s="2" t="inlineStr">
        <is>
          <t>autoscout24</t>
        </is>
      </c>
      <c r="C161" s="2" t="inlineStr">
        <is>
          <t>https://www.autoscout24.es/anuncios/peugeot-206-+-1-4-75cv-gasolina-gris-cat_ma55mo15401-db98863e-3a97-4c44-bf18-f5d2ea088b12</t>
        </is>
      </c>
      <c r="D161" s="2" t="inlineStr">
        <is>
          <t>Peugeot 206 + 1.4 75cv</t>
        </is>
      </c>
      <c r="E161" s="2" t="inlineStr">
        <is>
          <t>Peugeot</t>
        </is>
      </c>
      <c r="F161" s="2" t="inlineStr">
        <is>
          <t>Peugeot 206</t>
        </is>
      </c>
      <c r="G161" s="2" t="inlineStr">
        <is>
          <t>1.4</t>
        </is>
      </c>
      <c r="H161" s="2" t="inlineStr">
        <is>
          <t>+ 1.4 75cv 75</t>
        </is>
      </c>
      <c r="I161" s="2" t="n">
        <v>1360</v>
      </c>
      <c r="J161" s="2" t="n">
        <v>75</v>
      </c>
      <c r="K161" s="2" t="inlineStr">
        <is>
          <t>gasolina</t>
        </is>
      </c>
      <c r="L161" s="2" t="inlineStr">
        <is>
          <t>utilitario</t>
        </is>
      </c>
      <c r="M161" s="2" t="n">
        <v>2011</v>
      </c>
      <c r="N161" s="2" t="n">
        <v>89000</v>
      </c>
      <c r="O161" s="2" t="n">
        <v>5600</v>
      </c>
      <c r="P161" s="2" t="inlineStr">
        <is>
          <t>manual</t>
        </is>
      </c>
      <c r="Q161" s="2" t="inlineStr">
        <is>
          <t>no</t>
        </is>
      </c>
      <c r="R161" s="2" t="inlineStr">
        <is>
          <t>profesional</t>
        </is>
      </c>
      <c r="S161" s="2" t="inlineStr">
        <is>
          <t>EUROCOCHES MANIVAL — MANISES (46940)</t>
        </is>
      </c>
      <c r="T161" s="2" t="n"/>
      <c r="U161" s="2" t="n">
        <v>13</v>
      </c>
      <c r="V161" s="2" t="n"/>
      <c r="W161" s="2" t="n"/>
      <c r="X161" s="2" t="n"/>
      <c r="Y161" s="2" t="n"/>
      <c r="Z161" s="2" t="inlineStr">
        <is>
          <t>sí</t>
        </is>
      </c>
      <c r="AA161" s="2" t="n"/>
      <c r="AB161" s="2" t="n">
        <v>12</v>
      </c>
      <c r="AC161" s="2" t="n"/>
      <c r="AD161" s="2" t="n"/>
      <c r="AE161" s="2" t="n"/>
      <c r="AF161" s="2" t="n"/>
      <c r="AG161" s="2" t="n"/>
      <c r="AH161" s="2" t="n"/>
      <c r="AI161" s="2" t="n"/>
      <c r="AJ161" s="2" t="n"/>
      <c r="AK161" s="2" t="n"/>
      <c r="AL161" s="2" t="n"/>
      <c r="AM161" s="2" t="n">
        <v>8.199999999999999</v>
      </c>
      <c r="AN161" s="2" t="n"/>
      <c r="AO161" s="2" t="inlineStr">
        <is>
          <t>2011-08</t>
        </is>
      </c>
      <c r="AP161" s="2" t="n">
        <v>2011</v>
      </c>
      <c r="AQ161" s="2" t="n">
        <v>8</v>
      </c>
      <c r="AR161" s="2" t="n"/>
      <c r="AS161" s="2" t="inlineStr">
        <is>
          <t>regla</t>
        </is>
      </c>
      <c r="AT161" s="2" t="n"/>
      <c r="AU161" s="2" t="inlineStr">
        <is>
          <t>no</t>
        </is>
      </c>
      <c r="AV161" s="2" t="inlineStr">
        <is>
          <t>C</t>
        </is>
      </c>
      <c r="AW161" s="2" t="n"/>
      <c r="AX161" s="2" t="inlineStr">
        <is>
          <t>no</t>
        </is>
      </c>
      <c r="AY161" s="2" t="inlineStr">
        <is>
          <t>no</t>
        </is>
      </c>
      <c r="AZ161" s="2" t="inlineStr">
        <is>
          <t>Gris</t>
        </is>
      </c>
      <c r="BA161" s="2" t="inlineStr">
        <is>
          <t>gris_medio</t>
        </is>
      </c>
      <c r="BB161" s="3" t="n">
        <v>2</v>
      </c>
      <c r="BC161" s="3" t="inlineStr">
        <is>
          <t>(por segmento)</t>
        </is>
      </c>
      <c r="BD161" s="2" t="n"/>
      <c r="BE161" s="2" t="n"/>
      <c r="BF161" s="2" t="n"/>
      <c r="BG161" s="2" t="n"/>
      <c r="BH161" s="2" t="n"/>
      <c r="BI161" s="2" t="n"/>
      <c r="BJ161" s="2" t="n"/>
      <c r="BK161" s="2" t="n"/>
      <c r="BL161" s="2" t="n"/>
      <c r="BM161" s="2" t="n">
        <v>72</v>
      </c>
      <c r="BN161" s="2" t="n"/>
      <c r="BO161" s="2" t="n">
        <v>0</v>
      </c>
      <c r="BP161" s="2" t="n"/>
      <c r="BQ161" s="2" t="n"/>
      <c r="BR161" s="2" t="n"/>
      <c r="BS161" s="2" t="n"/>
      <c r="BT161" s="2" t="inlineStr">
        <is>
          <t>por encima del presupuesto: negociar 664 € (coste 5664 €; -13.3 puntos); vendedor profesional: sin ITP (operación con IVA/REBU, confirmar en factura); gastos de gestión del vendedor no indicados: se suma la tasa DGT; preguntar el precio final; Euro NCAP de la generación PENDIENTE (seguridad neutra); etiqueta C deducida por fecha (sin matrícula ni dato del anuncio); revisar: no menciona la ITV; fiabilidad del modelo PENDIENTE de fuente (puntuación neutra)</t>
        </is>
      </c>
      <c r="BU161" s="2" t="inlineStr">
        <is>
          <t>-con posibilidad de financiar desde 99€ al mes</t>
        </is>
      </c>
      <c r="BV161" s="2" t="inlineStr">
        <is>
          <t>https://www.autoscout24.es/anuncios/peugeot-206-+-1-4-75cv-gasolina-gris-cat_ma55mo15401-db98863e-3a97-4c44-bf18-f5d2ea088b12 (__NEXT_DATA__ listingDetails) /home/user/Alopecia/buscador-coches/raw/autoscout24/a24027fdea878a5c.json</t>
        </is>
      </c>
      <c r="BW161" s="3">
        <f>MAX(ANIO_ACTUAL-M161,0)</f>
        <v/>
      </c>
      <c r="BX161" s="4">
        <f>N161/MAX(BW161,0.5)</f>
        <v/>
      </c>
      <c r="BY161" s="4">
        <f>F161</f>
        <v/>
      </c>
      <c r="BZ161" s="3">
        <f>BY161&amp;"|"&amp;INT(M161/SEG_ANIO)*SEG_ANIO</f>
        <v/>
      </c>
      <c r="CA161" s="3">
        <f>BZ161&amp;"|"&amp;INT(N161/SEG_KM)*SEG_KM</f>
        <v/>
      </c>
      <c r="CB161" s="4">
        <f>COUNTIF($BY$2:$BY$209,BY161)</f>
        <v/>
      </c>
      <c r="CC161" s="4">
        <f>COUNTIF($BZ$2:$BZ$209,BZ161)</f>
        <v/>
      </c>
      <c r="CD161" s="4">
        <f>COUNTIF($CA$2:$CA$209,CA161)</f>
        <v/>
      </c>
      <c r="CE161" s="3">
        <f t="array" ref="CE161">IF(N(BQ161)&gt;=MIN_N,BP161,IF(CD161&gt;=MIN_N,MEDIAN(IF($CA$2:$CA$209=CA161,$O$2:$O$209)),IF(CC161&gt;=MIN_N,MEDIAN(IF($BZ$2:$BZ$209=BZ161,$O$2:$O$209)),MEDIAN(IF($BY$2:$BY$209=BY161,$O$2:$O$209)))))</f>
        <v/>
      </c>
      <c r="CF161" s="3">
        <f>IF(N(BQ161)&gt;=MIN_N,"mercado "&amp;BR161,IF(CD161&gt;=MIN_N,"modelo+año+km",IF(CC161&gt;=MIN_N,"modelo+año","modelo")))</f>
        <v/>
      </c>
      <c r="CG161" s="4">
        <f>(CE161-O161)/CE161</f>
        <v/>
      </c>
      <c r="CH161" s="3">
        <f>IF(COUNTIFS(FR_FUEL,K161,FR_YEAR,AP161)&gt;0,1,0)</f>
        <v/>
      </c>
      <c r="CI161" s="3">
        <f>IF(COUNTIFS(FR_FUEL,K161,FR_YEAR,AP161-1)&gt;0,1,0)</f>
        <v/>
      </c>
      <c r="CJ161" s="4">
        <f>IF(N(AQ161)&gt;0,AP161*100+AQ161,IF(AND(CH161=1,CI161=1),(AP161-1)*100+1,AP161*100+1))</f>
        <v/>
      </c>
      <c r="CK161" s="3">
        <f>IF(OR(K161="hibrido",K161="glp",K161="gnc",K161="phev"),"ECO",IF(K161="electrico","CERO",IF(K161="gasolina",IF(CJ161&gt;=GAS_C_YM,"C",IF(CJ161&gt;=GAS_B_YM,"B","A")),IF(K161="diesel",IF(CJ161&gt;=DIE_C_YM,"C",IF(CJ161&gt;=DIE_B_YM,"B","A")),""))))</f>
        <v/>
      </c>
      <c r="CL161" s="4">
        <f>CK161</f>
        <v/>
      </c>
      <c r="CM161" s="4">
        <f>IF(AU161="sí","sí",IF(AS161="regla",IF(AND(N(AQ161)=0,CH161=1),"sí","no"),"no"))</f>
        <v/>
      </c>
      <c r="CN161" s="3">
        <f>IFERROR(VLOOKUP(F161,MOD_TBL,16,0),IFERROR(VLOOKUP(E161,OCU_TBL,2,0),NEUTRO))</f>
        <v/>
      </c>
      <c r="CO161" s="3">
        <f>SUMIFS(MOT_AJUSTE,MOT_MOTOR,G161,MOT_MARCA,E161,MOT_DESDE,"&lt;="&amp;M161,MOT_HASTA,"&gt;="&amp;M161)+SUMIFS(MOT_AJUSTE,MOT_MOTOR,G161,MOT_MARCA,"(todas)",MOT_DESDE,"&lt;="&amp;M161,MOT_HASTA,"&gt;="&amp;M161)+SUMIFS(MOT_AJUSTE,MOT_MOTOR,"(cualquiera)",MOT_MARCA,E161,MOT_DESDE,"&lt;="&amp;M161,MOT_HASTA,"&gt;="&amp;M161)</f>
        <v/>
      </c>
      <c r="CP161" s="3">
        <f>SUMIFS(COMB_AJUSTE,COMB_COMB,K161)</f>
        <v/>
      </c>
      <c r="CQ161" s="3">
        <f>COUNTIFS(MOT_MOTOR,G161,MOT_MARCA,E161,MOT_DESDE,"&lt;="&amp;M161,MOT_HASTA,"&gt;="&amp;M161)+COUNTIFS(MOT_MOTOR,G161,MOT_MARCA,"(todas)",MOT_DESDE,"&lt;="&amp;M161,MOT_HASTA,"&gt;="&amp;M161)+COUNTIFS(MOT_MOTOR,"(cualquiera)",MOT_MARCA,E161,MOT_DESDE,"&lt;="&amp;M161,MOT_HASTA,"&gt;="&amp;M161)</f>
        <v/>
      </c>
      <c r="CR161" s="3">
        <f>IF(AND(K161="diesel",CQ161=0),MIN(CN161,NEUTRO),CN161)</f>
        <v/>
      </c>
      <c r="CS161" s="3">
        <f>MAX(0,MIN(100,CR161+CO161+CP161-IF(AX161="sí",ROB_PEN,0)))</f>
        <v/>
      </c>
      <c r="CT161" s="3">
        <f>100-MAX(0,N161-KM_TOPE_DESDE)/1000*KM_TOPE_PTS</f>
        <v/>
      </c>
      <c r="CU161" s="3">
        <f>MAX(0,MIN(100,50+CG161*PRECIO_PEND,CT161))</f>
        <v/>
      </c>
      <c r="CV161" s="3">
        <f>MAX(0,100*(1-N161/KM_MAX))</f>
        <v/>
      </c>
      <c r="CW161" s="3">
        <f>IF(BX161&lt;KMA_SOSP,IF(AA161="sí",100,KMA_PEN),IF(BX161&lt;=KMA_IDEAL_MAX,100,MAX(0,100*(KMA_CERO-BX161)/(KMA_CERO-KMA_IDEAL_MAX))))</f>
        <v/>
      </c>
      <c r="CX161" s="3">
        <f>MAX(0,MIN(100,100*(M161-ANIO_MIN)/(ANIO_ACTUAL-ANIO_MIN)))</f>
        <v/>
      </c>
      <c r="CY161" s="3">
        <f>W_KMT*CV161+W_KMA*CW161+W_EDAD*CX161</f>
        <v/>
      </c>
      <c r="CZ161" s="4">
        <f>E161&amp;"|"&amp;G161</f>
        <v/>
      </c>
      <c r="DA161" s="3">
        <f>IFERROR(VLOOKUP(CZ161,DIST_TBL,2,0),"")</f>
        <v/>
      </c>
      <c r="DB161" s="3">
        <f>E_ITV*(V161="sí")+E_LIBRO*(W161="sí")+E_PROP*IF(Y161=1,1,IF(Y161=2,0.5,0))+E_CORREA*IF(OR(DA161="cadena",AND(X161="sí",BH161="sí")),1,IF(X161="sí",0.5,0))+E_FACT*(BI161="sí")</f>
        <v/>
      </c>
      <c r="DC161" s="3">
        <f>MAX(0,MIN(100,IFERROR(VLOOKUP(CL161,ETQ_TBL,2,0),0)-IF(CM161="sí",ETQ_PEN_DUD,IF(AS161="regla",ETQ_PEN_REGLA,0))))</f>
        <v/>
      </c>
      <c r="DD161" s="3">
        <f>IF(K161&lt;&gt;"gasolina","",IFERROR(VLOOKUP(F161,CONS_MOD_TBL,2,0),IFERROR(VLOOKUP(L161,CONS_SEG_TBL,2,0),"")))</f>
        <v/>
      </c>
      <c r="DE161" s="3">
        <f>IF(DD161="",NEUTRO,MAX(0,MIN(100,100*(CONS_REF_MAX-DD161)/(CONS_REF_MAX-CONS_REF_MIN))))</f>
        <v/>
      </c>
      <c r="DF161" s="3">
        <f>IFERROR(VLOOKUP(L161,SEGURO_TBL,3,0),"")</f>
        <v/>
      </c>
      <c r="DG161" s="3">
        <f>IF(DF161="",NEUTRO,MAX(0,MIN(100,100*(SEG_REF_MAX-DF161)/(SEG_REF_MAX-SEG_REF_MIN))))</f>
        <v/>
      </c>
      <c r="DH161" s="3">
        <f>IFERROR(VLOOKUP(E161,MANT_MARCA_TBL,2,0)+0,NEUTRO)</f>
        <v/>
      </c>
      <c r="DI161" s="3">
        <f>IF(DA161="",NEUTRO,IFERROR(VLOOKUP(DA161,DIST_PTS_TBL,2,0)+0,NEUTRO))</f>
        <v/>
      </c>
      <c r="DJ161" s="4">
        <f>(DH161+DI161)/2</f>
        <v/>
      </c>
      <c r="DK161" s="3">
        <f>W_CONS*DE161+W_SEG*DG161+W_MANT*DJ161</f>
        <v/>
      </c>
      <c r="DL161" s="3">
        <f>IF(N(AB161)&gt;0,AB161,IF(AND(R161="profesional",SG_LEGAL_ON=1),GAR_LEGAL,0))</f>
        <v/>
      </c>
      <c r="DM161" s="3">
        <f>MAX(0,MIN(100,SG_GAR*MIN(1,DL161/SG_GAR_FULL)+SG_AMPL*(AC161="sí")+SG_KMC*(AF161="sí")+SG_REV*(N(AE161)&gt;0)+SG_DEV*MIN(1,N(AG161)/SG_DEV_FULL)+SG_HIST*(W161="sí")-IF(AND(R161="particular",DL161=0),SG_PART_PEN,0)))</f>
        <v/>
      </c>
      <c r="DN161" s="3">
        <f>IF(BK161="",NEUTRO,MAX(0,MIN(100,BK161/5*100)))</f>
        <v/>
      </c>
      <c r="DO161" s="3">
        <f>IF(BL161="sí",100,IF(BL161="no",0,NEUTRO))</f>
        <v/>
      </c>
      <c r="DP161" s="3">
        <f>SV_W_NCAP*DN161+SV_W_ESP*DO161</f>
        <v/>
      </c>
      <c r="DQ161" s="3">
        <f>MAX(0,MIN(100,ATR_BASE+ATR_ACAB*(BD161&lt;&gt;"")+IF(BE161="16+",ATR_LL16,IF(BE161="sí",ATR_LL,0))+ATR_FAROS*(BF161="sí")+ATR_TINT*(BG161="sí")-ATR_CHAPA*(BE161="chapa")))</f>
        <v/>
      </c>
      <c r="DR161" s="3">
        <f>EST_W_MOD*(BB161-1)/4*100+EST_W_ATR*DQ161</f>
        <v/>
      </c>
      <c r="DS161" s="3">
        <f>IF(BA161="",NEUTRO,IFERROR(VLOOKUP(BA161,COLOR_TBL,2,0)+0,NEUTRO))</f>
        <v/>
      </c>
      <c r="DT161" s="3">
        <f>MAX(0,MIN(100,100*N(BM161)/RV_N_FULL))</f>
        <v/>
      </c>
      <c r="DU161" s="3">
        <f>IF(OR(BN161="",N(BO161)&lt;RV_DIAS_MIN),NEUTRO,MAX(0,MIN(100,100*(RV_DIAS_CERO-BN161)/(RV_DIAS_CERO-RV_DIAS_FULL))))</f>
        <v/>
      </c>
      <c r="DV161" s="3">
        <f>RV_W_LIQ*DT161+RV_W_DIAS*DU161+RV_W_ETQ*DC161</f>
        <v/>
      </c>
      <c r="DW161" s="3">
        <f>IFERROR(VLOOKUP(L161,CARR_PEN_TBL,2,0),0)</f>
        <v/>
      </c>
      <c r="DX161" s="3">
        <f>W_FIAB*CS161+W_PRECIO*CU161+W_KMEDAD*CY161+W_ESTADO*DB161+W_USO*DK161+W_SEGURIDAD*DM161+W_SEGVIAL*DP161+W_ESTETICA*DR161+W_COLOR*DS161+W_REVENTA*DV161-DW161-EG161</f>
        <v/>
      </c>
      <c r="DY161" s="4">
        <f>IF(N(I161)&gt;0,I161,IFERROR(ROUND(_xlfn.NUMBERVALUE(LEFT(G161,FIND(" ",G161&amp;" ")-1),".")*1000,0),99999))</f>
        <v/>
      </c>
      <c r="DZ161" s="3">
        <f>IF(R161="profesional",0,IF(O161&lt;CUOTA_VALOR_MAX,IF(BW161&gt;ITP_TRAMO_ALTO,SUMIFS(CF_CUOTA,CF_MAS,ITP_TRAMO_ALTO,CF_CCMIN,"&lt;="&amp;DY161,CF_CCMAX,"&gt;="&amp;DY161),IF(BW161&gt;ITP_TRAMO_BAJO,SUMIFS(CF_CUOTA,CF_MAS,ITP_TRAMO_BAJO,CF_CCMIN,"&lt;="&amp;DY161,CF_CCMAX,"&gt;="&amp;DY161),O161*ITP_TIPO)),O161*ITP_TIPO))</f>
        <v/>
      </c>
      <c r="EA161" s="4">
        <f>IF(R161="profesional",N(AK161),0)</f>
        <v/>
      </c>
      <c r="EB161" s="3">
        <f>IF(AND(R161="profesional",ISNUMBER(AK161),AL161="sí"),0,TASA_DGT)</f>
        <v/>
      </c>
      <c r="EC161" s="3">
        <f>INFORME_DGT</f>
        <v/>
      </c>
      <c r="ED161" s="4">
        <f>O161+EA161+DZ161+EB161+EC161</f>
        <v/>
      </c>
      <c r="EE161" s="4">
        <f>ED161+N(DF161)</f>
        <v/>
      </c>
      <c r="EF161" s="3">
        <f>MAX(0,ED161-TOTAL_MAX)</f>
        <v/>
      </c>
      <c r="EG161" s="3">
        <f>EF161/100*PEN_100</f>
        <v/>
      </c>
      <c r="EH161" s="3">
        <f>IF(R161="particular",ED161+IF(AND(DA161&lt;&gt;"cadena",X161&lt;&gt;"sí"),RES_CORREA,0)+IF(AND(BJ161&lt;&gt;"sí",BW161&gt;=RES_NEUM_EDAD),RES_NEUM,0),"")</f>
        <v/>
      </c>
      <c r="EI161" s="3">
        <f>IF(ED161&lt;=TOTAL_MAX,"sí",IF(ED161&lt;=TECHO,"negociar","no"))</f>
        <v/>
      </c>
      <c r="EJ161" s="4">
        <f>ROUND(DX161,9)</f>
        <v/>
      </c>
      <c r="EK161" s="4">
        <f>IF(EI161&lt;&gt;"no",SUMPRODUCT(($EI$2:$EI$209&lt;&gt;"no")*($EJ$2:$EJ$209&gt;EJ161))+SUMPRODUCT(($EI$2:EI161&lt;&gt;"no")*($EJ$2:EJ161=EJ161)),"")</f>
        <v/>
      </c>
    </row>
    <row r="162">
      <c r="A162" s="2" t="inlineStr">
        <is>
          <t>autoscout24:d9b9a599-a45f-49ff-92d6-25aaf15b8ed1</t>
        </is>
      </c>
      <c r="B162" s="2" t="inlineStr">
        <is>
          <t>autoscout24</t>
        </is>
      </c>
      <c r="C162" s="2" t="inlineStr">
        <is>
          <t>https://www.autoscout24.es/anuncios/citroen-c4-grand-picasso-1-6-vti-seduction-gasolina-blanco-cat_ma21mo18545-d9b9a599-a45f-49ff-92d6-25aaf15b8ed1</t>
        </is>
      </c>
      <c r="D162" s="2" t="inlineStr">
        <is>
          <t>Citroën C4 Grand Picasso 1.6 VTi Seduction</t>
        </is>
      </c>
      <c r="E162" s="2" t="inlineStr">
        <is>
          <t>Citroën</t>
        </is>
      </c>
      <c r="F162" s="2" t="inlineStr">
        <is>
          <t>Citroën C4</t>
        </is>
      </c>
      <c r="G162" s="2" t="inlineStr">
        <is>
          <t>1.6 VTi</t>
        </is>
      </c>
      <c r="H162" s="2" t="inlineStr">
        <is>
          <t>Grand Picasso 1.6 VTi Seduction 120</t>
        </is>
      </c>
      <c r="I162" s="2" t="n">
        <v>1598</v>
      </c>
      <c r="J162" s="2" t="n">
        <v>120</v>
      </c>
      <c r="K162" s="2" t="inlineStr">
        <is>
          <t>gasolina</t>
        </is>
      </c>
      <c r="L162" s="2" t="inlineStr">
        <is>
          <t>compacto</t>
        </is>
      </c>
      <c r="M162" s="2" t="n">
        <v>2013</v>
      </c>
      <c r="N162" s="2" t="n">
        <v>195000</v>
      </c>
      <c r="O162" s="2" t="n">
        <v>5500</v>
      </c>
      <c r="P162" s="2" t="inlineStr">
        <is>
          <t>manual</t>
        </is>
      </c>
      <c r="Q162" s="2" t="inlineStr">
        <is>
          <t>no</t>
        </is>
      </c>
      <c r="R162" s="2" t="inlineStr">
        <is>
          <t>profesional</t>
        </is>
      </c>
      <c r="S162" s="2" t="inlineStr">
        <is>
          <t>Star Car Valencia — ALDAIA (46960)</t>
        </is>
      </c>
      <c r="T162" s="2" t="n"/>
      <c r="U162" s="2" t="n">
        <v>10</v>
      </c>
      <c r="V162" s="2" t="n"/>
      <c r="W162" s="2" t="n"/>
      <c r="X162" s="2" t="n"/>
      <c r="Y162" s="2" t="n"/>
      <c r="Z162" s="2" t="n"/>
      <c r="AA162" s="2" t="n"/>
      <c r="AB162" s="2" t="n"/>
      <c r="AC162" s="2" t="n"/>
      <c r="AD162" s="2" t="n"/>
      <c r="AE162" s="2" t="n"/>
      <c r="AF162" s="2" t="n"/>
      <c r="AG162" s="2" t="n"/>
      <c r="AH162" s="2" t="n"/>
      <c r="AI162" s="2" t="n"/>
      <c r="AJ162" s="2" t="n"/>
      <c r="AK162" s="2" t="n"/>
      <c r="AL162" s="2" t="n"/>
      <c r="AM162" s="2" t="n">
        <v>6.8</v>
      </c>
      <c r="AN162" s="2" t="n"/>
      <c r="AO162" s="2" t="inlineStr">
        <is>
          <t>2013-11</t>
        </is>
      </c>
      <c r="AP162" s="2" t="n">
        <v>2013</v>
      </c>
      <c r="AQ162" s="2" t="n">
        <v>11</v>
      </c>
      <c r="AR162" s="2" t="n"/>
      <c r="AS162" s="2" t="inlineStr">
        <is>
          <t>regla</t>
        </is>
      </c>
      <c r="AT162" s="2" t="n"/>
      <c r="AU162" s="2" t="inlineStr">
        <is>
          <t>no</t>
        </is>
      </c>
      <c r="AV162" s="2" t="inlineStr">
        <is>
          <t>C</t>
        </is>
      </c>
      <c r="AW162" s="2" t="n"/>
      <c r="AX162" s="2" t="inlineStr">
        <is>
          <t>no</t>
        </is>
      </c>
      <c r="AY162" s="2" t="inlineStr">
        <is>
          <t>no</t>
        </is>
      </c>
      <c r="AZ162" s="2" t="inlineStr">
        <is>
          <t>Blanco</t>
        </is>
      </c>
      <c r="BA162" s="2" t="inlineStr">
        <is>
          <t>blanco</t>
        </is>
      </c>
      <c r="BB162" s="3" t="n">
        <v>3</v>
      </c>
      <c r="BC162" s="3" t="inlineStr">
        <is>
          <t>(por segmento)</t>
        </is>
      </c>
      <c r="BD162" s="2" t="n"/>
      <c r="BE162" s="2" t="n"/>
      <c r="BF162" s="2" t="n"/>
      <c r="BG162" s="2" t="n"/>
      <c r="BH162" s="2" t="n"/>
      <c r="BI162" s="2" t="n"/>
      <c r="BJ162" s="2" t="n"/>
      <c r="BK162" s="2" t="n"/>
      <c r="BL162" s="2" t="n"/>
      <c r="BM162" s="2" t="n">
        <v>345</v>
      </c>
      <c r="BN162" s="2" t="n">
        <v>0.05126157402992249</v>
      </c>
      <c r="BO162" s="2" t="n">
        <v>4</v>
      </c>
      <c r="BP162" s="2" t="n">
        <v>6900</v>
      </c>
      <c r="BQ162" s="2" t="n">
        <v>29</v>
      </c>
      <c r="BR162" s="2" t="inlineStr">
        <is>
          <t>modelo+año</t>
        </is>
      </c>
      <c r="BS162" s="2" t="n"/>
      <c r="BT162" s="2" t="inlineStr">
        <is>
          <t>por encima del presupuesto: negociar 564 € (coste 5564 €; -11.3 puntos); vendedor profesional: sin ITP (operación con IVA/REBU, confirmar en factura); gastos de gestión del vendedor no indicados: se suma la tasa DGT; preguntar el precio final; Euro NCAP de la generación PENDIENTE (seguridad neutra); etiqueta C deducida por fecha (sin matrícula ni dato del anuncio); revisar: detalles «detalles», no menciona la ITV; fiabilidad del modelo PENDIENTE de fuente (puntuación neutra)</t>
        </is>
      </c>
      <c r="BU162" s="2" t="inlineStr">
        <is>
          <t>CITROËN C4 1.6 VTi 120 CV (2013) — ¡Fiabilidad, confort y un equipamiento excelente!&lt;br /&gt;​Si buscas un compacto equilibrado, fiable y cómodo para el día a día o viajes largos, este Citroën C4 es una opción fantástica. Destaca por su conducción suave, un consumo ajustado y el confort de marcha característico de la marca francesa.&lt;br /&gt;​ Ficha Técnica y Detalles&lt;br /&gt;​Año / Matriculación: 10/2013&lt;br /&gt;​Kilometraje: 199.381 km&lt;br /&gt;​Motor: 1.6 VTi (1.598 cc)&lt;br /&gt;​Potencia: 120 CV (88 kW)&lt;br /&gt;​Combustible: Gasolina&lt;br /&gt;​Caja de cambios: Manual&lt;br /&gt;​Estado: Excelente equilibrio entre rendimiento y eficiencia&lt;br /&gt;​ Puntos Fuertes&lt;br /&gt;​Motor 1.6 VTi de 120 CV: Entrega de potencia progresiva, ideal tanto para ciudad como para mantener cruceros ágiles en autopista con consumos muy contenidos.&lt;br /&gt;​Habitabilidad y Confort: Un maletero de los más amplios de su categoría (408 litros) y plazas traseras cómodas para toda la familia.&lt;br /&gt;​Mantenimiento accesible: Mecánica de gasolina atmosférica contrastada, robusta y económica de mantener.&lt;br /&gt;​ ¿Buscas otro coche a medida?&lt;br /&gt;Si necesitas cualquier otro modelo, color, año o kilometraje, te lo traemos. ¡Dinos qué necesitas y lo tendrás! &lt;br /&gt;​ El anuncio puede contener errores tipográficos o de equipamiento; se muestra a título informativo.&lt;br /&gt;​ ¡Contáctanos hoy mismo para más información o para concertar una prueba!&lt;br /&gt;&lt;br /&gt;</t>
        </is>
      </c>
      <c r="BV162" s="2" t="inlineStr">
        <is>
          <t>https://www.autoscout24.es/anuncios/citroen-c4-grand-picasso-1-6-vti-seduction-gasolina-blanco-cat_ma21mo18545-d9b9a599-a45f-49ff-92d6-25aaf15b8ed1 (__NEXT_DATA__ listingDetails) /home/user/Alopecia/buscador-coches/raw/autoscout24/6e150b6fadb5de40.json</t>
        </is>
      </c>
      <c r="BW162" s="3">
        <f>MAX(ANIO_ACTUAL-M162,0)</f>
        <v/>
      </c>
      <c r="BX162" s="4">
        <f>N162/MAX(BW162,0.5)</f>
        <v/>
      </c>
      <c r="BY162" s="4">
        <f>F162</f>
        <v/>
      </c>
      <c r="BZ162" s="3">
        <f>BY162&amp;"|"&amp;INT(M162/SEG_ANIO)*SEG_ANIO</f>
        <v/>
      </c>
      <c r="CA162" s="3">
        <f>BZ162&amp;"|"&amp;INT(N162/SEG_KM)*SEG_KM</f>
        <v/>
      </c>
      <c r="CB162" s="4">
        <f>COUNTIF($BY$2:$BY$209,BY162)</f>
        <v/>
      </c>
      <c r="CC162" s="4">
        <f>COUNTIF($BZ$2:$BZ$209,BZ162)</f>
        <v/>
      </c>
      <c r="CD162" s="4">
        <f>COUNTIF($CA$2:$CA$209,CA162)</f>
        <v/>
      </c>
      <c r="CE162" s="3">
        <f t="array" ref="CE162">IF(N(BQ162)&gt;=MIN_N,BP162,IF(CD162&gt;=MIN_N,MEDIAN(IF($CA$2:$CA$209=CA162,$O$2:$O$209)),IF(CC162&gt;=MIN_N,MEDIAN(IF($BZ$2:$BZ$209=BZ162,$O$2:$O$209)),MEDIAN(IF($BY$2:$BY$209=BY162,$O$2:$O$209)))))</f>
        <v/>
      </c>
      <c r="CF162" s="3">
        <f>IF(N(BQ162)&gt;=MIN_N,"mercado "&amp;BR162,IF(CD162&gt;=MIN_N,"modelo+año+km",IF(CC162&gt;=MIN_N,"modelo+año","modelo")))</f>
        <v/>
      </c>
      <c r="CG162" s="4">
        <f>(CE162-O162)/CE162</f>
        <v/>
      </c>
      <c r="CH162" s="3">
        <f>IF(COUNTIFS(FR_FUEL,K162,FR_YEAR,AP162)&gt;0,1,0)</f>
        <v/>
      </c>
      <c r="CI162" s="3">
        <f>IF(COUNTIFS(FR_FUEL,K162,FR_YEAR,AP162-1)&gt;0,1,0)</f>
        <v/>
      </c>
      <c r="CJ162" s="4">
        <f>IF(N(AQ162)&gt;0,AP162*100+AQ162,IF(AND(CH162=1,CI162=1),(AP162-1)*100+1,AP162*100+1))</f>
        <v/>
      </c>
      <c r="CK162" s="3">
        <f>IF(OR(K162="hibrido",K162="glp",K162="gnc",K162="phev"),"ECO",IF(K162="electrico","CERO",IF(K162="gasolina",IF(CJ162&gt;=GAS_C_YM,"C",IF(CJ162&gt;=GAS_B_YM,"B","A")),IF(K162="diesel",IF(CJ162&gt;=DIE_C_YM,"C",IF(CJ162&gt;=DIE_B_YM,"B","A")),""))))</f>
        <v/>
      </c>
      <c r="CL162" s="4">
        <f>CK162</f>
        <v/>
      </c>
      <c r="CM162" s="4">
        <f>IF(AU162="sí","sí",IF(AS162="regla",IF(AND(N(AQ162)=0,CH162=1),"sí","no"),"no"))</f>
        <v/>
      </c>
      <c r="CN162" s="3">
        <f>IFERROR(VLOOKUP(F162,MOD_TBL,16,0),IFERROR(VLOOKUP(E162,OCU_TBL,2,0),NEUTRO))</f>
        <v/>
      </c>
      <c r="CO162" s="3">
        <f>SUMIFS(MOT_AJUSTE,MOT_MOTOR,G162,MOT_MARCA,E162,MOT_DESDE,"&lt;="&amp;M162,MOT_HASTA,"&gt;="&amp;M162)+SUMIFS(MOT_AJUSTE,MOT_MOTOR,G162,MOT_MARCA,"(todas)",MOT_DESDE,"&lt;="&amp;M162,MOT_HASTA,"&gt;="&amp;M162)+SUMIFS(MOT_AJUSTE,MOT_MOTOR,"(cualquiera)",MOT_MARCA,E162,MOT_DESDE,"&lt;="&amp;M162,MOT_HASTA,"&gt;="&amp;M162)</f>
        <v/>
      </c>
      <c r="CP162" s="3">
        <f>SUMIFS(COMB_AJUSTE,COMB_COMB,K162)</f>
        <v/>
      </c>
      <c r="CQ162" s="3">
        <f>COUNTIFS(MOT_MOTOR,G162,MOT_MARCA,E162,MOT_DESDE,"&lt;="&amp;M162,MOT_HASTA,"&gt;="&amp;M162)+COUNTIFS(MOT_MOTOR,G162,MOT_MARCA,"(todas)",MOT_DESDE,"&lt;="&amp;M162,MOT_HASTA,"&gt;="&amp;M162)+COUNTIFS(MOT_MOTOR,"(cualquiera)",MOT_MARCA,E162,MOT_DESDE,"&lt;="&amp;M162,MOT_HASTA,"&gt;="&amp;M162)</f>
        <v/>
      </c>
      <c r="CR162" s="3">
        <f>IF(AND(K162="diesel",CQ162=0),MIN(CN162,NEUTRO),CN162)</f>
        <v/>
      </c>
      <c r="CS162" s="3">
        <f>MAX(0,MIN(100,CR162+CO162+CP162-IF(AX162="sí",ROB_PEN,0)))</f>
        <v/>
      </c>
      <c r="CT162" s="3">
        <f>100-MAX(0,N162-KM_TOPE_DESDE)/1000*KM_TOPE_PTS</f>
        <v/>
      </c>
      <c r="CU162" s="3">
        <f>MAX(0,MIN(100,50+CG162*PRECIO_PEND,CT162))</f>
        <v/>
      </c>
      <c r="CV162" s="3">
        <f>MAX(0,100*(1-N162/KM_MAX))</f>
        <v/>
      </c>
      <c r="CW162" s="3">
        <f>IF(BX162&lt;KMA_SOSP,IF(AA162="sí",100,KMA_PEN),IF(BX162&lt;=KMA_IDEAL_MAX,100,MAX(0,100*(KMA_CERO-BX162)/(KMA_CERO-KMA_IDEAL_MAX))))</f>
        <v/>
      </c>
      <c r="CX162" s="3">
        <f>MAX(0,MIN(100,100*(M162-ANIO_MIN)/(ANIO_ACTUAL-ANIO_MIN)))</f>
        <v/>
      </c>
      <c r="CY162" s="3">
        <f>W_KMT*CV162+W_KMA*CW162+W_EDAD*CX162</f>
        <v/>
      </c>
      <c r="CZ162" s="4">
        <f>E162&amp;"|"&amp;G162</f>
        <v/>
      </c>
      <c r="DA162" s="3">
        <f>IFERROR(VLOOKUP(CZ162,DIST_TBL,2,0),"")</f>
        <v/>
      </c>
      <c r="DB162" s="3">
        <f>E_ITV*(V162="sí")+E_LIBRO*(W162="sí")+E_PROP*IF(Y162=1,1,IF(Y162=2,0.5,0))+E_CORREA*IF(OR(DA162="cadena",AND(X162="sí",BH162="sí")),1,IF(X162="sí",0.5,0))+E_FACT*(BI162="sí")</f>
        <v/>
      </c>
      <c r="DC162" s="3">
        <f>MAX(0,MIN(100,IFERROR(VLOOKUP(CL162,ETQ_TBL,2,0),0)-IF(CM162="sí",ETQ_PEN_DUD,IF(AS162="regla",ETQ_PEN_REGLA,0))))</f>
        <v/>
      </c>
      <c r="DD162" s="3">
        <f>IF(K162&lt;&gt;"gasolina","",IFERROR(VLOOKUP(F162,CONS_MOD_TBL,2,0),IFERROR(VLOOKUP(L162,CONS_SEG_TBL,2,0),"")))</f>
        <v/>
      </c>
      <c r="DE162" s="3">
        <f>IF(DD162="",NEUTRO,MAX(0,MIN(100,100*(CONS_REF_MAX-DD162)/(CONS_REF_MAX-CONS_REF_MIN))))</f>
        <v/>
      </c>
      <c r="DF162" s="3">
        <f>IFERROR(VLOOKUP(L162,SEGURO_TBL,3,0),"")</f>
        <v/>
      </c>
      <c r="DG162" s="3">
        <f>IF(DF162="",NEUTRO,MAX(0,MIN(100,100*(SEG_REF_MAX-DF162)/(SEG_REF_MAX-SEG_REF_MIN))))</f>
        <v/>
      </c>
      <c r="DH162" s="3">
        <f>IFERROR(VLOOKUP(E162,MANT_MARCA_TBL,2,0)+0,NEUTRO)</f>
        <v/>
      </c>
      <c r="DI162" s="3">
        <f>IF(DA162="",NEUTRO,IFERROR(VLOOKUP(DA162,DIST_PTS_TBL,2,0)+0,NEUTRO))</f>
        <v/>
      </c>
      <c r="DJ162" s="4">
        <f>(DH162+DI162)/2</f>
        <v/>
      </c>
      <c r="DK162" s="3">
        <f>W_CONS*DE162+W_SEG*DG162+W_MANT*DJ162</f>
        <v/>
      </c>
      <c r="DL162" s="3">
        <f>IF(N(AB162)&gt;0,AB162,IF(AND(R162="profesional",SG_LEGAL_ON=1),GAR_LEGAL,0))</f>
        <v/>
      </c>
      <c r="DM162" s="3">
        <f>MAX(0,MIN(100,SG_GAR*MIN(1,DL162/SG_GAR_FULL)+SG_AMPL*(AC162="sí")+SG_KMC*(AF162="sí")+SG_REV*(N(AE162)&gt;0)+SG_DEV*MIN(1,N(AG162)/SG_DEV_FULL)+SG_HIST*(W162="sí")-IF(AND(R162="particular",DL162=0),SG_PART_PEN,0)))</f>
        <v/>
      </c>
      <c r="DN162" s="3">
        <f>IF(BK162="",NEUTRO,MAX(0,MIN(100,BK162/5*100)))</f>
        <v/>
      </c>
      <c r="DO162" s="3">
        <f>IF(BL162="sí",100,IF(BL162="no",0,NEUTRO))</f>
        <v/>
      </c>
      <c r="DP162" s="3">
        <f>SV_W_NCAP*DN162+SV_W_ESP*DO162</f>
        <v/>
      </c>
      <c r="DQ162" s="3">
        <f>MAX(0,MIN(100,ATR_BASE+ATR_ACAB*(BD162&lt;&gt;"")+IF(BE162="16+",ATR_LL16,IF(BE162="sí",ATR_LL,0))+ATR_FAROS*(BF162="sí")+ATR_TINT*(BG162="sí")-ATR_CHAPA*(BE162="chapa")))</f>
        <v/>
      </c>
      <c r="DR162" s="3">
        <f>EST_W_MOD*(BB162-1)/4*100+EST_W_ATR*DQ162</f>
        <v/>
      </c>
      <c r="DS162" s="3">
        <f>IF(BA162="",NEUTRO,IFERROR(VLOOKUP(BA162,COLOR_TBL,2,0)+0,NEUTRO))</f>
        <v/>
      </c>
      <c r="DT162" s="3">
        <f>MAX(0,MIN(100,100*N(BM162)/RV_N_FULL))</f>
        <v/>
      </c>
      <c r="DU162" s="3">
        <f>IF(OR(BN162="",N(BO162)&lt;RV_DIAS_MIN),NEUTRO,MAX(0,MIN(100,100*(RV_DIAS_CERO-BN162)/(RV_DIAS_CERO-RV_DIAS_FULL))))</f>
        <v/>
      </c>
      <c r="DV162" s="3">
        <f>RV_W_LIQ*DT162+RV_W_DIAS*DU162+RV_W_ETQ*DC162</f>
        <v/>
      </c>
      <c r="DW162" s="3">
        <f>IFERROR(VLOOKUP(L162,CARR_PEN_TBL,2,0),0)</f>
        <v/>
      </c>
      <c r="DX162" s="3">
        <f>W_FIAB*CS162+W_PRECIO*CU162+W_KMEDAD*CY162+W_ESTADO*DB162+W_USO*DK162+W_SEGURIDAD*DM162+W_SEGVIAL*DP162+W_ESTETICA*DR162+W_COLOR*DS162+W_REVENTA*DV162-DW162-EG162</f>
        <v/>
      </c>
      <c r="DY162" s="4">
        <f>IF(N(I162)&gt;0,I162,IFERROR(ROUND(_xlfn.NUMBERVALUE(LEFT(G162,FIND(" ",G162&amp;" ")-1),".")*1000,0),99999))</f>
        <v/>
      </c>
      <c r="DZ162" s="3">
        <f>IF(R162="profesional",0,IF(O162&lt;CUOTA_VALOR_MAX,IF(BW162&gt;ITP_TRAMO_ALTO,SUMIFS(CF_CUOTA,CF_MAS,ITP_TRAMO_ALTO,CF_CCMIN,"&lt;="&amp;DY162,CF_CCMAX,"&gt;="&amp;DY162),IF(BW162&gt;ITP_TRAMO_BAJO,SUMIFS(CF_CUOTA,CF_MAS,ITP_TRAMO_BAJO,CF_CCMIN,"&lt;="&amp;DY162,CF_CCMAX,"&gt;="&amp;DY162),O162*ITP_TIPO)),O162*ITP_TIPO))</f>
        <v/>
      </c>
      <c r="EA162" s="4">
        <f>IF(R162="profesional",N(AK162),0)</f>
        <v/>
      </c>
      <c r="EB162" s="3">
        <f>IF(AND(R162="profesional",ISNUMBER(AK162),AL162="sí"),0,TASA_DGT)</f>
        <v/>
      </c>
      <c r="EC162" s="3">
        <f>INFORME_DGT</f>
        <v/>
      </c>
      <c r="ED162" s="4">
        <f>O162+EA162+DZ162+EB162+EC162</f>
        <v/>
      </c>
      <c r="EE162" s="4">
        <f>ED162+N(DF162)</f>
        <v/>
      </c>
      <c r="EF162" s="3">
        <f>MAX(0,ED162-TOTAL_MAX)</f>
        <v/>
      </c>
      <c r="EG162" s="3">
        <f>EF162/100*PEN_100</f>
        <v/>
      </c>
      <c r="EH162" s="3">
        <f>IF(R162="particular",ED162+IF(AND(DA162&lt;&gt;"cadena",X162&lt;&gt;"sí"),RES_CORREA,0)+IF(AND(BJ162&lt;&gt;"sí",BW162&gt;=RES_NEUM_EDAD),RES_NEUM,0),"")</f>
        <v/>
      </c>
      <c r="EI162" s="3">
        <f>IF(ED162&lt;=TOTAL_MAX,"sí",IF(ED162&lt;=TECHO,"negociar","no"))</f>
        <v/>
      </c>
      <c r="EJ162" s="4">
        <f>ROUND(DX162,9)</f>
        <v/>
      </c>
      <c r="EK162" s="4">
        <f>IF(EI162&lt;&gt;"no",SUMPRODUCT(($EI$2:$EI$209&lt;&gt;"no")*($EJ$2:$EJ$209&gt;EJ162))+SUMPRODUCT(($EI$2:EI162&lt;&gt;"no")*($EJ$2:EJ162=EJ162)),"")</f>
        <v/>
      </c>
    </row>
    <row r="163">
      <c r="A163" s="2" t="inlineStr">
        <is>
          <t>cochesnet:71785121</t>
        </is>
      </c>
      <c r="B163" s="2" t="inlineStr">
        <is>
          <t>cochesnet</t>
        </is>
      </c>
      <c r="C163" s="2" t="inlineStr">
        <is>
          <t>https://www.coches.net/citroen-c4-14-vti-95cv-tonic-5p-gasolina-2012-en-castellon-71785121-covo.aspx</t>
        </is>
      </c>
      <c r="D163" s="2" t="inlineStr">
        <is>
          <t>CITROEN C4 1.4 VTi Tonic</t>
        </is>
      </c>
      <c r="E163" s="2" t="inlineStr">
        <is>
          <t>Citroën</t>
        </is>
      </c>
      <c r="F163" s="2" t="inlineStr">
        <is>
          <t>Citroën C4</t>
        </is>
      </c>
      <c r="G163" s="2" t="inlineStr">
        <is>
          <t>1.4 VTi</t>
        </is>
      </c>
      <c r="H163" s="2" t="inlineStr">
        <is>
          <t>1.4 VTi 95cv Tonic</t>
        </is>
      </c>
      <c r="I163" s="2" t="n"/>
      <c r="J163" s="2" t="n">
        <v>95</v>
      </c>
      <c r="K163" s="2" t="inlineStr">
        <is>
          <t>gasolina</t>
        </is>
      </c>
      <c r="L163" s="2" t="inlineStr">
        <is>
          <t>compacto</t>
        </is>
      </c>
      <c r="M163" s="2" t="n">
        <v>2013</v>
      </c>
      <c r="N163" s="2" t="n">
        <v>146759</v>
      </c>
      <c r="O163" s="2" t="n">
        <v>5900</v>
      </c>
      <c r="P163" s="2" t="inlineStr">
        <is>
          <t>manual</t>
        </is>
      </c>
      <c r="Q163" s="2" t="inlineStr">
        <is>
          <t>no</t>
        </is>
      </c>
      <c r="R163" s="2" t="inlineStr">
        <is>
          <t>profesional</t>
        </is>
      </c>
      <c r="S163" s="2" t="inlineStr">
        <is>
          <t>Vila-real</t>
        </is>
      </c>
      <c r="T163" s="2" t="inlineStr">
        <is>
          <t>2026-10-19T19:54:56Z</t>
        </is>
      </c>
      <c r="U163" s="2" t="n">
        <v>33</v>
      </c>
      <c r="V163" s="2" t="n"/>
      <c r="W163" s="2" t="inlineStr">
        <is>
          <t>sí</t>
        </is>
      </c>
      <c r="X163" s="2" t="n"/>
      <c r="Y163" s="2" t="n"/>
      <c r="Z163" s="2" t="inlineStr">
        <is>
          <t>sí</t>
        </is>
      </c>
      <c r="AA163" s="2" t="n"/>
      <c r="AB163" s="2" t="n">
        <v>12</v>
      </c>
      <c r="AC163" s="2" t="n"/>
      <c r="AD163" s="2" t="n"/>
      <c r="AE163" s="2" t="n"/>
      <c r="AF163" s="2" t="inlineStr">
        <is>
          <t>sí</t>
        </is>
      </c>
      <c r="AG163" s="2" t="n"/>
      <c r="AH163" s="2" t="n">
        <v>5900</v>
      </c>
      <c r="AI163" s="2" t="n">
        <v>5900</v>
      </c>
      <c r="AJ163" s="2" t="n"/>
      <c r="AK163" s="2" t="n"/>
      <c r="AL163" s="2" t="n"/>
      <c r="AM163" s="2" t="n"/>
      <c r="AN163" s="2" t="inlineStr">
        <is>
          <t>1000KMS</t>
        </is>
      </c>
      <c r="AO163" s="2" t="inlineStr">
        <is>
          <t>2013</t>
        </is>
      </c>
      <c r="AP163" s="2" t="n">
        <v>2013</v>
      </c>
      <c r="AQ163" s="2" t="n"/>
      <c r="AR163" s="2" t="inlineStr">
        <is>
          <t>B</t>
        </is>
      </c>
      <c r="AS163" s="2" t="inlineStr">
        <is>
          <t>DGT</t>
        </is>
      </c>
      <c r="AT163" s="2" t="n">
        <v>2012</v>
      </c>
      <c r="AU163" s="2" t="inlineStr">
        <is>
          <t>no</t>
        </is>
      </c>
      <c r="AV163" s="2" t="inlineStr">
        <is>
          <t>B</t>
        </is>
      </c>
      <c r="AW163" s="2" t="n"/>
      <c r="AX163" s="2" t="inlineStr">
        <is>
          <t>no</t>
        </is>
      </c>
      <c r="AY163" s="2" t="inlineStr">
        <is>
          <t>no</t>
        </is>
      </c>
      <c r="AZ163" s="2" t="inlineStr">
        <is>
          <t>COMMON.COLOR_WHITE</t>
        </is>
      </c>
      <c r="BA163" s="2" t="inlineStr">
        <is>
          <t>blanco</t>
        </is>
      </c>
      <c r="BB163" s="3" t="n">
        <v>3</v>
      </c>
      <c r="BC163" s="3" t="inlineStr">
        <is>
          <t>(por segmento)</t>
        </is>
      </c>
      <c r="BD163" s="2" t="n"/>
      <c r="BE163" s="2" t="inlineStr">
        <is>
          <t>16+</t>
        </is>
      </c>
      <c r="BF163" s="2" t="n"/>
      <c r="BG163" s="2" t="n"/>
      <c r="BH163" s="2" t="n"/>
      <c r="BI163" s="2" t="n"/>
      <c r="BJ163" s="2" t="n"/>
      <c r="BK163" s="2" t="n"/>
      <c r="BL163" s="2" t="n"/>
      <c r="BM163" s="2" t="n">
        <v>345</v>
      </c>
      <c r="BN163" s="2" t="n">
        <v>0.05126157402992249</v>
      </c>
      <c r="BO163" s="2" t="n">
        <v>4</v>
      </c>
      <c r="BP163" s="2" t="n">
        <v>6500</v>
      </c>
      <c r="BQ163" s="2" t="n">
        <v>13</v>
      </c>
      <c r="BR163" s="2" t="inlineStr">
        <is>
          <t>modelo+año+km</t>
        </is>
      </c>
      <c r="BS163" s="2" t="inlineStr">
        <is>
          <t>autoscout24:46f0bae5-a10e-423b-9fd0-d065deb9a43e (https://www.autoscout24.es/anuncios/citroen-c4-1-4-vti-tonic-gasolina-blanco-cat_ma21mo18545-46f0bae5-a10e-423b-9fd0-d065deb9a43e)</t>
        </is>
      </c>
      <c r="BT163" s="2" t="inlineStr">
        <is>
          <t>año a confirmar: la URL/título dice 2012; por encima del presupuesto: negociar 964 € (coste 5964 €; -19.3 puntos); vendedor profesional: sin ITP (operación con IVA/REBU, confirmar en factura); gastos de gestión del vendedor no indicados: se suma la tasa DGT; preguntar el precio final; Euro NCAP de la generación PENDIENTE (seguridad neutra); revisar: no menciona la ITV; distancia no verificable (el anuncio solo indica la provincia): confirmar que está a &lt;= 70 km; fiabilidad del modelo PENDIENTE de fuente (puntuación neutra)</t>
        </is>
      </c>
      <c r="BU163" s="2" t="inlineStr">
        <is>
          <t xml:space="preserve">
¡VILLA TAMBIÉN FICHA POR OCASIONPLUS!
VEN A GANAR. ¡VEN A OCASIONPLUS!
OCASIONPLUS - 20.000 COCHES  - 120 CENTROS
OCASIONPLUS Nº1 CALIDAD - PRECIO
Elige el coche que te guste y te lo llevamos a tu ciudad sólo con reservarlo
15 DÍAS / 1000 KMS DE PRUEBA
ADEMÁS, HACEMOS LAS MEJORES FINANCIACIONES DEL MERCADO, PREGÚNTANOS!!
            Equipamiento destacado: Control de velocidad, Limitador de velocidad, Volante multifunción, Aire Acondicionado, Bluetooth, CD, Isofix, Llantas de aleación (16").
                - Coche Nacional, Historial Mantenimiento.
                - Garantía total 1 año, con cobertura nacional, ampliable a 24 meses.
                - Certificado de Kilómetros y ausencia de golpes estructurales.
            - Sobrevaloramos tu coche en operaciones de cambio. Tásalo ahora en ocasionplus.com
            - Entregamos cualquier coche en cualquier centro
            - Abierto Domingo y Festivos.</t>
        </is>
      </c>
      <c r="BV163" s="2" t="inlineStr">
        <is>
          <t>https://www.coches.net/citroen-c4-14-vti-95cv-tonic-5p-gasolina-2012-en-castellon-71785121-covo.aspx (window.__INITIAL_PROPS__.ad) /home/user/Alopecia/buscador-coches/raw/cochesnet/072b2497ffd98952.json</t>
        </is>
      </c>
      <c r="BW163" s="3">
        <f>MAX(ANIO_ACTUAL-M163,0)</f>
        <v/>
      </c>
      <c r="BX163" s="4">
        <f>N163/MAX(BW163,0.5)</f>
        <v/>
      </c>
      <c r="BY163" s="4">
        <f>F163</f>
        <v/>
      </c>
      <c r="BZ163" s="3">
        <f>BY163&amp;"|"&amp;INT(M163/SEG_ANIO)*SEG_ANIO</f>
        <v/>
      </c>
      <c r="CA163" s="3">
        <f>BZ163&amp;"|"&amp;INT(N163/SEG_KM)*SEG_KM</f>
        <v/>
      </c>
      <c r="CB163" s="4">
        <f>COUNTIF($BY$2:$BY$209,BY163)</f>
        <v/>
      </c>
      <c r="CC163" s="4">
        <f>COUNTIF($BZ$2:$BZ$209,BZ163)</f>
        <v/>
      </c>
      <c r="CD163" s="4">
        <f>COUNTIF($CA$2:$CA$209,CA163)</f>
        <v/>
      </c>
      <c r="CE163" s="3">
        <f t="array" ref="CE163">IF(N(BQ163)&gt;=MIN_N,BP163,IF(CD163&gt;=MIN_N,MEDIAN(IF($CA$2:$CA$209=CA163,$O$2:$O$209)),IF(CC163&gt;=MIN_N,MEDIAN(IF($BZ$2:$BZ$209=BZ163,$O$2:$O$209)),MEDIAN(IF($BY$2:$BY$209=BY163,$O$2:$O$209)))))</f>
        <v/>
      </c>
      <c r="CF163" s="3">
        <f>IF(N(BQ163)&gt;=MIN_N,"mercado "&amp;BR163,IF(CD163&gt;=MIN_N,"modelo+año+km",IF(CC163&gt;=MIN_N,"modelo+año","modelo")))</f>
        <v/>
      </c>
      <c r="CG163" s="4">
        <f>(CE163-O163)/CE163</f>
        <v/>
      </c>
      <c r="CH163" s="3">
        <f>IF(COUNTIFS(FR_FUEL,K163,FR_YEAR,AP163)&gt;0,1,0)</f>
        <v/>
      </c>
      <c r="CI163" s="3">
        <f>IF(COUNTIFS(FR_FUEL,K163,FR_YEAR,AP163-1)&gt;0,1,0)</f>
        <v/>
      </c>
      <c r="CJ163" s="4">
        <f>IF(N(AQ163)&gt;0,AP163*100+AQ163,IF(AND(CH163=1,CI163=1),(AP163-1)*100+1,AP163*100+1))</f>
        <v/>
      </c>
      <c r="CK163" s="3">
        <f>IF(OR(K163="hibrido",K163="glp",K163="gnc",K163="phev"),"ECO",IF(K163="electrico","CERO",IF(K163="gasolina",IF(CJ163&gt;=GAS_C_YM,"C",IF(CJ163&gt;=GAS_B_YM,"B","A")),IF(K163="diesel",IF(CJ163&gt;=DIE_C_YM,"C",IF(CJ163&gt;=DIE_B_YM,"B","A")),""))))</f>
        <v/>
      </c>
      <c r="CL163" s="2" t="inlineStr">
        <is>
          <t>B</t>
        </is>
      </c>
      <c r="CM163" s="4">
        <f>IF(AU163="sí","sí",IF(AS163="regla",IF(AND(N(AQ163)=0,CH163=1),"sí","no"),"no"))</f>
        <v/>
      </c>
      <c r="CN163" s="3">
        <f>IFERROR(VLOOKUP(F163,MOD_TBL,16,0),IFERROR(VLOOKUP(E163,OCU_TBL,2,0),NEUTRO))</f>
        <v/>
      </c>
      <c r="CO163" s="3">
        <f>SUMIFS(MOT_AJUSTE,MOT_MOTOR,G163,MOT_MARCA,E163,MOT_DESDE,"&lt;="&amp;M163,MOT_HASTA,"&gt;="&amp;M163)+SUMIFS(MOT_AJUSTE,MOT_MOTOR,G163,MOT_MARCA,"(todas)",MOT_DESDE,"&lt;="&amp;M163,MOT_HASTA,"&gt;="&amp;M163)+SUMIFS(MOT_AJUSTE,MOT_MOTOR,"(cualquiera)",MOT_MARCA,E163,MOT_DESDE,"&lt;="&amp;M163,MOT_HASTA,"&gt;="&amp;M163)</f>
        <v/>
      </c>
      <c r="CP163" s="3">
        <f>SUMIFS(COMB_AJUSTE,COMB_COMB,K163)</f>
        <v/>
      </c>
      <c r="CQ163" s="3">
        <f>COUNTIFS(MOT_MOTOR,G163,MOT_MARCA,E163,MOT_DESDE,"&lt;="&amp;M163,MOT_HASTA,"&gt;="&amp;M163)+COUNTIFS(MOT_MOTOR,G163,MOT_MARCA,"(todas)",MOT_DESDE,"&lt;="&amp;M163,MOT_HASTA,"&gt;="&amp;M163)+COUNTIFS(MOT_MOTOR,"(cualquiera)",MOT_MARCA,E163,MOT_DESDE,"&lt;="&amp;M163,MOT_HASTA,"&gt;="&amp;M163)</f>
        <v/>
      </c>
      <c r="CR163" s="3">
        <f>IF(AND(K163="diesel",CQ163=0),MIN(CN163,NEUTRO),CN163)</f>
        <v/>
      </c>
      <c r="CS163" s="3">
        <f>MAX(0,MIN(100,CR163+CO163+CP163-IF(AX163="sí",ROB_PEN,0)))</f>
        <v/>
      </c>
      <c r="CT163" s="3">
        <f>100-MAX(0,N163-KM_TOPE_DESDE)/1000*KM_TOPE_PTS</f>
        <v/>
      </c>
      <c r="CU163" s="3">
        <f>MAX(0,MIN(100,50+CG163*PRECIO_PEND,CT163))</f>
        <v/>
      </c>
      <c r="CV163" s="3">
        <f>MAX(0,100*(1-N163/KM_MAX))</f>
        <v/>
      </c>
      <c r="CW163" s="3">
        <f>IF(BX163&lt;KMA_SOSP,IF(AA163="sí",100,KMA_PEN),IF(BX163&lt;=KMA_IDEAL_MAX,100,MAX(0,100*(KMA_CERO-BX163)/(KMA_CERO-KMA_IDEAL_MAX))))</f>
        <v/>
      </c>
      <c r="CX163" s="3">
        <f>MAX(0,MIN(100,100*(M163-ANIO_MIN)/(ANIO_ACTUAL-ANIO_MIN)))</f>
        <v/>
      </c>
      <c r="CY163" s="3">
        <f>W_KMT*CV163+W_KMA*CW163+W_EDAD*CX163</f>
        <v/>
      </c>
      <c r="CZ163" s="4">
        <f>E163&amp;"|"&amp;G163</f>
        <v/>
      </c>
      <c r="DA163" s="3">
        <f>IFERROR(VLOOKUP(CZ163,DIST_TBL,2,0),"")</f>
        <v/>
      </c>
      <c r="DB163" s="3">
        <f>E_ITV*(V163="sí")+E_LIBRO*(W163="sí")+E_PROP*IF(Y163=1,1,IF(Y163=2,0.5,0))+E_CORREA*IF(OR(DA163="cadena",AND(X163="sí",BH163="sí")),1,IF(X163="sí",0.5,0))+E_FACT*(BI163="sí")</f>
        <v/>
      </c>
      <c r="DC163" s="3">
        <f>MAX(0,MIN(100,IFERROR(VLOOKUP(CL163,ETQ_TBL,2,0),0)-IF(CM163="sí",ETQ_PEN_DUD,IF(AS163="regla",ETQ_PEN_REGLA,0))))</f>
        <v/>
      </c>
      <c r="DD163" s="3">
        <f>IF(K163&lt;&gt;"gasolina","",IFERROR(VLOOKUP(F163,CONS_MOD_TBL,2,0),IFERROR(VLOOKUP(L163,CONS_SEG_TBL,2,0),"")))</f>
        <v/>
      </c>
      <c r="DE163" s="3">
        <f>IF(DD163="",NEUTRO,MAX(0,MIN(100,100*(CONS_REF_MAX-DD163)/(CONS_REF_MAX-CONS_REF_MIN))))</f>
        <v/>
      </c>
      <c r="DF163" s="3">
        <f>IFERROR(VLOOKUP(L163,SEGURO_TBL,3,0),"")</f>
        <v/>
      </c>
      <c r="DG163" s="3">
        <f>IF(DF163="",NEUTRO,MAX(0,MIN(100,100*(SEG_REF_MAX-DF163)/(SEG_REF_MAX-SEG_REF_MIN))))</f>
        <v/>
      </c>
      <c r="DH163" s="3">
        <f>IFERROR(VLOOKUP(E163,MANT_MARCA_TBL,2,0)+0,NEUTRO)</f>
        <v/>
      </c>
      <c r="DI163" s="3">
        <f>IF(DA163="",NEUTRO,IFERROR(VLOOKUP(DA163,DIST_PTS_TBL,2,0)+0,NEUTRO))</f>
        <v/>
      </c>
      <c r="DJ163" s="4">
        <f>(DH163+DI163)/2</f>
        <v/>
      </c>
      <c r="DK163" s="3">
        <f>W_CONS*DE163+W_SEG*DG163+W_MANT*DJ163</f>
        <v/>
      </c>
      <c r="DL163" s="3">
        <f>IF(N(AB163)&gt;0,AB163,IF(AND(R163="profesional",SG_LEGAL_ON=1),GAR_LEGAL,0))</f>
        <v/>
      </c>
      <c r="DM163" s="3">
        <f>MAX(0,MIN(100,SG_GAR*MIN(1,DL163/SG_GAR_FULL)+SG_AMPL*(AC163="sí")+SG_KMC*(AF163="sí")+SG_REV*(N(AE163)&gt;0)+SG_DEV*MIN(1,N(AG163)/SG_DEV_FULL)+SG_HIST*(W163="sí")-IF(AND(R163="particular",DL163=0),SG_PART_PEN,0)))</f>
        <v/>
      </c>
      <c r="DN163" s="3">
        <f>IF(BK163="",NEUTRO,MAX(0,MIN(100,BK163/5*100)))</f>
        <v/>
      </c>
      <c r="DO163" s="3">
        <f>IF(BL163="sí",100,IF(BL163="no",0,NEUTRO))</f>
        <v/>
      </c>
      <c r="DP163" s="3">
        <f>SV_W_NCAP*DN163+SV_W_ESP*DO163</f>
        <v/>
      </c>
      <c r="DQ163" s="3">
        <f>MAX(0,MIN(100,ATR_BASE+ATR_ACAB*(BD163&lt;&gt;"")+IF(BE163="16+",ATR_LL16,IF(BE163="sí",ATR_LL,0))+ATR_FAROS*(BF163="sí")+ATR_TINT*(BG163="sí")-ATR_CHAPA*(BE163="chapa")))</f>
        <v/>
      </c>
      <c r="DR163" s="3">
        <f>EST_W_MOD*(BB163-1)/4*100+EST_W_ATR*DQ163</f>
        <v/>
      </c>
      <c r="DS163" s="3">
        <f>IF(BA163="",NEUTRO,IFERROR(VLOOKUP(BA163,COLOR_TBL,2,0)+0,NEUTRO))</f>
        <v/>
      </c>
      <c r="DT163" s="3">
        <f>MAX(0,MIN(100,100*N(BM163)/RV_N_FULL))</f>
        <v/>
      </c>
      <c r="DU163" s="3">
        <f>IF(OR(BN163="",N(BO163)&lt;RV_DIAS_MIN),NEUTRO,MAX(0,MIN(100,100*(RV_DIAS_CERO-BN163)/(RV_DIAS_CERO-RV_DIAS_FULL))))</f>
        <v/>
      </c>
      <c r="DV163" s="3">
        <f>RV_W_LIQ*DT163+RV_W_DIAS*DU163+RV_W_ETQ*DC163</f>
        <v/>
      </c>
      <c r="DW163" s="3">
        <f>IFERROR(VLOOKUP(L163,CARR_PEN_TBL,2,0),0)</f>
        <v/>
      </c>
      <c r="DX163" s="3">
        <f>W_FIAB*CS163+W_PRECIO*CU163+W_KMEDAD*CY163+W_ESTADO*DB163+W_USO*DK163+W_SEGURIDAD*DM163+W_SEGVIAL*DP163+W_ESTETICA*DR163+W_COLOR*DS163+W_REVENTA*DV163-DW163-EG163</f>
        <v/>
      </c>
      <c r="DY163" s="4">
        <f>IF(N(I163)&gt;0,I163,IFERROR(ROUND(_xlfn.NUMBERVALUE(LEFT(G163,FIND(" ",G163&amp;" ")-1),".")*1000,0),99999))</f>
        <v/>
      </c>
      <c r="DZ163" s="3">
        <f>IF(R163="profesional",0,IF(O163&lt;CUOTA_VALOR_MAX,IF(BW163&gt;ITP_TRAMO_ALTO,SUMIFS(CF_CUOTA,CF_MAS,ITP_TRAMO_ALTO,CF_CCMIN,"&lt;="&amp;DY163,CF_CCMAX,"&gt;="&amp;DY163),IF(BW163&gt;ITP_TRAMO_BAJO,SUMIFS(CF_CUOTA,CF_MAS,ITP_TRAMO_BAJO,CF_CCMIN,"&lt;="&amp;DY163,CF_CCMAX,"&gt;="&amp;DY163),O163*ITP_TIPO)),O163*ITP_TIPO))</f>
        <v/>
      </c>
      <c r="EA163" s="4">
        <f>IF(R163="profesional",N(AK163),0)</f>
        <v/>
      </c>
      <c r="EB163" s="3">
        <f>IF(AND(R163="profesional",ISNUMBER(AK163),AL163="sí"),0,TASA_DGT)</f>
        <v/>
      </c>
      <c r="EC163" s="3">
        <f>INFORME_DGT</f>
        <v/>
      </c>
      <c r="ED163" s="4">
        <f>O163+EA163+DZ163+EB163+EC163</f>
        <v/>
      </c>
      <c r="EE163" s="4">
        <f>ED163+N(DF163)</f>
        <v/>
      </c>
      <c r="EF163" s="3">
        <f>MAX(0,ED163-TOTAL_MAX)</f>
        <v/>
      </c>
      <c r="EG163" s="3">
        <f>EF163/100*PEN_100</f>
        <v/>
      </c>
      <c r="EH163" s="3">
        <f>IF(R163="particular",ED163+IF(AND(DA163&lt;&gt;"cadena",X163&lt;&gt;"sí"),RES_CORREA,0)+IF(AND(BJ163&lt;&gt;"sí",BW163&gt;=RES_NEUM_EDAD),RES_NEUM,0),"")</f>
        <v/>
      </c>
      <c r="EI163" s="3">
        <f>IF(ED163&lt;=TOTAL_MAX,"sí",IF(ED163&lt;=TECHO,"negociar","no"))</f>
        <v/>
      </c>
      <c r="EJ163" s="4">
        <f>ROUND(DX163,9)</f>
        <v/>
      </c>
      <c r="EK163" s="4">
        <f>IF(EI163&lt;&gt;"no",SUMPRODUCT(($EI$2:$EI$209&lt;&gt;"no")*($EJ$2:$EJ$209&gt;EJ163))+SUMPRODUCT(($EI$2:EI163&lt;&gt;"no")*($EJ$2:EJ163=EJ163)),"")</f>
        <v/>
      </c>
    </row>
    <row r="164">
      <c r="A164" s="2" t="inlineStr">
        <is>
          <t>cochesnet:71584026</t>
        </is>
      </c>
      <c r="B164" s="2" t="inlineStr">
        <is>
          <t>cochesnet</t>
        </is>
      </c>
      <c r="C164" s="2" t="inlineStr">
        <is>
          <t>https://www.coches.net/fiat-500-12-8v-69-cv-lounge-3p-gasolina-2007-en-castellon-71584026-covo.aspx</t>
        </is>
      </c>
      <c r="D164" s="2" t="inlineStr">
        <is>
          <t>FIAT 500 1.2 8v 69 CV Lounge</t>
        </is>
      </c>
      <c r="E164" s="2" t="inlineStr">
        <is>
          <t>Fiat</t>
        </is>
      </c>
      <c r="F164" s="2" t="inlineStr">
        <is>
          <t>Fiat 500</t>
        </is>
      </c>
      <c r="G164" s="2" t="inlineStr">
        <is>
          <t>1.2</t>
        </is>
      </c>
      <c r="H164" s="2" t="inlineStr">
        <is>
          <t>1.2 8v 69 CV Lounge</t>
        </is>
      </c>
      <c r="I164" s="2" t="n"/>
      <c r="J164" s="2" t="n">
        <v>69</v>
      </c>
      <c r="K164" s="2" t="inlineStr">
        <is>
          <t>gasolina</t>
        </is>
      </c>
      <c r="L164" s="2" t="inlineStr">
        <is>
          <t>utilitario</t>
        </is>
      </c>
      <c r="M164" s="2" t="n">
        <v>2008</v>
      </c>
      <c r="N164" s="2" t="n">
        <v>137150</v>
      </c>
      <c r="O164" s="2" t="n">
        <v>5300</v>
      </c>
      <c r="P164" s="2" t="inlineStr">
        <is>
          <t>manual</t>
        </is>
      </c>
      <c r="Q164" s="2" t="inlineStr">
        <is>
          <t>no</t>
        </is>
      </c>
      <c r="R164" s="2" t="inlineStr">
        <is>
          <t>profesional</t>
        </is>
      </c>
      <c r="S164" s="2" t="inlineStr">
        <is>
          <t>Ocasionplus CASTELLÓN Castellón de la Plana / Castelló de la Plana</t>
        </is>
      </c>
      <c r="T164" s="2" t="inlineStr">
        <is>
          <t>2026-09-23T19:52:51Z</t>
        </is>
      </c>
      <c r="U164" s="2" t="n">
        <v>29</v>
      </c>
      <c r="V164" s="2" t="n"/>
      <c r="W164" s="2" t="n"/>
      <c r="X164" s="2" t="n"/>
      <c r="Y164" s="2" t="n"/>
      <c r="Z164" s="2" t="inlineStr">
        <is>
          <t>sí</t>
        </is>
      </c>
      <c r="AA164" s="2" t="n"/>
      <c r="AB164" s="2" t="n">
        <v>12</v>
      </c>
      <c r="AC164" s="2" t="n"/>
      <c r="AD164" s="2" t="n"/>
      <c r="AE164" s="2" t="n"/>
      <c r="AF164" s="2" t="inlineStr">
        <is>
          <t>sí</t>
        </is>
      </c>
      <c r="AG164" s="2" t="n"/>
      <c r="AH164" s="2" t="n">
        <v>5300</v>
      </c>
      <c r="AI164" s="2" t="n">
        <v>5300</v>
      </c>
      <c r="AJ164" s="2" t="n"/>
      <c r="AK164" s="2" t="n"/>
      <c r="AL164" s="2" t="n"/>
      <c r="AM164" s="2" t="n"/>
      <c r="AN164" s="2" t="inlineStr">
        <is>
          <t>1000KMS</t>
        </is>
      </c>
      <c r="AO164" s="2" t="inlineStr">
        <is>
          <t>2008</t>
        </is>
      </c>
      <c r="AP164" s="2" t="n">
        <v>2008</v>
      </c>
      <c r="AQ164" s="2" t="n"/>
      <c r="AR164" s="2" t="inlineStr">
        <is>
          <t>B</t>
        </is>
      </c>
      <c r="AS164" s="2" t="inlineStr">
        <is>
          <t>DGT</t>
        </is>
      </c>
      <c r="AT164" s="2" t="n">
        <v>2007</v>
      </c>
      <c r="AU164" s="2" t="inlineStr">
        <is>
          <t>no</t>
        </is>
      </c>
      <c r="AV164" s="2" t="inlineStr">
        <is>
          <t>B</t>
        </is>
      </c>
      <c r="AW164" s="2" t="n"/>
      <c r="AX164" s="2" t="inlineStr">
        <is>
          <t>no</t>
        </is>
      </c>
      <c r="AY164" s="2" t="inlineStr">
        <is>
          <t>no</t>
        </is>
      </c>
      <c r="AZ164" s="2" t="inlineStr">
        <is>
          <t>COMMON.COLOR_WHITE</t>
        </is>
      </c>
      <c r="BA164" s="2" t="inlineStr">
        <is>
          <t>blanco</t>
        </is>
      </c>
      <c r="BB164" s="3" t="n">
        <v>2</v>
      </c>
      <c r="BC164" s="3" t="inlineStr">
        <is>
          <t>(por segmento)</t>
        </is>
      </c>
      <c r="BD164" s="2" t="n"/>
      <c r="BE164" s="2" t="inlineStr">
        <is>
          <t>16+</t>
        </is>
      </c>
      <c r="BF164" s="2" t="n"/>
      <c r="BG164" s="2" t="n"/>
      <c r="BH164" s="2" t="n"/>
      <c r="BI164" s="2" t="n"/>
      <c r="BJ164" s="2" t="n"/>
      <c r="BK164" s="2" t="n"/>
      <c r="BL164" s="2" t="n"/>
      <c r="BM164" s="2" t="n">
        <v>232</v>
      </c>
      <c r="BN164" s="2" t="n">
        <v>0.05126157402992249</v>
      </c>
      <c r="BO164" s="2" t="n">
        <v>3</v>
      </c>
      <c r="BP164" s="2" t="n">
        <v>5300</v>
      </c>
      <c r="BQ164" s="2" t="n">
        <v>5</v>
      </c>
      <c r="BR164" s="2" t="inlineStr">
        <is>
          <t>modelo+año+km</t>
        </is>
      </c>
      <c r="BS164" s="2" t="inlineStr">
        <is>
          <t>autoscout24:af135248-5d6d-47f5-990f-275bb28c7493 (https://www.autoscout24.es/anuncios/fiat-500-1-2-lounge-gasolina-blanco-cat_ma28mo15160-af135248-5d6d-47f5-990f-275bb28c7493); wallapop:1304960039 (https://es.wallapop.com/item/fiat-500-1-2-8v-lounge-51-kw-69-cv-1304960039)</t>
        </is>
      </c>
      <c r="BT164" s="2" t="inlineStr">
        <is>
          <t>año a confirmar: la URL/título dice 2007; por encima del presupuesto: negociar 364 € (coste 5364 €; -7.3 puntos); vendedor profesional: sin ITP (operación con IVA/REBU, confirmar en factura); gastos de gestión del vendedor no indicados: se suma la tasa DGT; preguntar el precio final; Euro NCAP de la generación PENDIENTE (seguridad neutra); revisar: no menciona la ITV; distancia no verificable (el anuncio solo indica la provincia): confirmar que está a &lt;= 70 km</t>
        </is>
      </c>
      <c r="BU164" s="2" t="inlineStr">
        <is>
          <t xml:space="preserve">
¡VILLA TAMBIÉN FICHA POR OCASIONPLUS!
VEN A GANAR. ¡VEN A OCASIONPLUS!
OCASIONPLUS - 20.000 COCHES  - 120 CENTROS
OCASIONPLUS Nº1 CALIDAD - PRECIO
Elige el coche que te guste y te lo llevamos a tu ciudad sólo con reservarlo
15 DÍAS / 1000 KMS DE PRUEBA
Hasta 600€ de descuento en este coche
ADEMÁS, HACEMOS LAS MEJORES FINANCIACIONES DEL MERCADO, PREGÚNTANOS!!
            Equipamiento destacado: Tapicería cuero-tela, Volante multifunción, Aire Acondicionado, Radio, CD, Isofix, Llantas de aleación (16").
                - Coche Nacional.
                - Garantía total 1 año, con cobertura nacional, ampliable a 24 meses.
                - Certificado de Kilómetros y ausencia de golpes estructurales.
            - Sobrevaloramos tu coche en operaciones de cambio. Tásalo ahora en ocasionplus.com
            - Entregamos cualquier coche en cualquier centro
            - Abierto Domingo y Festivos.</t>
        </is>
      </c>
      <c r="BV164" s="2" t="inlineStr">
        <is>
          <t>https://www.coches.net/fiat-500-12-8v-69-cv-lounge-3p-gasolina-2007-en-castellon-71584026-covo.aspx (window.__INITIAL_PROPS__.ad) /home/user/Alopecia/buscador-coches/raw/cochesnet/48456c7d70d79093.json</t>
        </is>
      </c>
      <c r="BW164" s="3">
        <f>MAX(ANIO_ACTUAL-M164,0)</f>
        <v/>
      </c>
      <c r="BX164" s="4">
        <f>N164/MAX(BW164,0.5)</f>
        <v/>
      </c>
      <c r="BY164" s="4">
        <f>F164</f>
        <v/>
      </c>
      <c r="BZ164" s="3">
        <f>BY164&amp;"|"&amp;INT(M164/SEG_ANIO)*SEG_ANIO</f>
        <v/>
      </c>
      <c r="CA164" s="3">
        <f>BZ164&amp;"|"&amp;INT(N164/SEG_KM)*SEG_KM</f>
        <v/>
      </c>
      <c r="CB164" s="4">
        <f>COUNTIF($BY$2:$BY$209,BY164)</f>
        <v/>
      </c>
      <c r="CC164" s="4">
        <f>COUNTIF($BZ$2:$BZ$209,BZ164)</f>
        <v/>
      </c>
      <c r="CD164" s="4">
        <f>COUNTIF($CA$2:$CA$209,CA164)</f>
        <v/>
      </c>
      <c r="CE164" s="3">
        <f t="array" ref="CE164">IF(N(BQ164)&gt;=MIN_N,BP164,IF(CD164&gt;=MIN_N,MEDIAN(IF($CA$2:$CA$209=CA164,$O$2:$O$209)),IF(CC164&gt;=MIN_N,MEDIAN(IF($BZ$2:$BZ$209=BZ164,$O$2:$O$209)),MEDIAN(IF($BY$2:$BY$209=BY164,$O$2:$O$209)))))</f>
        <v/>
      </c>
      <c r="CF164" s="3">
        <f>IF(N(BQ164)&gt;=MIN_N,"mercado "&amp;BR164,IF(CD164&gt;=MIN_N,"modelo+año+km",IF(CC164&gt;=MIN_N,"modelo+año","modelo")))</f>
        <v/>
      </c>
      <c r="CG164" s="4">
        <f>(CE164-O164)/CE164</f>
        <v/>
      </c>
      <c r="CH164" s="3">
        <f>IF(COUNTIFS(FR_FUEL,K164,FR_YEAR,AP164)&gt;0,1,0)</f>
        <v/>
      </c>
      <c r="CI164" s="3">
        <f>IF(COUNTIFS(FR_FUEL,K164,FR_YEAR,AP164-1)&gt;0,1,0)</f>
        <v/>
      </c>
      <c r="CJ164" s="4">
        <f>IF(N(AQ164)&gt;0,AP164*100+AQ164,IF(AND(CH164=1,CI164=1),(AP164-1)*100+1,AP164*100+1))</f>
        <v/>
      </c>
      <c r="CK164" s="3">
        <f>IF(OR(K164="hibrido",K164="glp",K164="gnc",K164="phev"),"ECO",IF(K164="electrico","CERO",IF(K164="gasolina",IF(CJ164&gt;=GAS_C_YM,"C",IF(CJ164&gt;=GAS_B_YM,"B","A")),IF(K164="diesel",IF(CJ164&gt;=DIE_C_YM,"C",IF(CJ164&gt;=DIE_B_YM,"B","A")),""))))</f>
        <v/>
      </c>
      <c r="CL164" s="2" t="inlineStr">
        <is>
          <t>B</t>
        </is>
      </c>
      <c r="CM164" s="4">
        <f>IF(AU164="sí","sí",IF(AS164="regla",IF(AND(N(AQ164)=0,CH164=1),"sí","no"),"no"))</f>
        <v/>
      </c>
      <c r="CN164" s="3">
        <f>IFERROR(VLOOKUP(F164,MOD_TBL,16,0),IFERROR(VLOOKUP(E164,OCU_TBL,2,0),NEUTRO))</f>
        <v/>
      </c>
      <c r="CO164" s="3">
        <f>SUMIFS(MOT_AJUSTE,MOT_MOTOR,G164,MOT_MARCA,E164,MOT_DESDE,"&lt;="&amp;M164,MOT_HASTA,"&gt;="&amp;M164)+SUMIFS(MOT_AJUSTE,MOT_MOTOR,G164,MOT_MARCA,"(todas)",MOT_DESDE,"&lt;="&amp;M164,MOT_HASTA,"&gt;="&amp;M164)+SUMIFS(MOT_AJUSTE,MOT_MOTOR,"(cualquiera)",MOT_MARCA,E164,MOT_DESDE,"&lt;="&amp;M164,MOT_HASTA,"&gt;="&amp;M164)</f>
        <v/>
      </c>
      <c r="CP164" s="3">
        <f>SUMIFS(COMB_AJUSTE,COMB_COMB,K164)</f>
        <v/>
      </c>
      <c r="CQ164" s="3">
        <f>COUNTIFS(MOT_MOTOR,G164,MOT_MARCA,E164,MOT_DESDE,"&lt;="&amp;M164,MOT_HASTA,"&gt;="&amp;M164)+COUNTIFS(MOT_MOTOR,G164,MOT_MARCA,"(todas)",MOT_DESDE,"&lt;="&amp;M164,MOT_HASTA,"&gt;="&amp;M164)+COUNTIFS(MOT_MOTOR,"(cualquiera)",MOT_MARCA,E164,MOT_DESDE,"&lt;="&amp;M164,MOT_HASTA,"&gt;="&amp;M164)</f>
        <v/>
      </c>
      <c r="CR164" s="3">
        <f>IF(AND(K164="diesel",CQ164=0),MIN(CN164,NEUTRO),CN164)</f>
        <v/>
      </c>
      <c r="CS164" s="3">
        <f>MAX(0,MIN(100,CR164+CO164+CP164-IF(AX164="sí",ROB_PEN,0)))</f>
        <v/>
      </c>
      <c r="CT164" s="3">
        <f>100-MAX(0,N164-KM_TOPE_DESDE)/1000*KM_TOPE_PTS</f>
        <v/>
      </c>
      <c r="CU164" s="3">
        <f>MAX(0,MIN(100,50+CG164*PRECIO_PEND,CT164))</f>
        <v/>
      </c>
      <c r="CV164" s="3">
        <f>MAX(0,100*(1-N164/KM_MAX))</f>
        <v/>
      </c>
      <c r="CW164" s="3">
        <f>IF(BX164&lt;KMA_SOSP,IF(AA164="sí",100,KMA_PEN),IF(BX164&lt;=KMA_IDEAL_MAX,100,MAX(0,100*(KMA_CERO-BX164)/(KMA_CERO-KMA_IDEAL_MAX))))</f>
        <v/>
      </c>
      <c r="CX164" s="3">
        <f>MAX(0,MIN(100,100*(M164-ANIO_MIN)/(ANIO_ACTUAL-ANIO_MIN)))</f>
        <v/>
      </c>
      <c r="CY164" s="3">
        <f>W_KMT*CV164+W_KMA*CW164+W_EDAD*CX164</f>
        <v/>
      </c>
      <c r="CZ164" s="4">
        <f>E164&amp;"|"&amp;G164</f>
        <v/>
      </c>
      <c r="DA164" s="3">
        <f>IFERROR(VLOOKUP(CZ164,DIST_TBL,2,0),"")</f>
        <v/>
      </c>
      <c r="DB164" s="3">
        <f>E_ITV*(V164="sí")+E_LIBRO*(W164="sí")+E_PROP*IF(Y164=1,1,IF(Y164=2,0.5,0))+E_CORREA*IF(OR(DA164="cadena",AND(X164="sí",BH164="sí")),1,IF(X164="sí",0.5,0))+E_FACT*(BI164="sí")</f>
        <v/>
      </c>
      <c r="DC164" s="3">
        <f>MAX(0,MIN(100,IFERROR(VLOOKUP(CL164,ETQ_TBL,2,0),0)-IF(CM164="sí",ETQ_PEN_DUD,IF(AS164="regla",ETQ_PEN_REGLA,0))))</f>
        <v/>
      </c>
      <c r="DD164" s="3">
        <f>IF(K164&lt;&gt;"gasolina","",IFERROR(VLOOKUP(F164,CONS_MOD_TBL,2,0),IFERROR(VLOOKUP(L164,CONS_SEG_TBL,2,0),"")))</f>
        <v/>
      </c>
      <c r="DE164" s="3">
        <f>IF(DD164="",NEUTRO,MAX(0,MIN(100,100*(CONS_REF_MAX-DD164)/(CONS_REF_MAX-CONS_REF_MIN))))</f>
        <v/>
      </c>
      <c r="DF164" s="3">
        <f>IFERROR(VLOOKUP(L164,SEGURO_TBL,3,0),"")</f>
        <v/>
      </c>
      <c r="DG164" s="3">
        <f>IF(DF164="",NEUTRO,MAX(0,MIN(100,100*(SEG_REF_MAX-DF164)/(SEG_REF_MAX-SEG_REF_MIN))))</f>
        <v/>
      </c>
      <c r="DH164" s="3">
        <f>IFERROR(VLOOKUP(E164,MANT_MARCA_TBL,2,0)+0,NEUTRO)</f>
        <v/>
      </c>
      <c r="DI164" s="3">
        <f>IF(DA164="",NEUTRO,IFERROR(VLOOKUP(DA164,DIST_PTS_TBL,2,0)+0,NEUTRO))</f>
        <v/>
      </c>
      <c r="DJ164" s="4">
        <f>(DH164+DI164)/2</f>
        <v/>
      </c>
      <c r="DK164" s="3">
        <f>W_CONS*DE164+W_SEG*DG164+W_MANT*DJ164</f>
        <v/>
      </c>
      <c r="DL164" s="3">
        <f>IF(N(AB164)&gt;0,AB164,IF(AND(R164="profesional",SG_LEGAL_ON=1),GAR_LEGAL,0))</f>
        <v/>
      </c>
      <c r="DM164" s="3">
        <f>MAX(0,MIN(100,SG_GAR*MIN(1,DL164/SG_GAR_FULL)+SG_AMPL*(AC164="sí")+SG_KMC*(AF164="sí")+SG_REV*(N(AE164)&gt;0)+SG_DEV*MIN(1,N(AG164)/SG_DEV_FULL)+SG_HIST*(W164="sí")-IF(AND(R164="particular",DL164=0),SG_PART_PEN,0)))</f>
        <v/>
      </c>
      <c r="DN164" s="3">
        <f>IF(BK164="",NEUTRO,MAX(0,MIN(100,BK164/5*100)))</f>
        <v/>
      </c>
      <c r="DO164" s="3">
        <f>IF(BL164="sí",100,IF(BL164="no",0,NEUTRO))</f>
        <v/>
      </c>
      <c r="DP164" s="3">
        <f>SV_W_NCAP*DN164+SV_W_ESP*DO164</f>
        <v/>
      </c>
      <c r="DQ164" s="3">
        <f>MAX(0,MIN(100,ATR_BASE+ATR_ACAB*(BD164&lt;&gt;"")+IF(BE164="16+",ATR_LL16,IF(BE164="sí",ATR_LL,0))+ATR_FAROS*(BF164="sí")+ATR_TINT*(BG164="sí")-ATR_CHAPA*(BE164="chapa")))</f>
        <v/>
      </c>
      <c r="DR164" s="3">
        <f>EST_W_MOD*(BB164-1)/4*100+EST_W_ATR*DQ164</f>
        <v/>
      </c>
      <c r="DS164" s="3">
        <f>IF(BA164="",NEUTRO,IFERROR(VLOOKUP(BA164,COLOR_TBL,2,0)+0,NEUTRO))</f>
        <v/>
      </c>
      <c r="DT164" s="3">
        <f>MAX(0,MIN(100,100*N(BM164)/RV_N_FULL))</f>
        <v/>
      </c>
      <c r="DU164" s="3">
        <f>IF(OR(BN164="",N(BO164)&lt;RV_DIAS_MIN),NEUTRO,MAX(0,MIN(100,100*(RV_DIAS_CERO-BN164)/(RV_DIAS_CERO-RV_DIAS_FULL))))</f>
        <v/>
      </c>
      <c r="DV164" s="3">
        <f>RV_W_LIQ*DT164+RV_W_DIAS*DU164+RV_W_ETQ*DC164</f>
        <v/>
      </c>
      <c r="DW164" s="3">
        <f>IFERROR(VLOOKUP(L164,CARR_PEN_TBL,2,0),0)</f>
        <v/>
      </c>
      <c r="DX164" s="3">
        <f>W_FIAB*CS164+W_PRECIO*CU164+W_KMEDAD*CY164+W_ESTADO*DB164+W_USO*DK164+W_SEGURIDAD*DM164+W_SEGVIAL*DP164+W_ESTETICA*DR164+W_COLOR*DS164+W_REVENTA*DV164-DW164-EG164</f>
        <v/>
      </c>
      <c r="DY164" s="4">
        <f>IF(N(I164)&gt;0,I164,IFERROR(ROUND(_xlfn.NUMBERVALUE(LEFT(G164,FIND(" ",G164&amp;" ")-1),".")*1000,0),99999))</f>
        <v/>
      </c>
      <c r="DZ164" s="3">
        <f>IF(R164="profesional",0,IF(O164&lt;CUOTA_VALOR_MAX,IF(BW164&gt;ITP_TRAMO_ALTO,SUMIFS(CF_CUOTA,CF_MAS,ITP_TRAMO_ALTO,CF_CCMIN,"&lt;="&amp;DY164,CF_CCMAX,"&gt;="&amp;DY164),IF(BW164&gt;ITP_TRAMO_BAJO,SUMIFS(CF_CUOTA,CF_MAS,ITP_TRAMO_BAJO,CF_CCMIN,"&lt;="&amp;DY164,CF_CCMAX,"&gt;="&amp;DY164),O164*ITP_TIPO)),O164*ITP_TIPO))</f>
        <v/>
      </c>
      <c r="EA164" s="4">
        <f>IF(R164="profesional",N(AK164),0)</f>
        <v/>
      </c>
      <c r="EB164" s="3">
        <f>IF(AND(R164="profesional",ISNUMBER(AK164),AL164="sí"),0,TASA_DGT)</f>
        <v/>
      </c>
      <c r="EC164" s="3">
        <f>INFORME_DGT</f>
        <v/>
      </c>
      <c r="ED164" s="4">
        <f>O164+EA164+DZ164+EB164+EC164</f>
        <v/>
      </c>
      <c r="EE164" s="4">
        <f>ED164+N(DF164)</f>
        <v/>
      </c>
      <c r="EF164" s="3">
        <f>MAX(0,ED164-TOTAL_MAX)</f>
        <v/>
      </c>
      <c r="EG164" s="3">
        <f>EF164/100*PEN_100</f>
        <v/>
      </c>
      <c r="EH164" s="3">
        <f>IF(R164="particular",ED164+IF(AND(DA164&lt;&gt;"cadena",X164&lt;&gt;"sí"),RES_CORREA,0)+IF(AND(BJ164&lt;&gt;"sí",BW164&gt;=RES_NEUM_EDAD),RES_NEUM,0),"")</f>
        <v/>
      </c>
      <c r="EI164" s="3">
        <f>IF(ED164&lt;=TOTAL_MAX,"sí",IF(ED164&lt;=TECHO,"negociar","no"))</f>
        <v/>
      </c>
      <c r="EJ164" s="4">
        <f>ROUND(DX164,9)</f>
        <v/>
      </c>
      <c r="EK164" s="4">
        <f>IF(EI164&lt;&gt;"no",SUMPRODUCT(($EI$2:$EI$209&lt;&gt;"no")*($EJ$2:$EJ$209&gt;EJ164))+SUMPRODUCT(($EI$2:EI164&lt;&gt;"no")*($EJ$2:EJ164=EJ164)),"")</f>
        <v/>
      </c>
    </row>
    <row r="165">
      <c r="A165" s="2" t="inlineStr">
        <is>
          <t>autoscout24:e52cbf90-607a-4f94-8b9a-ac232691b711</t>
        </is>
      </c>
      <c r="B165" s="2" t="inlineStr">
        <is>
          <t>autoscout24</t>
        </is>
      </c>
      <c r="C165" s="2" t="inlineStr">
        <is>
          <t>https://www.autoscout24.es/anuncios/mitsubishi-colt-1-1-cleartec-inform-gasolina-cat_ma50mo1877-e52cbf90-607a-4f94-8b9a-ac232691b711</t>
        </is>
      </c>
      <c r="D165" s="2" t="inlineStr">
        <is>
          <t>Mitsubishi Colt 1.1 ClearTec Inform</t>
        </is>
      </c>
      <c r="E165" s="2" t="inlineStr">
        <is>
          <t>Mitsubishi</t>
        </is>
      </c>
      <c r="F165" s="2" t="inlineStr">
        <is>
          <t>Mitsubishi Colt</t>
        </is>
      </c>
      <c r="G165" s="2" t="inlineStr">
        <is>
          <t>1.1</t>
        </is>
      </c>
      <c r="H165" s="2" t="inlineStr">
        <is>
          <t>1.1 ClearTec Inform 1.1</t>
        </is>
      </c>
      <c r="I165" s="2" t="n">
        <v>1124</v>
      </c>
      <c r="J165" s="2" t="n">
        <v>75</v>
      </c>
      <c r="K165" s="2" t="inlineStr">
        <is>
          <t>gasolina</t>
        </is>
      </c>
      <c r="L165" s="2" t="inlineStr">
        <is>
          <t>utilitario</t>
        </is>
      </c>
      <c r="M165" s="2" t="n">
        <v>2010</v>
      </c>
      <c r="N165" s="2" t="n">
        <v>127492</v>
      </c>
      <c r="O165" s="2" t="n">
        <v>5490</v>
      </c>
      <c r="P165" s="2" t="inlineStr">
        <is>
          <t>manual</t>
        </is>
      </c>
      <c r="Q165" s="2" t="inlineStr">
        <is>
          <t>no</t>
        </is>
      </c>
      <c r="R165" s="2" t="inlineStr">
        <is>
          <t>profesional</t>
        </is>
      </c>
      <c r="S165" s="2" t="inlineStr">
        <is>
          <t>DURSAN VALENCIA — VALENCIA (28025)</t>
        </is>
      </c>
      <c r="T165" s="2" t="n"/>
      <c r="U165" s="2" t="n">
        <v>19</v>
      </c>
      <c r="V165" s="2" t="n"/>
      <c r="W165" s="2" t="n"/>
      <c r="X165" s="2" t="n"/>
      <c r="Y165" s="2" t="n"/>
      <c r="Z165" s="2" t="n"/>
      <c r="AA165" s="2" t="n"/>
      <c r="AB165" s="2" t="n"/>
      <c r="AC165" s="2" t="n"/>
      <c r="AD165" s="2" t="n"/>
      <c r="AE165" s="2" t="n"/>
      <c r="AF165" s="2" t="n"/>
      <c r="AG165" s="2" t="n"/>
      <c r="AH165" s="2" t="n">
        <v>5490</v>
      </c>
      <c r="AI165" s="2" t="n"/>
      <c r="AJ165" s="2" t="n"/>
      <c r="AK165" s="2" t="n"/>
      <c r="AL165" s="2" t="n"/>
      <c r="AM165" s="2" t="n">
        <v>0.1</v>
      </c>
      <c r="AN165" s="2" t="n"/>
      <c r="AO165" s="2" t="inlineStr">
        <is>
          <t>2010-06</t>
        </is>
      </c>
      <c r="AP165" s="2" t="n">
        <v>2010</v>
      </c>
      <c r="AQ165" s="2" t="n">
        <v>6</v>
      </c>
      <c r="AR165" s="2" t="n"/>
      <c r="AS165" s="2" t="inlineStr">
        <is>
          <t>regla</t>
        </is>
      </c>
      <c r="AT165" s="2" t="n"/>
      <c r="AU165" s="2" t="inlineStr">
        <is>
          <t>no</t>
        </is>
      </c>
      <c r="AV165" s="2" t="inlineStr">
        <is>
          <t>C</t>
        </is>
      </c>
      <c r="AW165" s="2" t="n"/>
      <c r="AX165" s="2" t="inlineStr">
        <is>
          <t>no</t>
        </is>
      </c>
      <c r="AY165" s="2" t="inlineStr">
        <is>
          <t>no</t>
        </is>
      </c>
      <c r="AZ165" s="2" t="inlineStr">
        <is>
          <t>Azul Metalizado</t>
        </is>
      </c>
      <c r="BA165" s="2" t="inlineStr">
        <is>
          <t>azul</t>
        </is>
      </c>
      <c r="BB165" s="3" t="n">
        <v>2</v>
      </c>
      <c r="BC165" s="3" t="inlineStr">
        <is>
          <t>(por segmento)</t>
        </is>
      </c>
      <c r="BD165" s="2" t="n"/>
      <c r="BE165" s="2" t="n"/>
      <c r="BF165" s="2" t="n"/>
      <c r="BG165" s="2" t="n"/>
      <c r="BH165" s="2" t="n"/>
      <c r="BI165" s="2" t="n"/>
      <c r="BJ165" s="2" t="n"/>
      <c r="BK165" s="2" t="n"/>
      <c r="BL165" s="2" t="n"/>
      <c r="BM165" s="2" t="n">
        <v>19</v>
      </c>
      <c r="BN165" s="2" t="n">
        <v>0.06280092592351139</v>
      </c>
      <c r="BO165" s="2" t="n">
        <v>4</v>
      </c>
      <c r="BP165" s="2" t="n"/>
      <c r="BQ165" s="2" t="n"/>
      <c r="BR165" s="2" t="n"/>
      <c r="BS165" s="2" t="n"/>
      <c r="BT165" s="2" t="inlineStr">
        <is>
          <t>por encima del presupuesto: negociar 554 € (coste 5554 €; -11.1 puntos); vendedor profesional: sin ITP (operación con IVA/REBU, confirmar en factura); gastos de gestión del vendedor no indicados: se suma la tasa DGT; preguntar el precio final; Euro NCAP de la generación PENDIENTE (seguridad neutra); etiqueta C deducida por fecha (sin matrícula ni dato del anuncio); revisar: no menciona la ITV; fiabilidad del modelo PENDIENTE de fuente (puntuación neutra); mediana con solo 2 anuncio(s)</t>
        </is>
      </c>
      <c r="BU165" s="2" t="inlineStr">
        <is>
          <t>&lt;strong&gt;Precio al contado: 5490 euros&lt;/strong&gt; &lt;br /&gt;&lt;br /&gt;&lt;strong&gt;Condiciones de la financiación&lt;/strong&gt; &lt;br /&gt;&lt;br /&gt;Consultar condiciones de financiación en este anuncio o contactando con el anunciante &lt;br /&gt;&lt;br /&gt;Un vehículo compacto, económico y muy fiable, ideal tanto para ciudad como para trayectos diarios. Su motor 1.1 gasolina con tecnología ClearTec ofrece bajo consumo y mantenimiento asequible, además de un coste reducido en seguro e impuestos. Destaca por la reconocida fiabilidad japonesa de Mitsubishi Motors, su fácil maniobrabilidad, tamaño práctico para aparcar y un interior sorprendentemente espacioso para su segmento. Es una excelente opción para conductores jóvenes, como primer coche o para quien busque un vehículo práctico, duradero y con buena relación calidad-precio.</t>
        </is>
      </c>
      <c r="BV165" s="2" t="inlineStr">
        <is>
          <t>https://www.autoscout24.es/anuncios/mitsubishi-colt-1-1-cleartec-inform-gasolina-cat_ma50mo1877-e52cbf90-607a-4f94-8b9a-ac232691b711 (__NEXT_DATA__ listingDetails) /home/user/Alopecia/buscador-coches/raw/autoscout24/72ae8b2e54111643.json</t>
        </is>
      </c>
      <c r="BW165" s="3">
        <f>MAX(ANIO_ACTUAL-M165,0)</f>
        <v/>
      </c>
      <c r="BX165" s="4">
        <f>N165/MAX(BW165,0.5)</f>
        <v/>
      </c>
      <c r="BY165" s="4">
        <f>F165</f>
        <v/>
      </c>
      <c r="BZ165" s="3">
        <f>BY165&amp;"|"&amp;INT(M165/SEG_ANIO)*SEG_ANIO</f>
        <v/>
      </c>
      <c r="CA165" s="3">
        <f>BZ165&amp;"|"&amp;INT(N165/SEG_KM)*SEG_KM</f>
        <v/>
      </c>
      <c r="CB165" s="4">
        <f>COUNTIF($BY$2:$BY$209,BY165)</f>
        <v/>
      </c>
      <c r="CC165" s="4">
        <f>COUNTIF($BZ$2:$BZ$209,BZ165)</f>
        <v/>
      </c>
      <c r="CD165" s="4">
        <f>COUNTIF($CA$2:$CA$209,CA165)</f>
        <v/>
      </c>
      <c r="CE165" s="3">
        <f t="array" ref="CE165">IF(N(BQ165)&gt;=MIN_N,BP165,IF(CD165&gt;=MIN_N,MEDIAN(IF($CA$2:$CA$209=CA165,$O$2:$O$209)),IF(CC165&gt;=MIN_N,MEDIAN(IF($BZ$2:$BZ$209=BZ165,$O$2:$O$209)),MEDIAN(IF($BY$2:$BY$209=BY165,$O$2:$O$209)))))</f>
        <v/>
      </c>
      <c r="CF165" s="3">
        <f>IF(N(BQ165)&gt;=MIN_N,"mercado "&amp;BR165,IF(CD165&gt;=MIN_N,"modelo+año+km",IF(CC165&gt;=MIN_N,"modelo+año","modelo")))</f>
        <v/>
      </c>
      <c r="CG165" s="4">
        <f>(CE165-O165)/CE165</f>
        <v/>
      </c>
      <c r="CH165" s="3">
        <f>IF(COUNTIFS(FR_FUEL,K165,FR_YEAR,AP165)&gt;0,1,0)</f>
        <v/>
      </c>
      <c r="CI165" s="3">
        <f>IF(COUNTIFS(FR_FUEL,K165,FR_YEAR,AP165-1)&gt;0,1,0)</f>
        <v/>
      </c>
      <c r="CJ165" s="4">
        <f>IF(N(AQ165)&gt;0,AP165*100+AQ165,IF(AND(CH165=1,CI165=1),(AP165-1)*100+1,AP165*100+1))</f>
        <v/>
      </c>
      <c r="CK165" s="3">
        <f>IF(OR(K165="hibrido",K165="glp",K165="gnc",K165="phev"),"ECO",IF(K165="electrico","CERO",IF(K165="gasolina",IF(CJ165&gt;=GAS_C_YM,"C",IF(CJ165&gt;=GAS_B_YM,"B","A")),IF(K165="diesel",IF(CJ165&gt;=DIE_C_YM,"C",IF(CJ165&gt;=DIE_B_YM,"B","A")),""))))</f>
        <v/>
      </c>
      <c r="CL165" s="4">
        <f>CK165</f>
        <v/>
      </c>
      <c r="CM165" s="4">
        <f>IF(AU165="sí","sí",IF(AS165="regla",IF(AND(N(AQ165)=0,CH165=1),"sí","no"),"no"))</f>
        <v/>
      </c>
      <c r="CN165" s="3">
        <f>IFERROR(VLOOKUP(F165,MOD_TBL,16,0),IFERROR(VLOOKUP(E165,OCU_TBL,2,0),NEUTRO))</f>
        <v/>
      </c>
      <c r="CO165" s="3">
        <f>SUMIFS(MOT_AJUSTE,MOT_MOTOR,G165,MOT_MARCA,E165,MOT_DESDE,"&lt;="&amp;M165,MOT_HASTA,"&gt;="&amp;M165)+SUMIFS(MOT_AJUSTE,MOT_MOTOR,G165,MOT_MARCA,"(todas)",MOT_DESDE,"&lt;="&amp;M165,MOT_HASTA,"&gt;="&amp;M165)+SUMIFS(MOT_AJUSTE,MOT_MOTOR,"(cualquiera)",MOT_MARCA,E165,MOT_DESDE,"&lt;="&amp;M165,MOT_HASTA,"&gt;="&amp;M165)</f>
        <v/>
      </c>
      <c r="CP165" s="3">
        <f>SUMIFS(COMB_AJUSTE,COMB_COMB,K165)</f>
        <v/>
      </c>
      <c r="CQ165" s="3">
        <f>COUNTIFS(MOT_MOTOR,G165,MOT_MARCA,E165,MOT_DESDE,"&lt;="&amp;M165,MOT_HASTA,"&gt;="&amp;M165)+COUNTIFS(MOT_MOTOR,G165,MOT_MARCA,"(todas)",MOT_DESDE,"&lt;="&amp;M165,MOT_HASTA,"&gt;="&amp;M165)+COUNTIFS(MOT_MOTOR,"(cualquiera)",MOT_MARCA,E165,MOT_DESDE,"&lt;="&amp;M165,MOT_HASTA,"&gt;="&amp;M165)</f>
        <v/>
      </c>
      <c r="CR165" s="3">
        <f>IF(AND(K165="diesel",CQ165=0),MIN(CN165,NEUTRO),CN165)</f>
        <v/>
      </c>
      <c r="CS165" s="3">
        <f>MAX(0,MIN(100,CR165+CO165+CP165-IF(AX165="sí",ROB_PEN,0)))</f>
        <v/>
      </c>
      <c r="CT165" s="3">
        <f>100-MAX(0,N165-KM_TOPE_DESDE)/1000*KM_TOPE_PTS</f>
        <v/>
      </c>
      <c r="CU165" s="3">
        <f>MAX(0,MIN(100,50+CG165*PRECIO_PEND,CT165))</f>
        <v/>
      </c>
      <c r="CV165" s="3">
        <f>MAX(0,100*(1-N165/KM_MAX))</f>
        <v/>
      </c>
      <c r="CW165" s="3">
        <f>IF(BX165&lt;KMA_SOSP,IF(AA165="sí",100,KMA_PEN),IF(BX165&lt;=KMA_IDEAL_MAX,100,MAX(0,100*(KMA_CERO-BX165)/(KMA_CERO-KMA_IDEAL_MAX))))</f>
        <v/>
      </c>
      <c r="CX165" s="3">
        <f>MAX(0,MIN(100,100*(M165-ANIO_MIN)/(ANIO_ACTUAL-ANIO_MIN)))</f>
        <v/>
      </c>
      <c r="CY165" s="3">
        <f>W_KMT*CV165+W_KMA*CW165+W_EDAD*CX165</f>
        <v/>
      </c>
      <c r="CZ165" s="4">
        <f>E165&amp;"|"&amp;G165</f>
        <v/>
      </c>
      <c r="DA165" s="3">
        <f>IFERROR(VLOOKUP(CZ165,DIST_TBL,2,0),"")</f>
        <v/>
      </c>
      <c r="DB165" s="3">
        <f>E_ITV*(V165="sí")+E_LIBRO*(W165="sí")+E_PROP*IF(Y165=1,1,IF(Y165=2,0.5,0))+E_CORREA*IF(OR(DA165="cadena",AND(X165="sí",BH165="sí")),1,IF(X165="sí",0.5,0))+E_FACT*(BI165="sí")</f>
        <v/>
      </c>
      <c r="DC165" s="3">
        <f>MAX(0,MIN(100,IFERROR(VLOOKUP(CL165,ETQ_TBL,2,0),0)-IF(CM165="sí",ETQ_PEN_DUD,IF(AS165="regla",ETQ_PEN_REGLA,0))))</f>
        <v/>
      </c>
      <c r="DD165" s="3">
        <f>IF(K165&lt;&gt;"gasolina","",IFERROR(VLOOKUP(F165,CONS_MOD_TBL,2,0),IFERROR(VLOOKUP(L165,CONS_SEG_TBL,2,0),"")))</f>
        <v/>
      </c>
      <c r="DE165" s="3">
        <f>IF(DD165="",NEUTRO,MAX(0,MIN(100,100*(CONS_REF_MAX-DD165)/(CONS_REF_MAX-CONS_REF_MIN))))</f>
        <v/>
      </c>
      <c r="DF165" s="3">
        <f>IFERROR(VLOOKUP(L165,SEGURO_TBL,3,0),"")</f>
        <v/>
      </c>
      <c r="DG165" s="3">
        <f>IF(DF165="",NEUTRO,MAX(0,MIN(100,100*(SEG_REF_MAX-DF165)/(SEG_REF_MAX-SEG_REF_MIN))))</f>
        <v/>
      </c>
      <c r="DH165" s="3">
        <f>IFERROR(VLOOKUP(E165,MANT_MARCA_TBL,2,0)+0,NEUTRO)</f>
        <v/>
      </c>
      <c r="DI165" s="3">
        <f>IF(DA165="",NEUTRO,IFERROR(VLOOKUP(DA165,DIST_PTS_TBL,2,0)+0,NEUTRO))</f>
        <v/>
      </c>
      <c r="DJ165" s="4">
        <f>(DH165+DI165)/2</f>
        <v/>
      </c>
      <c r="DK165" s="3">
        <f>W_CONS*DE165+W_SEG*DG165+W_MANT*DJ165</f>
        <v/>
      </c>
      <c r="DL165" s="3">
        <f>IF(N(AB165)&gt;0,AB165,IF(AND(R165="profesional",SG_LEGAL_ON=1),GAR_LEGAL,0))</f>
        <v/>
      </c>
      <c r="DM165" s="3">
        <f>MAX(0,MIN(100,SG_GAR*MIN(1,DL165/SG_GAR_FULL)+SG_AMPL*(AC165="sí")+SG_KMC*(AF165="sí")+SG_REV*(N(AE165)&gt;0)+SG_DEV*MIN(1,N(AG165)/SG_DEV_FULL)+SG_HIST*(W165="sí")-IF(AND(R165="particular",DL165=0),SG_PART_PEN,0)))</f>
        <v/>
      </c>
      <c r="DN165" s="3">
        <f>IF(BK165="",NEUTRO,MAX(0,MIN(100,BK165/5*100)))</f>
        <v/>
      </c>
      <c r="DO165" s="3">
        <f>IF(BL165="sí",100,IF(BL165="no",0,NEUTRO))</f>
        <v/>
      </c>
      <c r="DP165" s="3">
        <f>SV_W_NCAP*DN165+SV_W_ESP*DO165</f>
        <v/>
      </c>
      <c r="DQ165" s="3">
        <f>MAX(0,MIN(100,ATR_BASE+ATR_ACAB*(BD165&lt;&gt;"")+IF(BE165="16+",ATR_LL16,IF(BE165="sí",ATR_LL,0))+ATR_FAROS*(BF165="sí")+ATR_TINT*(BG165="sí")-ATR_CHAPA*(BE165="chapa")))</f>
        <v/>
      </c>
      <c r="DR165" s="3">
        <f>EST_W_MOD*(BB165-1)/4*100+EST_W_ATR*DQ165</f>
        <v/>
      </c>
      <c r="DS165" s="3">
        <f>IF(BA165="",NEUTRO,IFERROR(VLOOKUP(BA165,COLOR_TBL,2,0)+0,NEUTRO))</f>
        <v/>
      </c>
      <c r="DT165" s="3">
        <f>MAX(0,MIN(100,100*N(BM165)/RV_N_FULL))</f>
        <v/>
      </c>
      <c r="DU165" s="3">
        <f>IF(OR(BN165="",N(BO165)&lt;RV_DIAS_MIN),NEUTRO,MAX(0,MIN(100,100*(RV_DIAS_CERO-BN165)/(RV_DIAS_CERO-RV_DIAS_FULL))))</f>
        <v/>
      </c>
      <c r="DV165" s="3">
        <f>RV_W_LIQ*DT165+RV_W_DIAS*DU165+RV_W_ETQ*DC165</f>
        <v/>
      </c>
      <c r="DW165" s="3">
        <f>IFERROR(VLOOKUP(L165,CARR_PEN_TBL,2,0),0)</f>
        <v/>
      </c>
      <c r="DX165" s="3">
        <f>W_FIAB*CS165+W_PRECIO*CU165+W_KMEDAD*CY165+W_ESTADO*DB165+W_USO*DK165+W_SEGURIDAD*DM165+W_SEGVIAL*DP165+W_ESTETICA*DR165+W_COLOR*DS165+W_REVENTA*DV165-DW165-EG165</f>
        <v/>
      </c>
      <c r="DY165" s="4">
        <f>IF(N(I165)&gt;0,I165,IFERROR(ROUND(_xlfn.NUMBERVALUE(LEFT(G165,FIND(" ",G165&amp;" ")-1),".")*1000,0),99999))</f>
        <v/>
      </c>
      <c r="DZ165" s="3">
        <f>IF(R165="profesional",0,IF(O165&lt;CUOTA_VALOR_MAX,IF(BW165&gt;ITP_TRAMO_ALTO,SUMIFS(CF_CUOTA,CF_MAS,ITP_TRAMO_ALTO,CF_CCMIN,"&lt;="&amp;DY165,CF_CCMAX,"&gt;="&amp;DY165),IF(BW165&gt;ITP_TRAMO_BAJO,SUMIFS(CF_CUOTA,CF_MAS,ITP_TRAMO_BAJO,CF_CCMIN,"&lt;="&amp;DY165,CF_CCMAX,"&gt;="&amp;DY165),O165*ITP_TIPO)),O165*ITP_TIPO))</f>
        <v/>
      </c>
      <c r="EA165" s="4">
        <f>IF(R165="profesional",N(AK165),0)</f>
        <v/>
      </c>
      <c r="EB165" s="3">
        <f>IF(AND(R165="profesional",ISNUMBER(AK165),AL165="sí"),0,TASA_DGT)</f>
        <v/>
      </c>
      <c r="EC165" s="3">
        <f>INFORME_DGT</f>
        <v/>
      </c>
      <c r="ED165" s="4">
        <f>O165+EA165+DZ165+EB165+EC165</f>
        <v/>
      </c>
      <c r="EE165" s="4">
        <f>ED165+N(DF165)</f>
        <v/>
      </c>
      <c r="EF165" s="3">
        <f>MAX(0,ED165-TOTAL_MAX)</f>
        <v/>
      </c>
      <c r="EG165" s="3">
        <f>EF165/100*PEN_100</f>
        <v/>
      </c>
      <c r="EH165" s="3">
        <f>IF(R165="particular",ED165+IF(AND(DA165&lt;&gt;"cadena",X165&lt;&gt;"sí"),RES_CORREA,0)+IF(AND(BJ165&lt;&gt;"sí",BW165&gt;=RES_NEUM_EDAD),RES_NEUM,0),"")</f>
        <v/>
      </c>
      <c r="EI165" s="3">
        <f>IF(ED165&lt;=TOTAL_MAX,"sí",IF(ED165&lt;=TECHO,"negociar","no"))</f>
        <v/>
      </c>
      <c r="EJ165" s="4">
        <f>ROUND(DX165,9)</f>
        <v/>
      </c>
      <c r="EK165" s="4">
        <f>IF(EI165&lt;&gt;"no",SUMPRODUCT(($EI$2:$EI$209&lt;&gt;"no")*($EJ$2:$EJ$209&gt;EJ165))+SUMPRODUCT(($EI$2:EI165&lt;&gt;"no")*($EJ$2:EJ165=EJ165)),"")</f>
        <v/>
      </c>
    </row>
    <row r="166">
      <c r="A166" s="2" t="inlineStr">
        <is>
          <t>cochesnet:71684077</t>
        </is>
      </c>
      <c r="B166" s="2" t="inlineStr">
        <is>
          <t>cochesnet</t>
        </is>
      </c>
      <c r="C166" s="2" t="inlineStr">
        <is>
          <t>https://www.coches.net/toyota-avensis-gasolina-2005-en-valencia-71684077-covo.aspx</t>
        </is>
      </c>
      <c r="D166" s="2" t="inlineStr">
        <is>
          <t>TOYOTA Avensis 1.8 VVTI SOL</t>
        </is>
      </c>
      <c r="E166" s="2" t="inlineStr">
        <is>
          <t>Toyota</t>
        </is>
      </c>
      <c r="F166" s="2" t="inlineStr">
        <is>
          <t>Toyota Avensis</t>
        </is>
      </c>
      <c r="G166" s="2" t="inlineStr">
        <is>
          <t>1.8 VVT-i</t>
        </is>
      </c>
      <c r="H166" s="2" t="inlineStr">
        <is>
          <t>1.8 VVTI SOL</t>
        </is>
      </c>
      <c r="I166" s="2" t="n"/>
      <c r="J166" s="2" t="n"/>
      <c r="K166" s="2" t="inlineStr">
        <is>
          <t>gasolina</t>
        </is>
      </c>
      <c r="L166" s="2" t="inlineStr">
        <is>
          <t>berlina_d</t>
        </is>
      </c>
      <c r="M166" s="2" t="n">
        <v>2005</v>
      </c>
      <c r="N166" s="2" t="n">
        <v>158000</v>
      </c>
      <c r="O166" s="2" t="n">
        <v>5800</v>
      </c>
      <c r="P166" s="2" t="inlineStr">
        <is>
          <t>manual</t>
        </is>
      </c>
      <c r="Q166" s="2" t="inlineStr">
        <is>
          <t>no</t>
        </is>
      </c>
      <c r="R166" s="2" t="inlineStr">
        <is>
          <t>particular</t>
        </is>
      </c>
      <c r="S166" s="2" t="n"/>
      <c r="T166" s="2" t="inlineStr">
        <is>
          <t>2026-10-06T08:58:24Z</t>
        </is>
      </c>
      <c r="U166" s="2" t="n">
        <v>7</v>
      </c>
      <c r="V166" s="2" t="inlineStr">
        <is>
          <t>sí</t>
        </is>
      </c>
      <c r="W166" s="2" t="inlineStr">
        <is>
          <t>sí</t>
        </is>
      </c>
      <c r="X166" s="2" t="n"/>
      <c r="Y166" s="2" t="n"/>
      <c r="Z166" s="2" t="inlineStr">
        <is>
          <t>no</t>
        </is>
      </c>
      <c r="AA166" s="2" t="n"/>
      <c r="AB166" s="2" t="n"/>
      <c r="AC166" s="2" t="n"/>
      <c r="AD166" s="2" t="n"/>
      <c r="AE166" s="2" t="n"/>
      <c r="AF166" s="2" t="n"/>
      <c r="AG166" s="2" t="n"/>
      <c r="AH166" s="2" t="n">
        <v>5800</v>
      </c>
      <c r="AI166" s="2" t="n"/>
      <c r="AJ166" s="2" t="n"/>
      <c r="AK166" s="2" t="n"/>
      <c r="AL166" s="2" t="n"/>
      <c r="AM166" s="2" t="n"/>
      <c r="AN166" s="2" t="n"/>
      <c r="AO166" s="2" t="inlineStr">
        <is>
          <t>2005</t>
        </is>
      </c>
      <c r="AP166" s="2" t="n">
        <v>2005</v>
      </c>
      <c r="AQ166" s="2" t="n"/>
      <c r="AR166" s="2" t="n"/>
      <c r="AS166" s="2" t="inlineStr">
        <is>
          <t>regla</t>
        </is>
      </c>
      <c r="AT166" s="2" t="n"/>
      <c r="AU166" s="2" t="inlineStr">
        <is>
          <t>no</t>
        </is>
      </c>
      <c r="AV166" s="2" t="inlineStr">
        <is>
          <t>B</t>
        </is>
      </c>
      <c r="AW166" s="2" t="n"/>
      <c r="AX166" s="2" t="inlineStr">
        <is>
          <t>no</t>
        </is>
      </c>
      <c r="AY166" s="2" t="inlineStr">
        <is>
          <t>sí</t>
        </is>
      </c>
      <c r="AZ166" s="2" t="n"/>
      <c r="BA166" s="2" t="n"/>
      <c r="BB166" s="3" t="n">
        <v>4</v>
      </c>
      <c r="BC166" s="3" t="inlineStr">
        <is>
          <t>Toyota Avensis T25 1.8 2003-2008</t>
        </is>
      </c>
      <c r="BD166" s="2" t="n"/>
      <c r="BE166" s="2" t="inlineStr">
        <is>
          <t>sí</t>
        </is>
      </c>
      <c r="BF166" s="2" t="n"/>
      <c r="BG166" s="2" t="n"/>
      <c r="BH166" s="2" t="n"/>
      <c r="BI166" s="2" t="n"/>
      <c r="BJ166" s="2" t="n"/>
      <c r="BK166" s="2" t="n">
        <v>5</v>
      </c>
      <c r="BL166" s="2" t="inlineStr">
        <is>
          <t>sí</t>
        </is>
      </c>
      <c r="BM166" s="2" t="n">
        <v>40</v>
      </c>
      <c r="BN166" s="2" t="n"/>
      <c r="BO166" s="2" t="n">
        <v>0</v>
      </c>
      <c r="BP166" s="2" t="n">
        <v>5800</v>
      </c>
      <c r="BQ166" s="2" t="n">
        <v>5</v>
      </c>
      <c r="BR166" s="2" t="inlineStr">
        <is>
          <t>modelo+año+km</t>
        </is>
      </c>
      <c r="BS166" s="2" t="n"/>
      <c r="BT166" s="2" t="inlineStr">
        <is>
          <t>particular sin garantía: pedir informe DGT, historial ITV y revisión precompra; por encima del presupuesto: negociar 924 € (coste 5924 €; -18.5 puntos); cuota fija ITP: &gt;12 años, 1.501-2.000 cc; etiqueta B deducida por fecha (sin matrícula ni dato del anuncio); distancia no verificable (el anuncio solo indica la provincia): confirmar que está a &lt;= 70 km</t>
        </is>
      </c>
      <c r="BU166" s="2" t="inlineStr">
        <is>
          <t xml:space="preserve">Toyota Avensis 1.8 Gasolina 129CV 
Toyota Avensis año 2005, 129CV, en perfecto estado mecánico. 
? ITV hasta mayo 2027
? Ruedas Michelin recién cambiadas y limpieza de tapiceria completa con alfombrillas nuevas
? Todas las revisiones en casa oficial Toyota
? Climatizador bizona y pantalla
? Motor muy fiable
El coche está listo para usar sin hacerle nada.
Solo tiene pequeños rayajos típicos del uso diario (solo estético).
Coche cómodo, amplio y muy cuidado. Se puede ver y probar sin compromiso.
?? Exterior
	•	Retrovisores eléctricos y abatibles eléctricamente
	•	Llantas de aleación
	•	Faros antiniebla delanteros
?? Interior y confort
	•	Climatizador automático bizona
	•	Elevalunas eléctricos en las 4 puertas
	•	Cierre centralizado con mando
	•	Dirección asistida
	•	Volante multifunción regulable en altura y profundidad
	•	Apoyabrazos delantero 
	•	Asiento del conductor regulable en altura
	•	Ordenador de a bordo
	•	Radio CD original Toyota
	•	Pantalla multifunción superior (información consumo, temperatura, etc.)
?? Seguridad
	•	ABS
	•	Control de estabilidad (VSC)
	•	Control de tracción (TRC)
	•	Airbags frontales, laterales y de cortina
	•	ISOFIX
	•	Anclajes de seguridad reforzados
?? Mecánica
	•	Motor 1.8 VVT-i 129CV (cadena de distribución)
	•	Cambio manual 5 velocidades
</t>
        </is>
      </c>
      <c r="BV166" s="2" t="inlineStr">
        <is>
          <t>https://www.coches.net/toyota-avensis-gasolina-2005-en-valencia-71684077-covo.aspx (window.__INITIAL_PROPS__.ad) /home/user/Alopecia/buscador-coches/raw/cochesnet/bd8d2eee4992bc4c.json</t>
        </is>
      </c>
      <c r="BW166" s="3">
        <f>MAX(ANIO_ACTUAL-M166,0)</f>
        <v/>
      </c>
      <c r="BX166" s="4">
        <f>N166/MAX(BW166,0.5)</f>
        <v/>
      </c>
      <c r="BY166" s="4">
        <f>F166</f>
        <v/>
      </c>
      <c r="BZ166" s="3">
        <f>BY166&amp;"|"&amp;INT(M166/SEG_ANIO)*SEG_ANIO</f>
        <v/>
      </c>
      <c r="CA166" s="3">
        <f>BZ166&amp;"|"&amp;INT(N166/SEG_KM)*SEG_KM</f>
        <v/>
      </c>
      <c r="CB166" s="4">
        <f>COUNTIF($BY$2:$BY$209,BY166)</f>
        <v/>
      </c>
      <c r="CC166" s="4">
        <f>COUNTIF($BZ$2:$BZ$209,BZ166)</f>
        <v/>
      </c>
      <c r="CD166" s="4">
        <f>COUNTIF($CA$2:$CA$209,CA166)</f>
        <v/>
      </c>
      <c r="CE166" s="3">
        <f t="array" ref="CE166">IF(N(BQ166)&gt;=MIN_N,BP166,IF(CD166&gt;=MIN_N,MEDIAN(IF($CA$2:$CA$209=CA166,$O$2:$O$209)),IF(CC166&gt;=MIN_N,MEDIAN(IF($BZ$2:$BZ$209=BZ166,$O$2:$O$209)),MEDIAN(IF($BY$2:$BY$209=BY166,$O$2:$O$209)))))</f>
        <v/>
      </c>
      <c r="CF166" s="3">
        <f>IF(N(BQ166)&gt;=MIN_N,"mercado "&amp;BR166,IF(CD166&gt;=MIN_N,"modelo+año+km",IF(CC166&gt;=MIN_N,"modelo+año","modelo")))</f>
        <v/>
      </c>
      <c r="CG166" s="4">
        <f>(CE166-O166)/CE166</f>
        <v/>
      </c>
      <c r="CH166" s="3">
        <f>IF(COUNTIFS(FR_FUEL,K166,FR_YEAR,AP166)&gt;0,1,0)</f>
        <v/>
      </c>
      <c r="CI166" s="3">
        <f>IF(COUNTIFS(FR_FUEL,K166,FR_YEAR,AP166-1)&gt;0,1,0)</f>
        <v/>
      </c>
      <c r="CJ166" s="4">
        <f>IF(N(AQ166)&gt;0,AP166*100+AQ166,IF(AND(CH166=1,CI166=1),(AP166-1)*100+1,AP166*100+1))</f>
        <v/>
      </c>
      <c r="CK166" s="3">
        <f>IF(OR(K166="hibrido",K166="glp",K166="gnc",K166="phev"),"ECO",IF(K166="electrico","CERO",IF(K166="gasolina",IF(CJ166&gt;=GAS_C_YM,"C",IF(CJ166&gt;=GAS_B_YM,"B","A")),IF(K166="diesel",IF(CJ166&gt;=DIE_C_YM,"C",IF(CJ166&gt;=DIE_B_YM,"B","A")),""))))</f>
        <v/>
      </c>
      <c r="CL166" s="4">
        <f>CK166</f>
        <v/>
      </c>
      <c r="CM166" s="4">
        <f>IF(AU166="sí","sí",IF(AS166="regla",IF(AND(N(AQ166)=0,CH166=1),"sí","no"),"no"))</f>
        <v/>
      </c>
      <c r="CN166" s="3">
        <f>IFERROR(VLOOKUP(F166,MOD_TBL,16,0),IFERROR(VLOOKUP(E166,OCU_TBL,2,0),NEUTRO))</f>
        <v/>
      </c>
      <c r="CO166" s="3">
        <f>SUMIFS(MOT_AJUSTE,MOT_MOTOR,G166,MOT_MARCA,E166,MOT_DESDE,"&lt;="&amp;M166,MOT_HASTA,"&gt;="&amp;M166)+SUMIFS(MOT_AJUSTE,MOT_MOTOR,G166,MOT_MARCA,"(todas)",MOT_DESDE,"&lt;="&amp;M166,MOT_HASTA,"&gt;="&amp;M166)+SUMIFS(MOT_AJUSTE,MOT_MOTOR,"(cualquiera)",MOT_MARCA,E166,MOT_DESDE,"&lt;="&amp;M166,MOT_HASTA,"&gt;="&amp;M166)</f>
        <v/>
      </c>
      <c r="CP166" s="3">
        <f>SUMIFS(COMB_AJUSTE,COMB_COMB,K166)</f>
        <v/>
      </c>
      <c r="CQ166" s="3">
        <f>COUNTIFS(MOT_MOTOR,G166,MOT_MARCA,E166,MOT_DESDE,"&lt;="&amp;M166,MOT_HASTA,"&gt;="&amp;M166)+COUNTIFS(MOT_MOTOR,G166,MOT_MARCA,"(todas)",MOT_DESDE,"&lt;="&amp;M166,MOT_HASTA,"&gt;="&amp;M166)+COUNTIFS(MOT_MOTOR,"(cualquiera)",MOT_MARCA,E166,MOT_DESDE,"&lt;="&amp;M166,MOT_HASTA,"&gt;="&amp;M166)</f>
        <v/>
      </c>
      <c r="CR166" s="3">
        <f>IF(AND(K166="diesel",CQ166=0),MIN(CN166,NEUTRO),CN166)</f>
        <v/>
      </c>
      <c r="CS166" s="3">
        <f>MAX(0,MIN(100,CR166+CO166+CP166-IF(AX166="sí",ROB_PEN,0)))</f>
        <v/>
      </c>
      <c r="CT166" s="3">
        <f>100-MAX(0,N166-KM_TOPE_DESDE)/1000*KM_TOPE_PTS</f>
        <v/>
      </c>
      <c r="CU166" s="3">
        <f>MAX(0,MIN(100,50+CG166*PRECIO_PEND,CT166))</f>
        <v/>
      </c>
      <c r="CV166" s="3">
        <f>MAX(0,100*(1-N166/KM_MAX))</f>
        <v/>
      </c>
      <c r="CW166" s="3">
        <f>IF(BX166&lt;KMA_SOSP,IF(AA166="sí",100,KMA_PEN),IF(BX166&lt;=KMA_IDEAL_MAX,100,MAX(0,100*(KMA_CERO-BX166)/(KMA_CERO-KMA_IDEAL_MAX))))</f>
        <v/>
      </c>
      <c r="CX166" s="3">
        <f>MAX(0,MIN(100,100*(M166-ANIO_MIN)/(ANIO_ACTUAL-ANIO_MIN)))</f>
        <v/>
      </c>
      <c r="CY166" s="3">
        <f>W_KMT*CV166+W_KMA*CW166+W_EDAD*CX166</f>
        <v/>
      </c>
      <c r="CZ166" s="4">
        <f>E166&amp;"|"&amp;G166</f>
        <v/>
      </c>
      <c r="DA166" s="3">
        <f>IFERROR(VLOOKUP(CZ166,DIST_TBL,2,0),"")</f>
        <v/>
      </c>
      <c r="DB166" s="3">
        <f>E_ITV*(V166="sí")+E_LIBRO*(W166="sí")+E_PROP*IF(Y166=1,1,IF(Y166=2,0.5,0))+E_CORREA*IF(OR(DA166="cadena",AND(X166="sí",BH166="sí")),1,IF(X166="sí",0.5,0))+E_FACT*(BI166="sí")</f>
        <v/>
      </c>
      <c r="DC166" s="3">
        <f>MAX(0,MIN(100,IFERROR(VLOOKUP(CL166,ETQ_TBL,2,0),0)-IF(CM166="sí",ETQ_PEN_DUD,IF(AS166="regla",ETQ_PEN_REGLA,0))))</f>
        <v/>
      </c>
      <c r="DD166" s="3">
        <f>IF(K166&lt;&gt;"gasolina","",IFERROR(VLOOKUP(F166,CONS_MOD_TBL,2,0),IFERROR(VLOOKUP(L166,CONS_SEG_TBL,2,0),"")))</f>
        <v/>
      </c>
      <c r="DE166" s="3">
        <f>IF(DD166="",NEUTRO,MAX(0,MIN(100,100*(CONS_REF_MAX-DD166)/(CONS_REF_MAX-CONS_REF_MIN))))</f>
        <v/>
      </c>
      <c r="DF166" s="3">
        <f>IFERROR(VLOOKUP(L166,SEGURO_TBL,3,0),"")</f>
        <v/>
      </c>
      <c r="DG166" s="3">
        <f>IF(DF166="",NEUTRO,MAX(0,MIN(100,100*(SEG_REF_MAX-DF166)/(SEG_REF_MAX-SEG_REF_MIN))))</f>
        <v/>
      </c>
      <c r="DH166" s="3">
        <f>IFERROR(VLOOKUP(E166,MANT_MARCA_TBL,2,0)+0,NEUTRO)</f>
        <v/>
      </c>
      <c r="DI166" s="3">
        <f>IF(DA166="",NEUTRO,IFERROR(VLOOKUP(DA166,DIST_PTS_TBL,2,0)+0,NEUTRO))</f>
        <v/>
      </c>
      <c r="DJ166" s="4">
        <f>(DH166+DI166)/2</f>
        <v/>
      </c>
      <c r="DK166" s="3">
        <f>W_CONS*DE166+W_SEG*DG166+W_MANT*DJ166</f>
        <v/>
      </c>
      <c r="DL166" s="3">
        <f>IF(N(AB166)&gt;0,AB166,IF(AND(R166="profesional",SG_LEGAL_ON=1),GAR_LEGAL,0))</f>
        <v/>
      </c>
      <c r="DM166" s="3">
        <f>MAX(0,MIN(100,SG_GAR*MIN(1,DL166/SG_GAR_FULL)+SG_AMPL*(AC166="sí")+SG_KMC*(AF166="sí")+SG_REV*(N(AE166)&gt;0)+SG_DEV*MIN(1,N(AG166)/SG_DEV_FULL)+SG_HIST*(W166="sí")-IF(AND(R166="particular",DL166=0),SG_PART_PEN,0)))</f>
        <v/>
      </c>
      <c r="DN166" s="3">
        <f>IF(BK166="",NEUTRO,MAX(0,MIN(100,BK166/5*100)))</f>
        <v/>
      </c>
      <c r="DO166" s="3">
        <f>IF(BL166="sí",100,IF(BL166="no",0,NEUTRO))</f>
        <v/>
      </c>
      <c r="DP166" s="3">
        <f>SV_W_NCAP*DN166+SV_W_ESP*DO166</f>
        <v/>
      </c>
      <c r="DQ166" s="3">
        <f>MAX(0,MIN(100,ATR_BASE+ATR_ACAB*(BD166&lt;&gt;"")+IF(BE166="16+",ATR_LL16,IF(BE166="sí",ATR_LL,0))+ATR_FAROS*(BF166="sí")+ATR_TINT*(BG166="sí")-ATR_CHAPA*(BE166="chapa")))</f>
        <v/>
      </c>
      <c r="DR166" s="3">
        <f>EST_W_MOD*(BB166-1)/4*100+EST_W_ATR*DQ166</f>
        <v/>
      </c>
      <c r="DS166" s="3">
        <f>IF(BA166="",NEUTRO,IFERROR(VLOOKUP(BA166,COLOR_TBL,2,0)+0,NEUTRO))</f>
        <v/>
      </c>
      <c r="DT166" s="3">
        <f>MAX(0,MIN(100,100*N(BM166)/RV_N_FULL))</f>
        <v/>
      </c>
      <c r="DU166" s="3">
        <f>IF(OR(BN166="",N(BO166)&lt;RV_DIAS_MIN),NEUTRO,MAX(0,MIN(100,100*(RV_DIAS_CERO-BN166)/(RV_DIAS_CERO-RV_DIAS_FULL))))</f>
        <v/>
      </c>
      <c r="DV166" s="3">
        <f>RV_W_LIQ*DT166+RV_W_DIAS*DU166+RV_W_ETQ*DC166</f>
        <v/>
      </c>
      <c r="DW166" s="3">
        <f>IFERROR(VLOOKUP(L166,CARR_PEN_TBL,2,0),0)</f>
        <v/>
      </c>
      <c r="DX166" s="3">
        <f>W_FIAB*CS166+W_PRECIO*CU166+W_KMEDAD*CY166+W_ESTADO*DB166+W_USO*DK166+W_SEGURIDAD*DM166+W_SEGVIAL*DP166+W_ESTETICA*DR166+W_COLOR*DS166+W_REVENTA*DV166-DW166-EG166</f>
        <v/>
      </c>
      <c r="DY166" s="4">
        <f>IF(N(I166)&gt;0,I166,IFERROR(ROUND(_xlfn.NUMBERVALUE(LEFT(G166,FIND(" ",G166&amp;" ")-1),".")*1000,0),99999))</f>
        <v/>
      </c>
      <c r="DZ166" s="3">
        <f>IF(R166="profesional",0,IF(O166&lt;CUOTA_VALOR_MAX,IF(BW166&gt;ITP_TRAMO_ALTO,SUMIFS(CF_CUOTA,CF_MAS,ITP_TRAMO_ALTO,CF_CCMIN,"&lt;="&amp;DY166,CF_CCMAX,"&gt;="&amp;DY166),IF(BW166&gt;ITP_TRAMO_BAJO,SUMIFS(CF_CUOTA,CF_MAS,ITP_TRAMO_BAJO,CF_CCMIN,"&lt;="&amp;DY166,CF_CCMAX,"&gt;="&amp;DY166),O166*ITP_TIPO)),O166*ITP_TIPO))</f>
        <v/>
      </c>
      <c r="EA166" s="4">
        <f>IF(R166="profesional",N(AK166),0)</f>
        <v/>
      </c>
      <c r="EB166" s="3">
        <f>IF(AND(R166="profesional",ISNUMBER(AK166),AL166="sí"),0,TASA_DGT)</f>
        <v/>
      </c>
      <c r="EC166" s="3">
        <f>INFORME_DGT</f>
        <v/>
      </c>
      <c r="ED166" s="4">
        <f>O166+EA166+DZ166+EB166+EC166</f>
        <v/>
      </c>
      <c r="EE166" s="4">
        <f>ED166+N(DF166)</f>
        <v/>
      </c>
      <c r="EF166" s="3">
        <f>MAX(0,ED166-TOTAL_MAX)</f>
        <v/>
      </c>
      <c r="EG166" s="3">
        <f>EF166/100*PEN_100</f>
        <v/>
      </c>
      <c r="EH166" s="3">
        <f>IF(R166="particular",ED166+IF(AND(DA166&lt;&gt;"cadena",X166&lt;&gt;"sí"),RES_CORREA,0)+IF(AND(BJ166&lt;&gt;"sí",BW166&gt;=RES_NEUM_EDAD),RES_NEUM,0),"")</f>
        <v/>
      </c>
      <c r="EI166" s="3">
        <f>IF(ED166&lt;=TOTAL_MAX,"sí",IF(ED166&lt;=TECHO,"negociar","no"))</f>
        <v/>
      </c>
      <c r="EJ166" s="4">
        <f>ROUND(DX166,9)</f>
        <v/>
      </c>
      <c r="EK166" s="4">
        <f>IF(EI166&lt;&gt;"no",SUMPRODUCT(($EI$2:$EI$209&lt;&gt;"no")*($EJ$2:$EJ$209&gt;EJ166))+SUMPRODUCT(($EI$2:EI166&lt;&gt;"no")*($EJ$2:EJ166=EJ166)),"")</f>
        <v/>
      </c>
    </row>
    <row r="167">
      <c r="A167" s="2" t="inlineStr">
        <is>
          <t>cochesnet:71667655</t>
        </is>
      </c>
      <c r="B167" s="2" t="inlineStr">
        <is>
          <t>cochesnet</t>
        </is>
      </c>
      <c r="C167" s="2" t="inlineStr">
        <is>
          <t>https://www.coches.net/mazda-mazda3-16-vvt-105cv-active-5p-gasolina-2009-en-valencia-71667655-covo.aspx</t>
        </is>
      </c>
      <c r="D167" s="2" t="inlineStr">
        <is>
          <t>MAZDA Mazda3 1.6 VVT Active</t>
        </is>
      </c>
      <c r="E167" s="2" t="inlineStr">
        <is>
          <t>Mazda</t>
        </is>
      </c>
      <c r="F167" s="2" t="inlineStr">
        <is>
          <t>Mazda 3</t>
        </is>
      </c>
      <c r="G167" s="2" t="inlineStr">
        <is>
          <t>1.6</t>
        </is>
      </c>
      <c r="H167" s="2" t="inlineStr">
        <is>
          <t>1.6 VVT 105cv Active</t>
        </is>
      </c>
      <c r="I167" s="2" t="n"/>
      <c r="J167" s="2" t="n">
        <v>105</v>
      </c>
      <c r="K167" s="2" t="inlineStr">
        <is>
          <t>gasolina</t>
        </is>
      </c>
      <c r="L167" s="2" t="inlineStr">
        <is>
          <t>compacto</t>
        </is>
      </c>
      <c r="M167" s="2" t="n">
        <v>2009</v>
      </c>
      <c r="N167" s="2" t="n">
        <v>173000</v>
      </c>
      <c r="O167" s="2" t="n">
        <v>5500</v>
      </c>
      <c r="P167" s="2" t="inlineStr">
        <is>
          <t>manual</t>
        </is>
      </c>
      <c r="Q167" s="2" t="inlineStr">
        <is>
          <t>no</t>
        </is>
      </c>
      <c r="R167" s="2" t="inlineStr">
        <is>
          <t>particular</t>
        </is>
      </c>
      <c r="S167" s="2" t="inlineStr">
        <is>
          <t>Torrent</t>
        </is>
      </c>
      <c r="T167" s="2" t="inlineStr">
        <is>
          <t>2026-10-04T09:28:03Z</t>
        </is>
      </c>
      <c r="U167" s="2" t="n">
        <v>9</v>
      </c>
      <c r="V167" s="2" t="inlineStr">
        <is>
          <t>sí</t>
        </is>
      </c>
      <c r="W167" s="2" t="n"/>
      <c r="X167" s="2" t="n"/>
      <c r="Y167" s="2" t="n"/>
      <c r="Z167" s="2" t="inlineStr">
        <is>
          <t>no</t>
        </is>
      </c>
      <c r="AA167" s="2" t="n"/>
      <c r="AB167" s="2" t="n"/>
      <c r="AC167" s="2" t="n"/>
      <c r="AD167" s="2" t="n"/>
      <c r="AE167" s="2" t="n"/>
      <c r="AF167" s="2" t="n"/>
      <c r="AG167" s="2" t="n"/>
      <c r="AH167" s="2" t="n">
        <v>5500</v>
      </c>
      <c r="AI167" s="2" t="n"/>
      <c r="AJ167" s="2" t="n"/>
      <c r="AK167" s="2" t="n"/>
      <c r="AL167" s="2" t="n"/>
      <c r="AM167" s="2" t="n">
        <v>8.800000000000001</v>
      </c>
      <c r="AN167" s="2" t="n"/>
      <c r="AO167" s="2" t="inlineStr">
        <is>
          <t>2009</t>
        </is>
      </c>
      <c r="AP167" s="2" t="n">
        <v>2009</v>
      </c>
      <c r="AQ167" s="2" t="n"/>
      <c r="AR167" s="2" t="inlineStr">
        <is>
          <t>C</t>
        </is>
      </c>
      <c r="AS167" s="2" t="inlineStr">
        <is>
          <t>anuncio</t>
        </is>
      </c>
      <c r="AT167" s="2" t="n"/>
      <c r="AU167" s="2" t="inlineStr">
        <is>
          <t>no</t>
        </is>
      </c>
      <c r="AV167" s="2" t="inlineStr">
        <is>
          <t>C</t>
        </is>
      </c>
      <c r="AW167" s="2" t="n"/>
      <c r="AX167" s="2" t="inlineStr">
        <is>
          <t>no</t>
        </is>
      </c>
      <c r="AY167" s="2" t="inlineStr">
        <is>
          <t>sí</t>
        </is>
      </c>
      <c r="AZ167" s="2" t="inlineStr">
        <is>
          <t>COMMON.COLOR_GRAY</t>
        </is>
      </c>
      <c r="BA167" s="2" t="inlineStr">
        <is>
          <t>gris_medio</t>
        </is>
      </c>
      <c r="BB167" s="3" t="n">
        <v>5</v>
      </c>
      <c r="BC167" s="3" t="inlineStr">
        <is>
          <t>Mazda 3 BK 1.6 2003-2009</t>
        </is>
      </c>
      <c r="BD167" s="2" t="n"/>
      <c r="BE167" s="2" t="n"/>
      <c r="BF167" s="2" t="n"/>
      <c r="BG167" s="2" t="n"/>
      <c r="BH167" s="2" t="n"/>
      <c r="BI167" s="2" t="n"/>
      <c r="BJ167" s="2" t="n"/>
      <c r="BK167" s="2" t="n">
        <v>4</v>
      </c>
      <c r="BL167" s="2" t="n"/>
      <c r="BM167" s="2" t="n">
        <v>132</v>
      </c>
      <c r="BN167" s="2" t="n">
        <v>0.05126157402992249</v>
      </c>
      <c r="BO167" s="2" t="n">
        <v>3</v>
      </c>
      <c r="BP167" s="2" t="n">
        <v>5500</v>
      </c>
      <c r="BQ167" s="2" t="n">
        <v>5</v>
      </c>
      <c r="BR167" s="2" t="inlineStr">
        <is>
          <t>modelo+año+km</t>
        </is>
      </c>
      <c r="BS167" s="2" t="inlineStr">
        <is>
          <t>wallapop:1305931412 (https://es.wallapop.com/item/mazda-3-2009-1305931412); cochesnet:71676016 (https://www.coches.net/mazda-mazda3-gasolina-2009-en-valencia-71676016-covo.aspx); wallapop:1309553072 (https://es.wallapop.com/item/mazda-3-2009-1309553072)</t>
        </is>
      </c>
      <c r="BT167" s="2" t="inlineStr">
        <is>
          <t>particular sin garantía: pedir informe DGT, historial ITV y revisión precompra; por encima del presupuesto: negociar 624 € (coste 5624 €; -12.5 puntos); cuota fija ITP: &gt;12 años, 1.501-2.000 cc</t>
        </is>
      </c>
      <c r="BU167" s="2" t="inlineStr">
        <is>
          <t>Mazda 3 1.6 Gasolina – Año 2009
Se vende Mazda 3 1.6 gasolina, en muy buen estado, cómodo, fiable y perfecto para el día a día. Un coche práctico y económico de mantener, ideal tanto para ciudad como para carretera
Motor 1.6 gasolina
Año 2009
? Cómodo y fiable
? Retrovisores eléctricos y plegables
? Todo funciona correctamente
? ITV hasta mayo de 2027</t>
        </is>
      </c>
      <c r="BV167" s="2" t="inlineStr">
        <is>
          <t>https://www.coches.net/mazda-mazda3-16-vvt-105cv-active-5p-gasolina-2009-en-valencia-71667655-covo.aspx (window.__INITIAL_PROPS__.ad) /home/user/Alopecia/buscador-coches/raw/cochesnet/c58cd9d3a242a3b2.json</t>
        </is>
      </c>
      <c r="BW167" s="3">
        <f>MAX(ANIO_ACTUAL-M167,0)</f>
        <v/>
      </c>
      <c r="BX167" s="4">
        <f>N167/MAX(BW167,0.5)</f>
        <v/>
      </c>
      <c r="BY167" s="4">
        <f>F167</f>
        <v/>
      </c>
      <c r="BZ167" s="3">
        <f>BY167&amp;"|"&amp;INT(M167/SEG_ANIO)*SEG_ANIO</f>
        <v/>
      </c>
      <c r="CA167" s="3">
        <f>BZ167&amp;"|"&amp;INT(N167/SEG_KM)*SEG_KM</f>
        <v/>
      </c>
      <c r="CB167" s="4">
        <f>COUNTIF($BY$2:$BY$209,BY167)</f>
        <v/>
      </c>
      <c r="CC167" s="4">
        <f>COUNTIF($BZ$2:$BZ$209,BZ167)</f>
        <v/>
      </c>
      <c r="CD167" s="4">
        <f>COUNTIF($CA$2:$CA$209,CA167)</f>
        <v/>
      </c>
      <c r="CE167" s="3">
        <f t="array" ref="CE167">IF(N(BQ167)&gt;=MIN_N,BP167,IF(CD167&gt;=MIN_N,MEDIAN(IF($CA$2:$CA$209=CA167,$O$2:$O$209)),IF(CC167&gt;=MIN_N,MEDIAN(IF($BZ$2:$BZ$209=BZ167,$O$2:$O$209)),MEDIAN(IF($BY$2:$BY$209=BY167,$O$2:$O$209)))))</f>
        <v/>
      </c>
      <c r="CF167" s="3">
        <f>IF(N(BQ167)&gt;=MIN_N,"mercado "&amp;BR167,IF(CD167&gt;=MIN_N,"modelo+año+km",IF(CC167&gt;=MIN_N,"modelo+año","modelo")))</f>
        <v/>
      </c>
      <c r="CG167" s="4">
        <f>(CE167-O167)/CE167</f>
        <v/>
      </c>
      <c r="CH167" s="3">
        <f>IF(COUNTIFS(FR_FUEL,K167,FR_YEAR,AP167)&gt;0,1,0)</f>
        <v/>
      </c>
      <c r="CI167" s="3">
        <f>IF(COUNTIFS(FR_FUEL,K167,FR_YEAR,AP167-1)&gt;0,1,0)</f>
        <v/>
      </c>
      <c r="CJ167" s="4">
        <f>IF(N(AQ167)&gt;0,AP167*100+AQ167,IF(AND(CH167=1,CI167=1),(AP167-1)*100+1,AP167*100+1))</f>
        <v/>
      </c>
      <c r="CK167" s="3">
        <f>IF(OR(K167="hibrido",K167="glp",K167="gnc",K167="phev"),"ECO",IF(K167="electrico","CERO",IF(K167="gasolina",IF(CJ167&gt;=GAS_C_YM,"C",IF(CJ167&gt;=GAS_B_YM,"B","A")),IF(K167="diesel",IF(CJ167&gt;=DIE_C_YM,"C",IF(CJ167&gt;=DIE_B_YM,"B","A")),""))))</f>
        <v/>
      </c>
      <c r="CL167" s="2" t="inlineStr">
        <is>
          <t>C</t>
        </is>
      </c>
      <c r="CM167" s="4">
        <f>IF(AU167="sí","sí",IF(AS167="regla",IF(AND(N(AQ167)=0,CH167=1),"sí","no"),"no"))</f>
        <v/>
      </c>
      <c r="CN167" s="3">
        <f>IFERROR(VLOOKUP(F167,MOD_TBL,16,0),IFERROR(VLOOKUP(E167,OCU_TBL,2,0),NEUTRO))</f>
        <v/>
      </c>
      <c r="CO167" s="3">
        <f>SUMIFS(MOT_AJUSTE,MOT_MOTOR,G167,MOT_MARCA,E167,MOT_DESDE,"&lt;="&amp;M167,MOT_HASTA,"&gt;="&amp;M167)+SUMIFS(MOT_AJUSTE,MOT_MOTOR,G167,MOT_MARCA,"(todas)",MOT_DESDE,"&lt;="&amp;M167,MOT_HASTA,"&gt;="&amp;M167)+SUMIFS(MOT_AJUSTE,MOT_MOTOR,"(cualquiera)",MOT_MARCA,E167,MOT_DESDE,"&lt;="&amp;M167,MOT_HASTA,"&gt;="&amp;M167)</f>
        <v/>
      </c>
      <c r="CP167" s="3">
        <f>SUMIFS(COMB_AJUSTE,COMB_COMB,K167)</f>
        <v/>
      </c>
      <c r="CQ167" s="3">
        <f>COUNTIFS(MOT_MOTOR,G167,MOT_MARCA,E167,MOT_DESDE,"&lt;="&amp;M167,MOT_HASTA,"&gt;="&amp;M167)+COUNTIFS(MOT_MOTOR,G167,MOT_MARCA,"(todas)",MOT_DESDE,"&lt;="&amp;M167,MOT_HASTA,"&gt;="&amp;M167)+COUNTIFS(MOT_MOTOR,"(cualquiera)",MOT_MARCA,E167,MOT_DESDE,"&lt;="&amp;M167,MOT_HASTA,"&gt;="&amp;M167)</f>
        <v/>
      </c>
      <c r="CR167" s="3">
        <f>IF(AND(K167="diesel",CQ167=0),MIN(CN167,NEUTRO),CN167)</f>
        <v/>
      </c>
      <c r="CS167" s="3">
        <f>MAX(0,MIN(100,CR167+CO167+CP167-IF(AX167="sí",ROB_PEN,0)))</f>
        <v/>
      </c>
      <c r="CT167" s="3">
        <f>100-MAX(0,N167-KM_TOPE_DESDE)/1000*KM_TOPE_PTS</f>
        <v/>
      </c>
      <c r="CU167" s="3">
        <f>MAX(0,MIN(100,50+CG167*PRECIO_PEND,CT167))</f>
        <v/>
      </c>
      <c r="CV167" s="3">
        <f>MAX(0,100*(1-N167/KM_MAX))</f>
        <v/>
      </c>
      <c r="CW167" s="3">
        <f>IF(BX167&lt;KMA_SOSP,IF(AA167="sí",100,KMA_PEN),IF(BX167&lt;=KMA_IDEAL_MAX,100,MAX(0,100*(KMA_CERO-BX167)/(KMA_CERO-KMA_IDEAL_MAX))))</f>
        <v/>
      </c>
      <c r="CX167" s="3">
        <f>MAX(0,MIN(100,100*(M167-ANIO_MIN)/(ANIO_ACTUAL-ANIO_MIN)))</f>
        <v/>
      </c>
      <c r="CY167" s="3">
        <f>W_KMT*CV167+W_KMA*CW167+W_EDAD*CX167</f>
        <v/>
      </c>
      <c r="CZ167" s="4">
        <f>E167&amp;"|"&amp;G167</f>
        <v/>
      </c>
      <c r="DA167" s="3">
        <f>IFERROR(VLOOKUP(CZ167,DIST_TBL,2,0),"")</f>
        <v/>
      </c>
      <c r="DB167" s="3">
        <f>E_ITV*(V167="sí")+E_LIBRO*(W167="sí")+E_PROP*IF(Y167=1,1,IF(Y167=2,0.5,0))+E_CORREA*IF(OR(DA167="cadena",AND(X167="sí",BH167="sí")),1,IF(X167="sí",0.5,0))+E_FACT*(BI167="sí")</f>
        <v/>
      </c>
      <c r="DC167" s="3">
        <f>MAX(0,MIN(100,IFERROR(VLOOKUP(CL167,ETQ_TBL,2,0),0)-IF(CM167="sí",ETQ_PEN_DUD,IF(AS167="regla",ETQ_PEN_REGLA,0))))</f>
        <v/>
      </c>
      <c r="DD167" s="3">
        <f>IF(K167&lt;&gt;"gasolina","",IFERROR(VLOOKUP(F167,CONS_MOD_TBL,2,0),IFERROR(VLOOKUP(L167,CONS_SEG_TBL,2,0),"")))</f>
        <v/>
      </c>
      <c r="DE167" s="3">
        <f>IF(DD167="",NEUTRO,MAX(0,MIN(100,100*(CONS_REF_MAX-DD167)/(CONS_REF_MAX-CONS_REF_MIN))))</f>
        <v/>
      </c>
      <c r="DF167" s="3">
        <f>IFERROR(VLOOKUP(L167,SEGURO_TBL,3,0),"")</f>
        <v/>
      </c>
      <c r="DG167" s="3">
        <f>IF(DF167="",NEUTRO,MAX(0,MIN(100,100*(SEG_REF_MAX-DF167)/(SEG_REF_MAX-SEG_REF_MIN))))</f>
        <v/>
      </c>
      <c r="DH167" s="3">
        <f>IFERROR(VLOOKUP(E167,MANT_MARCA_TBL,2,0)+0,NEUTRO)</f>
        <v/>
      </c>
      <c r="DI167" s="3">
        <f>IF(DA167="",NEUTRO,IFERROR(VLOOKUP(DA167,DIST_PTS_TBL,2,0)+0,NEUTRO))</f>
        <v/>
      </c>
      <c r="DJ167" s="4">
        <f>(DH167+DI167)/2</f>
        <v/>
      </c>
      <c r="DK167" s="3">
        <f>W_CONS*DE167+W_SEG*DG167+W_MANT*DJ167</f>
        <v/>
      </c>
      <c r="DL167" s="3">
        <f>IF(N(AB167)&gt;0,AB167,IF(AND(R167="profesional",SG_LEGAL_ON=1),GAR_LEGAL,0))</f>
        <v/>
      </c>
      <c r="DM167" s="3">
        <f>MAX(0,MIN(100,SG_GAR*MIN(1,DL167/SG_GAR_FULL)+SG_AMPL*(AC167="sí")+SG_KMC*(AF167="sí")+SG_REV*(N(AE167)&gt;0)+SG_DEV*MIN(1,N(AG167)/SG_DEV_FULL)+SG_HIST*(W167="sí")-IF(AND(R167="particular",DL167=0),SG_PART_PEN,0)))</f>
        <v/>
      </c>
      <c r="DN167" s="3">
        <f>IF(BK167="",NEUTRO,MAX(0,MIN(100,BK167/5*100)))</f>
        <v/>
      </c>
      <c r="DO167" s="3">
        <f>IF(BL167="sí",100,IF(BL167="no",0,NEUTRO))</f>
        <v/>
      </c>
      <c r="DP167" s="3">
        <f>SV_W_NCAP*DN167+SV_W_ESP*DO167</f>
        <v/>
      </c>
      <c r="DQ167" s="3">
        <f>MAX(0,MIN(100,ATR_BASE+ATR_ACAB*(BD167&lt;&gt;"")+IF(BE167="16+",ATR_LL16,IF(BE167="sí",ATR_LL,0))+ATR_FAROS*(BF167="sí")+ATR_TINT*(BG167="sí")-ATR_CHAPA*(BE167="chapa")))</f>
        <v/>
      </c>
      <c r="DR167" s="3">
        <f>EST_W_MOD*(BB167-1)/4*100+EST_W_ATR*DQ167</f>
        <v/>
      </c>
      <c r="DS167" s="3">
        <f>IF(BA167="",NEUTRO,IFERROR(VLOOKUP(BA167,COLOR_TBL,2,0)+0,NEUTRO))</f>
        <v/>
      </c>
      <c r="DT167" s="3">
        <f>MAX(0,MIN(100,100*N(BM167)/RV_N_FULL))</f>
        <v/>
      </c>
      <c r="DU167" s="3">
        <f>IF(OR(BN167="",N(BO167)&lt;RV_DIAS_MIN),NEUTRO,MAX(0,MIN(100,100*(RV_DIAS_CERO-BN167)/(RV_DIAS_CERO-RV_DIAS_FULL))))</f>
        <v/>
      </c>
      <c r="DV167" s="3">
        <f>RV_W_LIQ*DT167+RV_W_DIAS*DU167+RV_W_ETQ*DC167</f>
        <v/>
      </c>
      <c r="DW167" s="3">
        <f>IFERROR(VLOOKUP(L167,CARR_PEN_TBL,2,0),0)</f>
        <v/>
      </c>
      <c r="DX167" s="3">
        <f>W_FIAB*CS167+W_PRECIO*CU167+W_KMEDAD*CY167+W_ESTADO*DB167+W_USO*DK167+W_SEGURIDAD*DM167+W_SEGVIAL*DP167+W_ESTETICA*DR167+W_COLOR*DS167+W_REVENTA*DV167-DW167-EG167</f>
        <v/>
      </c>
      <c r="DY167" s="4">
        <f>IF(N(I167)&gt;0,I167,IFERROR(ROUND(_xlfn.NUMBERVALUE(LEFT(G167,FIND(" ",G167&amp;" ")-1),".")*1000,0),99999))</f>
        <v/>
      </c>
      <c r="DZ167" s="3">
        <f>IF(R167="profesional",0,IF(O167&lt;CUOTA_VALOR_MAX,IF(BW167&gt;ITP_TRAMO_ALTO,SUMIFS(CF_CUOTA,CF_MAS,ITP_TRAMO_ALTO,CF_CCMIN,"&lt;="&amp;DY167,CF_CCMAX,"&gt;="&amp;DY167),IF(BW167&gt;ITP_TRAMO_BAJO,SUMIFS(CF_CUOTA,CF_MAS,ITP_TRAMO_BAJO,CF_CCMIN,"&lt;="&amp;DY167,CF_CCMAX,"&gt;="&amp;DY167),O167*ITP_TIPO)),O167*ITP_TIPO))</f>
        <v/>
      </c>
      <c r="EA167" s="4">
        <f>IF(R167="profesional",N(AK167),0)</f>
        <v/>
      </c>
      <c r="EB167" s="3">
        <f>IF(AND(R167="profesional",ISNUMBER(AK167),AL167="sí"),0,TASA_DGT)</f>
        <v/>
      </c>
      <c r="EC167" s="3">
        <f>INFORME_DGT</f>
        <v/>
      </c>
      <c r="ED167" s="4">
        <f>O167+EA167+DZ167+EB167+EC167</f>
        <v/>
      </c>
      <c r="EE167" s="4">
        <f>ED167+N(DF167)</f>
        <v/>
      </c>
      <c r="EF167" s="3">
        <f>MAX(0,ED167-TOTAL_MAX)</f>
        <v/>
      </c>
      <c r="EG167" s="3">
        <f>EF167/100*PEN_100</f>
        <v/>
      </c>
      <c r="EH167" s="3">
        <f>IF(R167="particular",ED167+IF(AND(DA167&lt;&gt;"cadena",X167&lt;&gt;"sí"),RES_CORREA,0)+IF(AND(BJ167&lt;&gt;"sí",BW167&gt;=RES_NEUM_EDAD),RES_NEUM,0),"")</f>
        <v/>
      </c>
      <c r="EI167" s="3">
        <f>IF(ED167&lt;=TOTAL_MAX,"sí",IF(ED167&lt;=TECHO,"negociar","no"))</f>
        <v/>
      </c>
      <c r="EJ167" s="4">
        <f>ROUND(DX167,9)</f>
        <v/>
      </c>
      <c r="EK167" s="4">
        <f>IF(EI167&lt;&gt;"no",SUMPRODUCT(($EI$2:$EI$209&lt;&gt;"no")*($EJ$2:$EJ$209&gt;EJ167))+SUMPRODUCT(($EI$2:EI167&lt;&gt;"no")*($EJ$2:EJ167=EJ167)),"")</f>
        <v/>
      </c>
    </row>
    <row r="168">
      <c r="A168" s="2" t="inlineStr">
        <is>
          <t>cochesnet:71877631</t>
        </is>
      </c>
      <c r="B168" s="2" t="inlineStr">
        <is>
          <t>cochesnet</t>
        </is>
      </c>
      <c r="C168" s="2" t="inlineStr">
        <is>
          <t>https://www.coches.net/hyundai-i20-i20-12-l-pbt-classic-aa-key-5p-gasolina-2011-en-valencia-71877631-covo.aspx</t>
        </is>
      </c>
      <c r="D168" s="2" t="inlineStr">
        <is>
          <t>HYUNDAI i20 i20 1.2 L PBT Classic AA Key</t>
        </is>
      </c>
      <c r="E168" s="2" t="inlineStr">
        <is>
          <t>Hyundai</t>
        </is>
      </c>
      <c r="F168" s="2" t="inlineStr">
        <is>
          <t>Hyundai i20</t>
        </is>
      </c>
      <c r="G168" s="2" t="inlineStr">
        <is>
          <t>1.2</t>
        </is>
      </c>
      <c r="H168" s="2" t="inlineStr">
        <is>
          <t>i20 1.2 L PBT Classic AA Key</t>
        </is>
      </c>
      <c r="I168" s="2" t="n"/>
      <c r="J168" s="2" t="n"/>
      <c r="K168" s="2" t="inlineStr">
        <is>
          <t>gasolina</t>
        </is>
      </c>
      <c r="L168" s="2" t="inlineStr">
        <is>
          <t>utilitario</t>
        </is>
      </c>
      <c r="M168" s="2" t="n">
        <v>2011</v>
      </c>
      <c r="N168" s="2" t="n">
        <v>179000</v>
      </c>
      <c r="O168" s="2" t="n">
        <v>5599</v>
      </c>
      <c r="P168" s="2" t="inlineStr">
        <is>
          <t>manual</t>
        </is>
      </c>
      <c r="Q168" s="2" t="inlineStr">
        <is>
          <t>no</t>
        </is>
      </c>
      <c r="R168" s="2" t="inlineStr">
        <is>
          <t>profesional</t>
        </is>
      </c>
      <c r="S168" s="2" t="inlineStr">
        <is>
          <t>OVL-Ocasion Valencia Albal</t>
        </is>
      </c>
      <c r="T168" s="2" t="inlineStr">
        <is>
          <t>2026-10-31T11:49:29Z</t>
        </is>
      </c>
      <c r="U168" s="2" t="n">
        <v>13</v>
      </c>
      <c r="V168" s="2" t="n"/>
      <c r="W168" s="2" t="n"/>
      <c r="X168" s="2" t="n"/>
      <c r="Y168" s="2" t="n"/>
      <c r="Z168" s="2" t="inlineStr">
        <is>
          <t>sí</t>
        </is>
      </c>
      <c r="AA168" s="2" t="n"/>
      <c r="AB168" s="2" t="n">
        <v>12</v>
      </c>
      <c r="AC168" s="2" t="n"/>
      <c r="AD168" s="2" t="n"/>
      <c r="AE168" s="2" t="n"/>
      <c r="AF168" s="2" t="n"/>
      <c r="AG168" s="2" t="n"/>
      <c r="AH168" s="2" t="n">
        <v>5599</v>
      </c>
      <c r="AI168" s="2" t="n">
        <v>5599</v>
      </c>
      <c r="AJ168" s="2" t="n"/>
      <c r="AK168" s="2" t="n"/>
      <c r="AL168" s="2" t="n"/>
      <c r="AM168" s="2" t="n">
        <v>8.699999999999999</v>
      </c>
      <c r="AN168" s="2" t="n"/>
      <c r="AO168" s="2" t="inlineStr">
        <is>
          <t>2011</t>
        </is>
      </c>
      <c r="AP168" s="2" t="n">
        <v>2011</v>
      </c>
      <c r="AQ168" s="2" t="n"/>
      <c r="AR168" s="2" t="inlineStr">
        <is>
          <t>C</t>
        </is>
      </c>
      <c r="AS168" s="2" t="inlineStr">
        <is>
          <t>anuncio</t>
        </is>
      </c>
      <c r="AT168" s="2" t="n"/>
      <c r="AU168" s="2" t="inlineStr">
        <is>
          <t>no</t>
        </is>
      </c>
      <c r="AV168" s="2" t="inlineStr">
        <is>
          <t>C</t>
        </is>
      </c>
      <c r="AW168" s="2" t="n"/>
      <c r="AX168" s="2" t="inlineStr">
        <is>
          <t>no</t>
        </is>
      </c>
      <c r="AY168" s="2" t="inlineStr">
        <is>
          <t>no</t>
        </is>
      </c>
      <c r="AZ168" s="2" t="inlineStr">
        <is>
          <t>COMMON.COLOR_WHITE</t>
        </is>
      </c>
      <c r="BA168" s="2" t="inlineStr">
        <is>
          <t>blanco</t>
        </is>
      </c>
      <c r="BB168" s="3" t="n">
        <v>2</v>
      </c>
      <c r="BC168" s="3" t="inlineStr">
        <is>
          <t>(por segmento)</t>
        </is>
      </c>
      <c r="BD168" s="2" t="n"/>
      <c r="BE168" s="2" t="n"/>
      <c r="BF168" s="2" t="n"/>
      <c r="BG168" s="2" t="inlineStr">
        <is>
          <t>sí</t>
        </is>
      </c>
      <c r="BH168" s="2" t="n"/>
      <c r="BI168" s="2" t="n"/>
      <c r="BJ168" s="2" t="n"/>
      <c r="BK168" s="2" t="n">
        <v>5</v>
      </c>
      <c r="BL168" s="2" t="n"/>
      <c r="BM168" s="2" t="n">
        <v>184</v>
      </c>
      <c r="BN168" s="2" t="n">
        <v>0.05126157402992249</v>
      </c>
      <c r="BO168" s="2" t="n">
        <v>3</v>
      </c>
      <c r="BP168" s="2" t="n">
        <v>5250</v>
      </c>
      <c r="BQ168" s="2" t="n">
        <v>4</v>
      </c>
      <c r="BR168" s="2" t="inlineStr">
        <is>
          <t>modelo+año+km</t>
        </is>
      </c>
      <c r="BS168" s="2" t="n"/>
      <c r="BT168" s="2" t="inlineStr">
        <is>
          <t>por encima del presupuesto: negociar 663 € (coste 5663 €; -13.3 puntos); vendedor profesional: sin ITP (operación con IVA/REBU, confirmar en factura); gastos de gestión del vendedor no indicados: se suma la tasa DGT; preguntar el precio final; revisar: no menciona la ITV</t>
        </is>
      </c>
      <c r="BU168" s="2" t="inlineStr">
        <is>
          <t>OCASION VALENCIA DISPONEMOS DE MAS DE 50 VEHICULOS EN STOCK
-ENTREGA INMEDIATA
-GARANTIA DE 1 AÑO (INCLUIDA)
-REVISION EN NUESTROS MECANICOS
-CAMBIO DE ACEITE Y FILTROS NUEVOS
-POSIBILIDAD DE ENTREGA SIN MOVERTE DE CASA
-FINANCIACION INMEDIATA A COMODOS PLAZOS
Este modelo equipa aire acondicionado, cierre centralizado con mando a distancia y ordenador de viaje con consumo instantáneo y autonomía. Además, cuenta con cristales tintados, elevalunas eléctricos delanteros con uno de un solo toque y equipo de audio con RDS y lector de MP3. La banqueta trasera abatible asimétrica aporta versatilidad. Su etiqueta medioambiental C facilita el acceso a zonas ZBE.
OCASION VALENCIA ENTREGA CON 1 AÑO DE GARANTIA (cambio de nombre no incluido)FINANCIACION A SU DISPOSICION....
NOS ENCONTRAMOS EN CALLE SAN CARLOS,9,ALBAL,46470
EL ANUNCIO NO ES VINCULANTE Y PUEDE CONTENER ALGUN ERROR.</t>
        </is>
      </c>
      <c r="BV168" s="2" t="inlineStr">
        <is>
          <t>https://www.coches.net/hyundai-i20-i20-12-l-pbt-classic-aa-key-5p-gasolina-2011-en-valencia-71877631-covo.aspx (window.__INITIAL_PROPS__.ad) /home/user/Alopecia/buscador-coches/raw/cochesnet/026754f23cfeab13.json</t>
        </is>
      </c>
      <c r="BW168" s="3">
        <f>MAX(ANIO_ACTUAL-M168,0)</f>
        <v/>
      </c>
      <c r="BX168" s="4">
        <f>N168/MAX(BW168,0.5)</f>
        <v/>
      </c>
      <c r="BY168" s="4">
        <f>F168</f>
        <v/>
      </c>
      <c r="BZ168" s="3">
        <f>BY168&amp;"|"&amp;INT(M168/SEG_ANIO)*SEG_ANIO</f>
        <v/>
      </c>
      <c r="CA168" s="3">
        <f>BZ168&amp;"|"&amp;INT(N168/SEG_KM)*SEG_KM</f>
        <v/>
      </c>
      <c r="CB168" s="4">
        <f>COUNTIF($BY$2:$BY$209,BY168)</f>
        <v/>
      </c>
      <c r="CC168" s="4">
        <f>COUNTIF($BZ$2:$BZ$209,BZ168)</f>
        <v/>
      </c>
      <c r="CD168" s="4">
        <f>COUNTIF($CA$2:$CA$209,CA168)</f>
        <v/>
      </c>
      <c r="CE168" s="3">
        <f t="array" ref="CE168">IF(N(BQ168)&gt;=MIN_N,BP168,IF(CD168&gt;=MIN_N,MEDIAN(IF($CA$2:$CA$209=CA168,$O$2:$O$209)),IF(CC168&gt;=MIN_N,MEDIAN(IF($BZ$2:$BZ$209=BZ168,$O$2:$O$209)),MEDIAN(IF($BY$2:$BY$209=BY168,$O$2:$O$209)))))</f>
        <v/>
      </c>
      <c r="CF168" s="3">
        <f>IF(N(BQ168)&gt;=MIN_N,"mercado "&amp;BR168,IF(CD168&gt;=MIN_N,"modelo+año+km",IF(CC168&gt;=MIN_N,"modelo+año","modelo")))</f>
        <v/>
      </c>
      <c r="CG168" s="4">
        <f>(CE168-O168)/CE168</f>
        <v/>
      </c>
      <c r="CH168" s="3">
        <f>IF(COUNTIFS(FR_FUEL,K168,FR_YEAR,AP168)&gt;0,1,0)</f>
        <v/>
      </c>
      <c r="CI168" s="3">
        <f>IF(COUNTIFS(FR_FUEL,K168,FR_YEAR,AP168-1)&gt;0,1,0)</f>
        <v/>
      </c>
      <c r="CJ168" s="4">
        <f>IF(N(AQ168)&gt;0,AP168*100+AQ168,IF(AND(CH168=1,CI168=1),(AP168-1)*100+1,AP168*100+1))</f>
        <v/>
      </c>
      <c r="CK168" s="3">
        <f>IF(OR(K168="hibrido",K168="glp",K168="gnc",K168="phev"),"ECO",IF(K168="electrico","CERO",IF(K168="gasolina",IF(CJ168&gt;=GAS_C_YM,"C",IF(CJ168&gt;=GAS_B_YM,"B","A")),IF(K168="diesel",IF(CJ168&gt;=DIE_C_YM,"C",IF(CJ168&gt;=DIE_B_YM,"B","A")),""))))</f>
        <v/>
      </c>
      <c r="CL168" s="2" t="inlineStr">
        <is>
          <t>C</t>
        </is>
      </c>
      <c r="CM168" s="4">
        <f>IF(AU168="sí","sí",IF(AS168="regla",IF(AND(N(AQ168)=0,CH168=1),"sí","no"),"no"))</f>
        <v/>
      </c>
      <c r="CN168" s="3">
        <f>IFERROR(VLOOKUP(F168,MOD_TBL,16,0),IFERROR(VLOOKUP(E168,OCU_TBL,2,0),NEUTRO))</f>
        <v/>
      </c>
      <c r="CO168" s="3">
        <f>SUMIFS(MOT_AJUSTE,MOT_MOTOR,G168,MOT_MARCA,E168,MOT_DESDE,"&lt;="&amp;M168,MOT_HASTA,"&gt;="&amp;M168)+SUMIFS(MOT_AJUSTE,MOT_MOTOR,G168,MOT_MARCA,"(todas)",MOT_DESDE,"&lt;="&amp;M168,MOT_HASTA,"&gt;="&amp;M168)+SUMIFS(MOT_AJUSTE,MOT_MOTOR,"(cualquiera)",MOT_MARCA,E168,MOT_DESDE,"&lt;="&amp;M168,MOT_HASTA,"&gt;="&amp;M168)</f>
        <v/>
      </c>
      <c r="CP168" s="3">
        <f>SUMIFS(COMB_AJUSTE,COMB_COMB,K168)</f>
        <v/>
      </c>
      <c r="CQ168" s="3">
        <f>COUNTIFS(MOT_MOTOR,G168,MOT_MARCA,E168,MOT_DESDE,"&lt;="&amp;M168,MOT_HASTA,"&gt;="&amp;M168)+COUNTIFS(MOT_MOTOR,G168,MOT_MARCA,"(todas)",MOT_DESDE,"&lt;="&amp;M168,MOT_HASTA,"&gt;="&amp;M168)+COUNTIFS(MOT_MOTOR,"(cualquiera)",MOT_MARCA,E168,MOT_DESDE,"&lt;="&amp;M168,MOT_HASTA,"&gt;="&amp;M168)</f>
        <v/>
      </c>
      <c r="CR168" s="3">
        <f>IF(AND(K168="diesel",CQ168=0),MIN(CN168,NEUTRO),CN168)</f>
        <v/>
      </c>
      <c r="CS168" s="3">
        <f>MAX(0,MIN(100,CR168+CO168+CP168-IF(AX168="sí",ROB_PEN,0)))</f>
        <v/>
      </c>
      <c r="CT168" s="3">
        <f>100-MAX(0,N168-KM_TOPE_DESDE)/1000*KM_TOPE_PTS</f>
        <v/>
      </c>
      <c r="CU168" s="3">
        <f>MAX(0,MIN(100,50+CG168*PRECIO_PEND,CT168))</f>
        <v/>
      </c>
      <c r="CV168" s="3">
        <f>MAX(0,100*(1-N168/KM_MAX))</f>
        <v/>
      </c>
      <c r="CW168" s="3">
        <f>IF(BX168&lt;KMA_SOSP,IF(AA168="sí",100,KMA_PEN),IF(BX168&lt;=KMA_IDEAL_MAX,100,MAX(0,100*(KMA_CERO-BX168)/(KMA_CERO-KMA_IDEAL_MAX))))</f>
        <v/>
      </c>
      <c r="CX168" s="3">
        <f>MAX(0,MIN(100,100*(M168-ANIO_MIN)/(ANIO_ACTUAL-ANIO_MIN)))</f>
        <v/>
      </c>
      <c r="CY168" s="3">
        <f>W_KMT*CV168+W_KMA*CW168+W_EDAD*CX168</f>
        <v/>
      </c>
      <c r="CZ168" s="4">
        <f>E168&amp;"|"&amp;G168</f>
        <v/>
      </c>
      <c r="DA168" s="3">
        <f>IFERROR(VLOOKUP(CZ168,DIST_TBL,2,0),"")</f>
        <v/>
      </c>
      <c r="DB168" s="3">
        <f>E_ITV*(V168="sí")+E_LIBRO*(W168="sí")+E_PROP*IF(Y168=1,1,IF(Y168=2,0.5,0))+E_CORREA*IF(OR(DA168="cadena",AND(X168="sí",BH168="sí")),1,IF(X168="sí",0.5,0))+E_FACT*(BI168="sí")</f>
        <v/>
      </c>
      <c r="DC168" s="3">
        <f>MAX(0,MIN(100,IFERROR(VLOOKUP(CL168,ETQ_TBL,2,0),0)-IF(CM168="sí",ETQ_PEN_DUD,IF(AS168="regla",ETQ_PEN_REGLA,0))))</f>
        <v/>
      </c>
      <c r="DD168" s="3">
        <f>IF(K168&lt;&gt;"gasolina","",IFERROR(VLOOKUP(F168,CONS_MOD_TBL,2,0),IFERROR(VLOOKUP(L168,CONS_SEG_TBL,2,0),"")))</f>
        <v/>
      </c>
      <c r="DE168" s="3">
        <f>IF(DD168="",NEUTRO,MAX(0,MIN(100,100*(CONS_REF_MAX-DD168)/(CONS_REF_MAX-CONS_REF_MIN))))</f>
        <v/>
      </c>
      <c r="DF168" s="3">
        <f>IFERROR(VLOOKUP(L168,SEGURO_TBL,3,0),"")</f>
        <v/>
      </c>
      <c r="DG168" s="3">
        <f>IF(DF168="",NEUTRO,MAX(0,MIN(100,100*(SEG_REF_MAX-DF168)/(SEG_REF_MAX-SEG_REF_MIN))))</f>
        <v/>
      </c>
      <c r="DH168" s="3">
        <f>IFERROR(VLOOKUP(E168,MANT_MARCA_TBL,2,0)+0,NEUTRO)</f>
        <v/>
      </c>
      <c r="DI168" s="3">
        <f>IF(DA168="",NEUTRO,IFERROR(VLOOKUP(DA168,DIST_PTS_TBL,2,0)+0,NEUTRO))</f>
        <v/>
      </c>
      <c r="DJ168" s="4">
        <f>(DH168+DI168)/2</f>
        <v/>
      </c>
      <c r="DK168" s="3">
        <f>W_CONS*DE168+W_SEG*DG168+W_MANT*DJ168</f>
        <v/>
      </c>
      <c r="DL168" s="3">
        <f>IF(N(AB168)&gt;0,AB168,IF(AND(R168="profesional",SG_LEGAL_ON=1),GAR_LEGAL,0))</f>
        <v/>
      </c>
      <c r="DM168" s="3">
        <f>MAX(0,MIN(100,SG_GAR*MIN(1,DL168/SG_GAR_FULL)+SG_AMPL*(AC168="sí")+SG_KMC*(AF168="sí")+SG_REV*(N(AE168)&gt;0)+SG_DEV*MIN(1,N(AG168)/SG_DEV_FULL)+SG_HIST*(W168="sí")-IF(AND(R168="particular",DL168=0),SG_PART_PEN,0)))</f>
        <v/>
      </c>
      <c r="DN168" s="3">
        <f>IF(BK168="",NEUTRO,MAX(0,MIN(100,BK168/5*100)))</f>
        <v/>
      </c>
      <c r="DO168" s="3">
        <f>IF(BL168="sí",100,IF(BL168="no",0,NEUTRO))</f>
        <v/>
      </c>
      <c r="DP168" s="3">
        <f>SV_W_NCAP*DN168+SV_W_ESP*DO168</f>
        <v/>
      </c>
      <c r="DQ168" s="3">
        <f>MAX(0,MIN(100,ATR_BASE+ATR_ACAB*(BD168&lt;&gt;"")+IF(BE168="16+",ATR_LL16,IF(BE168="sí",ATR_LL,0))+ATR_FAROS*(BF168="sí")+ATR_TINT*(BG168="sí")-ATR_CHAPA*(BE168="chapa")))</f>
        <v/>
      </c>
      <c r="DR168" s="3">
        <f>EST_W_MOD*(BB168-1)/4*100+EST_W_ATR*DQ168</f>
        <v/>
      </c>
      <c r="DS168" s="3">
        <f>IF(BA168="",NEUTRO,IFERROR(VLOOKUP(BA168,COLOR_TBL,2,0)+0,NEUTRO))</f>
        <v/>
      </c>
      <c r="DT168" s="3">
        <f>MAX(0,MIN(100,100*N(BM168)/RV_N_FULL))</f>
        <v/>
      </c>
      <c r="DU168" s="3">
        <f>IF(OR(BN168="",N(BO168)&lt;RV_DIAS_MIN),NEUTRO,MAX(0,MIN(100,100*(RV_DIAS_CERO-BN168)/(RV_DIAS_CERO-RV_DIAS_FULL))))</f>
        <v/>
      </c>
      <c r="DV168" s="3">
        <f>RV_W_LIQ*DT168+RV_W_DIAS*DU168+RV_W_ETQ*DC168</f>
        <v/>
      </c>
      <c r="DW168" s="3">
        <f>IFERROR(VLOOKUP(L168,CARR_PEN_TBL,2,0),0)</f>
        <v/>
      </c>
      <c r="DX168" s="3">
        <f>W_FIAB*CS168+W_PRECIO*CU168+W_KMEDAD*CY168+W_ESTADO*DB168+W_USO*DK168+W_SEGURIDAD*DM168+W_SEGVIAL*DP168+W_ESTETICA*DR168+W_COLOR*DS168+W_REVENTA*DV168-DW168-EG168</f>
        <v/>
      </c>
      <c r="DY168" s="4">
        <f>IF(N(I168)&gt;0,I168,IFERROR(ROUND(_xlfn.NUMBERVALUE(LEFT(G168,FIND(" ",G168&amp;" ")-1),".")*1000,0),99999))</f>
        <v/>
      </c>
      <c r="DZ168" s="3">
        <f>IF(R168="profesional",0,IF(O168&lt;CUOTA_VALOR_MAX,IF(BW168&gt;ITP_TRAMO_ALTO,SUMIFS(CF_CUOTA,CF_MAS,ITP_TRAMO_ALTO,CF_CCMIN,"&lt;="&amp;DY168,CF_CCMAX,"&gt;="&amp;DY168),IF(BW168&gt;ITP_TRAMO_BAJO,SUMIFS(CF_CUOTA,CF_MAS,ITP_TRAMO_BAJO,CF_CCMIN,"&lt;="&amp;DY168,CF_CCMAX,"&gt;="&amp;DY168),O168*ITP_TIPO)),O168*ITP_TIPO))</f>
        <v/>
      </c>
      <c r="EA168" s="4">
        <f>IF(R168="profesional",N(AK168),0)</f>
        <v/>
      </c>
      <c r="EB168" s="3">
        <f>IF(AND(R168="profesional",ISNUMBER(AK168),AL168="sí"),0,TASA_DGT)</f>
        <v/>
      </c>
      <c r="EC168" s="3">
        <f>INFORME_DGT</f>
        <v/>
      </c>
      <c r="ED168" s="4">
        <f>O168+EA168+DZ168+EB168+EC168</f>
        <v/>
      </c>
      <c r="EE168" s="4">
        <f>ED168+N(DF168)</f>
        <v/>
      </c>
      <c r="EF168" s="3">
        <f>MAX(0,ED168-TOTAL_MAX)</f>
        <v/>
      </c>
      <c r="EG168" s="3">
        <f>EF168/100*PEN_100</f>
        <v/>
      </c>
      <c r="EH168" s="3">
        <f>IF(R168="particular",ED168+IF(AND(DA168&lt;&gt;"cadena",X168&lt;&gt;"sí"),RES_CORREA,0)+IF(AND(BJ168&lt;&gt;"sí",BW168&gt;=RES_NEUM_EDAD),RES_NEUM,0),"")</f>
        <v/>
      </c>
      <c r="EI168" s="3">
        <f>IF(ED168&lt;=TOTAL_MAX,"sí",IF(ED168&lt;=TECHO,"negociar","no"))</f>
        <v/>
      </c>
      <c r="EJ168" s="4">
        <f>ROUND(DX168,9)</f>
        <v/>
      </c>
      <c r="EK168" s="4">
        <f>IF(EI168&lt;&gt;"no",SUMPRODUCT(($EI$2:$EI$209&lt;&gt;"no")*($EJ$2:$EJ$209&gt;EJ168))+SUMPRODUCT(($EI$2:EI168&lt;&gt;"no")*($EJ$2:EJ168=EJ168)),"")</f>
        <v/>
      </c>
    </row>
    <row r="169">
      <c r="A169" s="2" t="inlineStr">
        <is>
          <t>cochesnet:71868945</t>
        </is>
      </c>
      <c r="B169" s="2" t="inlineStr">
        <is>
          <t>cochesnet</t>
        </is>
      </c>
      <c r="C169" s="2" t="inlineStr">
        <is>
          <t>https://www.coches.net/hyundai-i20-i20-12-comfort-aa-5p-gasolina-2009-en-valencia-71868945-covo.aspx</t>
        </is>
      </c>
      <c r="D169" s="2" t="inlineStr">
        <is>
          <t>HYUNDAI i20 i20 1.2 Comfort AA</t>
        </is>
      </c>
      <c r="E169" s="2" t="inlineStr">
        <is>
          <t>Hyundai</t>
        </is>
      </c>
      <c r="F169" s="2" t="inlineStr">
        <is>
          <t>Hyundai i20</t>
        </is>
      </c>
      <c r="G169" s="2" t="inlineStr">
        <is>
          <t>1.2</t>
        </is>
      </c>
      <c r="H169" s="2" t="inlineStr">
        <is>
          <t>i20 1.2 Comfort AA</t>
        </is>
      </c>
      <c r="I169" s="2" t="n"/>
      <c r="J169" s="2" t="n"/>
      <c r="K169" s="2" t="inlineStr">
        <is>
          <t>gasolina</t>
        </is>
      </c>
      <c r="L169" s="2" t="inlineStr">
        <is>
          <t>utilitario</t>
        </is>
      </c>
      <c r="M169" s="2" t="n">
        <v>2009</v>
      </c>
      <c r="N169" s="2" t="n">
        <v>97800</v>
      </c>
      <c r="O169" s="2" t="n">
        <v>5690</v>
      </c>
      <c r="P169" s="2" t="inlineStr">
        <is>
          <t>manual</t>
        </is>
      </c>
      <c r="Q169" s="2" t="inlineStr">
        <is>
          <t>no</t>
        </is>
      </c>
      <c r="R169" s="2" t="inlineStr">
        <is>
          <t>profesional</t>
        </is>
      </c>
      <c r="S169" s="2" t="inlineStr">
        <is>
          <t>FALKEN Quartell</t>
        </is>
      </c>
      <c r="T169" s="2" t="inlineStr">
        <is>
          <t>2026-10-30T11:12:33Z</t>
        </is>
      </c>
      <c r="U169" s="2" t="n">
        <v>22</v>
      </c>
      <c r="V169" s="2" t="n"/>
      <c r="W169" s="2" t="inlineStr">
        <is>
          <t>sí</t>
        </is>
      </c>
      <c r="X169" s="2" t="n"/>
      <c r="Y169" s="2" t="n"/>
      <c r="Z169" s="2" t="inlineStr">
        <is>
          <t>sí</t>
        </is>
      </c>
      <c r="AA169" s="2" t="inlineStr">
        <is>
          <t>sí</t>
        </is>
      </c>
      <c r="AB169" s="2" t="n">
        <v>12</v>
      </c>
      <c r="AC169" s="2" t="n"/>
      <c r="AD169" s="2" t="n"/>
      <c r="AE169" s="2" t="n"/>
      <c r="AF169" s="2" t="inlineStr">
        <is>
          <t>sí</t>
        </is>
      </c>
      <c r="AG169" s="2" t="n"/>
      <c r="AH169" s="2" t="n">
        <v>5690</v>
      </c>
      <c r="AI169" s="2" t="n">
        <v>5690</v>
      </c>
      <c r="AJ169" s="2" t="n"/>
      <c r="AK169" s="2" t="n"/>
      <c r="AL169" s="2" t="n"/>
      <c r="AM169" s="2" t="n">
        <v>31.3</v>
      </c>
      <c r="AN169" s="2" t="n"/>
      <c r="AO169" s="2" t="inlineStr">
        <is>
          <t>2009</t>
        </is>
      </c>
      <c r="AP169" s="2" t="n">
        <v>2009</v>
      </c>
      <c r="AQ169" s="2" t="n"/>
      <c r="AR169" s="2" t="inlineStr">
        <is>
          <t>C</t>
        </is>
      </c>
      <c r="AS169" s="2" t="inlineStr">
        <is>
          <t>anuncio</t>
        </is>
      </c>
      <c r="AT169" s="2" t="n"/>
      <c r="AU169" s="2" t="inlineStr">
        <is>
          <t>no</t>
        </is>
      </c>
      <c r="AV169" s="2" t="inlineStr">
        <is>
          <t>C</t>
        </is>
      </c>
      <c r="AW169" s="2" t="n"/>
      <c r="AX169" s="2" t="inlineStr">
        <is>
          <t>no</t>
        </is>
      </c>
      <c r="AY169" s="2" t="inlineStr">
        <is>
          <t>no</t>
        </is>
      </c>
      <c r="AZ169" s="2" t="inlineStr">
        <is>
          <t>COMMON.COLOR_GRAY</t>
        </is>
      </c>
      <c r="BA169" s="2" t="inlineStr">
        <is>
          <t>gris_medio</t>
        </is>
      </c>
      <c r="BB169" s="3" t="n">
        <v>2</v>
      </c>
      <c r="BC169" s="3" t="inlineStr">
        <is>
          <t>(por segmento)</t>
        </is>
      </c>
      <c r="BD169" s="2" t="n"/>
      <c r="BE169" s="2" t="n"/>
      <c r="BF169" s="2" t="n"/>
      <c r="BG169" s="2" t="n"/>
      <c r="BH169" s="2" t="n"/>
      <c r="BI169" s="2" t="n"/>
      <c r="BJ169" s="2" t="n"/>
      <c r="BK169" s="2" t="n">
        <v>5</v>
      </c>
      <c r="BL169" s="2" t="n"/>
      <c r="BM169" s="2" t="n">
        <v>184</v>
      </c>
      <c r="BN169" s="2" t="n">
        <v>0.05126157402992249</v>
      </c>
      <c r="BO169" s="2" t="n">
        <v>3</v>
      </c>
      <c r="BP169" s="2" t="n"/>
      <c r="BQ169" s="2" t="n"/>
      <c r="BR169" s="2" t="n"/>
      <c r="BS169" s="2" t="n"/>
      <c r="BT169" s="2" t="inlineStr">
        <is>
          <t>por encima del presupuesto: negociar 754 € (coste 5754 €; -15.1 puntos); vendedor profesional: sin ITP (operación con IVA/REBU, confirmar en factura); gastos de gestión del vendedor no indicados: se suma la tasa DGT; preguntar el precio final; revisar: detalles «detalle»</t>
        </is>
      </c>
      <c r="BU169" s="2" t="inlineStr">
        <is>
          <t xml:space="preserve">HYUNDAI i20 1.2 Comfort AA | Gasolina | Manual | Etiqueta C
FINANCIACIÓN A TU MEDIDA!
12 MESES DE GARANTÍA
EXTRAS:
-Cambio manual 5 velocidades
-Múltiples airbags (frontales, laterales)
-Aire Acondicionado
-Elevalunas eléctricos delanteros
-Espejos eléctricos 
-Asiento conductor con ajuste en altura
-Asientos traseros abatibles 60/40
-Sistema de anclajes ISOFIX
ESTADO:
-Mantenimiento al día
-Libre de accidentes e inundaciones
-Kilometraje certificado: 97.800 km
-ITV vigente hasta 10/2027
-Incluye 2 llaves originales
-Primera matriculación: 04/2009
Servicios adicionales:
-Gestión de cambio de nombre
-Entrega a domicilio (previa consulta)
-Sobrevaloramos su coche como parte de pago
Ubicación: A solo 25 minutos de Valencia
Horario: Lunes a Sábados con cita previa
¡Contáctenos hoy mismo!
614-48-13-75
@novafalken
¡No pierda ésta oportunidad de tener un HYUNDAI i20 en un impecable estado, venga a verlo!
AVISO: Las fotografías y la información publicada en este anuncio son de carácter informativo y pueden contener errores de transcripción. Las imágenes pueden no ser contractuales. El equipamiento, características y datos del vehículo están sujetos a comprobación y confirmación antes de formalizar la compra. Consulte con nuestro equipo cualquier duda o detalle específico del vehículo.
</t>
        </is>
      </c>
      <c r="BV169" s="2" t="inlineStr">
        <is>
          <t>https://www.coches.net/hyundai-i20-i20-12-comfort-aa-5p-gasolina-2009-en-valencia-71868945-covo.aspx (window.__INITIAL_PROPS__.ad) /home/user/Alopecia/buscador-coches/raw/cochesnet/bebf21619ecf2c42.json</t>
        </is>
      </c>
      <c r="BW169" s="3">
        <f>MAX(ANIO_ACTUAL-M169,0)</f>
        <v/>
      </c>
      <c r="BX169" s="4">
        <f>N169/MAX(BW169,0.5)</f>
        <v/>
      </c>
      <c r="BY169" s="4">
        <f>F169</f>
        <v/>
      </c>
      <c r="BZ169" s="3">
        <f>BY169&amp;"|"&amp;INT(M169/SEG_ANIO)*SEG_ANIO</f>
        <v/>
      </c>
      <c r="CA169" s="3">
        <f>BZ169&amp;"|"&amp;INT(N169/SEG_KM)*SEG_KM</f>
        <v/>
      </c>
      <c r="CB169" s="4">
        <f>COUNTIF($BY$2:$BY$209,BY169)</f>
        <v/>
      </c>
      <c r="CC169" s="4">
        <f>COUNTIF($BZ$2:$BZ$209,BZ169)</f>
        <v/>
      </c>
      <c r="CD169" s="4">
        <f>COUNTIF($CA$2:$CA$209,CA169)</f>
        <v/>
      </c>
      <c r="CE169" s="3">
        <f t="array" ref="CE169">IF(N(BQ169)&gt;=MIN_N,BP169,IF(CD169&gt;=MIN_N,MEDIAN(IF($CA$2:$CA$209=CA169,$O$2:$O$209)),IF(CC169&gt;=MIN_N,MEDIAN(IF($BZ$2:$BZ$209=BZ169,$O$2:$O$209)),MEDIAN(IF($BY$2:$BY$209=BY169,$O$2:$O$209)))))</f>
        <v/>
      </c>
      <c r="CF169" s="3">
        <f>IF(N(BQ169)&gt;=MIN_N,"mercado "&amp;BR169,IF(CD169&gt;=MIN_N,"modelo+año+km",IF(CC169&gt;=MIN_N,"modelo+año","modelo")))</f>
        <v/>
      </c>
      <c r="CG169" s="4">
        <f>(CE169-O169)/CE169</f>
        <v/>
      </c>
      <c r="CH169" s="3">
        <f>IF(COUNTIFS(FR_FUEL,K169,FR_YEAR,AP169)&gt;0,1,0)</f>
        <v/>
      </c>
      <c r="CI169" s="3">
        <f>IF(COUNTIFS(FR_FUEL,K169,FR_YEAR,AP169-1)&gt;0,1,0)</f>
        <v/>
      </c>
      <c r="CJ169" s="4">
        <f>IF(N(AQ169)&gt;0,AP169*100+AQ169,IF(AND(CH169=1,CI169=1),(AP169-1)*100+1,AP169*100+1))</f>
        <v/>
      </c>
      <c r="CK169" s="3">
        <f>IF(OR(K169="hibrido",K169="glp",K169="gnc",K169="phev"),"ECO",IF(K169="electrico","CERO",IF(K169="gasolina",IF(CJ169&gt;=GAS_C_YM,"C",IF(CJ169&gt;=GAS_B_YM,"B","A")),IF(K169="diesel",IF(CJ169&gt;=DIE_C_YM,"C",IF(CJ169&gt;=DIE_B_YM,"B","A")),""))))</f>
        <v/>
      </c>
      <c r="CL169" s="2" t="inlineStr">
        <is>
          <t>C</t>
        </is>
      </c>
      <c r="CM169" s="4">
        <f>IF(AU169="sí","sí",IF(AS169="regla",IF(AND(N(AQ169)=0,CH169=1),"sí","no"),"no"))</f>
        <v/>
      </c>
      <c r="CN169" s="3">
        <f>IFERROR(VLOOKUP(F169,MOD_TBL,16,0),IFERROR(VLOOKUP(E169,OCU_TBL,2,0),NEUTRO))</f>
        <v/>
      </c>
      <c r="CO169" s="3">
        <f>SUMIFS(MOT_AJUSTE,MOT_MOTOR,G169,MOT_MARCA,E169,MOT_DESDE,"&lt;="&amp;M169,MOT_HASTA,"&gt;="&amp;M169)+SUMIFS(MOT_AJUSTE,MOT_MOTOR,G169,MOT_MARCA,"(todas)",MOT_DESDE,"&lt;="&amp;M169,MOT_HASTA,"&gt;="&amp;M169)+SUMIFS(MOT_AJUSTE,MOT_MOTOR,"(cualquiera)",MOT_MARCA,E169,MOT_DESDE,"&lt;="&amp;M169,MOT_HASTA,"&gt;="&amp;M169)</f>
        <v/>
      </c>
      <c r="CP169" s="3">
        <f>SUMIFS(COMB_AJUSTE,COMB_COMB,K169)</f>
        <v/>
      </c>
      <c r="CQ169" s="3">
        <f>COUNTIFS(MOT_MOTOR,G169,MOT_MARCA,E169,MOT_DESDE,"&lt;="&amp;M169,MOT_HASTA,"&gt;="&amp;M169)+COUNTIFS(MOT_MOTOR,G169,MOT_MARCA,"(todas)",MOT_DESDE,"&lt;="&amp;M169,MOT_HASTA,"&gt;="&amp;M169)+COUNTIFS(MOT_MOTOR,"(cualquiera)",MOT_MARCA,E169,MOT_DESDE,"&lt;="&amp;M169,MOT_HASTA,"&gt;="&amp;M169)</f>
        <v/>
      </c>
      <c r="CR169" s="3">
        <f>IF(AND(K169="diesel",CQ169=0),MIN(CN169,NEUTRO),CN169)</f>
        <v/>
      </c>
      <c r="CS169" s="3">
        <f>MAX(0,MIN(100,CR169+CO169+CP169-IF(AX169="sí",ROB_PEN,0)))</f>
        <v/>
      </c>
      <c r="CT169" s="3">
        <f>100-MAX(0,N169-KM_TOPE_DESDE)/1000*KM_TOPE_PTS</f>
        <v/>
      </c>
      <c r="CU169" s="3">
        <f>MAX(0,MIN(100,50+CG169*PRECIO_PEND,CT169))</f>
        <v/>
      </c>
      <c r="CV169" s="3">
        <f>MAX(0,100*(1-N169/KM_MAX))</f>
        <v/>
      </c>
      <c r="CW169" s="3">
        <f>IF(BX169&lt;KMA_SOSP,IF(AA169="sí",100,KMA_PEN),IF(BX169&lt;=KMA_IDEAL_MAX,100,MAX(0,100*(KMA_CERO-BX169)/(KMA_CERO-KMA_IDEAL_MAX))))</f>
        <v/>
      </c>
      <c r="CX169" s="3">
        <f>MAX(0,MIN(100,100*(M169-ANIO_MIN)/(ANIO_ACTUAL-ANIO_MIN)))</f>
        <v/>
      </c>
      <c r="CY169" s="3">
        <f>W_KMT*CV169+W_KMA*CW169+W_EDAD*CX169</f>
        <v/>
      </c>
      <c r="CZ169" s="4">
        <f>E169&amp;"|"&amp;G169</f>
        <v/>
      </c>
      <c r="DA169" s="3">
        <f>IFERROR(VLOOKUP(CZ169,DIST_TBL,2,0),"")</f>
        <v/>
      </c>
      <c r="DB169" s="3">
        <f>E_ITV*(V169="sí")+E_LIBRO*(W169="sí")+E_PROP*IF(Y169=1,1,IF(Y169=2,0.5,0))+E_CORREA*IF(OR(DA169="cadena",AND(X169="sí",BH169="sí")),1,IF(X169="sí",0.5,0))+E_FACT*(BI169="sí")</f>
        <v/>
      </c>
      <c r="DC169" s="3">
        <f>MAX(0,MIN(100,IFERROR(VLOOKUP(CL169,ETQ_TBL,2,0),0)-IF(CM169="sí",ETQ_PEN_DUD,IF(AS169="regla",ETQ_PEN_REGLA,0))))</f>
        <v/>
      </c>
      <c r="DD169" s="3">
        <f>IF(K169&lt;&gt;"gasolina","",IFERROR(VLOOKUP(F169,CONS_MOD_TBL,2,0),IFERROR(VLOOKUP(L169,CONS_SEG_TBL,2,0),"")))</f>
        <v/>
      </c>
      <c r="DE169" s="3">
        <f>IF(DD169="",NEUTRO,MAX(0,MIN(100,100*(CONS_REF_MAX-DD169)/(CONS_REF_MAX-CONS_REF_MIN))))</f>
        <v/>
      </c>
      <c r="DF169" s="3">
        <f>IFERROR(VLOOKUP(L169,SEGURO_TBL,3,0),"")</f>
        <v/>
      </c>
      <c r="DG169" s="3">
        <f>IF(DF169="",NEUTRO,MAX(0,MIN(100,100*(SEG_REF_MAX-DF169)/(SEG_REF_MAX-SEG_REF_MIN))))</f>
        <v/>
      </c>
      <c r="DH169" s="3">
        <f>IFERROR(VLOOKUP(E169,MANT_MARCA_TBL,2,0)+0,NEUTRO)</f>
        <v/>
      </c>
      <c r="DI169" s="3">
        <f>IF(DA169="",NEUTRO,IFERROR(VLOOKUP(DA169,DIST_PTS_TBL,2,0)+0,NEUTRO))</f>
        <v/>
      </c>
      <c r="DJ169" s="4">
        <f>(DH169+DI169)/2</f>
        <v/>
      </c>
      <c r="DK169" s="3">
        <f>W_CONS*DE169+W_SEG*DG169+W_MANT*DJ169</f>
        <v/>
      </c>
      <c r="DL169" s="3">
        <f>IF(N(AB169)&gt;0,AB169,IF(AND(R169="profesional",SG_LEGAL_ON=1),GAR_LEGAL,0))</f>
        <v/>
      </c>
      <c r="DM169" s="3">
        <f>MAX(0,MIN(100,SG_GAR*MIN(1,DL169/SG_GAR_FULL)+SG_AMPL*(AC169="sí")+SG_KMC*(AF169="sí")+SG_REV*(N(AE169)&gt;0)+SG_DEV*MIN(1,N(AG169)/SG_DEV_FULL)+SG_HIST*(W169="sí")-IF(AND(R169="particular",DL169=0),SG_PART_PEN,0)))</f>
        <v/>
      </c>
      <c r="DN169" s="3">
        <f>IF(BK169="",NEUTRO,MAX(0,MIN(100,BK169/5*100)))</f>
        <v/>
      </c>
      <c r="DO169" s="3">
        <f>IF(BL169="sí",100,IF(BL169="no",0,NEUTRO))</f>
        <v/>
      </c>
      <c r="DP169" s="3">
        <f>SV_W_NCAP*DN169+SV_W_ESP*DO169</f>
        <v/>
      </c>
      <c r="DQ169" s="3">
        <f>MAX(0,MIN(100,ATR_BASE+ATR_ACAB*(BD169&lt;&gt;"")+IF(BE169="16+",ATR_LL16,IF(BE169="sí",ATR_LL,0))+ATR_FAROS*(BF169="sí")+ATR_TINT*(BG169="sí")-ATR_CHAPA*(BE169="chapa")))</f>
        <v/>
      </c>
      <c r="DR169" s="3">
        <f>EST_W_MOD*(BB169-1)/4*100+EST_W_ATR*DQ169</f>
        <v/>
      </c>
      <c r="DS169" s="3">
        <f>IF(BA169="",NEUTRO,IFERROR(VLOOKUP(BA169,COLOR_TBL,2,0)+0,NEUTRO))</f>
        <v/>
      </c>
      <c r="DT169" s="3">
        <f>MAX(0,MIN(100,100*N(BM169)/RV_N_FULL))</f>
        <v/>
      </c>
      <c r="DU169" s="3">
        <f>IF(OR(BN169="",N(BO169)&lt;RV_DIAS_MIN),NEUTRO,MAX(0,MIN(100,100*(RV_DIAS_CERO-BN169)/(RV_DIAS_CERO-RV_DIAS_FULL))))</f>
        <v/>
      </c>
      <c r="DV169" s="3">
        <f>RV_W_LIQ*DT169+RV_W_DIAS*DU169+RV_W_ETQ*DC169</f>
        <v/>
      </c>
      <c r="DW169" s="3">
        <f>IFERROR(VLOOKUP(L169,CARR_PEN_TBL,2,0),0)</f>
        <v/>
      </c>
      <c r="DX169" s="3">
        <f>W_FIAB*CS169+W_PRECIO*CU169+W_KMEDAD*CY169+W_ESTADO*DB169+W_USO*DK169+W_SEGURIDAD*DM169+W_SEGVIAL*DP169+W_ESTETICA*DR169+W_COLOR*DS169+W_REVENTA*DV169-DW169-EG169</f>
        <v/>
      </c>
      <c r="DY169" s="4">
        <f>IF(N(I169)&gt;0,I169,IFERROR(ROUND(_xlfn.NUMBERVALUE(LEFT(G169,FIND(" ",G169&amp;" ")-1),".")*1000,0),99999))</f>
        <v/>
      </c>
      <c r="DZ169" s="3">
        <f>IF(R169="profesional",0,IF(O169&lt;CUOTA_VALOR_MAX,IF(BW169&gt;ITP_TRAMO_ALTO,SUMIFS(CF_CUOTA,CF_MAS,ITP_TRAMO_ALTO,CF_CCMIN,"&lt;="&amp;DY169,CF_CCMAX,"&gt;="&amp;DY169),IF(BW169&gt;ITP_TRAMO_BAJO,SUMIFS(CF_CUOTA,CF_MAS,ITP_TRAMO_BAJO,CF_CCMIN,"&lt;="&amp;DY169,CF_CCMAX,"&gt;="&amp;DY169),O169*ITP_TIPO)),O169*ITP_TIPO))</f>
        <v/>
      </c>
      <c r="EA169" s="4">
        <f>IF(R169="profesional",N(AK169),0)</f>
        <v/>
      </c>
      <c r="EB169" s="3">
        <f>IF(AND(R169="profesional",ISNUMBER(AK169),AL169="sí"),0,TASA_DGT)</f>
        <v/>
      </c>
      <c r="EC169" s="3">
        <f>INFORME_DGT</f>
        <v/>
      </c>
      <c r="ED169" s="4">
        <f>O169+EA169+DZ169+EB169+EC169</f>
        <v/>
      </c>
      <c r="EE169" s="4">
        <f>ED169+N(DF169)</f>
        <v/>
      </c>
      <c r="EF169" s="3">
        <f>MAX(0,ED169-TOTAL_MAX)</f>
        <v/>
      </c>
      <c r="EG169" s="3">
        <f>EF169/100*PEN_100</f>
        <v/>
      </c>
      <c r="EH169" s="3">
        <f>IF(R169="particular",ED169+IF(AND(DA169&lt;&gt;"cadena",X169&lt;&gt;"sí"),RES_CORREA,0)+IF(AND(BJ169&lt;&gt;"sí",BW169&gt;=RES_NEUM_EDAD),RES_NEUM,0),"")</f>
        <v/>
      </c>
      <c r="EI169" s="3">
        <f>IF(ED169&lt;=TOTAL_MAX,"sí",IF(ED169&lt;=TECHO,"negociar","no"))</f>
        <v/>
      </c>
      <c r="EJ169" s="4">
        <f>ROUND(DX169,9)</f>
        <v/>
      </c>
      <c r="EK169" s="4">
        <f>IF(EI169&lt;&gt;"no",SUMPRODUCT(($EI$2:$EI$209&lt;&gt;"no")*($EJ$2:$EJ$209&gt;EJ169))+SUMPRODUCT(($EI$2:EI169&lt;&gt;"no")*($EJ$2:EJ169=EJ169)),"")</f>
        <v/>
      </c>
    </row>
    <row r="170">
      <c r="A170" s="2" t="inlineStr">
        <is>
          <t>cochesnet:71755302</t>
        </is>
      </c>
      <c r="B170" s="2" t="inlineStr">
        <is>
          <t>cochesnet</t>
        </is>
      </c>
      <c r="C170" s="2" t="inlineStr">
        <is>
          <t>https://www.coches.net/hyundai-i20-12-pbt-classic-aa-key-5p-gasolina-2011-en-valencia-71755302-covo.aspx</t>
        </is>
      </c>
      <c r="D170" s="2" t="inlineStr">
        <is>
          <t>HYUNDAI i20 1.2 PBT Classic AA Key</t>
        </is>
      </c>
      <c r="E170" s="2" t="inlineStr">
        <is>
          <t>Hyundai</t>
        </is>
      </c>
      <c r="F170" s="2" t="inlineStr">
        <is>
          <t>Hyundai i20</t>
        </is>
      </c>
      <c r="G170" s="2" t="inlineStr">
        <is>
          <t>1.2</t>
        </is>
      </c>
      <c r="H170" s="2" t="inlineStr">
        <is>
          <t>1.2 PBT Classic AA Key</t>
        </is>
      </c>
      <c r="I170" s="2" t="n"/>
      <c r="J170" s="2" t="n"/>
      <c r="K170" s="2" t="inlineStr">
        <is>
          <t>gasolina</t>
        </is>
      </c>
      <c r="L170" s="2" t="inlineStr">
        <is>
          <t>utilitario</t>
        </is>
      </c>
      <c r="M170" s="2" t="n">
        <v>2012</v>
      </c>
      <c r="N170" s="2" t="n">
        <v>165000</v>
      </c>
      <c r="O170" s="2" t="n">
        <v>5250</v>
      </c>
      <c r="P170" s="2" t="inlineStr">
        <is>
          <t>manual</t>
        </is>
      </c>
      <c r="Q170" s="2" t="inlineStr">
        <is>
          <t>no</t>
        </is>
      </c>
      <c r="R170" s="2" t="inlineStr">
        <is>
          <t>profesional</t>
        </is>
      </c>
      <c r="S170" s="2" t="inlineStr">
        <is>
          <t>O.s.l Cars Catarroja</t>
        </is>
      </c>
      <c r="T170" s="2" t="inlineStr">
        <is>
          <t>2026-10-15T18:15:39Z</t>
        </is>
      </c>
      <c r="U170" s="2" t="n">
        <v>13</v>
      </c>
      <c r="V170" s="2" t="n"/>
      <c r="W170" s="2" t="n"/>
      <c r="X170" s="2" t="n"/>
      <c r="Y170" s="2" t="n"/>
      <c r="Z170" s="2" t="inlineStr">
        <is>
          <t>sí</t>
        </is>
      </c>
      <c r="AA170" s="2" t="n"/>
      <c r="AB170" s="2" t="n">
        <v>12</v>
      </c>
      <c r="AC170" s="2" t="n"/>
      <c r="AD170" s="2" t="n"/>
      <c r="AE170" s="2" t="n"/>
      <c r="AF170" s="2" t="n"/>
      <c r="AG170" s="2" t="n"/>
      <c r="AH170" s="2" t="n">
        <v>5250</v>
      </c>
      <c r="AI170" s="2" t="n">
        <v>5250</v>
      </c>
      <c r="AJ170" s="2" t="n"/>
      <c r="AK170" s="2" t="n"/>
      <c r="AL170" s="2" t="n"/>
      <c r="AM170" s="2" t="n">
        <v>7.8</v>
      </c>
      <c r="AN170" s="2" t="n"/>
      <c r="AO170" s="2" t="inlineStr">
        <is>
          <t>2012</t>
        </is>
      </c>
      <c r="AP170" s="2" t="n">
        <v>2012</v>
      </c>
      <c r="AQ170" s="2" t="n"/>
      <c r="AR170" s="2" t="inlineStr">
        <is>
          <t>C</t>
        </is>
      </c>
      <c r="AS170" s="2" t="inlineStr">
        <is>
          <t>anuncio</t>
        </is>
      </c>
      <c r="AT170" s="2" t="n">
        <v>2011</v>
      </c>
      <c r="AU170" s="2" t="inlineStr">
        <is>
          <t>no</t>
        </is>
      </c>
      <c r="AV170" s="2" t="inlineStr">
        <is>
          <t>C</t>
        </is>
      </c>
      <c r="AW170" s="2" t="n"/>
      <c r="AX170" s="2" t="inlineStr">
        <is>
          <t>no</t>
        </is>
      </c>
      <c r="AY170" s="2" t="inlineStr">
        <is>
          <t>no</t>
        </is>
      </c>
      <c r="AZ170" s="2" t="inlineStr">
        <is>
          <t>COMMON.COLOR_WHITE</t>
        </is>
      </c>
      <c r="BA170" s="2" t="inlineStr">
        <is>
          <t>blanco</t>
        </is>
      </c>
      <c r="BB170" s="3" t="n">
        <v>2</v>
      </c>
      <c r="BC170" s="3" t="inlineStr">
        <is>
          <t>(por segmento)</t>
        </is>
      </c>
      <c r="BD170" s="2" t="n"/>
      <c r="BE170" s="2" t="n"/>
      <c r="BF170" s="2" t="n"/>
      <c r="BG170" s="2" t="inlineStr">
        <is>
          <t>sí</t>
        </is>
      </c>
      <c r="BH170" s="2" t="n"/>
      <c r="BI170" s="2" t="n"/>
      <c r="BJ170" s="2" t="n"/>
      <c r="BK170" s="2" t="n">
        <v>5</v>
      </c>
      <c r="BL170" s="2" t="n"/>
      <c r="BM170" s="2" t="n">
        <v>184</v>
      </c>
      <c r="BN170" s="2" t="n">
        <v>0.05126157402992249</v>
      </c>
      <c r="BO170" s="2" t="n">
        <v>3</v>
      </c>
      <c r="BP170" s="2" t="n">
        <v>5250</v>
      </c>
      <c r="BQ170" s="2" t="n">
        <v>4</v>
      </c>
      <c r="BR170" s="2" t="inlineStr">
        <is>
          <t>modelo+año+km</t>
        </is>
      </c>
      <c r="BS170" s="2" t="inlineStr">
        <is>
          <t>wallapop:1313448167 (https://es.wallapop.com/item/hyundai-i20-2012-1313448167)</t>
        </is>
      </c>
      <c r="BT170" s="2" t="inlineStr">
        <is>
          <t>año a confirmar: la URL/título dice 2011; por encima del presupuesto: negociar 314 € (coste 5314 €; -6.3 puntos); vendedor profesional: sin ITP (operación con IVA/REBU, confirmar en factura); gastos de gestión del vendedor no indicados: se suma la tasa DGT; preguntar el precio final; revisar: no menciona la ITV</t>
        </is>
      </c>
      <c r="BU170" s="2" t="inlineStr">
        <is>
          <t>Este Hyundai i20 Classic combina practicidad urbana con equipamiento esencial bien pensado. Destaca por su dirección asistida eléctrica, aire acondicionado, elevalunas eléctricos delanteros y cierre centralizado con mando a distancia, proporcionando comodidad diaria en ciudad. El ordenador de viaje integrado facilita el seguimiento de consumo y autonomía. Asientos ajustables en altura con reposacabezas activos en la primera fila y trasera partida con respaldo abatible asimétrico ofrecen flexibilidad para pasajeros y carga. Volante regulable, sistema de ventilación con filtro de pólen y cristales tintados completan una propuesta versátil. Etiqueta medioambiental C para acceso a zonas de tráfico restringido.</t>
        </is>
      </c>
      <c r="BV170" s="2" t="inlineStr">
        <is>
          <t>https://www.coches.net/hyundai-i20-12-pbt-classic-aa-key-5p-gasolina-2011-en-valencia-71755302-covo.aspx (window.__INITIAL_PROPS__.ad) /home/user/Alopecia/buscador-coches/raw/cochesnet/47bc26880dc619e6.json</t>
        </is>
      </c>
      <c r="BW170" s="3">
        <f>MAX(ANIO_ACTUAL-M170,0)</f>
        <v/>
      </c>
      <c r="BX170" s="4">
        <f>N170/MAX(BW170,0.5)</f>
        <v/>
      </c>
      <c r="BY170" s="4">
        <f>F170</f>
        <v/>
      </c>
      <c r="BZ170" s="3">
        <f>BY170&amp;"|"&amp;INT(M170/SEG_ANIO)*SEG_ANIO</f>
        <v/>
      </c>
      <c r="CA170" s="3">
        <f>BZ170&amp;"|"&amp;INT(N170/SEG_KM)*SEG_KM</f>
        <v/>
      </c>
      <c r="CB170" s="4">
        <f>COUNTIF($BY$2:$BY$209,BY170)</f>
        <v/>
      </c>
      <c r="CC170" s="4">
        <f>COUNTIF($BZ$2:$BZ$209,BZ170)</f>
        <v/>
      </c>
      <c r="CD170" s="4">
        <f>COUNTIF($CA$2:$CA$209,CA170)</f>
        <v/>
      </c>
      <c r="CE170" s="3">
        <f t="array" ref="CE170">IF(N(BQ170)&gt;=MIN_N,BP170,IF(CD170&gt;=MIN_N,MEDIAN(IF($CA$2:$CA$209=CA170,$O$2:$O$209)),IF(CC170&gt;=MIN_N,MEDIAN(IF($BZ$2:$BZ$209=BZ170,$O$2:$O$209)),MEDIAN(IF($BY$2:$BY$209=BY170,$O$2:$O$209)))))</f>
        <v/>
      </c>
      <c r="CF170" s="3">
        <f>IF(N(BQ170)&gt;=MIN_N,"mercado "&amp;BR170,IF(CD170&gt;=MIN_N,"modelo+año+km",IF(CC170&gt;=MIN_N,"modelo+año","modelo")))</f>
        <v/>
      </c>
      <c r="CG170" s="4">
        <f>(CE170-O170)/CE170</f>
        <v/>
      </c>
      <c r="CH170" s="3">
        <f>IF(COUNTIFS(FR_FUEL,K170,FR_YEAR,AP170)&gt;0,1,0)</f>
        <v/>
      </c>
      <c r="CI170" s="3">
        <f>IF(COUNTIFS(FR_FUEL,K170,FR_YEAR,AP170-1)&gt;0,1,0)</f>
        <v/>
      </c>
      <c r="CJ170" s="4">
        <f>IF(N(AQ170)&gt;0,AP170*100+AQ170,IF(AND(CH170=1,CI170=1),(AP170-1)*100+1,AP170*100+1))</f>
        <v/>
      </c>
      <c r="CK170" s="3">
        <f>IF(OR(K170="hibrido",K170="glp",K170="gnc",K170="phev"),"ECO",IF(K170="electrico","CERO",IF(K170="gasolina",IF(CJ170&gt;=GAS_C_YM,"C",IF(CJ170&gt;=GAS_B_YM,"B","A")),IF(K170="diesel",IF(CJ170&gt;=DIE_C_YM,"C",IF(CJ170&gt;=DIE_B_YM,"B","A")),""))))</f>
        <v/>
      </c>
      <c r="CL170" s="2" t="inlineStr">
        <is>
          <t>C</t>
        </is>
      </c>
      <c r="CM170" s="4">
        <f>IF(AU170="sí","sí",IF(AS170="regla",IF(AND(N(AQ170)=0,CH170=1),"sí","no"),"no"))</f>
        <v/>
      </c>
      <c r="CN170" s="3">
        <f>IFERROR(VLOOKUP(F170,MOD_TBL,16,0),IFERROR(VLOOKUP(E170,OCU_TBL,2,0),NEUTRO))</f>
        <v/>
      </c>
      <c r="CO170" s="3">
        <f>SUMIFS(MOT_AJUSTE,MOT_MOTOR,G170,MOT_MARCA,E170,MOT_DESDE,"&lt;="&amp;M170,MOT_HASTA,"&gt;="&amp;M170)+SUMIFS(MOT_AJUSTE,MOT_MOTOR,G170,MOT_MARCA,"(todas)",MOT_DESDE,"&lt;="&amp;M170,MOT_HASTA,"&gt;="&amp;M170)+SUMIFS(MOT_AJUSTE,MOT_MOTOR,"(cualquiera)",MOT_MARCA,E170,MOT_DESDE,"&lt;="&amp;M170,MOT_HASTA,"&gt;="&amp;M170)</f>
        <v/>
      </c>
      <c r="CP170" s="3">
        <f>SUMIFS(COMB_AJUSTE,COMB_COMB,K170)</f>
        <v/>
      </c>
      <c r="CQ170" s="3">
        <f>COUNTIFS(MOT_MOTOR,G170,MOT_MARCA,E170,MOT_DESDE,"&lt;="&amp;M170,MOT_HASTA,"&gt;="&amp;M170)+COUNTIFS(MOT_MOTOR,G170,MOT_MARCA,"(todas)",MOT_DESDE,"&lt;="&amp;M170,MOT_HASTA,"&gt;="&amp;M170)+COUNTIFS(MOT_MOTOR,"(cualquiera)",MOT_MARCA,E170,MOT_DESDE,"&lt;="&amp;M170,MOT_HASTA,"&gt;="&amp;M170)</f>
        <v/>
      </c>
      <c r="CR170" s="3">
        <f>IF(AND(K170="diesel",CQ170=0),MIN(CN170,NEUTRO),CN170)</f>
        <v/>
      </c>
      <c r="CS170" s="3">
        <f>MAX(0,MIN(100,CR170+CO170+CP170-IF(AX170="sí",ROB_PEN,0)))</f>
        <v/>
      </c>
      <c r="CT170" s="3">
        <f>100-MAX(0,N170-KM_TOPE_DESDE)/1000*KM_TOPE_PTS</f>
        <v/>
      </c>
      <c r="CU170" s="3">
        <f>MAX(0,MIN(100,50+CG170*PRECIO_PEND,CT170))</f>
        <v/>
      </c>
      <c r="CV170" s="3">
        <f>MAX(0,100*(1-N170/KM_MAX))</f>
        <v/>
      </c>
      <c r="CW170" s="3">
        <f>IF(BX170&lt;KMA_SOSP,IF(AA170="sí",100,KMA_PEN),IF(BX170&lt;=KMA_IDEAL_MAX,100,MAX(0,100*(KMA_CERO-BX170)/(KMA_CERO-KMA_IDEAL_MAX))))</f>
        <v/>
      </c>
      <c r="CX170" s="3">
        <f>MAX(0,MIN(100,100*(M170-ANIO_MIN)/(ANIO_ACTUAL-ANIO_MIN)))</f>
        <v/>
      </c>
      <c r="CY170" s="3">
        <f>W_KMT*CV170+W_KMA*CW170+W_EDAD*CX170</f>
        <v/>
      </c>
      <c r="CZ170" s="4">
        <f>E170&amp;"|"&amp;G170</f>
        <v/>
      </c>
      <c r="DA170" s="3">
        <f>IFERROR(VLOOKUP(CZ170,DIST_TBL,2,0),"")</f>
        <v/>
      </c>
      <c r="DB170" s="3">
        <f>E_ITV*(V170="sí")+E_LIBRO*(W170="sí")+E_PROP*IF(Y170=1,1,IF(Y170=2,0.5,0))+E_CORREA*IF(OR(DA170="cadena",AND(X170="sí",BH170="sí")),1,IF(X170="sí",0.5,0))+E_FACT*(BI170="sí")</f>
        <v/>
      </c>
      <c r="DC170" s="3">
        <f>MAX(0,MIN(100,IFERROR(VLOOKUP(CL170,ETQ_TBL,2,0),0)-IF(CM170="sí",ETQ_PEN_DUD,IF(AS170="regla",ETQ_PEN_REGLA,0))))</f>
        <v/>
      </c>
      <c r="DD170" s="3">
        <f>IF(K170&lt;&gt;"gasolina","",IFERROR(VLOOKUP(F170,CONS_MOD_TBL,2,0),IFERROR(VLOOKUP(L170,CONS_SEG_TBL,2,0),"")))</f>
        <v/>
      </c>
      <c r="DE170" s="3">
        <f>IF(DD170="",NEUTRO,MAX(0,MIN(100,100*(CONS_REF_MAX-DD170)/(CONS_REF_MAX-CONS_REF_MIN))))</f>
        <v/>
      </c>
      <c r="DF170" s="3">
        <f>IFERROR(VLOOKUP(L170,SEGURO_TBL,3,0),"")</f>
        <v/>
      </c>
      <c r="DG170" s="3">
        <f>IF(DF170="",NEUTRO,MAX(0,MIN(100,100*(SEG_REF_MAX-DF170)/(SEG_REF_MAX-SEG_REF_MIN))))</f>
        <v/>
      </c>
      <c r="DH170" s="3">
        <f>IFERROR(VLOOKUP(E170,MANT_MARCA_TBL,2,0)+0,NEUTRO)</f>
        <v/>
      </c>
      <c r="DI170" s="3">
        <f>IF(DA170="",NEUTRO,IFERROR(VLOOKUP(DA170,DIST_PTS_TBL,2,0)+0,NEUTRO))</f>
        <v/>
      </c>
      <c r="DJ170" s="4">
        <f>(DH170+DI170)/2</f>
        <v/>
      </c>
      <c r="DK170" s="3">
        <f>W_CONS*DE170+W_SEG*DG170+W_MANT*DJ170</f>
        <v/>
      </c>
      <c r="DL170" s="3">
        <f>IF(N(AB170)&gt;0,AB170,IF(AND(R170="profesional",SG_LEGAL_ON=1),GAR_LEGAL,0))</f>
        <v/>
      </c>
      <c r="DM170" s="3">
        <f>MAX(0,MIN(100,SG_GAR*MIN(1,DL170/SG_GAR_FULL)+SG_AMPL*(AC170="sí")+SG_KMC*(AF170="sí")+SG_REV*(N(AE170)&gt;0)+SG_DEV*MIN(1,N(AG170)/SG_DEV_FULL)+SG_HIST*(W170="sí")-IF(AND(R170="particular",DL170=0),SG_PART_PEN,0)))</f>
        <v/>
      </c>
      <c r="DN170" s="3">
        <f>IF(BK170="",NEUTRO,MAX(0,MIN(100,BK170/5*100)))</f>
        <v/>
      </c>
      <c r="DO170" s="3">
        <f>IF(BL170="sí",100,IF(BL170="no",0,NEUTRO))</f>
        <v/>
      </c>
      <c r="DP170" s="3">
        <f>SV_W_NCAP*DN170+SV_W_ESP*DO170</f>
        <v/>
      </c>
      <c r="DQ170" s="3">
        <f>MAX(0,MIN(100,ATR_BASE+ATR_ACAB*(BD170&lt;&gt;"")+IF(BE170="16+",ATR_LL16,IF(BE170="sí",ATR_LL,0))+ATR_FAROS*(BF170="sí")+ATR_TINT*(BG170="sí")-ATR_CHAPA*(BE170="chapa")))</f>
        <v/>
      </c>
      <c r="DR170" s="3">
        <f>EST_W_MOD*(BB170-1)/4*100+EST_W_ATR*DQ170</f>
        <v/>
      </c>
      <c r="DS170" s="3">
        <f>IF(BA170="",NEUTRO,IFERROR(VLOOKUP(BA170,COLOR_TBL,2,0)+0,NEUTRO))</f>
        <v/>
      </c>
      <c r="DT170" s="3">
        <f>MAX(0,MIN(100,100*N(BM170)/RV_N_FULL))</f>
        <v/>
      </c>
      <c r="DU170" s="3">
        <f>IF(OR(BN170="",N(BO170)&lt;RV_DIAS_MIN),NEUTRO,MAX(0,MIN(100,100*(RV_DIAS_CERO-BN170)/(RV_DIAS_CERO-RV_DIAS_FULL))))</f>
        <v/>
      </c>
      <c r="DV170" s="3">
        <f>RV_W_LIQ*DT170+RV_W_DIAS*DU170+RV_W_ETQ*DC170</f>
        <v/>
      </c>
      <c r="DW170" s="3">
        <f>IFERROR(VLOOKUP(L170,CARR_PEN_TBL,2,0),0)</f>
        <v/>
      </c>
      <c r="DX170" s="3">
        <f>W_FIAB*CS170+W_PRECIO*CU170+W_KMEDAD*CY170+W_ESTADO*DB170+W_USO*DK170+W_SEGURIDAD*DM170+W_SEGVIAL*DP170+W_ESTETICA*DR170+W_COLOR*DS170+W_REVENTA*DV170-DW170-EG170</f>
        <v/>
      </c>
      <c r="DY170" s="4">
        <f>IF(N(I170)&gt;0,I170,IFERROR(ROUND(_xlfn.NUMBERVALUE(LEFT(G170,FIND(" ",G170&amp;" ")-1),".")*1000,0),99999))</f>
        <v/>
      </c>
      <c r="DZ170" s="3">
        <f>IF(R170="profesional",0,IF(O170&lt;CUOTA_VALOR_MAX,IF(BW170&gt;ITP_TRAMO_ALTO,SUMIFS(CF_CUOTA,CF_MAS,ITP_TRAMO_ALTO,CF_CCMIN,"&lt;="&amp;DY170,CF_CCMAX,"&gt;="&amp;DY170),IF(BW170&gt;ITP_TRAMO_BAJO,SUMIFS(CF_CUOTA,CF_MAS,ITP_TRAMO_BAJO,CF_CCMIN,"&lt;="&amp;DY170,CF_CCMAX,"&gt;="&amp;DY170),O170*ITP_TIPO)),O170*ITP_TIPO))</f>
        <v/>
      </c>
      <c r="EA170" s="4">
        <f>IF(R170="profesional",N(AK170),0)</f>
        <v/>
      </c>
      <c r="EB170" s="3">
        <f>IF(AND(R170="profesional",ISNUMBER(AK170),AL170="sí"),0,TASA_DGT)</f>
        <v/>
      </c>
      <c r="EC170" s="3">
        <f>INFORME_DGT</f>
        <v/>
      </c>
      <c r="ED170" s="4">
        <f>O170+EA170+DZ170+EB170+EC170</f>
        <v/>
      </c>
      <c r="EE170" s="4">
        <f>ED170+N(DF170)</f>
        <v/>
      </c>
      <c r="EF170" s="3">
        <f>MAX(0,ED170-TOTAL_MAX)</f>
        <v/>
      </c>
      <c r="EG170" s="3">
        <f>EF170/100*PEN_100</f>
        <v/>
      </c>
      <c r="EH170" s="3">
        <f>IF(R170="particular",ED170+IF(AND(DA170&lt;&gt;"cadena",X170&lt;&gt;"sí"),RES_CORREA,0)+IF(AND(BJ170&lt;&gt;"sí",BW170&gt;=RES_NEUM_EDAD),RES_NEUM,0),"")</f>
        <v/>
      </c>
      <c r="EI170" s="3">
        <f>IF(ED170&lt;=TOTAL_MAX,"sí",IF(ED170&lt;=TECHO,"negociar","no"))</f>
        <v/>
      </c>
      <c r="EJ170" s="4">
        <f>ROUND(DX170,9)</f>
        <v/>
      </c>
      <c r="EK170" s="4">
        <f>IF(EI170&lt;&gt;"no",SUMPRODUCT(($EI$2:$EI$209&lt;&gt;"no")*($EJ$2:$EJ$209&gt;EJ170))+SUMPRODUCT(($EI$2:EI170&lt;&gt;"no")*($EJ$2:EJ170=EJ170)),"")</f>
        <v/>
      </c>
    </row>
    <row r="171">
      <c r="A171" s="2" t="inlineStr">
        <is>
          <t>cochesnet:71555706</t>
        </is>
      </c>
      <c r="B171" s="2" t="inlineStr">
        <is>
          <t>cochesnet</t>
        </is>
      </c>
      <c r="C171" s="2" t="inlineStr">
        <is>
          <t>https://www.coches.net/skoda-fabia-12-60cv-spirit-5p-gasolina-2010-en-valencia-71555706-covo.aspx</t>
        </is>
      </c>
      <c r="D171" s="2" t="inlineStr">
        <is>
          <t>SKODA Fabia 1.2 Spirit</t>
        </is>
      </c>
      <c r="E171" s="2" t="inlineStr">
        <is>
          <t>Skoda</t>
        </is>
      </c>
      <c r="F171" s="2" t="inlineStr">
        <is>
          <t>Skoda Fabia</t>
        </is>
      </c>
      <c r="G171" s="2" t="inlineStr">
        <is>
          <t>1.2</t>
        </is>
      </c>
      <c r="H171" s="2" t="inlineStr">
        <is>
          <t>1.2 60cv Spirit</t>
        </is>
      </c>
      <c r="I171" s="2" t="n"/>
      <c r="J171" s="2" t="n">
        <v>60</v>
      </c>
      <c r="K171" s="2" t="inlineStr">
        <is>
          <t>gasolina</t>
        </is>
      </c>
      <c r="L171" s="2" t="inlineStr">
        <is>
          <t>utilitario</t>
        </is>
      </c>
      <c r="M171" s="2" t="n">
        <v>2009</v>
      </c>
      <c r="N171" s="2" t="n">
        <v>120000</v>
      </c>
      <c r="O171" s="2" t="n">
        <v>5490</v>
      </c>
      <c r="P171" s="2" t="inlineStr">
        <is>
          <t>manual</t>
        </is>
      </c>
      <c r="Q171" s="2" t="inlineStr">
        <is>
          <t>no</t>
        </is>
      </c>
      <c r="R171" s="2" t="inlineStr">
        <is>
          <t>profesional</t>
        </is>
      </c>
      <c r="S171" s="2" t="inlineStr">
        <is>
          <t>Saga Vehículos Massanassa</t>
        </is>
      </c>
      <c r="T171" s="2" t="inlineStr">
        <is>
          <t>2026-09-20T13:42:00Z</t>
        </is>
      </c>
      <c r="U171" s="2" t="n">
        <v>24</v>
      </c>
      <c r="V171" s="2" t="n"/>
      <c r="W171" s="2" t="n"/>
      <c r="X171" s="2" t="n"/>
      <c r="Y171" s="2" t="n"/>
      <c r="Z171" s="2" t="inlineStr">
        <is>
          <t>sí</t>
        </is>
      </c>
      <c r="AA171" s="2" t="n"/>
      <c r="AB171" s="2" t="n">
        <v>12</v>
      </c>
      <c r="AC171" s="2" t="inlineStr">
        <is>
          <t>sí</t>
        </is>
      </c>
      <c r="AD171" s="2" t="n"/>
      <c r="AE171" s="2" t="n"/>
      <c r="AF171" s="2" t="n"/>
      <c r="AG171" s="2" t="n"/>
      <c r="AH171" s="2" t="n">
        <v>5490</v>
      </c>
      <c r="AI171" s="2" t="n"/>
      <c r="AJ171" s="2" t="n"/>
      <c r="AK171" s="2" t="n">
        <v>350</v>
      </c>
      <c r="AL171" s="2" t="inlineStr">
        <is>
          <t>no</t>
        </is>
      </c>
      <c r="AM171" s="2" t="n">
        <v>6.9</v>
      </c>
      <c r="AN171" s="2" t="n"/>
      <c r="AO171" s="2" t="inlineStr">
        <is>
          <t>2009</t>
        </is>
      </c>
      <c r="AP171" s="2" t="n">
        <v>2009</v>
      </c>
      <c r="AQ171" s="2" t="n"/>
      <c r="AR171" s="2" t="inlineStr">
        <is>
          <t>C</t>
        </is>
      </c>
      <c r="AS171" s="2" t="inlineStr">
        <is>
          <t>anuncio</t>
        </is>
      </c>
      <c r="AT171" s="2" t="n">
        <v>2010</v>
      </c>
      <c r="AU171" s="2" t="inlineStr">
        <is>
          <t>no</t>
        </is>
      </c>
      <c r="AV171" s="2" t="inlineStr">
        <is>
          <t>C</t>
        </is>
      </c>
      <c r="AW171" s="2" t="n"/>
      <c r="AX171" s="2" t="inlineStr">
        <is>
          <t>no</t>
        </is>
      </c>
      <c r="AY171" s="2" t="inlineStr">
        <is>
          <t>no</t>
        </is>
      </c>
      <c r="AZ171" s="2" t="inlineStr">
        <is>
          <t>COMMON.COLOR_WHITE</t>
        </is>
      </c>
      <c r="BA171" s="2" t="inlineStr">
        <is>
          <t>blanco</t>
        </is>
      </c>
      <c r="BB171" s="3" t="n">
        <v>2</v>
      </c>
      <c r="BC171" s="3" t="inlineStr">
        <is>
          <t>(por segmento)</t>
        </is>
      </c>
      <c r="BD171" s="2" t="n"/>
      <c r="BE171" s="2" t="n"/>
      <c r="BF171" s="2" t="n"/>
      <c r="BG171" s="2" t="n"/>
      <c r="BH171" s="2" t="n"/>
      <c r="BI171" s="2" t="n"/>
      <c r="BJ171" s="2" t="n"/>
      <c r="BK171" s="2" t="n">
        <v>4</v>
      </c>
      <c r="BL171" s="2" t="inlineStr">
        <is>
          <t>sí</t>
        </is>
      </c>
      <c r="BM171" s="2" t="n">
        <v>148</v>
      </c>
      <c r="BN171" s="2" t="n">
        <v>0.0437789352145046</v>
      </c>
      <c r="BO171" s="2" t="n">
        <v>2</v>
      </c>
      <c r="BP171" s="2" t="n">
        <v>3300</v>
      </c>
      <c r="BQ171" s="2" t="n">
        <v>5</v>
      </c>
      <c r="BR171" s="2" t="inlineStr">
        <is>
          <t>modelo+año</t>
        </is>
      </c>
      <c r="BS171" s="2" t="n"/>
      <c r="BT171" s="2" t="inlineStr">
        <is>
          <t>año a confirmar: la URL/título dice 2010; por encima del presupuesto: negociar 904 € (coste 5904 €; -18.1 puntos); vendedor profesional: sin ITP (operación con IVA/REBU, confirmar en factura); gastos del vendedor sin indicar si incluyen la transferencia: se suma la tasa DGT; revisar: no menciona la ITV</t>
        </is>
      </c>
      <c r="BU171" s="2" t="inlineStr">
        <is>
          <t>Skoda Fabia 1.2 Spirit, 60CV, Gasolina, vehículo muy bien cuidado.
Más de 100 coches en stock, Por favor llámenos para más información, atendemos SOLO CON CITA PREVIA. Gracias!!!!
Financiación de hasta el 100% del vehículo!
Gestión documental no incluido 350€ 
Garantía Premium 12 Meses con cobertura a nivel nacional 399€
Saga Vehículos, estamos en C/ Motor Sant Agustí, 41, 46470 Massanassa, Valencia.
Horario: De lunes a viernes de 10:00 a 14:00 y de 16:00 a 19:00.
Sabado de 10:00 a 14:00.
- Aire acondicionado
- Dirección asistida
- Freno ABS/EBD
- Control de estabilidad ESP
- Airbags
- Ordenador abordo
- Sistema multimedia/BLUETOOTH/CD
- Llaves mandos a distancia y mucho mas....
Este anuncio no es vinculante, se muestra a titulo informativo y no contractual.</t>
        </is>
      </c>
      <c r="BV171" s="2" t="inlineStr">
        <is>
          <t>https://www.coches.net/skoda-fabia-12-60cv-spirit-5p-gasolina-2010-en-valencia-71555706-covo.aspx (window.__INITIAL_PROPS__.ad) /home/user/Alopecia/buscador-coches/raw/cochesnet/30d86e6e28ae6145.json</t>
        </is>
      </c>
      <c r="BW171" s="3">
        <f>MAX(ANIO_ACTUAL-M171,0)</f>
        <v/>
      </c>
      <c r="BX171" s="4">
        <f>N171/MAX(BW171,0.5)</f>
        <v/>
      </c>
      <c r="BY171" s="4">
        <f>F171</f>
        <v/>
      </c>
      <c r="BZ171" s="3">
        <f>BY171&amp;"|"&amp;INT(M171/SEG_ANIO)*SEG_ANIO</f>
        <v/>
      </c>
      <c r="CA171" s="3">
        <f>BZ171&amp;"|"&amp;INT(N171/SEG_KM)*SEG_KM</f>
        <v/>
      </c>
      <c r="CB171" s="4">
        <f>COUNTIF($BY$2:$BY$209,BY171)</f>
        <v/>
      </c>
      <c r="CC171" s="4">
        <f>COUNTIF($BZ$2:$BZ$209,BZ171)</f>
        <v/>
      </c>
      <c r="CD171" s="4">
        <f>COUNTIF($CA$2:$CA$209,CA171)</f>
        <v/>
      </c>
      <c r="CE171" s="3">
        <f t="array" ref="CE171">IF(N(BQ171)&gt;=MIN_N,BP171,IF(CD171&gt;=MIN_N,MEDIAN(IF($CA$2:$CA$209=CA171,$O$2:$O$209)),IF(CC171&gt;=MIN_N,MEDIAN(IF($BZ$2:$BZ$209=BZ171,$O$2:$O$209)),MEDIAN(IF($BY$2:$BY$209=BY171,$O$2:$O$209)))))</f>
        <v/>
      </c>
      <c r="CF171" s="3">
        <f>IF(N(BQ171)&gt;=MIN_N,"mercado "&amp;BR171,IF(CD171&gt;=MIN_N,"modelo+año+km",IF(CC171&gt;=MIN_N,"modelo+año","modelo")))</f>
        <v/>
      </c>
      <c r="CG171" s="4">
        <f>(CE171-O171)/CE171</f>
        <v/>
      </c>
      <c r="CH171" s="3">
        <f>IF(COUNTIFS(FR_FUEL,K171,FR_YEAR,AP171)&gt;0,1,0)</f>
        <v/>
      </c>
      <c r="CI171" s="3">
        <f>IF(COUNTIFS(FR_FUEL,K171,FR_YEAR,AP171-1)&gt;0,1,0)</f>
        <v/>
      </c>
      <c r="CJ171" s="4">
        <f>IF(N(AQ171)&gt;0,AP171*100+AQ171,IF(AND(CH171=1,CI171=1),(AP171-1)*100+1,AP171*100+1))</f>
        <v/>
      </c>
      <c r="CK171" s="3">
        <f>IF(OR(K171="hibrido",K171="glp",K171="gnc",K171="phev"),"ECO",IF(K171="electrico","CERO",IF(K171="gasolina",IF(CJ171&gt;=GAS_C_YM,"C",IF(CJ171&gt;=GAS_B_YM,"B","A")),IF(K171="diesel",IF(CJ171&gt;=DIE_C_YM,"C",IF(CJ171&gt;=DIE_B_YM,"B","A")),""))))</f>
        <v/>
      </c>
      <c r="CL171" s="2" t="inlineStr">
        <is>
          <t>C</t>
        </is>
      </c>
      <c r="CM171" s="4">
        <f>IF(AU171="sí","sí",IF(AS171="regla",IF(AND(N(AQ171)=0,CH171=1),"sí","no"),"no"))</f>
        <v/>
      </c>
      <c r="CN171" s="3">
        <f>IFERROR(VLOOKUP(F171,MOD_TBL,16,0),IFERROR(VLOOKUP(E171,OCU_TBL,2,0),NEUTRO))</f>
        <v/>
      </c>
      <c r="CO171" s="3">
        <f>SUMIFS(MOT_AJUSTE,MOT_MOTOR,G171,MOT_MARCA,E171,MOT_DESDE,"&lt;="&amp;M171,MOT_HASTA,"&gt;="&amp;M171)+SUMIFS(MOT_AJUSTE,MOT_MOTOR,G171,MOT_MARCA,"(todas)",MOT_DESDE,"&lt;="&amp;M171,MOT_HASTA,"&gt;="&amp;M171)+SUMIFS(MOT_AJUSTE,MOT_MOTOR,"(cualquiera)",MOT_MARCA,E171,MOT_DESDE,"&lt;="&amp;M171,MOT_HASTA,"&gt;="&amp;M171)</f>
        <v/>
      </c>
      <c r="CP171" s="3">
        <f>SUMIFS(COMB_AJUSTE,COMB_COMB,K171)</f>
        <v/>
      </c>
      <c r="CQ171" s="3">
        <f>COUNTIFS(MOT_MOTOR,G171,MOT_MARCA,E171,MOT_DESDE,"&lt;="&amp;M171,MOT_HASTA,"&gt;="&amp;M171)+COUNTIFS(MOT_MOTOR,G171,MOT_MARCA,"(todas)",MOT_DESDE,"&lt;="&amp;M171,MOT_HASTA,"&gt;="&amp;M171)+COUNTIFS(MOT_MOTOR,"(cualquiera)",MOT_MARCA,E171,MOT_DESDE,"&lt;="&amp;M171,MOT_HASTA,"&gt;="&amp;M171)</f>
        <v/>
      </c>
      <c r="CR171" s="3">
        <f>IF(AND(K171="diesel",CQ171=0),MIN(CN171,NEUTRO),CN171)</f>
        <v/>
      </c>
      <c r="CS171" s="3">
        <f>MAX(0,MIN(100,CR171+CO171+CP171-IF(AX171="sí",ROB_PEN,0)))</f>
        <v/>
      </c>
      <c r="CT171" s="3">
        <f>100-MAX(0,N171-KM_TOPE_DESDE)/1000*KM_TOPE_PTS</f>
        <v/>
      </c>
      <c r="CU171" s="3">
        <f>MAX(0,MIN(100,50+CG171*PRECIO_PEND,CT171))</f>
        <v/>
      </c>
      <c r="CV171" s="3">
        <f>MAX(0,100*(1-N171/KM_MAX))</f>
        <v/>
      </c>
      <c r="CW171" s="3">
        <f>IF(BX171&lt;KMA_SOSP,IF(AA171="sí",100,KMA_PEN),IF(BX171&lt;=KMA_IDEAL_MAX,100,MAX(0,100*(KMA_CERO-BX171)/(KMA_CERO-KMA_IDEAL_MAX))))</f>
        <v/>
      </c>
      <c r="CX171" s="3">
        <f>MAX(0,MIN(100,100*(M171-ANIO_MIN)/(ANIO_ACTUAL-ANIO_MIN)))</f>
        <v/>
      </c>
      <c r="CY171" s="3">
        <f>W_KMT*CV171+W_KMA*CW171+W_EDAD*CX171</f>
        <v/>
      </c>
      <c r="CZ171" s="4">
        <f>E171&amp;"|"&amp;G171</f>
        <v/>
      </c>
      <c r="DA171" s="3">
        <f>IFERROR(VLOOKUP(CZ171,DIST_TBL,2,0),"")</f>
        <v/>
      </c>
      <c r="DB171" s="3">
        <f>E_ITV*(V171="sí")+E_LIBRO*(W171="sí")+E_PROP*IF(Y171=1,1,IF(Y171=2,0.5,0))+E_CORREA*IF(OR(DA171="cadena",AND(X171="sí",BH171="sí")),1,IF(X171="sí",0.5,0))+E_FACT*(BI171="sí")</f>
        <v/>
      </c>
      <c r="DC171" s="3">
        <f>MAX(0,MIN(100,IFERROR(VLOOKUP(CL171,ETQ_TBL,2,0),0)-IF(CM171="sí",ETQ_PEN_DUD,IF(AS171="regla",ETQ_PEN_REGLA,0))))</f>
        <v/>
      </c>
      <c r="DD171" s="3">
        <f>IF(K171&lt;&gt;"gasolina","",IFERROR(VLOOKUP(F171,CONS_MOD_TBL,2,0),IFERROR(VLOOKUP(L171,CONS_SEG_TBL,2,0),"")))</f>
        <v/>
      </c>
      <c r="DE171" s="3">
        <f>IF(DD171="",NEUTRO,MAX(0,MIN(100,100*(CONS_REF_MAX-DD171)/(CONS_REF_MAX-CONS_REF_MIN))))</f>
        <v/>
      </c>
      <c r="DF171" s="3">
        <f>IFERROR(VLOOKUP(L171,SEGURO_TBL,3,0),"")</f>
        <v/>
      </c>
      <c r="DG171" s="3">
        <f>IF(DF171="",NEUTRO,MAX(0,MIN(100,100*(SEG_REF_MAX-DF171)/(SEG_REF_MAX-SEG_REF_MIN))))</f>
        <v/>
      </c>
      <c r="DH171" s="3">
        <f>IFERROR(VLOOKUP(E171,MANT_MARCA_TBL,2,0)+0,NEUTRO)</f>
        <v/>
      </c>
      <c r="DI171" s="3">
        <f>IF(DA171="",NEUTRO,IFERROR(VLOOKUP(DA171,DIST_PTS_TBL,2,0)+0,NEUTRO))</f>
        <v/>
      </c>
      <c r="DJ171" s="4">
        <f>(DH171+DI171)/2</f>
        <v/>
      </c>
      <c r="DK171" s="3">
        <f>W_CONS*DE171+W_SEG*DG171+W_MANT*DJ171</f>
        <v/>
      </c>
      <c r="DL171" s="3">
        <f>IF(N(AB171)&gt;0,AB171,IF(AND(R171="profesional",SG_LEGAL_ON=1),GAR_LEGAL,0))</f>
        <v/>
      </c>
      <c r="DM171" s="3">
        <f>MAX(0,MIN(100,SG_GAR*MIN(1,DL171/SG_GAR_FULL)+SG_AMPL*(AC171="sí")+SG_KMC*(AF171="sí")+SG_REV*(N(AE171)&gt;0)+SG_DEV*MIN(1,N(AG171)/SG_DEV_FULL)+SG_HIST*(W171="sí")-IF(AND(R171="particular",DL171=0),SG_PART_PEN,0)))</f>
        <v/>
      </c>
      <c r="DN171" s="3">
        <f>IF(BK171="",NEUTRO,MAX(0,MIN(100,BK171/5*100)))</f>
        <v/>
      </c>
      <c r="DO171" s="3">
        <f>IF(BL171="sí",100,IF(BL171="no",0,NEUTRO))</f>
        <v/>
      </c>
      <c r="DP171" s="3">
        <f>SV_W_NCAP*DN171+SV_W_ESP*DO171</f>
        <v/>
      </c>
      <c r="DQ171" s="3">
        <f>MAX(0,MIN(100,ATR_BASE+ATR_ACAB*(BD171&lt;&gt;"")+IF(BE171="16+",ATR_LL16,IF(BE171="sí",ATR_LL,0))+ATR_FAROS*(BF171="sí")+ATR_TINT*(BG171="sí")-ATR_CHAPA*(BE171="chapa")))</f>
        <v/>
      </c>
      <c r="DR171" s="3">
        <f>EST_W_MOD*(BB171-1)/4*100+EST_W_ATR*DQ171</f>
        <v/>
      </c>
      <c r="DS171" s="3">
        <f>IF(BA171="",NEUTRO,IFERROR(VLOOKUP(BA171,COLOR_TBL,2,0)+0,NEUTRO))</f>
        <v/>
      </c>
      <c r="DT171" s="3">
        <f>MAX(0,MIN(100,100*N(BM171)/RV_N_FULL))</f>
        <v/>
      </c>
      <c r="DU171" s="3">
        <f>IF(OR(BN171="",N(BO171)&lt;RV_DIAS_MIN),NEUTRO,MAX(0,MIN(100,100*(RV_DIAS_CERO-BN171)/(RV_DIAS_CERO-RV_DIAS_FULL))))</f>
        <v/>
      </c>
      <c r="DV171" s="3">
        <f>RV_W_LIQ*DT171+RV_W_DIAS*DU171+RV_W_ETQ*DC171</f>
        <v/>
      </c>
      <c r="DW171" s="3">
        <f>IFERROR(VLOOKUP(L171,CARR_PEN_TBL,2,0),0)</f>
        <v/>
      </c>
      <c r="DX171" s="3">
        <f>W_FIAB*CS171+W_PRECIO*CU171+W_KMEDAD*CY171+W_ESTADO*DB171+W_USO*DK171+W_SEGURIDAD*DM171+W_SEGVIAL*DP171+W_ESTETICA*DR171+W_COLOR*DS171+W_REVENTA*DV171-DW171-EG171</f>
        <v/>
      </c>
      <c r="DY171" s="4">
        <f>IF(N(I171)&gt;0,I171,IFERROR(ROUND(_xlfn.NUMBERVALUE(LEFT(G171,FIND(" ",G171&amp;" ")-1),".")*1000,0),99999))</f>
        <v/>
      </c>
      <c r="DZ171" s="3">
        <f>IF(R171="profesional",0,IF(O171&lt;CUOTA_VALOR_MAX,IF(BW171&gt;ITP_TRAMO_ALTO,SUMIFS(CF_CUOTA,CF_MAS,ITP_TRAMO_ALTO,CF_CCMIN,"&lt;="&amp;DY171,CF_CCMAX,"&gt;="&amp;DY171),IF(BW171&gt;ITP_TRAMO_BAJO,SUMIFS(CF_CUOTA,CF_MAS,ITP_TRAMO_BAJO,CF_CCMIN,"&lt;="&amp;DY171,CF_CCMAX,"&gt;="&amp;DY171),O171*ITP_TIPO)),O171*ITP_TIPO))</f>
        <v/>
      </c>
      <c r="EA171" s="4">
        <f>IF(R171="profesional",N(AK171),0)</f>
        <v/>
      </c>
      <c r="EB171" s="3">
        <f>IF(AND(R171="profesional",ISNUMBER(AK171),AL171="sí"),0,TASA_DGT)</f>
        <v/>
      </c>
      <c r="EC171" s="3">
        <f>INFORME_DGT</f>
        <v/>
      </c>
      <c r="ED171" s="4">
        <f>O171+EA171+DZ171+EB171+EC171</f>
        <v/>
      </c>
      <c r="EE171" s="4">
        <f>ED171+N(DF171)</f>
        <v/>
      </c>
      <c r="EF171" s="3">
        <f>MAX(0,ED171-TOTAL_MAX)</f>
        <v/>
      </c>
      <c r="EG171" s="3">
        <f>EF171/100*PEN_100</f>
        <v/>
      </c>
      <c r="EH171" s="3">
        <f>IF(R171="particular",ED171+IF(AND(DA171&lt;&gt;"cadena",X171&lt;&gt;"sí"),RES_CORREA,0)+IF(AND(BJ171&lt;&gt;"sí",BW171&gt;=RES_NEUM_EDAD),RES_NEUM,0),"")</f>
        <v/>
      </c>
      <c r="EI171" s="3">
        <f>IF(ED171&lt;=TOTAL_MAX,"sí",IF(ED171&lt;=TECHO,"negociar","no"))</f>
        <v/>
      </c>
      <c r="EJ171" s="4">
        <f>ROUND(DX171,9)</f>
        <v/>
      </c>
      <c r="EK171" s="4">
        <f>IF(EI171&lt;&gt;"no",SUMPRODUCT(($EI$2:$EI$209&lt;&gt;"no")*($EJ$2:$EJ$209&gt;EJ171))+SUMPRODUCT(($EI$2:EI171&lt;&gt;"no")*($EJ$2:EJ171=EJ171)),"")</f>
        <v/>
      </c>
    </row>
    <row r="172">
      <c r="A172" s="2" t="inlineStr">
        <is>
          <t>cochesnet:71860134</t>
        </is>
      </c>
      <c r="B172" s="2" t="inlineStr">
        <is>
          <t>cochesnet</t>
        </is>
      </c>
      <c r="C172" s="2" t="inlineStr">
        <is>
          <t>https://www.coches.net/seat-ibiza-19-tdi-100cv-sport-5p-diesel-2008-en-valencia-71860134-covo.aspx</t>
        </is>
      </c>
      <c r="D172" s="2" t="inlineStr">
        <is>
          <t>SEAT Ibiza 1.9 TDI Sport</t>
        </is>
      </c>
      <c r="E172" s="2" t="inlineStr">
        <is>
          <t>Seat</t>
        </is>
      </c>
      <c r="F172" s="2" t="inlineStr">
        <is>
          <t>Seat Ibiza</t>
        </is>
      </c>
      <c r="G172" s="2" t="inlineStr">
        <is>
          <t>1.9 TDI</t>
        </is>
      </c>
      <c r="H172" s="2" t="n"/>
      <c r="I172" s="2" t="n"/>
      <c r="J172" s="2" t="n"/>
      <c r="K172" s="2" t="inlineStr">
        <is>
          <t>diesel</t>
        </is>
      </c>
      <c r="L172" s="2" t="inlineStr">
        <is>
          <t>utilitario</t>
        </is>
      </c>
      <c r="M172" s="2" t="n">
        <v>2008</v>
      </c>
      <c r="N172" s="2" t="n">
        <v>160000</v>
      </c>
      <c r="O172" s="2" t="n">
        <v>5490</v>
      </c>
      <c r="P172" s="2" t="n"/>
      <c r="Q172" s="2" t="n"/>
      <c r="R172" s="2" t="inlineStr">
        <is>
          <t>profesional</t>
        </is>
      </c>
      <c r="S172" s="2" t="inlineStr">
        <is>
          <t>Alboraya</t>
        </is>
      </c>
      <c r="T172" s="2" t="inlineStr">
        <is>
          <t>2026-10-29T11:01:10Z</t>
        </is>
      </c>
      <c r="U172" s="2" t="n">
        <v>19</v>
      </c>
      <c r="V172" s="2" t="n"/>
      <c r="W172" s="2" t="n"/>
      <c r="X172" s="2" t="n"/>
      <c r="Y172" s="2" t="n"/>
      <c r="Z172" s="2" t="inlineStr">
        <is>
          <t>sí</t>
        </is>
      </c>
      <c r="AA172" s="2" t="n"/>
      <c r="AB172" s="2" t="n">
        <v>12</v>
      </c>
      <c r="AC172" s="2" t="n"/>
      <c r="AD172" s="2" t="n"/>
      <c r="AE172" s="2" t="n"/>
      <c r="AF172" s="2" t="n"/>
      <c r="AG172" s="2" t="n"/>
      <c r="AH172" s="2" t="n">
        <v>5490</v>
      </c>
      <c r="AI172" s="2" t="n">
        <v>5490</v>
      </c>
      <c r="AJ172" s="2" t="n"/>
      <c r="AK172" s="2" t="n"/>
      <c r="AL172" s="2" t="n"/>
      <c r="AM172" s="2" t="n"/>
      <c r="AN172" s="2" t="n"/>
      <c r="AO172" s="2" t="inlineStr">
        <is>
          <t>2008</t>
        </is>
      </c>
      <c r="AP172" s="2" t="n">
        <v>2008</v>
      </c>
      <c r="AQ172" s="2" t="n"/>
      <c r="AR172" s="2" t="inlineStr">
        <is>
          <t>B</t>
        </is>
      </c>
      <c r="AS172" s="2" t="inlineStr">
        <is>
          <t>anuncio</t>
        </is>
      </c>
      <c r="AT172" s="2" t="n"/>
      <c r="AU172" s="2" t="inlineStr">
        <is>
          <t>no</t>
        </is>
      </c>
      <c r="AV172" s="2" t="inlineStr">
        <is>
          <t>B</t>
        </is>
      </c>
      <c r="AW172" s="2" t="n"/>
      <c r="AX172" s="2" t="inlineStr">
        <is>
          <t>no</t>
        </is>
      </c>
      <c r="AY172" s="2" t="inlineStr">
        <is>
          <t>no</t>
        </is>
      </c>
      <c r="AZ172" s="2" t="n"/>
      <c r="BA172" s="2" t="n"/>
      <c r="BB172" s="3" t="n">
        <v>2</v>
      </c>
      <c r="BC172" s="3" t="inlineStr">
        <is>
          <t>(por segmento)</t>
        </is>
      </c>
      <c r="BD172" s="2" t="inlineStr">
        <is>
          <t>sport</t>
        </is>
      </c>
      <c r="BE172" s="2" t="n"/>
      <c r="BF172" s="2" t="n"/>
      <c r="BG172" s="2" t="n"/>
      <c r="BH172" s="2" t="n"/>
      <c r="BI172" s="2" t="n"/>
      <c r="BJ172" s="2" t="n"/>
      <c r="BK172" s="2" t="n">
        <v>4</v>
      </c>
      <c r="BL172" s="2" t="inlineStr">
        <is>
          <t>no</t>
        </is>
      </c>
      <c r="BM172" s="2" t="n">
        <v>385</v>
      </c>
      <c r="BN172" s="2" t="n">
        <v>0.07434027781710029</v>
      </c>
      <c r="BO172" s="2" t="n">
        <v>10</v>
      </c>
      <c r="BP172" s="2" t="n">
        <v>4750</v>
      </c>
      <c r="BQ172" s="2" t="n">
        <v>4</v>
      </c>
      <c r="BR172" s="2" t="inlineStr">
        <is>
          <t>modelo+año+km</t>
        </is>
      </c>
      <c r="BS172" s="2" t="n"/>
      <c r="BT172" s="2" t="inlineStr">
        <is>
          <t>por encima del presupuesto: negociar 554 € (coste 5554 €; -11.1 puntos); vendedor profesional: sin ITP (operación con IVA/REBU, confirmar en factura); gastos de gestión del vendedor no indicados: se suma la tasa DGT; preguntar el precio final; diésel: motor sin fuente de fiabilidad (fiabilidad limitada a neutra); revisar: no menciona la ITV; distancia no verificable (el anuncio solo indica la provincia): confirmar que está a &lt;= 70 km</t>
        </is>
      </c>
      <c r="BU172" s="2" t="inlineStr"/>
      <c r="BV172" s="2" t="inlineStr">
        <is>
          <t>https://www.coches.net/seat/segunda-mano/valencia/?pg=6 /home/user/Alopecia/buscador-coches/raw/cochesnet/54d8fa5d4a0a3b4d.json</t>
        </is>
      </c>
      <c r="BW172" s="3">
        <f>MAX(ANIO_ACTUAL-M172,0)</f>
        <v/>
      </c>
      <c r="BX172" s="4">
        <f>N172/MAX(BW172,0.5)</f>
        <v/>
      </c>
      <c r="BY172" s="4">
        <f>F172</f>
        <v/>
      </c>
      <c r="BZ172" s="3">
        <f>BY172&amp;"|"&amp;INT(M172/SEG_ANIO)*SEG_ANIO</f>
        <v/>
      </c>
      <c r="CA172" s="3">
        <f>BZ172&amp;"|"&amp;INT(N172/SEG_KM)*SEG_KM</f>
        <v/>
      </c>
      <c r="CB172" s="4">
        <f>COUNTIF($BY$2:$BY$209,BY172)</f>
        <v/>
      </c>
      <c r="CC172" s="4">
        <f>COUNTIF($BZ$2:$BZ$209,BZ172)</f>
        <v/>
      </c>
      <c r="CD172" s="4">
        <f>COUNTIF($CA$2:$CA$209,CA172)</f>
        <v/>
      </c>
      <c r="CE172" s="3">
        <f t="array" ref="CE172">IF(N(BQ172)&gt;=MIN_N,BP172,IF(CD172&gt;=MIN_N,MEDIAN(IF($CA$2:$CA$209=CA172,$O$2:$O$209)),IF(CC172&gt;=MIN_N,MEDIAN(IF($BZ$2:$BZ$209=BZ172,$O$2:$O$209)),MEDIAN(IF($BY$2:$BY$209=BY172,$O$2:$O$209)))))</f>
        <v/>
      </c>
      <c r="CF172" s="3">
        <f>IF(N(BQ172)&gt;=MIN_N,"mercado "&amp;BR172,IF(CD172&gt;=MIN_N,"modelo+año+km",IF(CC172&gt;=MIN_N,"modelo+año","modelo")))</f>
        <v/>
      </c>
      <c r="CG172" s="4">
        <f>(CE172-O172)/CE172</f>
        <v/>
      </c>
      <c r="CH172" s="3">
        <f>IF(COUNTIFS(FR_FUEL,K172,FR_YEAR,AP172)&gt;0,1,0)</f>
        <v/>
      </c>
      <c r="CI172" s="3">
        <f>IF(COUNTIFS(FR_FUEL,K172,FR_YEAR,AP172-1)&gt;0,1,0)</f>
        <v/>
      </c>
      <c r="CJ172" s="4">
        <f>IF(N(AQ172)&gt;0,AP172*100+AQ172,IF(AND(CH172=1,CI172=1),(AP172-1)*100+1,AP172*100+1))</f>
        <v/>
      </c>
      <c r="CK172" s="3">
        <f>IF(OR(K172="hibrido",K172="glp",K172="gnc",K172="phev"),"ECO",IF(K172="electrico","CERO",IF(K172="gasolina",IF(CJ172&gt;=GAS_C_YM,"C",IF(CJ172&gt;=GAS_B_YM,"B","A")),IF(K172="diesel",IF(CJ172&gt;=DIE_C_YM,"C",IF(CJ172&gt;=DIE_B_YM,"B","A")),""))))</f>
        <v/>
      </c>
      <c r="CL172" s="2" t="inlineStr">
        <is>
          <t>B</t>
        </is>
      </c>
      <c r="CM172" s="4">
        <f>IF(AU172="sí","sí",IF(AS172="regla",IF(AND(N(AQ172)=0,CH172=1),"sí","no"),"no"))</f>
        <v/>
      </c>
      <c r="CN172" s="3">
        <f>IFERROR(VLOOKUP(F172,MOD_TBL,16,0),IFERROR(VLOOKUP(E172,OCU_TBL,2,0),NEUTRO))</f>
        <v/>
      </c>
      <c r="CO172" s="3">
        <f>SUMIFS(MOT_AJUSTE,MOT_MOTOR,G172,MOT_MARCA,E172,MOT_DESDE,"&lt;="&amp;M172,MOT_HASTA,"&gt;="&amp;M172)+SUMIFS(MOT_AJUSTE,MOT_MOTOR,G172,MOT_MARCA,"(todas)",MOT_DESDE,"&lt;="&amp;M172,MOT_HASTA,"&gt;="&amp;M172)+SUMIFS(MOT_AJUSTE,MOT_MOTOR,"(cualquiera)",MOT_MARCA,E172,MOT_DESDE,"&lt;="&amp;M172,MOT_HASTA,"&gt;="&amp;M172)</f>
        <v/>
      </c>
      <c r="CP172" s="3">
        <f>SUMIFS(COMB_AJUSTE,COMB_COMB,K172)</f>
        <v/>
      </c>
      <c r="CQ172" s="3">
        <f>COUNTIFS(MOT_MOTOR,G172,MOT_MARCA,E172,MOT_DESDE,"&lt;="&amp;M172,MOT_HASTA,"&gt;="&amp;M172)+COUNTIFS(MOT_MOTOR,G172,MOT_MARCA,"(todas)",MOT_DESDE,"&lt;="&amp;M172,MOT_HASTA,"&gt;="&amp;M172)+COUNTIFS(MOT_MOTOR,"(cualquiera)",MOT_MARCA,E172,MOT_DESDE,"&lt;="&amp;M172,MOT_HASTA,"&gt;="&amp;M172)</f>
        <v/>
      </c>
      <c r="CR172" s="3">
        <f>IF(AND(K172="diesel",CQ172=0),MIN(CN172,NEUTRO),CN172)</f>
        <v/>
      </c>
      <c r="CS172" s="3">
        <f>MAX(0,MIN(100,CR172+CO172+CP172-IF(AX172="sí",ROB_PEN,0)))</f>
        <v/>
      </c>
      <c r="CT172" s="3">
        <f>100-MAX(0,N172-KM_TOPE_DESDE)/1000*KM_TOPE_PTS</f>
        <v/>
      </c>
      <c r="CU172" s="3">
        <f>MAX(0,MIN(100,50+CG172*PRECIO_PEND,CT172))</f>
        <v/>
      </c>
      <c r="CV172" s="3">
        <f>MAX(0,100*(1-N172/KM_MAX))</f>
        <v/>
      </c>
      <c r="CW172" s="3">
        <f>IF(BX172&lt;KMA_SOSP,IF(AA172="sí",100,KMA_PEN),IF(BX172&lt;=KMA_IDEAL_MAX,100,MAX(0,100*(KMA_CERO-BX172)/(KMA_CERO-KMA_IDEAL_MAX))))</f>
        <v/>
      </c>
      <c r="CX172" s="3">
        <f>MAX(0,MIN(100,100*(M172-ANIO_MIN)/(ANIO_ACTUAL-ANIO_MIN)))</f>
        <v/>
      </c>
      <c r="CY172" s="3">
        <f>W_KMT*CV172+W_KMA*CW172+W_EDAD*CX172</f>
        <v/>
      </c>
      <c r="CZ172" s="4">
        <f>E172&amp;"|"&amp;G172</f>
        <v/>
      </c>
      <c r="DA172" s="3">
        <f>IFERROR(VLOOKUP(CZ172,DIST_TBL,2,0),"")</f>
        <v/>
      </c>
      <c r="DB172" s="3">
        <f>E_ITV*(V172="sí")+E_LIBRO*(W172="sí")+E_PROP*IF(Y172=1,1,IF(Y172=2,0.5,0))+E_CORREA*IF(OR(DA172="cadena",AND(X172="sí",BH172="sí")),1,IF(X172="sí",0.5,0))+E_FACT*(BI172="sí")</f>
        <v/>
      </c>
      <c r="DC172" s="3">
        <f>MAX(0,MIN(100,IFERROR(VLOOKUP(CL172,ETQ_TBL,2,0),0)-IF(CM172="sí",ETQ_PEN_DUD,IF(AS172="regla",ETQ_PEN_REGLA,0))))</f>
        <v/>
      </c>
      <c r="DD172" s="3">
        <f>IF(K172&lt;&gt;"gasolina","",IFERROR(VLOOKUP(F172,CONS_MOD_TBL,2,0),IFERROR(VLOOKUP(L172,CONS_SEG_TBL,2,0),"")))</f>
        <v/>
      </c>
      <c r="DE172" s="3">
        <f>IF(DD172="",NEUTRO,MAX(0,MIN(100,100*(CONS_REF_MAX-DD172)/(CONS_REF_MAX-CONS_REF_MIN))))</f>
        <v/>
      </c>
      <c r="DF172" s="3">
        <f>IFERROR(VLOOKUP(L172,SEGURO_TBL,3,0),"")</f>
        <v/>
      </c>
      <c r="DG172" s="3">
        <f>IF(DF172="",NEUTRO,MAX(0,MIN(100,100*(SEG_REF_MAX-DF172)/(SEG_REF_MAX-SEG_REF_MIN))))</f>
        <v/>
      </c>
      <c r="DH172" s="3">
        <f>IFERROR(VLOOKUP(E172,MANT_MARCA_TBL,2,0)+0,NEUTRO)</f>
        <v/>
      </c>
      <c r="DI172" s="3">
        <f>IF(DA172="",NEUTRO,IFERROR(VLOOKUP(DA172,DIST_PTS_TBL,2,0)+0,NEUTRO))</f>
        <v/>
      </c>
      <c r="DJ172" s="4">
        <f>(DH172+DI172)/2</f>
        <v/>
      </c>
      <c r="DK172" s="3">
        <f>W_CONS*DE172+W_SEG*DG172+W_MANT*DJ172</f>
        <v/>
      </c>
      <c r="DL172" s="3">
        <f>IF(N(AB172)&gt;0,AB172,IF(AND(R172="profesional",SG_LEGAL_ON=1),GAR_LEGAL,0))</f>
        <v/>
      </c>
      <c r="DM172" s="3">
        <f>MAX(0,MIN(100,SG_GAR*MIN(1,DL172/SG_GAR_FULL)+SG_AMPL*(AC172="sí")+SG_KMC*(AF172="sí")+SG_REV*(N(AE172)&gt;0)+SG_DEV*MIN(1,N(AG172)/SG_DEV_FULL)+SG_HIST*(W172="sí")-IF(AND(R172="particular",DL172=0),SG_PART_PEN,0)))</f>
        <v/>
      </c>
      <c r="DN172" s="3">
        <f>IF(BK172="",NEUTRO,MAX(0,MIN(100,BK172/5*100)))</f>
        <v/>
      </c>
      <c r="DO172" s="3">
        <f>IF(BL172="sí",100,IF(BL172="no",0,NEUTRO))</f>
        <v/>
      </c>
      <c r="DP172" s="3">
        <f>SV_W_NCAP*DN172+SV_W_ESP*DO172</f>
        <v/>
      </c>
      <c r="DQ172" s="3">
        <f>MAX(0,MIN(100,ATR_BASE+ATR_ACAB*(BD172&lt;&gt;"")+IF(BE172="16+",ATR_LL16,IF(BE172="sí",ATR_LL,0))+ATR_FAROS*(BF172="sí")+ATR_TINT*(BG172="sí")-ATR_CHAPA*(BE172="chapa")))</f>
        <v/>
      </c>
      <c r="DR172" s="3">
        <f>EST_W_MOD*(BB172-1)/4*100+EST_W_ATR*DQ172</f>
        <v/>
      </c>
      <c r="DS172" s="3">
        <f>IF(BA172="",NEUTRO,IFERROR(VLOOKUP(BA172,COLOR_TBL,2,0)+0,NEUTRO))</f>
        <v/>
      </c>
      <c r="DT172" s="3">
        <f>MAX(0,MIN(100,100*N(BM172)/RV_N_FULL))</f>
        <v/>
      </c>
      <c r="DU172" s="3">
        <f>IF(OR(BN172="",N(BO172)&lt;RV_DIAS_MIN),NEUTRO,MAX(0,MIN(100,100*(RV_DIAS_CERO-BN172)/(RV_DIAS_CERO-RV_DIAS_FULL))))</f>
        <v/>
      </c>
      <c r="DV172" s="3">
        <f>RV_W_LIQ*DT172+RV_W_DIAS*DU172+RV_W_ETQ*DC172</f>
        <v/>
      </c>
      <c r="DW172" s="3">
        <f>IFERROR(VLOOKUP(L172,CARR_PEN_TBL,2,0),0)</f>
        <v/>
      </c>
      <c r="DX172" s="3">
        <f>W_FIAB*CS172+W_PRECIO*CU172+W_KMEDAD*CY172+W_ESTADO*DB172+W_USO*DK172+W_SEGURIDAD*DM172+W_SEGVIAL*DP172+W_ESTETICA*DR172+W_COLOR*DS172+W_REVENTA*DV172-DW172-EG172</f>
        <v/>
      </c>
      <c r="DY172" s="4">
        <f>IF(N(I172)&gt;0,I172,IFERROR(ROUND(_xlfn.NUMBERVALUE(LEFT(G172,FIND(" ",G172&amp;" ")-1),".")*1000,0),99999))</f>
        <v/>
      </c>
      <c r="DZ172" s="3">
        <f>IF(R172="profesional",0,IF(O172&lt;CUOTA_VALOR_MAX,IF(BW172&gt;ITP_TRAMO_ALTO,SUMIFS(CF_CUOTA,CF_MAS,ITP_TRAMO_ALTO,CF_CCMIN,"&lt;="&amp;DY172,CF_CCMAX,"&gt;="&amp;DY172),IF(BW172&gt;ITP_TRAMO_BAJO,SUMIFS(CF_CUOTA,CF_MAS,ITP_TRAMO_BAJO,CF_CCMIN,"&lt;="&amp;DY172,CF_CCMAX,"&gt;="&amp;DY172),O172*ITP_TIPO)),O172*ITP_TIPO))</f>
        <v/>
      </c>
      <c r="EA172" s="4">
        <f>IF(R172="profesional",N(AK172),0)</f>
        <v/>
      </c>
      <c r="EB172" s="3">
        <f>IF(AND(R172="profesional",ISNUMBER(AK172),AL172="sí"),0,TASA_DGT)</f>
        <v/>
      </c>
      <c r="EC172" s="3">
        <f>INFORME_DGT</f>
        <v/>
      </c>
      <c r="ED172" s="4">
        <f>O172+EA172+DZ172+EB172+EC172</f>
        <v/>
      </c>
      <c r="EE172" s="4">
        <f>ED172+N(DF172)</f>
        <v/>
      </c>
      <c r="EF172" s="3">
        <f>MAX(0,ED172-TOTAL_MAX)</f>
        <v/>
      </c>
      <c r="EG172" s="3">
        <f>EF172/100*PEN_100</f>
        <v/>
      </c>
      <c r="EH172" s="3">
        <f>IF(R172="particular",ED172+IF(AND(DA172&lt;&gt;"cadena",X172&lt;&gt;"sí"),RES_CORREA,0)+IF(AND(BJ172&lt;&gt;"sí",BW172&gt;=RES_NEUM_EDAD),RES_NEUM,0),"")</f>
        <v/>
      </c>
      <c r="EI172" s="3">
        <f>IF(ED172&lt;=TOTAL_MAX,"sí",IF(ED172&lt;=TECHO,"negociar","no"))</f>
        <v/>
      </c>
      <c r="EJ172" s="4">
        <f>ROUND(DX172,9)</f>
        <v/>
      </c>
      <c r="EK172" s="4">
        <f>IF(EI172&lt;&gt;"no",SUMPRODUCT(($EI$2:$EI$209&lt;&gt;"no")*($EJ$2:$EJ$209&gt;EJ172))+SUMPRODUCT(($EI$2:EI172&lt;&gt;"no")*($EJ$2:EJ172=EJ172)),"")</f>
        <v/>
      </c>
    </row>
    <row r="173">
      <c r="A173" s="2" t="inlineStr">
        <is>
          <t>cochesnet:71614301</t>
        </is>
      </c>
      <c r="B173" s="2" t="inlineStr">
        <is>
          <t>cochesnet</t>
        </is>
      </c>
      <c r="C173" s="2" t="inlineStr">
        <is>
          <t>https://www.coches.net/seat-ibiza-14-16v-85cv-style-5p-gasolina-2010-en-valencia-71614301-covo.aspx</t>
        </is>
      </c>
      <c r="D173" s="2" t="inlineStr">
        <is>
          <t>SEAT Ibiza 1.4 16v Style</t>
        </is>
      </c>
      <c r="E173" s="2" t="inlineStr">
        <is>
          <t>Seat</t>
        </is>
      </c>
      <c r="F173" s="2" t="inlineStr">
        <is>
          <t>Seat Ibiza</t>
        </is>
      </c>
      <c r="G173" s="2" t="inlineStr">
        <is>
          <t>1.4</t>
        </is>
      </c>
      <c r="H173" s="2" t="inlineStr">
        <is>
          <t>1.4 16v 85cv Style</t>
        </is>
      </c>
      <c r="I173" s="2" t="n"/>
      <c r="J173" s="2" t="n">
        <v>85</v>
      </c>
      <c r="K173" s="2" t="inlineStr">
        <is>
          <t>gasolina</t>
        </is>
      </c>
      <c r="L173" s="2" t="inlineStr">
        <is>
          <t>utilitario</t>
        </is>
      </c>
      <c r="M173" s="2" t="n">
        <v>2010</v>
      </c>
      <c r="N173" s="2" t="n">
        <v>145000</v>
      </c>
      <c r="O173" s="2" t="n">
        <v>5390</v>
      </c>
      <c r="P173" s="2" t="inlineStr">
        <is>
          <t>manual</t>
        </is>
      </c>
      <c r="Q173" s="2" t="inlineStr">
        <is>
          <t>no</t>
        </is>
      </c>
      <c r="R173" s="2" t="inlineStr">
        <is>
          <t>profesional</t>
        </is>
      </c>
      <c r="S173" s="2" t="inlineStr">
        <is>
          <t>Automóviles MG Foios</t>
        </is>
      </c>
      <c r="T173" s="2" t="inlineStr">
        <is>
          <t>2026-09-28T12:46:13Z</t>
        </is>
      </c>
      <c r="U173" s="2" t="n">
        <v>24</v>
      </c>
      <c r="V173" s="2" t="n"/>
      <c r="W173" s="2" t="n"/>
      <c r="X173" s="2" t="n"/>
      <c r="Y173" s="2" t="n"/>
      <c r="Z173" s="2" t="inlineStr">
        <is>
          <t>sí</t>
        </is>
      </c>
      <c r="AA173" s="2" t="n"/>
      <c r="AB173" s="2" t="n">
        <v>12</v>
      </c>
      <c r="AC173" s="2" t="n"/>
      <c r="AD173" s="2" t="n"/>
      <c r="AE173" s="2" t="n"/>
      <c r="AF173" s="2" t="n"/>
      <c r="AG173" s="2" t="n"/>
      <c r="AH173" s="2" t="n">
        <v>5390</v>
      </c>
      <c r="AI173" s="2" t="n">
        <v>5390</v>
      </c>
      <c r="AJ173" s="2" t="n"/>
      <c r="AK173" s="2" t="n"/>
      <c r="AL173" s="2" t="n"/>
      <c r="AM173" s="2" t="n">
        <v>7.7</v>
      </c>
      <c r="AN173" s="2" t="n"/>
      <c r="AO173" s="2" t="inlineStr">
        <is>
          <t>2010</t>
        </is>
      </c>
      <c r="AP173" s="2" t="n">
        <v>2010</v>
      </c>
      <c r="AQ173" s="2" t="n"/>
      <c r="AR173" s="2" t="inlineStr">
        <is>
          <t>C</t>
        </is>
      </c>
      <c r="AS173" s="2" t="inlineStr">
        <is>
          <t>anuncio</t>
        </is>
      </c>
      <c r="AT173" s="2" t="n"/>
      <c r="AU173" s="2" t="inlineStr">
        <is>
          <t>no</t>
        </is>
      </c>
      <c r="AV173" s="2" t="inlineStr">
        <is>
          <t>C</t>
        </is>
      </c>
      <c r="AW173" s="2" t="n"/>
      <c r="AX173" s="2" t="inlineStr">
        <is>
          <t>no</t>
        </is>
      </c>
      <c r="AY173" s="2" t="inlineStr">
        <is>
          <t>no</t>
        </is>
      </c>
      <c r="AZ173" s="2" t="inlineStr">
        <is>
          <t>COMMON.COLOR_GRAY</t>
        </is>
      </c>
      <c r="BA173" s="2" t="inlineStr">
        <is>
          <t>gris_medio</t>
        </is>
      </c>
      <c r="BB173" s="3" t="n">
        <v>2</v>
      </c>
      <c r="BC173" s="3" t="inlineStr">
        <is>
          <t>(por segmento)</t>
        </is>
      </c>
      <c r="BD173" s="2" t="n"/>
      <c r="BE173" s="2" t="n"/>
      <c r="BF173" s="2" t="n"/>
      <c r="BG173" s="2" t="n"/>
      <c r="BH173" s="2" t="n"/>
      <c r="BI173" s="2" t="n"/>
      <c r="BJ173" s="2" t="n"/>
      <c r="BK173" s="2" t="n">
        <v>5</v>
      </c>
      <c r="BL173" s="2" t="inlineStr">
        <is>
          <t>sí</t>
        </is>
      </c>
      <c r="BM173" s="2" t="n">
        <v>385</v>
      </c>
      <c r="BN173" s="2" t="n">
        <v>0.07434027781710029</v>
      </c>
      <c r="BO173" s="2" t="n">
        <v>10</v>
      </c>
      <c r="BP173" s="2" t="n">
        <v>6225</v>
      </c>
      <c r="BQ173" s="2" t="n">
        <v>10</v>
      </c>
      <c r="BR173" s="2" t="inlineStr">
        <is>
          <t>modelo+año+km</t>
        </is>
      </c>
      <c r="BS173" s="2" t="n"/>
      <c r="BT173" s="2" t="inlineStr">
        <is>
          <t>por encima del presupuesto: negociar 454 € (coste 5454 €; -9.1 puntos); vendedor profesional: sin ITP (operación con IVA/REBU, confirmar en factura); gastos de gestión del vendedor no indicados: se suma la tasa DGT; preguntar el precio final; revisar: no menciona la ITV</t>
        </is>
      </c>
      <c r="BU173" s="2" t="inlineStr">
        <is>
          <t>*AUTOMÓVILES MG* 
*COMPRA-VENTA DE VEHICULOS A PARTICULARES !
*INCLUIMOS GARANTIA Y ULTIMO MANTENIMIENTO EN EL PRECIO ANTES DE LA ENTREGA!
*MAS DE 30AÑOS EN EL SECTOR DEL AUTOMOVIL !
*CARRETERA ANTIGUA BARCELONA Nº 8-FOIOS - C/ LA LLUNA  Nº10 - FOIOS-Valencia-JUNTO AL BAZAR CHINO -ENFRENTE DE HORIZONT AUTO-FOIOS.
*Compra-Venta de vehículos garantizados multimarca, turismos e industriales de todas las gamas*
-POSIBILIDAD DE ENTREGA A TODA ESPAÑA
-Opciones de financiación , CUOTAS PERSONALIZADAS PARA TODOS LOS PUBLICOS*
-FINANCIACION  SOLO CON TU NOMINA!! RESPUESTA DE APROBACION EN MENOS DE 12 HORAS.
-Garantía de 1 año incluida en el precio con opción de ampliación a Premium.
-Tramitamos nosotros cambio de titularidad.
-Transferencia no incluida en el precio.
-ACEPTAMOS COCHE COMO PARTE DE PAGO, MAXIMA TASACION EN EL MOMENTO.
-Este anuncio puede contener algún error se muestra a titulo informativo y no contractual, para mas información contacte con nosotros.</t>
        </is>
      </c>
      <c r="BV173" s="2" t="inlineStr">
        <is>
          <t>https://www.coches.net/seat-ibiza-14-16v-85cv-style-5p-gasolina-2010-en-valencia-71614301-covo.aspx (window.__INITIAL_PROPS__.ad) /home/user/Alopecia/buscador-coches/raw/cochesnet/22df433926dc82fd.json</t>
        </is>
      </c>
      <c r="BW173" s="3">
        <f>MAX(ANIO_ACTUAL-M173,0)</f>
        <v/>
      </c>
      <c r="BX173" s="4">
        <f>N173/MAX(BW173,0.5)</f>
        <v/>
      </c>
      <c r="BY173" s="4">
        <f>F173</f>
        <v/>
      </c>
      <c r="BZ173" s="3">
        <f>BY173&amp;"|"&amp;INT(M173/SEG_ANIO)*SEG_ANIO</f>
        <v/>
      </c>
      <c r="CA173" s="3">
        <f>BZ173&amp;"|"&amp;INT(N173/SEG_KM)*SEG_KM</f>
        <v/>
      </c>
      <c r="CB173" s="4">
        <f>COUNTIF($BY$2:$BY$209,BY173)</f>
        <v/>
      </c>
      <c r="CC173" s="4">
        <f>COUNTIF($BZ$2:$BZ$209,BZ173)</f>
        <v/>
      </c>
      <c r="CD173" s="4">
        <f>COUNTIF($CA$2:$CA$209,CA173)</f>
        <v/>
      </c>
      <c r="CE173" s="3">
        <f t="array" ref="CE173">IF(N(BQ173)&gt;=MIN_N,BP173,IF(CD173&gt;=MIN_N,MEDIAN(IF($CA$2:$CA$209=CA173,$O$2:$O$209)),IF(CC173&gt;=MIN_N,MEDIAN(IF($BZ$2:$BZ$209=BZ173,$O$2:$O$209)),MEDIAN(IF($BY$2:$BY$209=BY173,$O$2:$O$209)))))</f>
        <v/>
      </c>
      <c r="CF173" s="3">
        <f>IF(N(BQ173)&gt;=MIN_N,"mercado "&amp;BR173,IF(CD173&gt;=MIN_N,"modelo+año+km",IF(CC173&gt;=MIN_N,"modelo+año","modelo")))</f>
        <v/>
      </c>
      <c r="CG173" s="4">
        <f>(CE173-O173)/CE173</f>
        <v/>
      </c>
      <c r="CH173" s="3">
        <f>IF(COUNTIFS(FR_FUEL,K173,FR_YEAR,AP173)&gt;0,1,0)</f>
        <v/>
      </c>
      <c r="CI173" s="3">
        <f>IF(COUNTIFS(FR_FUEL,K173,FR_YEAR,AP173-1)&gt;0,1,0)</f>
        <v/>
      </c>
      <c r="CJ173" s="4">
        <f>IF(N(AQ173)&gt;0,AP173*100+AQ173,IF(AND(CH173=1,CI173=1),(AP173-1)*100+1,AP173*100+1))</f>
        <v/>
      </c>
      <c r="CK173" s="3">
        <f>IF(OR(K173="hibrido",K173="glp",K173="gnc",K173="phev"),"ECO",IF(K173="electrico","CERO",IF(K173="gasolina",IF(CJ173&gt;=GAS_C_YM,"C",IF(CJ173&gt;=GAS_B_YM,"B","A")),IF(K173="diesel",IF(CJ173&gt;=DIE_C_YM,"C",IF(CJ173&gt;=DIE_B_YM,"B","A")),""))))</f>
        <v/>
      </c>
      <c r="CL173" s="2" t="inlineStr">
        <is>
          <t>C</t>
        </is>
      </c>
      <c r="CM173" s="4">
        <f>IF(AU173="sí","sí",IF(AS173="regla",IF(AND(N(AQ173)=0,CH173=1),"sí","no"),"no"))</f>
        <v/>
      </c>
      <c r="CN173" s="3">
        <f>IFERROR(VLOOKUP(F173,MOD_TBL,16,0),IFERROR(VLOOKUP(E173,OCU_TBL,2,0),NEUTRO))</f>
        <v/>
      </c>
      <c r="CO173" s="3">
        <f>SUMIFS(MOT_AJUSTE,MOT_MOTOR,G173,MOT_MARCA,E173,MOT_DESDE,"&lt;="&amp;M173,MOT_HASTA,"&gt;="&amp;M173)+SUMIFS(MOT_AJUSTE,MOT_MOTOR,G173,MOT_MARCA,"(todas)",MOT_DESDE,"&lt;="&amp;M173,MOT_HASTA,"&gt;="&amp;M173)+SUMIFS(MOT_AJUSTE,MOT_MOTOR,"(cualquiera)",MOT_MARCA,E173,MOT_DESDE,"&lt;="&amp;M173,MOT_HASTA,"&gt;="&amp;M173)</f>
        <v/>
      </c>
      <c r="CP173" s="3">
        <f>SUMIFS(COMB_AJUSTE,COMB_COMB,K173)</f>
        <v/>
      </c>
      <c r="CQ173" s="3">
        <f>COUNTIFS(MOT_MOTOR,G173,MOT_MARCA,E173,MOT_DESDE,"&lt;="&amp;M173,MOT_HASTA,"&gt;="&amp;M173)+COUNTIFS(MOT_MOTOR,G173,MOT_MARCA,"(todas)",MOT_DESDE,"&lt;="&amp;M173,MOT_HASTA,"&gt;="&amp;M173)+COUNTIFS(MOT_MOTOR,"(cualquiera)",MOT_MARCA,E173,MOT_DESDE,"&lt;="&amp;M173,MOT_HASTA,"&gt;="&amp;M173)</f>
        <v/>
      </c>
      <c r="CR173" s="3">
        <f>IF(AND(K173="diesel",CQ173=0),MIN(CN173,NEUTRO),CN173)</f>
        <v/>
      </c>
      <c r="CS173" s="3">
        <f>MAX(0,MIN(100,CR173+CO173+CP173-IF(AX173="sí",ROB_PEN,0)))</f>
        <v/>
      </c>
      <c r="CT173" s="3">
        <f>100-MAX(0,N173-KM_TOPE_DESDE)/1000*KM_TOPE_PTS</f>
        <v/>
      </c>
      <c r="CU173" s="3">
        <f>MAX(0,MIN(100,50+CG173*PRECIO_PEND,CT173))</f>
        <v/>
      </c>
      <c r="CV173" s="3">
        <f>MAX(0,100*(1-N173/KM_MAX))</f>
        <v/>
      </c>
      <c r="CW173" s="3">
        <f>IF(BX173&lt;KMA_SOSP,IF(AA173="sí",100,KMA_PEN),IF(BX173&lt;=KMA_IDEAL_MAX,100,MAX(0,100*(KMA_CERO-BX173)/(KMA_CERO-KMA_IDEAL_MAX))))</f>
        <v/>
      </c>
      <c r="CX173" s="3">
        <f>MAX(0,MIN(100,100*(M173-ANIO_MIN)/(ANIO_ACTUAL-ANIO_MIN)))</f>
        <v/>
      </c>
      <c r="CY173" s="3">
        <f>W_KMT*CV173+W_KMA*CW173+W_EDAD*CX173</f>
        <v/>
      </c>
      <c r="CZ173" s="4">
        <f>E173&amp;"|"&amp;G173</f>
        <v/>
      </c>
      <c r="DA173" s="3">
        <f>IFERROR(VLOOKUP(CZ173,DIST_TBL,2,0),"")</f>
        <v/>
      </c>
      <c r="DB173" s="3">
        <f>E_ITV*(V173="sí")+E_LIBRO*(W173="sí")+E_PROP*IF(Y173=1,1,IF(Y173=2,0.5,0))+E_CORREA*IF(OR(DA173="cadena",AND(X173="sí",BH173="sí")),1,IF(X173="sí",0.5,0))+E_FACT*(BI173="sí")</f>
        <v/>
      </c>
      <c r="DC173" s="3">
        <f>MAX(0,MIN(100,IFERROR(VLOOKUP(CL173,ETQ_TBL,2,0),0)-IF(CM173="sí",ETQ_PEN_DUD,IF(AS173="regla",ETQ_PEN_REGLA,0))))</f>
        <v/>
      </c>
      <c r="DD173" s="3">
        <f>IF(K173&lt;&gt;"gasolina","",IFERROR(VLOOKUP(F173,CONS_MOD_TBL,2,0),IFERROR(VLOOKUP(L173,CONS_SEG_TBL,2,0),"")))</f>
        <v/>
      </c>
      <c r="DE173" s="3">
        <f>IF(DD173="",NEUTRO,MAX(0,MIN(100,100*(CONS_REF_MAX-DD173)/(CONS_REF_MAX-CONS_REF_MIN))))</f>
        <v/>
      </c>
      <c r="DF173" s="3">
        <f>IFERROR(VLOOKUP(L173,SEGURO_TBL,3,0),"")</f>
        <v/>
      </c>
      <c r="DG173" s="3">
        <f>IF(DF173="",NEUTRO,MAX(0,MIN(100,100*(SEG_REF_MAX-DF173)/(SEG_REF_MAX-SEG_REF_MIN))))</f>
        <v/>
      </c>
      <c r="DH173" s="3">
        <f>IFERROR(VLOOKUP(E173,MANT_MARCA_TBL,2,0)+0,NEUTRO)</f>
        <v/>
      </c>
      <c r="DI173" s="3">
        <f>IF(DA173="",NEUTRO,IFERROR(VLOOKUP(DA173,DIST_PTS_TBL,2,0)+0,NEUTRO))</f>
        <v/>
      </c>
      <c r="DJ173" s="4">
        <f>(DH173+DI173)/2</f>
        <v/>
      </c>
      <c r="DK173" s="3">
        <f>W_CONS*DE173+W_SEG*DG173+W_MANT*DJ173</f>
        <v/>
      </c>
      <c r="DL173" s="3">
        <f>IF(N(AB173)&gt;0,AB173,IF(AND(R173="profesional",SG_LEGAL_ON=1),GAR_LEGAL,0))</f>
        <v/>
      </c>
      <c r="DM173" s="3">
        <f>MAX(0,MIN(100,SG_GAR*MIN(1,DL173/SG_GAR_FULL)+SG_AMPL*(AC173="sí")+SG_KMC*(AF173="sí")+SG_REV*(N(AE173)&gt;0)+SG_DEV*MIN(1,N(AG173)/SG_DEV_FULL)+SG_HIST*(W173="sí")-IF(AND(R173="particular",DL173=0),SG_PART_PEN,0)))</f>
        <v/>
      </c>
      <c r="DN173" s="3">
        <f>IF(BK173="",NEUTRO,MAX(0,MIN(100,BK173/5*100)))</f>
        <v/>
      </c>
      <c r="DO173" s="3">
        <f>IF(BL173="sí",100,IF(BL173="no",0,NEUTRO))</f>
        <v/>
      </c>
      <c r="DP173" s="3">
        <f>SV_W_NCAP*DN173+SV_W_ESP*DO173</f>
        <v/>
      </c>
      <c r="DQ173" s="3">
        <f>MAX(0,MIN(100,ATR_BASE+ATR_ACAB*(BD173&lt;&gt;"")+IF(BE173="16+",ATR_LL16,IF(BE173="sí",ATR_LL,0))+ATR_FAROS*(BF173="sí")+ATR_TINT*(BG173="sí")-ATR_CHAPA*(BE173="chapa")))</f>
        <v/>
      </c>
      <c r="DR173" s="3">
        <f>EST_W_MOD*(BB173-1)/4*100+EST_W_ATR*DQ173</f>
        <v/>
      </c>
      <c r="DS173" s="3">
        <f>IF(BA173="",NEUTRO,IFERROR(VLOOKUP(BA173,COLOR_TBL,2,0)+0,NEUTRO))</f>
        <v/>
      </c>
      <c r="DT173" s="3">
        <f>MAX(0,MIN(100,100*N(BM173)/RV_N_FULL))</f>
        <v/>
      </c>
      <c r="DU173" s="3">
        <f>IF(OR(BN173="",N(BO173)&lt;RV_DIAS_MIN),NEUTRO,MAX(0,MIN(100,100*(RV_DIAS_CERO-BN173)/(RV_DIAS_CERO-RV_DIAS_FULL))))</f>
        <v/>
      </c>
      <c r="DV173" s="3">
        <f>RV_W_LIQ*DT173+RV_W_DIAS*DU173+RV_W_ETQ*DC173</f>
        <v/>
      </c>
      <c r="DW173" s="3">
        <f>IFERROR(VLOOKUP(L173,CARR_PEN_TBL,2,0),0)</f>
        <v/>
      </c>
      <c r="DX173" s="3">
        <f>W_FIAB*CS173+W_PRECIO*CU173+W_KMEDAD*CY173+W_ESTADO*DB173+W_USO*DK173+W_SEGURIDAD*DM173+W_SEGVIAL*DP173+W_ESTETICA*DR173+W_COLOR*DS173+W_REVENTA*DV173-DW173-EG173</f>
        <v/>
      </c>
      <c r="DY173" s="4">
        <f>IF(N(I173)&gt;0,I173,IFERROR(ROUND(_xlfn.NUMBERVALUE(LEFT(G173,FIND(" ",G173&amp;" ")-1),".")*1000,0),99999))</f>
        <v/>
      </c>
      <c r="DZ173" s="3">
        <f>IF(R173="profesional",0,IF(O173&lt;CUOTA_VALOR_MAX,IF(BW173&gt;ITP_TRAMO_ALTO,SUMIFS(CF_CUOTA,CF_MAS,ITP_TRAMO_ALTO,CF_CCMIN,"&lt;="&amp;DY173,CF_CCMAX,"&gt;="&amp;DY173),IF(BW173&gt;ITP_TRAMO_BAJO,SUMIFS(CF_CUOTA,CF_MAS,ITP_TRAMO_BAJO,CF_CCMIN,"&lt;="&amp;DY173,CF_CCMAX,"&gt;="&amp;DY173),O173*ITP_TIPO)),O173*ITP_TIPO))</f>
        <v/>
      </c>
      <c r="EA173" s="4">
        <f>IF(R173="profesional",N(AK173),0)</f>
        <v/>
      </c>
      <c r="EB173" s="3">
        <f>IF(AND(R173="profesional",ISNUMBER(AK173),AL173="sí"),0,TASA_DGT)</f>
        <v/>
      </c>
      <c r="EC173" s="3">
        <f>INFORME_DGT</f>
        <v/>
      </c>
      <c r="ED173" s="4">
        <f>O173+EA173+DZ173+EB173+EC173</f>
        <v/>
      </c>
      <c r="EE173" s="4">
        <f>ED173+N(DF173)</f>
        <v/>
      </c>
      <c r="EF173" s="3">
        <f>MAX(0,ED173-TOTAL_MAX)</f>
        <v/>
      </c>
      <c r="EG173" s="3">
        <f>EF173/100*PEN_100</f>
        <v/>
      </c>
      <c r="EH173" s="3">
        <f>IF(R173="particular",ED173+IF(AND(DA173&lt;&gt;"cadena",X173&lt;&gt;"sí"),RES_CORREA,0)+IF(AND(BJ173&lt;&gt;"sí",BW173&gt;=RES_NEUM_EDAD),RES_NEUM,0),"")</f>
        <v/>
      </c>
      <c r="EI173" s="3">
        <f>IF(ED173&lt;=TOTAL_MAX,"sí",IF(ED173&lt;=TECHO,"negociar","no"))</f>
        <v/>
      </c>
      <c r="EJ173" s="4">
        <f>ROUND(DX173,9)</f>
        <v/>
      </c>
      <c r="EK173" s="4">
        <f>IF(EI173&lt;&gt;"no",SUMPRODUCT(($EI$2:$EI$209&lt;&gt;"no")*($EJ$2:$EJ$209&gt;EJ173))+SUMPRODUCT(($EI$2:EI173&lt;&gt;"no")*($EJ$2:EJ173=EJ173)),"")</f>
        <v/>
      </c>
    </row>
    <row r="174">
      <c r="A174" s="2" t="inlineStr">
        <is>
          <t>cochesnet:71675589</t>
        </is>
      </c>
      <c r="B174" s="2" t="inlineStr">
        <is>
          <t>cochesnet</t>
        </is>
      </c>
      <c r="C174" s="2" t="inlineStr">
        <is>
          <t>https://www.coches.net/volkswagen-polo-14-tdi-bluemotion-80cv-5p-diesel-2010-en-valencia-71675589-covo.aspx</t>
        </is>
      </c>
      <c r="D174" s="2" t="inlineStr">
        <is>
          <t>VOLKSWAGEN Polo 1.4 TDI Bluemotion</t>
        </is>
      </c>
      <c r="E174" s="2" t="inlineStr">
        <is>
          <t>Volkswagen</t>
        </is>
      </c>
      <c r="F174" s="2" t="inlineStr">
        <is>
          <t>Volkswagen Polo</t>
        </is>
      </c>
      <c r="G174" s="2" t="inlineStr">
        <is>
          <t>1.4 TDI</t>
        </is>
      </c>
      <c r="H174" s="2" t="inlineStr">
        <is>
          <t>1.4 TDI Bluemotion 80cv</t>
        </is>
      </c>
      <c r="I174" s="2" t="n"/>
      <c r="J174" s="2" t="n">
        <v>80</v>
      </c>
      <c r="K174" s="2" t="inlineStr">
        <is>
          <t>diesel</t>
        </is>
      </c>
      <c r="L174" s="2" t="inlineStr">
        <is>
          <t>utilitario</t>
        </is>
      </c>
      <c r="M174" s="2" t="n">
        <v>2009</v>
      </c>
      <c r="N174" s="2" t="n">
        <v>142000</v>
      </c>
      <c r="O174" s="2" t="n">
        <v>5499</v>
      </c>
      <c r="P174" s="2" t="inlineStr">
        <is>
          <t>manual</t>
        </is>
      </c>
      <c r="Q174" s="2" t="inlineStr">
        <is>
          <t>no</t>
        </is>
      </c>
      <c r="R174" s="2" t="inlineStr">
        <is>
          <t>profesional</t>
        </is>
      </c>
      <c r="S174" s="2" t="inlineStr">
        <is>
          <t>Blessed drive Torrent</t>
        </is>
      </c>
      <c r="T174" s="2" t="inlineStr">
        <is>
          <t>2026-10-05T12:50:21Z</t>
        </is>
      </c>
      <c r="U174" s="2" t="n">
        <v>16</v>
      </c>
      <c r="V174" s="2" t="n"/>
      <c r="W174" s="2" t="n"/>
      <c r="X174" s="2" t="n"/>
      <c r="Y174" s="2" t="n"/>
      <c r="Z174" s="2" t="inlineStr">
        <is>
          <t>sí</t>
        </is>
      </c>
      <c r="AA174" s="2" t="n"/>
      <c r="AB174" s="2" t="n">
        <v>12</v>
      </c>
      <c r="AC174" s="2" t="n"/>
      <c r="AD174" s="2" t="n"/>
      <c r="AE174" s="2" t="n"/>
      <c r="AF174" s="2" t="n"/>
      <c r="AG174" s="2" t="n"/>
      <c r="AH174" s="2" t="n">
        <v>5499</v>
      </c>
      <c r="AI174" s="2" t="n">
        <v>5499</v>
      </c>
      <c r="AJ174" s="2" t="n"/>
      <c r="AK174" s="2" t="n"/>
      <c r="AL174" s="2" t="n"/>
      <c r="AM174" s="2" t="n">
        <v>8.800000000000001</v>
      </c>
      <c r="AN174" s="2" t="n"/>
      <c r="AO174" s="2" t="inlineStr">
        <is>
          <t>2009</t>
        </is>
      </c>
      <c r="AP174" s="2" t="n">
        <v>2009</v>
      </c>
      <c r="AQ174" s="2" t="n"/>
      <c r="AR174" s="2" t="inlineStr">
        <is>
          <t>B</t>
        </is>
      </c>
      <c r="AS174" s="2" t="inlineStr">
        <is>
          <t>anuncio</t>
        </is>
      </c>
      <c r="AT174" s="2" t="n">
        <v>2010</v>
      </c>
      <c r="AU174" s="2" t="inlineStr">
        <is>
          <t>no</t>
        </is>
      </c>
      <c r="AV174" s="2" t="inlineStr">
        <is>
          <t>B</t>
        </is>
      </c>
      <c r="AW174" s="2" t="n"/>
      <c r="AX174" s="2" t="inlineStr">
        <is>
          <t>no</t>
        </is>
      </c>
      <c r="AY174" s="2" t="inlineStr">
        <is>
          <t>no</t>
        </is>
      </c>
      <c r="AZ174" s="2" t="inlineStr">
        <is>
          <t>COMMON.COLOR_GRAY</t>
        </is>
      </c>
      <c r="BA174" s="2" t="inlineStr">
        <is>
          <t>gris_medio</t>
        </is>
      </c>
      <c r="BB174" s="3" t="n">
        <v>2</v>
      </c>
      <c r="BC174" s="3" t="inlineStr">
        <is>
          <t>(por segmento)</t>
        </is>
      </c>
      <c r="BD174" s="2" t="n"/>
      <c r="BE174" s="2" t="n"/>
      <c r="BF174" s="2" t="n"/>
      <c r="BG174" s="2" t="n"/>
      <c r="BH174" s="2" t="n"/>
      <c r="BI174" s="2" t="n"/>
      <c r="BJ174" s="2" t="n"/>
      <c r="BK174" s="2" t="n">
        <v>4</v>
      </c>
      <c r="BL174" s="2" t="inlineStr">
        <is>
          <t>sí</t>
        </is>
      </c>
      <c r="BM174" s="2" t="n">
        <v>321</v>
      </c>
      <c r="BN174" s="2" t="n">
        <v>0.05126157402992249</v>
      </c>
      <c r="BO174" s="2" t="n">
        <v>3</v>
      </c>
      <c r="BP174" s="2" t="n">
        <v>4990</v>
      </c>
      <c r="BQ174" s="2" t="n">
        <v>7</v>
      </c>
      <c r="BR174" s="2" t="inlineStr">
        <is>
          <t>modelo+año+km</t>
        </is>
      </c>
      <c r="BS174" s="2" t="inlineStr">
        <is>
          <t>wallapop:1308784760 (https://es.wallapop.com/item/volkswagen-polo-2009-1308784760)</t>
        </is>
      </c>
      <c r="BT174" s="2" t="inlineStr">
        <is>
          <t>año a confirmar: la URL/título dice 2010; por encima del presupuesto: negociar 563 € (coste 5563 €; -11.3 puntos); vendedor profesional: sin ITP (operación con IVA/REBU, confirmar en factura); gastos de gestión del vendedor no indicados: se suma la tasa DGT; preguntar el precio final; diésel: motor sin fuente de fiabilidad (fiabilidad limitada a neutra); revisar: no menciona la ITV</t>
        </is>
      </c>
      <c r="BU174" s="2" t="inlineStr">
        <is>
          <t xml:space="preserve">SE VENDE 
CON 1AÑO DE GARANTÍA 
CON POSIBILIDAD DE TRANSPORTAR A CUALQUIER PUNTO 
SE ENTREGA CON SUS MANTENIMIENTO ECHOS 
ESTADO IMPOLUTO 
MEJOR VERLO 
EXTRAS 
LLANTAS 
DIRECCIÓN ASISTIDA 
CIERRE CENTRALIZADO 
ABS
ESP
SISTEMA DE AUDIO 
ANCLAJES ISOFIX 
VOLANTE MULTIFUNCION 
ORDENADOR A BORDO 
ELEVALUNAS ELÉCTRICOS 
RETROVISORES ELÉCTRICOS 
MUCHISIMOS EXTRAS MAS </t>
        </is>
      </c>
      <c r="BV174" s="2" t="inlineStr">
        <is>
          <t>https://www.coches.net/volkswagen-polo-14-tdi-bluemotion-80cv-5p-diesel-2010-en-valencia-71675589-covo.aspx (window.__INITIAL_PROPS__.ad) /home/user/Alopecia/buscador-coches/raw/cochesnet/e5e74f7b0a3e079e.json</t>
        </is>
      </c>
      <c r="BW174" s="3">
        <f>MAX(ANIO_ACTUAL-M174,0)</f>
        <v/>
      </c>
      <c r="BX174" s="4">
        <f>N174/MAX(BW174,0.5)</f>
        <v/>
      </c>
      <c r="BY174" s="4">
        <f>F174</f>
        <v/>
      </c>
      <c r="BZ174" s="3">
        <f>BY174&amp;"|"&amp;INT(M174/SEG_ANIO)*SEG_ANIO</f>
        <v/>
      </c>
      <c r="CA174" s="3">
        <f>BZ174&amp;"|"&amp;INT(N174/SEG_KM)*SEG_KM</f>
        <v/>
      </c>
      <c r="CB174" s="4">
        <f>COUNTIF($BY$2:$BY$209,BY174)</f>
        <v/>
      </c>
      <c r="CC174" s="4">
        <f>COUNTIF($BZ$2:$BZ$209,BZ174)</f>
        <v/>
      </c>
      <c r="CD174" s="4">
        <f>COUNTIF($CA$2:$CA$209,CA174)</f>
        <v/>
      </c>
      <c r="CE174" s="3">
        <f t="array" ref="CE174">IF(N(BQ174)&gt;=MIN_N,BP174,IF(CD174&gt;=MIN_N,MEDIAN(IF($CA$2:$CA$209=CA174,$O$2:$O$209)),IF(CC174&gt;=MIN_N,MEDIAN(IF($BZ$2:$BZ$209=BZ174,$O$2:$O$209)),MEDIAN(IF($BY$2:$BY$209=BY174,$O$2:$O$209)))))</f>
        <v/>
      </c>
      <c r="CF174" s="3">
        <f>IF(N(BQ174)&gt;=MIN_N,"mercado "&amp;BR174,IF(CD174&gt;=MIN_N,"modelo+año+km",IF(CC174&gt;=MIN_N,"modelo+año","modelo")))</f>
        <v/>
      </c>
      <c r="CG174" s="4">
        <f>(CE174-O174)/CE174</f>
        <v/>
      </c>
      <c r="CH174" s="3">
        <f>IF(COUNTIFS(FR_FUEL,K174,FR_YEAR,AP174)&gt;0,1,0)</f>
        <v/>
      </c>
      <c r="CI174" s="3">
        <f>IF(COUNTIFS(FR_FUEL,K174,FR_YEAR,AP174-1)&gt;0,1,0)</f>
        <v/>
      </c>
      <c r="CJ174" s="4">
        <f>IF(N(AQ174)&gt;0,AP174*100+AQ174,IF(AND(CH174=1,CI174=1),(AP174-1)*100+1,AP174*100+1))</f>
        <v/>
      </c>
      <c r="CK174" s="3">
        <f>IF(OR(K174="hibrido",K174="glp",K174="gnc",K174="phev"),"ECO",IF(K174="electrico","CERO",IF(K174="gasolina",IF(CJ174&gt;=GAS_C_YM,"C",IF(CJ174&gt;=GAS_B_YM,"B","A")),IF(K174="diesel",IF(CJ174&gt;=DIE_C_YM,"C",IF(CJ174&gt;=DIE_B_YM,"B","A")),""))))</f>
        <v/>
      </c>
      <c r="CL174" s="2" t="inlineStr">
        <is>
          <t>B</t>
        </is>
      </c>
      <c r="CM174" s="4">
        <f>IF(AU174="sí","sí",IF(AS174="regla",IF(AND(N(AQ174)=0,CH174=1),"sí","no"),"no"))</f>
        <v/>
      </c>
      <c r="CN174" s="3">
        <f>IFERROR(VLOOKUP(F174,MOD_TBL,16,0),IFERROR(VLOOKUP(E174,OCU_TBL,2,0),NEUTRO))</f>
        <v/>
      </c>
      <c r="CO174" s="3">
        <f>SUMIFS(MOT_AJUSTE,MOT_MOTOR,G174,MOT_MARCA,E174,MOT_DESDE,"&lt;="&amp;M174,MOT_HASTA,"&gt;="&amp;M174)+SUMIFS(MOT_AJUSTE,MOT_MOTOR,G174,MOT_MARCA,"(todas)",MOT_DESDE,"&lt;="&amp;M174,MOT_HASTA,"&gt;="&amp;M174)+SUMIFS(MOT_AJUSTE,MOT_MOTOR,"(cualquiera)",MOT_MARCA,E174,MOT_DESDE,"&lt;="&amp;M174,MOT_HASTA,"&gt;="&amp;M174)</f>
        <v/>
      </c>
      <c r="CP174" s="3">
        <f>SUMIFS(COMB_AJUSTE,COMB_COMB,K174)</f>
        <v/>
      </c>
      <c r="CQ174" s="3">
        <f>COUNTIFS(MOT_MOTOR,G174,MOT_MARCA,E174,MOT_DESDE,"&lt;="&amp;M174,MOT_HASTA,"&gt;="&amp;M174)+COUNTIFS(MOT_MOTOR,G174,MOT_MARCA,"(todas)",MOT_DESDE,"&lt;="&amp;M174,MOT_HASTA,"&gt;="&amp;M174)+COUNTIFS(MOT_MOTOR,"(cualquiera)",MOT_MARCA,E174,MOT_DESDE,"&lt;="&amp;M174,MOT_HASTA,"&gt;="&amp;M174)</f>
        <v/>
      </c>
      <c r="CR174" s="3">
        <f>IF(AND(K174="diesel",CQ174=0),MIN(CN174,NEUTRO),CN174)</f>
        <v/>
      </c>
      <c r="CS174" s="3">
        <f>MAX(0,MIN(100,CR174+CO174+CP174-IF(AX174="sí",ROB_PEN,0)))</f>
        <v/>
      </c>
      <c r="CT174" s="3">
        <f>100-MAX(0,N174-KM_TOPE_DESDE)/1000*KM_TOPE_PTS</f>
        <v/>
      </c>
      <c r="CU174" s="3">
        <f>MAX(0,MIN(100,50+CG174*PRECIO_PEND,CT174))</f>
        <v/>
      </c>
      <c r="CV174" s="3">
        <f>MAX(0,100*(1-N174/KM_MAX))</f>
        <v/>
      </c>
      <c r="CW174" s="3">
        <f>IF(BX174&lt;KMA_SOSP,IF(AA174="sí",100,KMA_PEN),IF(BX174&lt;=KMA_IDEAL_MAX,100,MAX(0,100*(KMA_CERO-BX174)/(KMA_CERO-KMA_IDEAL_MAX))))</f>
        <v/>
      </c>
      <c r="CX174" s="3">
        <f>MAX(0,MIN(100,100*(M174-ANIO_MIN)/(ANIO_ACTUAL-ANIO_MIN)))</f>
        <v/>
      </c>
      <c r="CY174" s="3">
        <f>W_KMT*CV174+W_KMA*CW174+W_EDAD*CX174</f>
        <v/>
      </c>
      <c r="CZ174" s="4">
        <f>E174&amp;"|"&amp;G174</f>
        <v/>
      </c>
      <c r="DA174" s="3">
        <f>IFERROR(VLOOKUP(CZ174,DIST_TBL,2,0),"")</f>
        <v/>
      </c>
      <c r="DB174" s="3">
        <f>E_ITV*(V174="sí")+E_LIBRO*(W174="sí")+E_PROP*IF(Y174=1,1,IF(Y174=2,0.5,0))+E_CORREA*IF(OR(DA174="cadena",AND(X174="sí",BH174="sí")),1,IF(X174="sí",0.5,0))+E_FACT*(BI174="sí")</f>
        <v/>
      </c>
      <c r="DC174" s="3">
        <f>MAX(0,MIN(100,IFERROR(VLOOKUP(CL174,ETQ_TBL,2,0),0)-IF(CM174="sí",ETQ_PEN_DUD,IF(AS174="regla",ETQ_PEN_REGLA,0))))</f>
        <v/>
      </c>
      <c r="DD174" s="3">
        <f>IF(K174&lt;&gt;"gasolina","",IFERROR(VLOOKUP(F174,CONS_MOD_TBL,2,0),IFERROR(VLOOKUP(L174,CONS_SEG_TBL,2,0),"")))</f>
        <v/>
      </c>
      <c r="DE174" s="3">
        <f>IF(DD174="",NEUTRO,MAX(0,MIN(100,100*(CONS_REF_MAX-DD174)/(CONS_REF_MAX-CONS_REF_MIN))))</f>
        <v/>
      </c>
      <c r="DF174" s="3">
        <f>IFERROR(VLOOKUP(L174,SEGURO_TBL,3,0),"")</f>
        <v/>
      </c>
      <c r="DG174" s="3">
        <f>IF(DF174="",NEUTRO,MAX(0,MIN(100,100*(SEG_REF_MAX-DF174)/(SEG_REF_MAX-SEG_REF_MIN))))</f>
        <v/>
      </c>
      <c r="DH174" s="3">
        <f>IFERROR(VLOOKUP(E174,MANT_MARCA_TBL,2,0)+0,NEUTRO)</f>
        <v/>
      </c>
      <c r="DI174" s="3">
        <f>IF(DA174="",NEUTRO,IFERROR(VLOOKUP(DA174,DIST_PTS_TBL,2,0)+0,NEUTRO))</f>
        <v/>
      </c>
      <c r="DJ174" s="4">
        <f>(DH174+DI174)/2</f>
        <v/>
      </c>
      <c r="DK174" s="3">
        <f>W_CONS*DE174+W_SEG*DG174+W_MANT*DJ174</f>
        <v/>
      </c>
      <c r="DL174" s="3">
        <f>IF(N(AB174)&gt;0,AB174,IF(AND(R174="profesional",SG_LEGAL_ON=1),GAR_LEGAL,0))</f>
        <v/>
      </c>
      <c r="DM174" s="3">
        <f>MAX(0,MIN(100,SG_GAR*MIN(1,DL174/SG_GAR_FULL)+SG_AMPL*(AC174="sí")+SG_KMC*(AF174="sí")+SG_REV*(N(AE174)&gt;0)+SG_DEV*MIN(1,N(AG174)/SG_DEV_FULL)+SG_HIST*(W174="sí")-IF(AND(R174="particular",DL174=0),SG_PART_PEN,0)))</f>
        <v/>
      </c>
      <c r="DN174" s="3">
        <f>IF(BK174="",NEUTRO,MAX(0,MIN(100,BK174/5*100)))</f>
        <v/>
      </c>
      <c r="DO174" s="3">
        <f>IF(BL174="sí",100,IF(BL174="no",0,NEUTRO))</f>
        <v/>
      </c>
      <c r="DP174" s="3">
        <f>SV_W_NCAP*DN174+SV_W_ESP*DO174</f>
        <v/>
      </c>
      <c r="DQ174" s="3">
        <f>MAX(0,MIN(100,ATR_BASE+ATR_ACAB*(BD174&lt;&gt;"")+IF(BE174="16+",ATR_LL16,IF(BE174="sí",ATR_LL,0))+ATR_FAROS*(BF174="sí")+ATR_TINT*(BG174="sí")-ATR_CHAPA*(BE174="chapa")))</f>
        <v/>
      </c>
      <c r="DR174" s="3">
        <f>EST_W_MOD*(BB174-1)/4*100+EST_W_ATR*DQ174</f>
        <v/>
      </c>
      <c r="DS174" s="3">
        <f>IF(BA174="",NEUTRO,IFERROR(VLOOKUP(BA174,COLOR_TBL,2,0)+0,NEUTRO))</f>
        <v/>
      </c>
      <c r="DT174" s="3">
        <f>MAX(0,MIN(100,100*N(BM174)/RV_N_FULL))</f>
        <v/>
      </c>
      <c r="DU174" s="3">
        <f>IF(OR(BN174="",N(BO174)&lt;RV_DIAS_MIN),NEUTRO,MAX(0,MIN(100,100*(RV_DIAS_CERO-BN174)/(RV_DIAS_CERO-RV_DIAS_FULL))))</f>
        <v/>
      </c>
      <c r="DV174" s="3">
        <f>RV_W_LIQ*DT174+RV_W_DIAS*DU174+RV_W_ETQ*DC174</f>
        <v/>
      </c>
      <c r="DW174" s="3">
        <f>IFERROR(VLOOKUP(L174,CARR_PEN_TBL,2,0),0)</f>
        <v/>
      </c>
      <c r="DX174" s="3">
        <f>W_FIAB*CS174+W_PRECIO*CU174+W_KMEDAD*CY174+W_ESTADO*DB174+W_USO*DK174+W_SEGURIDAD*DM174+W_SEGVIAL*DP174+W_ESTETICA*DR174+W_COLOR*DS174+W_REVENTA*DV174-DW174-EG174</f>
        <v/>
      </c>
      <c r="DY174" s="4">
        <f>IF(N(I174)&gt;0,I174,IFERROR(ROUND(_xlfn.NUMBERVALUE(LEFT(G174,FIND(" ",G174&amp;" ")-1),".")*1000,0),99999))</f>
        <v/>
      </c>
      <c r="DZ174" s="3">
        <f>IF(R174="profesional",0,IF(O174&lt;CUOTA_VALOR_MAX,IF(BW174&gt;ITP_TRAMO_ALTO,SUMIFS(CF_CUOTA,CF_MAS,ITP_TRAMO_ALTO,CF_CCMIN,"&lt;="&amp;DY174,CF_CCMAX,"&gt;="&amp;DY174),IF(BW174&gt;ITP_TRAMO_BAJO,SUMIFS(CF_CUOTA,CF_MAS,ITP_TRAMO_BAJO,CF_CCMIN,"&lt;="&amp;DY174,CF_CCMAX,"&gt;="&amp;DY174),O174*ITP_TIPO)),O174*ITP_TIPO))</f>
        <v/>
      </c>
      <c r="EA174" s="4">
        <f>IF(R174="profesional",N(AK174),0)</f>
        <v/>
      </c>
      <c r="EB174" s="3">
        <f>IF(AND(R174="profesional",ISNUMBER(AK174),AL174="sí"),0,TASA_DGT)</f>
        <v/>
      </c>
      <c r="EC174" s="3">
        <f>INFORME_DGT</f>
        <v/>
      </c>
      <c r="ED174" s="4">
        <f>O174+EA174+DZ174+EB174+EC174</f>
        <v/>
      </c>
      <c r="EE174" s="4">
        <f>ED174+N(DF174)</f>
        <v/>
      </c>
      <c r="EF174" s="3">
        <f>MAX(0,ED174-TOTAL_MAX)</f>
        <v/>
      </c>
      <c r="EG174" s="3">
        <f>EF174/100*PEN_100</f>
        <v/>
      </c>
      <c r="EH174" s="3">
        <f>IF(R174="particular",ED174+IF(AND(DA174&lt;&gt;"cadena",X174&lt;&gt;"sí"),RES_CORREA,0)+IF(AND(BJ174&lt;&gt;"sí",BW174&gt;=RES_NEUM_EDAD),RES_NEUM,0),"")</f>
        <v/>
      </c>
      <c r="EI174" s="3">
        <f>IF(ED174&lt;=TOTAL_MAX,"sí",IF(ED174&lt;=TECHO,"negociar","no"))</f>
        <v/>
      </c>
      <c r="EJ174" s="4">
        <f>ROUND(DX174,9)</f>
        <v/>
      </c>
      <c r="EK174" s="4">
        <f>IF(EI174&lt;&gt;"no",SUMPRODUCT(($EI$2:$EI$209&lt;&gt;"no")*($EJ$2:$EJ$209&gt;EJ174))+SUMPRODUCT(($EI$2:EI174&lt;&gt;"no")*($EJ$2:EJ174=EJ174)),"")</f>
        <v/>
      </c>
    </row>
    <row r="175">
      <c r="A175" s="2" t="inlineStr">
        <is>
          <t>cochesnet:71815933</t>
        </is>
      </c>
      <c r="B175" s="2" t="inlineStr">
        <is>
          <t>cochesnet</t>
        </is>
      </c>
      <c r="C175" s="2" t="inlineStr">
        <is>
          <t>https://www.coches.net/opel-astra-17-cdti-ecoe-edition-4p-diesel-2010-en-valencia-71815933-covo.aspx</t>
        </is>
      </c>
      <c r="D175" s="2" t="inlineStr">
        <is>
          <t>OPEL Astra 1.7 CDTi ecoE Edition</t>
        </is>
      </c>
      <c r="E175" s="2" t="inlineStr">
        <is>
          <t>Opel</t>
        </is>
      </c>
      <c r="F175" s="2" t="inlineStr">
        <is>
          <t>Opel Astra</t>
        </is>
      </c>
      <c r="G175" s="2" t="inlineStr">
        <is>
          <t>1.7 CDTi</t>
        </is>
      </c>
      <c r="H175" s="2" t="inlineStr">
        <is>
          <t>1.7 CDTi ecoE Edition</t>
        </is>
      </c>
      <c r="I175" s="2" t="n"/>
      <c r="J175" s="2" t="n"/>
      <c r="K175" s="2" t="inlineStr">
        <is>
          <t>diesel</t>
        </is>
      </c>
      <c r="L175" s="2" t="inlineStr">
        <is>
          <t>compacto</t>
        </is>
      </c>
      <c r="M175" s="2" t="n">
        <v>2010</v>
      </c>
      <c r="N175" s="2" t="n">
        <v>128000</v>
      </c>
      <c r="O175" s="2" t="n">
        <v>5490</v>
      </c>
      <c r="P175" s="2" t="inlineStr">
        <is>
          <t>manual</t>
        </is>
      </c>
      <c r="Q175" s="2" t="inlineStr">
        <is>
          <t>no</t>
        </is>
      </c>
      <c r="R175" s="2" t="inlineStr">
        <is>
          <t>profesional</t>
        </is>
      </c>
      <c r="S175" s="2" t="inlineStr">
        <is>
          <t>JM Automóviles Alboraya</t>
        </is>
      </c>
      <c r="T175" s="2" t="inlineStr">
        <is>
          <t>2026-10-23T11:45:02Z</t>
        </is>
      </c>
      <c r="U175" s="2" t="n">
        <v>16</v>
      </c>
      <c r="V175" s="2" t="n"/>
      <c r="W175" s="2" t="n"/>
      <c r="X175" s="2" t="n"/>
      <c r="Y175" s="2" t="n">
        <v>1</v>
      </c>
      <c r="Z175" s="2" t="inlineStr">
        <is>
          <t>sí</t>
        </is>
      </c>
      <c r="AA175" s="2" t="n"/>
      <c r="AB175" s="2" t="n">
        <v>12</v>
      </c>
      <c r="AC175" s="2" t="n"/>
      <c r="AD175" s="2" t="n"/>
      <c r="AE175" s="2" t="n"/>
      <c r="AF175" s="2" t="n"/>
      <c r="AG175" s="2" t="n"/>
      <c r="AH175" s="2" t="n">
        <v>5490</v>
      </c>
      <c r="AI175" s="2" t="n">
        <v>5490</v>
      </c>
      <c r="AJ175" s="2" t="n"/>
      <c r="AK175" s="2" t="n"/>
      <c r="AL175" s="2" t="n"/>
      <c r="AM175" s="2" t="n">
        <v>4</v>
      </c>
      <c r="AN175" s="2" t="n"/>
      <c r="AO175" s="2" t="inlineStr">
        <is>
          <t>2010</t>
        </is>
      </c>
      <c r="AP175" s="2" t="n">
        <v>2010</v>
      </c>
      <c r="AQ175" s="2" t="n"/>
      <c r="AR175" s="2" t="inlineStr">
        <is>
          <t>B</t>
        </is>
      </c>
      <c r="AS175" s="2" t="inlineStr">
        <is>
          <t>anuncio</t>
        </is>
      </c>
      <c r="AT175" s="2" t="n"/>
      <c r="AU175" s="2" t="inlineStr">
        <is>
          <t>no</t>
        </is>
      </c>
      <c r="AV175" s="2" t="inlineStr">
        <is>
          <t>B</t>
        </is>
      </c>
      <c r="AW175" s="2" t="n"/>
      <c r="AX175" s="2" t="inlineStr">
        <is>
          <t>no</t>
        </is>
      </c>
      <c r="AY175" s="2" t="inlineStr">
        <is>
          <t>no</t>
        </is>
      </c>
      <c r="AZ175" s="2" t="inlineStr">
        <is>
          <t>COMMON.COLOR_GRAY</t>
        </is>
      </c>
      <c r="BA175" s="2" t="inlineStr">
        <is>
          <t>gris_medio</t>
        </is>
      </c>
      <c r="BB175" s="3" t="n">
        <v>3</v>
      </c>
      <c r="BC175" s="3" t="inlineStr">
        <is>
          <t>(por segmento)</t>
        </is>
      </c>
      <c r="BD175" s="2" t="n"/>
      <c r="BE175" s="2" t="n"/>
      <c r="BF175" s="2" t="n"/>
      <c r="BG175" s="2" t="n"/>
      <c r="BH175" s="2" t="n"/>
      <c r="BI175" s="2" t="n"/>
      <c r="BJ175" s="2" t="n"/>
      <c r="BK175" s="2" t="n">
        <v>5</v>
      </c>
      <c r="BL175" s="2" t="inlineStr">
        <is>
          <t>sí</t>
        </is>
      </c>
      <c r="BM175" s="2" t="n">
        <v>402</v>
      </c>
      <c r="BN175" s="2" t="n">
        <v>0.06280092592351139</v>
      </c>
      <c r="BO175" s="2" t="n">
        <v>4</v>
      </c>
      <c r="BP175" s="2" t="n">
        <v>5695</v>
      </c>
      <c r="BQ175" s="2" t="n">
        <v>8</v>
      </c>
      <c r="BR175" s="2" t="inlineStr">
        <is>
          <t>modelo+año+km</t>
        </is>
      </c>
      <c r="BS175" s="2" t="n"/>
      <c r="BT175" s="2" t="inlineStr">
        <is>
          <t>por encima del presupuesto: negociar 554 € (coste 5554 €; -11.1 puntos); vendedor profesional: sin ITP (operación con IVA/REBU, confirmar en factura); gastos de gestión del vendedor no indicados: se suma la tasa DGT; preguntar el precio final; diésel: motor sin fuente de fiabilidad (fiabilidad limitada a neutra); revisar: no menciona la ITV</t>
        </is>
      </c>
      <c r="BU175" s="2" t="inlineStr">
        <is>
          <t>OPEL ASTRA 1.7 CDTI 100 CV EDITION – 2010 – 128.500 KM
Opel Astra Edition del año 2010, equipado con motor 1.7 CDTI diésel de 100 CV y 128.500 km. Vehículo de un solo propietario, ideal para quienes buscan un compacto fiable, cómodo y económico para el día a día.
DATOS PRINCIPALES
Año: 2010
Combustible: Diésel
Motor: 1.7 CDTI
Potencia: 100 CV
Cambio: Manual
Kilómetros: 128.500 km
Propietarios: 1
Acabado: Edition
EQUIPAMIENTO DESTACADO
Aire acondicionado
Radio/CD
Elevalunas eléctricos
Cierre centralizado
Llantas
ABS + ESP
Asientos cómodos y amplio espacio interior
Dirección asistida
LO MEJOR
Un solo propietario
Motor 1.7 CDTI de bajo consumo
Kilometraje contenido para su antigüedad
Cómodo y práctico para ciudad y carretera
Mantenimiento y uso diario económicos
Vehículo en buen estado, cuidado y preparado para su entrega.</t>
        </is>
      </c>
      <c r="BV175" s="2" t="inlineStr">
        <is>
          <t>https://www.coches.net/opel-astra-17-cdti-ecoe-edition-4p-diesel-2010-en-valencia-71815933-covo.aspx (window.__INITIAL_PROPS__.ad) /home/user/Alopecia/buscador-coches/raw/cochesnet/ce1df307d3878f95.json</t>
        </is>
      </c>
      <c r="BW175" s="3">
        <f>MAX(ANIO_ACTUAL-M175,0)</f>
        <v/>
      </c>
      <c r="BX175" s="4">
        <f>N175/MAX(BW175,0.5)</f>
        <v/>
      </c>
      <c r="BY175" s="4">
        <f>F175</f>
        <v/>
      </c>
      <c r="BZ175" s="3">
        <f>BY175&amp;"|"&amp;INT(M175/SEG_ANIO)*SEG_ANIO</f>
        <v/>
      </c>
      <c r="CA175" s="3">
        <f>BZ175&amp;"|"&amp;INT(N175/SEG_KM)*SEG_KM</f>
        <v/>
      </c>
      <c r="CB175" s="4">
        <f>COUNTIF($BY$2:$BY$209,BY175)</f>
        <v/>
      </c>
      <c r="CC175" s="4">
        <f>COUNTIF($BZ$2:$BZ$209,BZ175)</f>
        <v/>
      </c>
      <c r="CD175" s="4">
        <f>COUNTIF($CA$2:$CA$209,CA175)</f>
        <v/>
      </c>
      <c r="CE175" s="3">
        <f t="array" ref="CE175">IF(N(BQ175)&gt;=MIN_N,BP175,IF(CD175&gt;=MIN_N,MEDIAN(IF($CA$2:$CA$209=CA175,$O$2:$O$209)),IF(CC175&gt;=MIN_N,MEDIAN(IF($BZ$2:$BZ$209=BZ175,$O$2:$O$209)),MEDIAN(IF($BY$2:$BY$209=BY175,$O$2:$O$209)))))</f>
        <v/>
      </c>
      <c r="CF175" s="3">
        <f>IF(N(BQ175)&gt;=MIN_N,"mercado "&amp;BR175,IF(CD175&gt;=MIN_N,"modelo+año+km",IF(CC175&gt;=MIN_N,"modelo+año","modelo")))</f>
        <v/>
      </c>
      <c r="CG175" s="4">
        <f>(CE175-O175)/CE175</f>
        <v/>
      </c>
      <c r="CH175" s="3">
        <f>IF(COUNTIFS(FR_FUEL,K175,FR_YEAR,AP175)&gt;0,1,0)</f>
        <v/>
      </c>
      <c r="CI175" s="3">
        <f>IF(COUNTIFS(FR_FUEL,K175,FR_YEAR,AP175-1)&gt;0,1,0)</f>
        <v/>
      </c>
      <c r="CJ175" s="4">
        <f>IF(N(AQ175)&gt;0,AP175*100+AQ175,IF(AND(CH175=1,CI175=1),(AP175-1)*100+1,AP175*100+1))</f>
        <v/>
      </c>
      <c r="CK175" s="3">
        <f>IF(OR(K175="hibrido",K175="glp",K175="gnc",K175="phev"),"ECO",IF(K175="electrico","CERO",IF(K175="gasolina",IF(CJ175&gt;=GAS_C_YM,"C",IF(CJ175&gt;=GAS_B_YM,"B","A")),IF(K175="diesel",IF(CJ175&gt;=DIE_C_YM,"C",IF(CJ175&gt;=DIE_B_YM,"B","A")),""))))</f>
        <v/>
      </c>
      <c r="CL175" s="2" t="inlineStr">
        <is>
          <t>B</t>
        </is>
      </c>
      <c r="CM175" s="4">
        <f>IF(AU175="sí","sí",IF(AS175="regla",IF(AND(N(AQ175)=0,CH175=1),"sí","no"),"no"))</f>
        <v/>
      </c>
      <c r="CN175" s="3">
        <f>IFERROR(VLOOKUP(F175,MOD_TBL,16,0),IFERROR(VLOOKUP(E175,OCU_TBL,2,0),NEUTRO))</f>
        <v/>
      </c>
      <c r="CO175" s="3">
        <f>SUMIFS(MOT_AJUSTE,MOT_MOTOR,G175,MOT_MARCA,E175,MOT_DESDE,"&lt;="&amp;M175,MOT_HASTA,"&gt;="&amp;M175)+SUMIFS(MOT_AJUSTE,MOT_MOTOR,G175,MOT_MARCA,"(todas)",MOT_DESDE,"&lt;="&amp;M175,MOT_HASTA,"&gt;="&amp;M175)+SUMIFS(MOT_AJUSTE,MOT_MOTOR,"(cualquiera)",MOT_MARCA,E175,MOT_DESDE,"&lt;="&amp;M175,MOT_HASTA,"&gt;="&amp;M175)</f>
        <v/>
      </c>
      <c r="CP175" s="3">
        <f>SUMIFS(COMB_AJUSTE,COMB_COMB,K175)</f>
        <v/>
      </c>
      <c r="CQ175" s="3">
        <f>COUNTIFS(MOT_MOTOR,G175,MOT_MARCA,E175,MOT_DESDE,"&lt;="&amp;M175,MOT_HASTA,"&gt;="&amp;M175)+COUNTIFS(MOT_MOTOR,G175,MOT_MARCA,"(todas)",MOT_DESDE,"&lt;="&amp;M175,MOT_HASTA,"&gt;="&amp;M175)+COUNTIFS(MOT_MOTOR,"(cualquiera)",MOT_MARCA,E175,MOT_DESDE,"&lt;="&amp;M175,MOT_HASTA,"&gt;="&amp;M175)</f>
        <v/>
      </c>
      <c r="CR175" s="3">
        <f>IF(AND(K175="diesel",CQ175=0),MIN(CN175,NEUTRO),CN175)</f>
        <v/>
      </c>
      <c r="CS175" s="3">
        <f>MAX(0,MIN(100,CR175+CO175+CP175-IF(AX175="sí",ROB_PEN,0)))</f>
        <v/>
      </c>
      <c r="CT175" s="3">
        <f>100-MAX(0,N175-KM_TOPE_DESDE)/1000*KM_TOPE_PTS</f>
        <v/>
      </c>
      <c r="CU175" s="3">
        <f>MAX(0,MIN(100,50+CG175*PRECIO_PEND,CT175))</f>
        <v/>
      </c>
      <c r="CV175" s="3">
        <f>MAX(0,100*(1-N175/KM_MAX))</f>
        <v/>
      </c>
      <c r="CW175" s="3">
        <f>IF(BX175&lt;KMA_SOSP,IF(AA175="sí",100,KMA_PEN),IF(BX175&lt;=KMA_IDEAL_MAX,100,MAX(0,100*(KMA_CERO-BX175)/(KMA_CERO-KMA_IDEAL_MAX))))</f>
        <v/>
      </c>
      <c r="CX175" s="3">
        <f>MAX(0,MIN(100,100*(M175-ANIO_MIN)/(ANIO_ACTUAL-ANIO_MIN)))</f>
        <v/>
      </c>
      <c r="CY175" s="3">
        <f>W_KMT*CV175+W_KMA*CW175+W_EDAD*CX175</f>
        <v/>
      </c>
      <c r="CZ175" s="4">
        <f>E175&amp;"|"&amp;G175</f>
        <v/>
      </c>
      <c r="DA175" s="3">
        <f>IFERROR(VLOOKUP(CZ175,DIST_TBL,2,0),"")</f>
        <v/>
      </c>
      <c r="DB175" s="3">
        <f>E_ITV*(V175="sí")+E_LIBRO*(W175="sí")+E_PROP*IF(Y175=1,1,IF(Y175=2,0.5,0))+E_CORREA*IF(OR(DA175="cadena",AND(X175="sí",BH175="sí")),1,IF(X175="sí",0.5,0))+E_FACT*(BI175="sí")</f>
        <v/>
      </c>
      <c r="DC175" s="3">
        <f>MAX(0,MIN(100,IFERROR(VLOOKUP(CL175,ETQ_TBL,2,0),0)-IF(CM175="sí",ETQ_PEN_DUD,IF(AS175="regla",ETQ_PEN_REGLA,0))))</f>
        <v/>
      </c>
      <c r="DD175" s="3">
        <f>IF(K175&lt;&gt;"gasolina","",IFERROR(VLOOKUP(F175,CONS_MOD_TBL,2,0),IFERROR(VLOOKUP(L175,CONS_SEG_TBL,2,0),"")))</f>
        <v/>
      </c>
      <c r="DE175" s="3">
        <f>IF(DD175="",NEUTRO,MAX(0,MIN(100,100*(CONS_REF_MAX-DD175)/(CONS_REF_MAX-CONS_REF_MIN))))</f>
        <v/>
      </c>
      <c r="DF175" s="3">
        <f>IFERROR(VLOOKUP(L175,SEGURO_TBL,3,0),"")</f>
        <v/>
      </c>
      <c r="DG175" s="3">
        <f>IF(DF175="",NEUTRO,MAX(0,MIN(100,100*(SEG_REF_MAX-DF175)/(SEG_REF_MAX-SEG_REF_MIN))))</f>
        <v/>
      </c>
      <c r="DH175" s="3">
        <f>IFERROR(VLOOKUP(E175,MANT_MARCA_TBL,2,0)+0,NEUTRO)</f>
        <v/>
      </c>
      <c r="DI175" s="3">
        <f>IF(DA175="",NEUTRO,IFERROR(VLOOKUP(DA175,DIST_PTS_TBL,2,0)+0,NEUTRO))</f>
        <v/>
      </c>
      <c r="DJ175" s="4">
        <f>(DH175+DI175)/2</f>
        <v/>
      </c>
      <c r="DK175" s="3">
        <f>W_CONS*DE175+W_SEG*DG175+W_MANT*DJ175</f>
        <v/>
      </c>
      <c r="DL175" s="3">
        <f>IF(N(AB175)&gt;0,AB175,IF(AND(R175="profesional",SG_LEGAL_ON=1),GAR_LEGAL,0))</f>
        <v/>
      </c>
      <c r="DM175" s="3">
        <f>MAX(0,MIN(100,SG_GAR*MIN(1,DL175/SG_GAR_FULL)+SG_AMPL*(AC175="sí")+SG_KMC*(AF175="sí")+SG_REV*(N(AE175)&gt;0)+SG_DEV*MIN(1,N(AG175)/SG_DEV_FULL)+SG_HIST*(W175="sí")-IF(AND(R175="particular",DL175=0),SG_PART_PEN,0)))</f>
        <v/>
      </c>
      <c r="DN175" s="3">
        <f>IF(BK175="",NEUTRO,MAX(0,MIN(100,BK175/5*100)))</f>
        <v/>
      </c>
      <c r="DO175" s="3">
        <f>IF(BL175="sí",100,IF(BL175="no",0,NEUTRO))</f>
        <v/>
      </c>
      <c r="DP175" s="3">
        <f>SV_W_NCAP*DN175+SV_W_ESP*DO175</f>
        <v/>
      </c>
      <c r="DQ175" s="3">
        <f>MAX(0,MIN(100,ATR_BASE+ATR_ACAB*(BD175&lt;&gt;"")+IF(BE175="16+",ATR_LL16,IF(BE175="sí",ATR_LL,0))+ATR_FAROS*(BF175="sí")+ATR_TINT*(BG175="sí")-ATR_CHAPA*(BE175="chapa")))</f>
        <v/>
      </c>
      <c r="DR175" s="3">
        <f>EST_W_MOD*(BB175-1)/4*100+EST_W_ATR*DQ175</f>
        <v/>
      </c>
      <c r="DS175" s="3">
        <f>IF(BA175="",NEUTRO,IFERROR(VLOOKUP(BA175,COLOR_TBL,2,0)+0,NEUTRO))</f>
        <v/>
      </c>
      <c r="DT175" s="3">
        <f>MAX(0,MIN(100,100*N(BM175)/RV_N_FULL))</f>
        <v/>
      </c>
      <c r="DU175" s="3">
        <f>IF(OR(BN175="",N(BO175)&lt;RV_DIAS_MIN),NEUTRO,MAX(0,MIN(100,100*(RV_DIAS_CERO-BN175)/(RV_DIAS_CERO-RV_DIAS_FULL))))</f>
        <v/>
      </c>
      <c r="DV175" s="3">
        <f>RV_W_LIQ*DT175+RV_W_DIAS*DU175+RV_W_ETQ*DC175</f>
        <v/>
      </c>
      <c r="DW175" s="3">
        <f>IFERROR(VLOOKUP(L175,CARR_PEN_TBL,2,0),0)</f>
        <v/>
      </c>
      <c r="DX175" s="3">
        <f>W_FIAB*CS175+W_PRECIO*CU175+W_KMEDAD*CY175+W_ESTADO*DB175+W_USO*DK175+W_SEGURIDAD*DM175+W_SEGVIAL*DP175+W_ESTETICA*DR175+W_COLOR*DS175+W_REVENTA*DV175-DW175-EG175</f>
        <v/>
      </c>
      <c r="DY175" s="4">
        <f>IF(N(I175)&gt;0,I175,IFERROR(ROUND(_xlfn.NUMBERVALUE(LEFT(G175,FIND(" ",G175&amp;" ")-1),".")*1000,0),99999))</f>
        <v/>
      </c>
      <c r="DZ175" s="3">
        <f>IF(R175="profesional",0,IF(O175&lt;CUOTA_VALOR_MAX,IF(BW175&gt;ITP_TRAMO_ALTO,SUMIFS(CF_CUOTA,CF_MAS,ITP_TRAMO_ALTO,CF_CCMIN,"&lt;="&amp;DY175,CF_CCMAX,"&gt;="&amp;DY175),IF(BW175&gt;ITP_TRAMO_BAJO,SUMIFS(CF_CUOTA,CF_MAS,ITP_TRAMO_BAJO,CF_CCMIN,"&lt;="&amp;DY175,CF_CCMAX,"&gt;="&amp;DY175),O175*ITP_TIPO)),O175*ITP_TIPO))</f>
        <v/>
      </c>
      <c r="EA175" s="4">
        <f>IF(R175="profesional",N(AK175),0)</f>
        <v/>
      </c>
      <c r="EB175" s="3">
        <f>IF(AND(R175="profesional",ISNUMBER(AK175),AL175="sí"),0,TASA_DGT)</f>
        <v/>
      </c>
      <c r="EC175" s="3">
        <f>INFORME_DGT</f>
        <v/>
      </c>
      <c r="ED175" s="4">
        <f>O175+EA175+DZ175+EB175+EC175</f>
        <v/>
      </c>
      <c r="EE175" s="4">
        <f>ED175+N(DF175)</f>
        <v/>
      </c>
      <c r="EF175" s="3">
        <f>MAX(0,ED175-TOTAL_MAX)</f>
        <v/>
      </c>
      <c r="EG175" s="3">
        <f>EF175/100*PEN_100</f>
        <v/>
      </c>
      <c r="EH175" s="3">
        <f>IF(R175="particular",ED175+IF(AND(DA175&lt;&gt;"cadena",X175&lt;&gt;"sí"),RES_CORREA,0)+IF(AND(BJ175&lt;&gt;"sí",BW175&gt;=RES_NEUM_EDAD),RES_NEUM,0),"")</f>
        <v/>
      </c>
      <c r="EI175" s="3">
        <f>IF(ED175&lt;=TOTAL_MAX,"sí",IF(ED175&lt;=TECHO,"negociar","no"))</f>
        <v/>
      </c>
      <c r="EJ175" s="4">
        <f>ROUND(DX175,9)</f>
        <v/>
      </c>
      <c r="EK175" s="4">
        <f>IF(EI175&lt;&gt;"no",SUMPRODUCT(($EI$2:$EI$209&lt;&gt;"no")*($EJ$2:$EJ$209&gt;EJ175))+SUMPRODUCT(($EI$2:EI175&lt;&gt;"no")*($EJ$2:EJ175=EJ175)),"")</f>
        <v/>
      </c>
    </row>
    <row r="176">
      <c r="A176" s="2" t="inlineStr">
        <is>
          <t>cochesnet:71790136</t>
        </is>
      </c>
      <c r="B176" s="2" t="inlineStr">
        <is>
          <t>cochesnet</t>
        </is>
      </c>
      <c r="C176" s="2" t="inlineStr">
        <is>
          <t>https://www.coches.net/opel-insignia-sports-tourer-20-cdti-160-cv-sport-5p-diesel-2011-en-valencia-71790136-covo.aspx</t>
        </is>
      </c>
      <c r="D176" s="2" t="inlineStr">
        <is>
          <t>OPEL Insignia Sports Tourer 2.0 CDTI 160 CV Sport</t>
        </is>
      </c>
      <c r="E176" s="2" t="inlineStr">
        <is>
          <t>Opel</t>
        </is>
      </c>
      <c r="F176" s="2" t="inlineStr">
        <is>
          <t>Opel Insignia</t>
        </is>
      </c>
      <c r="G176" s="2" t="inlineStr">
        <is>
          <t>2.0 CDTi</t>
        </is>
      </c>
      <c r="H176" s="2" t="inlineStr">
        <is>
          <t>Sports Tourer 2.0 CDTI 160 CV Sport</t>
        </is>
      </c>
      <c r="I176" s="2" t="n"/>
      <c r="J176" s="2" t="n">
        <v>160</v>
      </c>
      <c r="K176" s="2" t="inlineStr">
        <is>
          <t>diesel</t>
        </is>
      </c>
      <c r="L176" s="2" t="inlineStr">
        <is>
          <t>familiar</t>
        </is>
      </c>
      <c r="M176" s="2" t="n">
        <v>2011</v>
      </c>
      <c r="N176" s="2" t="n">
        <v>202000</v>
      </c>
      <c r="O176" s="2" t="n">
        <v>5490</v>
      </c>
      <c r="P176" s="2" t="inlineStr">
        <is>
          <t>manual</t>
        </is>
      </c>
      <c r="Q176" s="2" t="inlineStr">
        <is>
          <t>no</t>
        </is>
      </c>
      <c r="R176" s="2" t="inlineStr">
        <is>
          <t>profesional</t>
        </is>
      </c>
      <c r="S176" s="2" t="inlineStr">
        <is>
          <t>PNG MotorSport Valencia</t>
        </is>
      </c>
      <c r="T176" s="2" t="inlineStr">
        <is>
          <t>2026-10-20T13:08:49Z</t>
        </is>
      </c>
      <c r="U176" s="2" t="n">
        <v>41</v>
      </c>
      <c r="V176" s="2" t="n"/>
      <c r="W176" s="2" t="n"/>
      <c r="X176" s="2" t="n"/>
      <c r="Y176" s="2" t="n"/>
      <c r="Z176" s="2" t="inlineStr">
        <is>
          <t>sí</t>
        </is>
      </c>
      <c r="AA176" s="2" t="n"/>
      <c r="AB176" s="2" t="n">
        <v>12</v>
      </c>
      <c r="AC176" s="2" t="n"/>
      <c r="AD176" s="2" t="n"/>
      <c r="AE176" s="2" t="n"/>
      <c r="AF176" s="2" t="n"/>
      <c r="AG176" s="2" t="n"/>
      <c r="AH176" s="2" t="n">
        <v>5490</v>
      </c>
      <c r="AI176" s="2" t="n"/>
      <c r="AJ176" s="2" t="n"/>
      <c r="AK176" s="2" t="n"/>
      <c r="AL176" s="2" t="n"/>
      <c r="AM176" s="2" t="n">
        <v>0.1</v>
      </c>
      <c r="AN176" s="2" t="n"/>
      <c r="AO176" s="2" t="inlineStr">
        <is>
          <t>2011</t>
        </is>
      </c>
      <c r="AP176" s="2" t="n">
        <v>2011</v>
      </c>
      <c r="AQ176" s="2" t="n"/>
      <c r="AR176" s="2" t="inlineStr">
        <is>
          <t>B</t>
        </is>
      </c>
      <c r="AS176" s="2" t="inlineStr">
        <is>
          <t>anuncio</t>
        </is>
      </c>
      <c r="AT176" s="2" t="n"/>
      <c r="AU176" s="2" t="inlineStr">
        <is>
          <t>no</t>
        </is>
      </c>
      <c r="AV176" s="2" t="inlineStr">
        <is>
          <t>B</t>
        </is>
      </c>
      <c r="AW176" s="2" t="n"/>
      <c r="AX176" s="2" t="inlineStr">
        <is>
          <t>no</t>
        </is>
      </c>
      <c r="AY176" s="2" t="inlineStr">
        <is>
          <t>no</t>
        </is>
      </c>
      <c r="AZ176" s="2" t="inlineStr">
        <is>
          <t>COMMON.COLOR_GRAY</t>
        </is>
      </c>
      <c r="BA176" s="2" t="inlineStr">
        <is>
          <t>gris_medio</t>
        </is>
      </c>
      <c r="BB176" s="3" t="n">
        <v>3</v>
      </c>
      <c r="BC176" s="3" t="inlineStr">
        <is>
          <t>(por segmento)</t>
        </is>
      </c>
      <c r="BD176" s="2" t="inlineStr">
        <is>
          <t>sport</t>
        </is>
      </c>
      <c r="BE176" s="2" t="inlineStr">
        <is>
          <t>sí</t>
        </is>
      </c>
      <c r="BF176" s="2" t="inlineStr">
        <is>
          <t>sí</t>
        </is>
      </c>
      <c r="BG176" s="2" t="n"/>
      <c r="BH176" s="2" t="n"/>
      <c r="BI176" s="2" t="n"/>
      <c r="BJ176" s="2" t="n"/>
      <c r="BK176" s="2" t="n"/>
      <c r="BL176" s="2" t="n"/>
      <c r="BM176" s="2" t="n">
        <v>142</v>
      </c>
      <c r="BN176" s="2" t="n"/>
      <c r="BO176" s="2" t="n">
        <v>0</v>
      </c>
      <c r="BP176" s="2" t="n">
        <v>5245</v>
      </c>
      <c r="BQ176" s="2" t="n">
        <v>4</v>
      </c>
      <c r="BR176" s="2" t="inlineStr">
        <is>
          <t>modelo+año+km</t>
        </is>
      </c>
      <c r="BS176" s="2" t="n"/>
      <c r="BT176" s="2" t="inlineStr">
        <is>
          <t>por encima del presupuesto: negociar 554 € (coste 5554 €; -11.1 puntos); vendedor profesional: sin ITP (operación con IVA/REBU, confirmar en factura); gastos de gestión del vendedor no indicados: se suma la tasa DGT; preguntar el precio final; Euro NCAP de la generación PENDIENTE (seguridad neutra); diésel: motor sin fuente de fiabilidad (fiabilidad limitada a neutra); carrocería familiar: -3 puntos; fiabilidad del modelo PENDIENTE de fuente (puntuación neutra)</t>
        </is>
      </c>
      <c r="BU176" s="2" t="inlineStr">
        <is>
          <t>Opel insignia 2.0 Diesel con 160CV, año 2011 con 202.000km.
El coche está en muy buen estado, tanto de interior como de exterior.
Ideal para quienes buscan el utilitario perfecto, cómodo y bien cuidado.
Ofrece un equilibrio perfecto entre comodidad y confort 
Características:
-Motor 2.0 Diesel con 160 CV, Manual 
-Año de matriculación 2011
-Transmisión Manual 
-Consumo medio 5.5L/ 100
-Etiqueta medioambiental B
-Color Gris
-En perfecto estado
Extras:
-Asientos tela 
-Retrovisores eléctricos
-Elevalunas eléctricos 
-Calefacción y aire acondicionado 
-Radio CD
-Control de velocidad 
-Limitador de velocidad 
-Volante multifunción 
-Xenón
-Luces automáticas 
-Llantas de aluminio 
-Cierre centralizado
-Isofix
Y mucho más 
TODOS LOS EXTRAS.
Estado:
-Garantía 1 año
-Perfecto estado de carrocería 
-Perfecto estado de interior 
-Neumáticos en buen estado 
-Revisión recién hecha 
-Con ITV 
Condiciones:
-Entrega a domicilio
-Cambio de titularidad
-Disponemos de financiación 
-Valoramos tu vehículo como parte de pago
El anuncio puede contener errores</t>
        </is>
      </c>
      <c r="BV176" s="2" t="inlineStr">
        <is>
          <t>https://www.coches.net/opel-insignia-sports-tourer-20-cdti-160-cv-sport-5p-diesel-2011-en-valencia-71790136-covo.aspx (window.__INITIAL_PROPS__.ad) /home/user/Alopecia/buscador-coches/raw/cochesnet/1b97a75cdc4f5a9f.json</t>
        </is>
      </c>
      <c r="BW176" s="3">
        <f>MAX(ANIO_ACTUAL-M176,0)</f>
        <v/>
      </c>
      <c r="BX176" s="4">
        <f>N176/MAX(BW176,0.5)</f>
        <v/>
      </c>
      <c r="BY176" s="4">
        <f>F176</f>
        <v/>
      </c>
      <c r="BZ176" s="3">
        <f>BY176&amp;"|"&amp;INT(M176/SEG_ANIO)*SEG_ANIO</f>
        <v/>
      </c>
      <c r="CA176" s="3">
        <f>BZ176&amp;"|"&amp;INT(N176/SEG_KM)*SEG_KM</f>
        <v/>
      </c>
      <c r="CB176" s="4">
        <f>COUNTIF($BY$2:$BY$209,BY176)</f>
        <v/>
      </c>
      <c r="CC176" s="4">
        <f>COUNTIF($BZ$2:$BZ$209,BZ176)</f>
        <v/>
      </c>
      <c r="CD176" s="4">
        <f>COUNTIF($CA$2:$CA$209,CA176)</f>
        <v/>
      </c>
      <c r="CE176" s="3">
        <f t="array" ref="CE176">IF(N(BQ176)&gt;=MIN_N,BP176,IF(CD176&gt;=MIN_N,MEDIAN(IF($CA$2:$CA$209=CA176,$O$2:$O$209)),IF(CC176&gt;=MIN_N,MEDIAN(IF($BZ$2:$BZ$209=BZ176,$O$2:$O$209)),MEDIAN(IF($BY$2:$BY$209=BY176,$O$2:$O$209)))))</f>
        <v/>
      </c>
      <c r="CF176" s="3">
        <f>IF(N(BQ176)&gt;=MIN_N,"mercado "&amp;BR176,IF(CD176&gt;=MIN_N,"modelo+año+km",IF(CC176&gt;=MIN_N,"modelo+año","modelo")))</f>
        <v/>
      </c>
      <c r="CG176" s="4">
        <f>(CE176-O176)/CE176</f>
        <v/>
      </c>
      <c r="CH176" s="3">
        <f>IF(COUNTIFS(FR_FUEL,K176,FR_YEAR,AP176)&gt;0,1,0)</f>
        <v/>
      </c>
      <c r="CI176" s="3">
        <f>IF(COUNTIFS(FR_FUEL,K176,FR_YEAR,AP176-1)&gt;0,1,0)</f>
        <v/>
      </c>
      <c r="CJ176" s="4">
        <f>IF(N(AQ176)&gt;0,AP176*100+AQ176,IF(AND(CH176=1,CI176=1),(AP176-1)*100+1,AP176*100+1))</f>
        <v/>
      </c>
      <c r="CK176" s="3">
        <f>IF(OR(K176="hibrido",K176="glp",K176="gnc",K176="phev"),"ECO",IF(K176="electrico","CERO",IF(K176="gasolina",IF(CJ176&gt;=GAS_C_YM,"C",IF(CJ176&gt;=GAS_B_YM,"B","A")),IF(K176="diesel",IF(CJ176&gt;=DIE_C_YM,"C",IF(CJ176&gt;=DIE_B_YM,"B","A")),""))))</f>
        <v/>
      </c>
      <c r="CL176" s="2" t="inlineStr">
        <is>
          <t>B</t>
        </is>
      </c>
      <c r="CM176" s="4">
        <f>IF(AU176="sí","sí",IF(AS176="regla",IF(AND(N(AQ176)=0,CH176=1),"sí","no"),"no"))</f>
        <v/>
      </c>
      <c r="CN176" s="3">
        <f>IFERROR(VLOOKUP(F176,MOD_TBL,16,0),IFERROR(VLOOKUP(E176,OCU_TBL,2,0),NEUTRO))</f>
        <v/>
      </c>
      <c r="CO176" s="3">
        <f>SUMIFS(MOT_AJUSTE,MOT_MOTOR,G176,MOT_MARCA,E176,MOT_DESDE,"&lt;="&amp;M176,MOT_HASTA,"&gt;="&amp;M176)+SUMIFS(MOT_AJUSTE,MOT_MOTOR,G176,MOT_MARCA,"(todas)",MOT_DESDE,"&lt;="&amp;M176,MOT_HASTA,"&gt;="&amp;M176)+SUMIFS(MOT_AJUSTE,MOT_MOTOR,"(cualquiera)",MOT_MARCA,E176,MOT_DESDE,"&lt;="&amp;M176,MOT_HASTA,"&gt;="&amp;M176)</f>
        <v/>
      </c>
      <c r="CP176" s="3">
        <f>SUMIFS(COMB_AJUSTE,COMB_COMB,K176)</f>
        <v/>
      </c>
      <c r="CQ176" s="3">
        <f>COUNTIFS(MOT_MOTOR,G176,MOT_MARCA,E176,MOT_DESDE,"&lt;="&amp;M176,MOT_HASTA,"&gt;="&amp;M176)+COUNTIFS(MOT_MOTOR,G176,MOT_MARCA,"(todas)",MOT_DESDE,"&lt;="&amp;M176,MOT_HASTA,"&gt;="&amp;M176)+COUNTIFS(MOT_MOTOR,"(cualquiera)",MOT_MARCA,E176,MOT_DESDE,"&lt;="&amp;M176,MOT_HASTA,"&gt;="&amp;M176)</f>
        <v/>
      </c>
      <c r="CR176" s="3">
        <f>IF(AND(K176="diesel",CQ176=0),MIN(CN176,NEUTRO),CN176)</f>
        <v/>
      </c>
      <c r="CS176" s="3">
        <f>MAX(0,MIN(100,CR176+CO176+CP176-IF(AX176="sí",ROB_PEN,0)))</f>
        <v/>
      </c>
      <c r="CT176" s="3">
        <f>100-MAX(0,N176-KM_TOPE_DESDE)/1000*KM_TOPE_PTS</f>
        <v/>
      </c>
      <c r="CU176" s="3">
        <f>MAX(0,MIN(100,50+CG176*PRECIO_PEND,CT176))</f>
        <v/>
      </c>
      <c r="CV176" s="3">
        <f>MAX(0,100*(1-N176/KM_MAX))</f>
        <v/>
      </c>
      <c r="CW176" s="3">
        <f>IF(BX176&lt;KMA_SOSP,IF(AA176="sí",100,KMA_PEN),IF(BX176&lt;=KMA_IDEAL_MAX,100,MAX(0,100*(KMA_CERO-BX176)/(KMA_CERO-KMA_IDEAL_MAX))))</f>
        <v/>
      </c>
      <c r="CX176" s="3">
        <f>MAX(0,MIN(100,100*(M176-ANIO_MIN)/(ANIO_ACTUAL-ANIO_MIN)))</f>
        <v/>
      </c>
      <c r="CY176" s="3">
        <f>W_KMT*CV176+W_KMA*CW176+W_EDAD*CX176</f>
        <v/>
      </c>
      <c r="CZ176" s="4">
        <f>E176&amp;"|"&amp;G176</f>
        <v/>
      </c>
      <c r="DA176" s="3">
        <f>IFERROR(VLOOKUP(CZ176,DIST_TBL,2,0),"")</f>
        <v/>
      </c>
      <c r="DB176" s="3">
        <f>E_ITV*(V176="sí")+E_LIBRO*(W176="sí")+E_PROP*IF(Y176=1,1,IF(Y176=2,0.5,0))+E_CORREA*IF(OR(DA176="cadena",AND(X176="sí",BH176="sí")),1,IF(X176="sí",0.5,0))+E_FACT*(BI176="sí")</f>
        <v/>
      </c>
      <c r="DC176" s="3">
        <f>MAX(0,MIN(100,IFERROR(VLOOKUP(CL176,ETQ_TBL,2,0),0)-IF(CM176="sí",ETQ_PEN_DUD,IF(AS176="regla",ETQ_PEN_REGLA,0))))</f>
        <v/>
      </c>
      <c r="DD176" s="3">
        <f>IF(K176&lt;&gt;"gasolina","",IFERROR(VLOOKUP(F176,CONS_MOD_TBL,2,0),IFERROR(VLOOKUP(L176,CONS_SEG_TBL,2,0),"")))</f>
        <v/>
      </c>
      <c r="DE176" s="3">
        <f>IF(DD176="",NEUTRO,MAX(0,MIN(100,100*(CONS_REF_MAX-DD176)/(CONS_REF_MAX-CONS_REF_MIN))))</f>
        <v/>
      </c>
      <c r="DF176" s="3">
        <f>IFERROR(VLOOKUP(L176,SEGURO_TBL,3,0),"")</f>
        <v/>
      </c>
      <c r="DG176" s="3">
        <f>IF(DF176="",NEUTRO,MAX(0,MIN(100,100*(SEG_REF_MAX-DF176)/(SEG_REF_MAX-SEG_REF_MIN))))</f>
        <v/>
      </c>
      <c r="DH176" s="3">
        <f>IFERROR(VLOOKUP(E176,MANT_MARCA_TBL,2,0)+0,NEUTRO)</f>
        <v/>
      </c>
      <c r="DI176" s="3">
        <f>IF(DA176="",NEUTRO,IFERROR(VLOOKUP(DA176,DIST_PTS_TBL,2,0)+0,NEUTRO))</f>
        <v/>
      </c>
      <c r="DJ176" s="4">
        <f>(DH176+DI176)/2</f>
        <v/>
      </c>
      <c r="DK176" s="3">
        <f>W_CONS*DE176+W_SEG*DG176+W_MANT*DJ176</f>
        <v/>
      </c>
      <c r="DL176" s="3">
        <f>IF(N(AB176)&gt;0,AB176,IF(AND(R176="profesional",SG_LEGAL_ON=1),GAR_LEGAL,0))</f>
        <v/>
      </c>
      <c r="DM176" s="3">
        <f>MAX(0,MIN(100,SG_GAR*MIN(1,DL176/SG_GAR_FULL)+SG_AMPL*(AC176="sí")+SG_KMC*(AF176="sí")+SG_REV*(N(AE176)&gt;0)+SG_DEV*MIN(1,N(AG176)/SG_DEV_FULL)+SG_HIST*(W176="sí")-IF(AND(R176="particular",DL176=0),SG_PART_PEN,0)))</f>
        <v/>
      </c>
      <c r="DN176" s="3">
        <f>IF(BK176="",NEUTRO,MAX(0,MIN(100,BK176/5*100)))</f>
        <v/>
      </c>
      <c r="DO176" s="3">
        <f>IF(BL176="sí",100,IF(BL176="no",0,NEUTRO))</f>
        <v/>
      </c>
      <c r="DP176" s="3">
        <f>SV_W_NCAP*DN176+SV_W_ESP*DO176</f>
        <v/>
      </c>
      <c r="DQ176" s="3">
        <f>MAX(0,MIN(100,ATR_BASE+ATR_ACAB*(BD176&lt;&gt;"")+IF(BE176="16+",ATR_LL16,IF(BE176="sí",ATR_LL,0))+ATR_FAROS*(BF176="sí")+ATR_TINT*(BG176="sí")-ATR_CHAPA*(BE176="chapa")))</f>
        <v/>
      </c>
      <c r="DR176" s="3">
        <f>EST_W_MOD*(BB176-1)/4*100+EST_W_ATR*DQ176</f>
        <v/>
      </c>
      <c r="DS176" s="3">
        <f>IF(BA176="",NEUTRO,IFERROR(VLOOKUP(BA176,COLOR_TBL,2,0)+0,NEUTRO))</f>
        <v/>
      </c>
      <c r="DT176" s="3">
        <f>MAX(0,MIN(100,100*N(BM176)/RV_N_FULL))</f>
        <v/>
      </c>
      <c r="DU176" s="3">
        <f>IF(OR(BN176="",N(BO176)&lt;RV_DIAS_MIN),NEUTRO,MAX(0,MIN(100,100*(RV_DIAS_CERO-BN176)/(RV_DIAS_CERO-RV_DIAS_FULL))))</f>
        <v/>
      </c>
      <c r="DV176" s="3">
        <f>RV_W_LIQ*DT176+RV_W_DIAS*DU176+RV_W_ETQ*DC176</f>
        <v/>
      </c>
      <c r="DW176" s="3">
        <f>IFERROR(VLOOKUP(L176,CARR_PEN_TBL,2,0),0)</f>
        <v/>
      </c>
      <c r="DX176" s="3">
        <f>W_FIAB*CS176+W_PRECIO*CU176+W_KMEDAD*CY176+W_ESTADO*DB176+W_USO*DK176+W_SEGURIDAD*DM176+W_SEGVIAL*DP176+W_ESTETICA*DR176+W_COLOR*DS176+W_REVENTA*DV176-DW176-EG176</f>
        <v/>
      </c>
      <c r="DY176" s="4">
        <f>IF(N(I176)&gt;0,I176,IFERROR(ROUND(_xlfn.NUMBERVALUE(LEFT(G176,FIND(" ",G176&amp;" ")-1),".")*1000,0),99999))</f>
        <v/>
      </c>
      <c r="DZ176" s="3">
        <f>IF(R176="profesional",0,IF(O176&lt;CUOTA_VALOR_MAX,IF(BW176&gt;ITP_TRAMO_ALTO,SUMIFS(CF_CUOTA,CF_MAS,ITP_TRAMO_ALTO,CF_CCMIN,"&lt;="&amp;DY176,CF_CCMAX,"&gt;="&amp;DY176),IF(BW176&gt;ITP_TRAMO_BAJO,SUMIFS(CF_CUOTA,CF_MAS,ITP_TRAMO_BAJO,CF_CCMIN,"&lt;="&amp;DY176,CF_CCMAX,"&gt;="&amp;DY176),O176*ITP_TIPO)),O176*ITP_TIPO))</f>
        <v/>
      </c>
      <c r="EA176" s="4">
        <f>IF(R176="profesional",N(AK176),0)</f>
        <v/>
      </c>
      <c r="EB176" s="3">
        <f>IF(AND(R176="profesional",ISNUMBER(AK176),AL176="sí"),0,TASA_DGT)</f>
        <v/>
      </c>
      <c r="EC176" s="3">
        <f>INFORME_DGT</f>
        <v/>
      </c>
      <c r="ED176" s="4">
        <f>O176+EA176+DZ176+EB176+EC176</f>
        <v/>
      </c>
      <c r="EE176" s="4">
        <f>ED176+N(DF176)</f>
        <v/>
      </c>
      <c r="EF176" s="3">
        <f>MAX(0,ED176-TOTAL_MAX)</f>
        <v/>
      </c>
      <c r="EG176" s="3">
        <f>EF176/100*PEN_100</f>
        <v/>
      </c>
      <c r="EH176" s="3">
        <f>IF(R176="particular",ED176+IF(AND(DA176&lt;&gt;"cadena",X176&lt;&gt;"sí"),RES_CORREA,0)+IF(AND(BJ176&lt;&gt;"sí",BW176&gt;=RES_NEUM_EDAD),RES_NEUM,0),"")</f>
        <v/>
      </c>
      <c r="EI176" s="3">
        <f>IF(ED176&lt;=TOTAL_MAX,"sí",IF(ED176&lt;=TECHO,"negociar","no"))</f>
        <v/>
      </c>
      <c r="EJ176" s="4">
        <f>ROUND(DX176,9)</f>
        <v/>
      </c>
      <c r="EK176" s="4">
        <f>IF(EI176&lt;&gt;"no",SUMPRODUCT(($EI$2:$EI$209&lt;&gt;"no")*($EJ$2:$EJ$209&gt;EJ176))+SUMPRODUCT(($EI$2:EI176&lt;&gt;"no")*($EJ$2:EJ176=EJ176)),"")</f>
        <v/>
      </c>
    </row>
    <row r="177">
      <c r="A177" s="2" t="inlineStr">
        <is>
          <t>cochesnet:71763662</t>
        </is>
      </c>
      <c r="B177" s="2" t="inlineStr">
        <is>
          <t>cochesnet</t>
        </is>
      </c>
      <c r="C177" s="2" t="inlineStr">
        <is>
          <t>https://www.coches.net/opel-insignia-16-cdti-startstop-ecoflex-136-business-5p-diesel-2016-en-valencia-71763662-covo.aspx</t>
        </is>
      </c>
      <c r="D177" s="2" t="inlineStr">
        <is>
          <t>OPEL Insignia 1.6 CDTI StartStop ecoFLEX 136 Business</t>
        </is>
      </c>
      <c r="E177" s="2" t="inlineStr">
        <is>
          <t>Opel</t>
        </is>
      </c>
      <c r="F177" s="2" t="inlineStr">
        <is>
          <t>Opel Insignia</t>
        </is>
      </c>
      <c r="G177" s="2" t="inlineStr">
        <is>
          <t>1.6 CDTi</t>
        </is>
      </c>
      <c r="H177" s="2" t="inlineStr">
        <is>
          <t>1.6 CDTI StartStop ecoFLEX 136 Business</t>
        </is>
      </c>
      <c r="I177" s="2" t="n"/>
      <c r="J177" s="2" t="n"/>
      <c r="K177" s="2" t="inlineStr">
        <is>
          <t>diesel</t>
        </is>
      </c>
      <c r="L177" s="2" t="inlineStr">
        <is>
          <t>berlina_d</t>
        </is>
      </c>
      <c r="M177" s="2" t="n">
        <v>2015</v>
      </c>
      <c r="N177" s="2" t="n">
        <v>218800</v>
      </c>
      <c r="O177" s="2" t="n">
        <v>5900</v>
      </c>
      <c r="P177" s="2" t="inlineStr">
        <is>
          <t>manual</t>
        </is>
      </c>
      <c r="Q177" s="2" t="inlineStr">
        <is>
          <t>no</t>
        </is>
      </c>
      <c r="R177" s="2" t="inlineStr">
        <is>
          <t>profesional</t>
        </is>
      </c>
      <c r="S177" s="2" t="inlineStr">
        <is>
          <t>Paiporta</t>
        </is>
      </c>
      <c r="T177" s="2" t="inlineStr">
        <is>
          <t>2026-10-16T16:33:35Z</t>
        </is>
      </c>
      <c r="U177" s="2" t="n">
        <v>19</v>
      </c>
      <c r="V177" s="2" t="inlineStr">
        <is>
          <t>sí</t>
        </is>
      </c>
      <c r="W177" s="2" t="n"/>
      <c r="X177" s="2" t="n"/>
      <c r="Y177" s="2" t="n"/>
      <c r="Z177" s="2" t="inlineStr">
        <is>
          <t>sí</t>
        </is>
      </c>
      <c r="AA177" s="2" t="n"/>
      <c r="AB177" s="2" t="n">
        <v>12</v>
      </c>
      <c r="AC177" s="2" t="n"/>
      <c r="AD177" s="2" t="n"/>
      <c r="AE177" s="2" t="n"/>
      <c r="AF177" s="2" t="n"/>
      <c r="AG177" s="2" t="n"/>
      <c r="AH177" s="2" t="n">
        <v>5900</v>
      </c>
      <c r="AI177" s="2" t="n">
        <v>5900</v>
      </c>
      <c r="AJ177" s="2" t="n"/>
      <c r="AK177" s="2" t="n"/>
      <c r="AL177" s="2" t="n"/>
      <c r="AM177" s="2" t="n">
        <v>5.9</v>
      </c>
      <c r="AN177" s="2" t="n"/>
      <c r="AO177" s="2" t="inlineStr">
        <is>
          <t>2015</t>
        </is>
      </c>
      <c r="AP177" s="2" t="n">
        <v>2015</v>
      </c>
      <c r="AQ177" s="2" t="n"/>
      <c r="AR177" s="2" t="inlineStr">
        <is>
          <t>C</t>
        </is>
      </c>
      <c r="AS177" s="2" t="inlineStr">
        <is>
          <t>anuncio</t>
        </is>
      </c>
      <c r="AT177" s="2" t="n">
        <v>2016</v>
      </c>
      <c r="AU177" s="2" t="inlineStr">
        <is>
          <t>no</t>
        </is>
      </c>
      <c r="AV177" s="2" t="inlineStr">
        <is>
          <t>C</t>
        </is>
      </c>
      <c r="AW177" s="2" t="n"/>
      <c r="AX177" s="2" t="inlineStr">
        <is>
          <t>no</t>
        </is>
      </c>
      <c r="AY177" s="2" t="inlineStr">
        <is>
          <t>no</t>
        </is>
      </c>
      <c r="AZ177" s="2" t="inlineStr">
        <is>
          <t>COMMON.COLOR_GRAY</t>
        </is>
      </c>
      <c r="BA177" s="2" t="inlineStr">
        <is>
          <t>gris_medio</t>
        </is>
      </c>
      <c r="BB177" s="3" t="n">
        <v>3</v>
      </c>
      <c r="BC177" s="3" t="inlineStr">
        <is>
          <t>(por segmento)</t>
        </is>
      </c>
      <c r="BD177" s="2" t="n"/>
      <c r="BE177" s="2" t="inlineStr">
        <is>
          <t>sí</t>
        </is>
      </c>
      <c r="BF177" s="2" t="n"/>
      <c r="BG177" s="2" t="n"/>
      <c r="BH177" s="2" t="n"/>
      <c r="BI177" s="2" t="n"/>
      <c r="BJ177" s="2" t="n"/>
      <c r="BK177" s="2" t="n"/>
      <c r="BL177" s="2" t="inlineStr">
        <is>
          <t>sí</t>
        </is>
      </c>
      <c r="BM177" s="2" t="n">
        <v>142</v>
      </c>
      <c r="BN177" s="2" t="n"/>
      <c r="BO177" s="2" t="n">
        <v>0</v>
      </c>
      <c r="BP177" s="2" t="n">
        <v>5947.5</v>
      </c>
      <c r="BQ177" s="2" t="n">
        <v>4</v>
      </c>
      <c r="BR177" s="2" t="inlineStr">
        <is>
          <t>modelo+año+km</t>
        </is>
      </c>
      <c r="BS177" s="2" t="n"/>
      <c r="BT177" s="2" t="inlineStr">
        <is>
          <t>año a confirmar: la URL/título dice 2016; por encima del presupuesto: negociar 964 € (coste 5964 €; -19.3 puntos); vendedor profesional: sin ITP (operación con IVA/REBU, confirmar en factura); gastos de gestión del vendedor no indicados: se suma la tasa DGT; preguntar el precio final; Euro NCAP de la generación PENDIENTE (seguridad neutra); diésel: motor sin fuente de fiabilidad (fiabilidad limitada a neutra); fiabilidad del modelo PENDIENTE de fuente (puntuación neutra)</t>
        </is>
      </c>
      <c r="BU177" s="2" t="inlineStr">
        <is>
          <t>? Diésel 1.6 CDTI de 136 CV (100 kW)
? Tecnología ecoFLEX con Start &amp; Stop
? Cambio manual de 6 velocidades
? ITV hasta 07/27
? Acabado Business
? Higienización completa realizada por profesionales
? Revisado antes de la entrega
? Garantía incluida
? Climatizador automático
? Control de crucero y limitador de velocidad
? Sensores de aparcamiento
? Bluetooth, radio y USB
? Volante multifunción
? Elevalunas y retrovisores eléctricos
? Llantas de aleación
? Faros antiniebla
? Airbags, ABS y ESP
? Anclajes Isofix</t>
        </is>
      </c>
      <c r="BV177" s="2" t="inlineStr">
        <is>
          <t>https://www.coches.net/opel-insignia-16-cdti-startstop-ecoflex-136-business-5p-diesel-2016-en-valencia-71763662-covo.aspx (window.__INITIAL_PROPS__.ad) /home/user/Alopecia/buscador-coches/raw/cochesnet/3f79c0aa0446dbc7.json</t>
        </is>
      </c>
      <c r="BW177" s="3">
        <f>MAX(ANIO_ACTUAL-M177,0)</f>
        <v/>
      </c>
      <c r="BX177" s="4">
        <f>N177/MAX(BW177,0.5)</f>
        <v/>
      </c>
      <c r="BY177" s="4">
        <f>F177</f>
        <v/>
      </c>
      <c r="BZ177" s="3">
        <f>BY177&amp;"|"&amp;INT(M177/SEG_ANIO)*SEG_ANIO</f>
        <v/>
      </c>
      <c r="CA177" s="3">
        <f>BZ177&amp;"|"&amp;INT(N177/SEG_KM)*SEG_KM</f>
        <v/>
      </c>
      <c r="CB177" s="4">
        <f>COUNTIF($BY$2:$BY$209,BY177)</f>
        <v/>
      </c>
      <c r="CC177" s="4">
        <f>COUNTIF($BZ$2:$BZ$209,BZ177)</f>
        <v/>
      </c>
      <c r="CD177" s="4">
        <f>COUNTIF($CA$2:$CA$209,CA177)</f>
        <v/>
      </c>
      <c r="CE177" s="3">
        <f t="array" ref="CE177">IF(N(BQ177)&gt;=MIN_N,BP177,IF(CD177&gt;=MIN_N,MEDIAN(IF($CA$2:$CA$209=CA177,$O$2:$O$209)),IF(CC177&gt;=MIN_N,MEDIAN(IF($BZ$2:$BZ$209=BZ177,$O$2:$O$209)),MEDIAN(IF($BY$2:$BY$209=BY177,$O$2:$O$209)))))</f>
        <v/>
      </c>
      <c r="CF177" s="3">
        <f>IF(N(BQ177)&gt;=MIN_N,"mercado "&amp;BR177,IF(CD177&gt;=MIN_N,"modelo+año+km",IF(CC177&gt;=MIN_N,"modelo+año","modelo")))</f>
        <v/>
      </c>
      <c r="CG177" s="4">
        <f>(CE177-O177)/CE177</f>
        <v/>
      </c>
      <c r="CH177" s="3">
        <f>IF(COUNTIFS(FR_FUEL,K177,FR_YEAR,AP177)&gt;0,1,0)</f>
        <v/>
      </c>
      <c r="CI177" s="3">
        <f>IF(COUNTIFS(FR_FUEL,K177,FR_YEAR,AP177-1)&gt;0,1,0)</f>
        <v/>
      </c>
      <c r="CJ177" s="4">
        <f>IF(N(AQ177)&gt;0,AP177*100+AQ177,IF(AND(CH177=1,CI177=1),(AP177-1)*100+1,AP177*100+1))</f>
        <v/>
      </c>
      <c r="CK177" s="3">
        <f>IF(OR(K177="hibrido",K177="glp",K177="gnc",K177="phev"),"ECO",IF(K177="electrico","CERO",IF(K177="gasolina",IF(CJ177&gt;=GAS_C_YM,"C",IF(CJ177&gt;=GAS_B_YM,"B","A")),IF(K177="diesel",IF(CJ177&gt;=DIE_C_YM,"C",IF(CJ177&gt;=DIE_B_YM,"B","A")),""))))</f>
        <v/>
      </c>
      <c r="CL177" s="2" t="inlineStr">
        <is>
          <t>C</t>
        </is>
      </c>
      <c r="CM177" s="4">
        <f>IF(AU177="sí","sí",IF(AS177="regla",IF(AND(N(AQ177)=0,CH177=1),"sí","no"),"no"))</f>
        <v/>
      </c>
      <c r="CN177" s="3">
        <f>IFERROR(VLOOKUP(F177,MOD_TBL,16,0),IFERROR(VLOOKUP(E177,OCU_TBL,2,0),NEUTRO))</f>
        <v/>
      </c>
      <c r="CO177" s="3">
        <f>SUMIFS(MOT_AJUSTE,MOT_MOTOR,G177,MOT_MARCA,E177,MOT_DESDE,"&lt;="&amp;M177,MOT_HASTA,"&gt;="&amp;M177)+SUMIFS(MOT_AJUSTE,MOT_MOTOR,G177,MOT_MARCA,"(todas)",MOT_DESDE,"&lt;="&amp;M177,MOT_HASTA,"&gt;="&amp;M177)+SUMIFS(MOT_AJUSTE,MOT_MOTOR,"(cualquiera)",MOT_MARCA,E177,MOT_DESDE,"&lt;="&amp;M177,MOT_HASTA,"&gt;="&amp;M177)</f>
        <v/>
      </c>
      <c r="CP177" s="3">
        <f>SUMIFS(COMB_AJUSTE,COMB_COMB,K177)</f>
        <v/>
      </c>
      <c r="CQ177" s="3">
        <f>COUNTIFS(MOT_MOTOR,G177,MOT_MARCA,E177,MOT_DESDE,"&lt;="&amp;M177,MOT_HASTA,"&gt;="&amp;M177)+COUNTIFS(MOT_MOTOR,G177,MOT_MARCA,"(todas)",MOT_DESDE,"&lt;="&amp;M177,MOT_HASTA,"&gt;="&amp;M177)+COUNTIFS(MOT_MOTOR,"(cualquiera)",MOT_MARCA,E177,MOT_DESDE,"&lt;="&amp;M177,MOT_HASTA,"&gt;="&amp;M177)</f>
        <v/>
      </c>
      <c r="CR177" s="3">
        <f>IF(AND(K177="diesel",CQ177=0),MIN(CN177,NEUTRO),CN177)</f>
        <v/>
      </c>
      <c r="CS177" s="3">
        <f>MAX(0,MIN(100,CR177+CO177+CP177-IF(AX177="sí",ROB_PEN,0)))</f>
        <v/>
      </c>
      <c r="CT177" s="3">
        <f>100-MAX(0,N177-KM_TOPE_DESDE)/1000*KM_TOPE_PTS</f>
        <v/>
      </c>
      <c r="CU177" s="3">
        <f>MAX(0,MIN(100,50+CG177*PRECIO_PEND,CT177))</f>
        <v/>
      </c>
      <c r="CV177" s="3">
        <f>MAX(0,100*(1-N177/KM_MAX))</f>
        <v/>
      </c>
      <c r="CW177" s="3">
        <f>IF(BX177&lt;KMA_SOSP,IF(AA177="sí",100,KMA_PEN),IF(BX177&lt;=KMA_IDEAL_MAX,100,MAX(0,100*(KMA_CERO-BX177)/(KMA_CERO-KMA_IDEAL_MAX))))</f>
        <v/>
      </c>
      <c r="CX177" s="3">
        <f>MAX(0,MIN(100,100*(M177-ANIO_MIN)/(ANIO_ACTUAL-ANIO_MIN)))</f>
        <v/>
      </c>
      <c r="CY177" s="3">
        <f>W_KMT*CV177+W_KMA*CW177+W_EDAD*CX177</f>
        <v/>
      </c>
      <c r="CZ177" s="4">
        <f>E177&amp;"|"&amp;G177</f>
        <v/>
      </c>
      <c r="DA177" s="3">
        <f>IFERROR(VLOOKUP(CZ177,DIST_TBL,2,0),"")</f>
        <v/>
      </c>
      <c r="DB177" s="3">
        <f>E_ITV*(V177="sí")+E_LIBRO*(W177="sí")+E_PROP*IF(Y177=1,1,IF(Y177=2,0.5,0))+E_CORREA*IF(OR(DA177="cadena",AND(X177="sí",BH177="sí")),1,IF(X177="sí",0.5,0))+E_FACT*(BI177="sí")</f>
        <v/>
      </c>
      <c r="DC177" s="3">
        <f>MAX(0,MIN(100,IFERROR(VLOOKUP(CL177,ETQ_TBL,2,0),0)-IF(CM177="sí",ETQ_PEN_DUD,IF(AS177="regla",ETQ_PEN_REGLA,0))))</f>
        <v/>
      </c>
      <c r="DD177" s="3">
        <f>IF(K177&lt;&gt;"gasolina","",IFERROR(VLOOKUP(F177,CONS_MOD_TBL,2,0),IFERROR(VLOOKUP(L177,CONS_SEG_TBL,2,0),"")))</f>
        <v/>
      </c>
      <c r="DE177" s="3">
        <f>IF(DD177="",NEUTRO,MAX(0,MIN(100,100*(CONS_REF_MAX-DD177)/(CONS_REF_MAX-CONS_REF_MIN))))</f>
        <v/>
      </c>
      <c r="DF177" s="3">
        <f>IFERROR(VLOOKUP(L177,SEGURO_TBL,3,0),"")</f>
        <v/>
      </c>
      <c r="DG177" s="3">
        <f>IF(DF177="",NEUTRO,MAX(0,MIN(100,100*(SEG_REF_MAX-DF177)/(SEG_REF_MAX-SEG_REF_MIN))))</f>
        <v/>
      </c>
      <c r="DH177" s="3">
        <f>IFERROR(VLOOKUP(E177,MANT_MARCA_TBL,2,0)+0,NEUTRO)</f>
        <v/>
      </c>
      <c r="DI177" s="3">
        <f>IF(DA177="",NEUTRO,IFERROR(VLOOKUP(DA177,DIST_PTS_TBL,2,0)+0,NEUTRO))</f>
        <v/>
      </c>
      <c r="DJ177" s="4">
        <f>(DH177+DI177)/2</f>
        <v/>
      </c>
      <c r="DK177" s="3">
        <f>W_CONS*DE177+W_SEG*DG177+W_MANT*DJ177</f>
        <v/>
      </c>
      <c r="DL177" s="3">
        <f>IF(N(AB177)&gt;0,AB177,IF(AND(R177="profesional",SG_LEGAL_ON=1),GAR_LEGAL,0))</f>
        <v/>
      </c>
      <c r="DM177" s="3">
        <f>MAX(0,MIN(100,SG_GAR*MIN(1,DL177/SG_GAR_FULL)+SG_AMPL*(AC177="sí")+SG_KMC*(AF177="sí")+SG_REV*(N(AE177)&gt;0)+SG_DEV*MIN(1,N(AG177)/SG_DEV_FULL)+SG_HIST*(W177="sí")-IF(AND(R177="particular",DL177=0),SG_PART_PEN,0)))</f>
        <v/>
      </c>
      <c r="DN177" s="3">
        <f>IF(BK177="",NEUTRO,MAX(0,MIN(100,BK177/5*100)))</f>
        <v/>
      </c>
      <c r="DO177" s="3">
        <f>IF(BL177="sí",100,IF(BL177="no",0,NEUTRO))</f>
        <v/>
      </c>
      <c r="DP177" s="3">
        <f>SV_W_NCAP*DN177+SV_W_ESP*DO177</f>
        <v/>
      </c>
      <c r="DQ177" s="3">
        <f>MAX(0,MIN(100,ATR_BASE+ATR_ACAB*(BD177&lt;&gt;"")+IF(BE177="16+",ATR_LL16,IF(BE177="sí",ATR_LL,0))+ATR_FAROS*(BF177="sí")+ATR_TINT*(BG177="sí")-ATR_CHAPA*(BE177="chapa")))</f>
        <v/>
      </c>
      <c r="DR177" s="3">
        <f>EST_W_MOD*(BB177-1)/4*100+EST_W_ATR*DQ177</f>
        <v/>
      </c>
      <c r="DS177" s="3">
        <f>IF(BA177="",NEUTRO,IFERROR(VLOOKUP(BA177,COLOR_TBL,2,0)+0,NEUTRO))</f>
        <v/>
      </c>
      <c r="DT177" s="3">
        <f>MAX(0,MIN(100,100*N(BM177)/RV_N_FULL))</f>
        <v/>
      </c>
      <c r="DU177" s="3">
        <f>IF(OR(BN177="",N(BO177)&lt;RV_DIAS_MIN),NEUTRO,MAX(0,MIN(100,100*(RV_DIAS_CERO-BN177)/(RV_DIAS_CERO-RV_DIAS_FULL))))</f>
        <v/>
      </c>
      <c r="DV177" s="3">
        <f>RV_W_LIQ*DT177+RV_W_DIAS*DU177+RV_W_ETQ*DC177</f>
        <v/>
      </c>
      <c r="DW177" s="3">
        <f>IFERROR(VLOOKUP(L177,CARR_PEN_TBL,2,0),0)</f>
        <v/>
      </c>
      <c r="DX177" s="3">
        <f>W_FIAB*CS177+W_PRECIO*CU177+W_KMEDAD*CY177+W_ESTADO*DB177+W_USO*DK177+W_SEGURIDAD*DM177+W_SEGVIAL*DP177+W_ESTETICA*DR177+W_COLOR*DS177+W_REVENTA*DV177-DW177-EG177</f>
        <v/>
      </c>
      <c r="DY177" s="4">
        <f>IF(N(I177)&gt;0,I177,IFERROR(ROUND(_xlfn.NUMBERVALUE(LEFT(G177,FIND(" ",G177&amp;" ")-1),".")*1000,0),99999))</f>
        <v/>
      </c>
      <c r="DZ177" s="3">
        <f>IF(R177="profesional",0,IF(O177&lt;CUOTA_VALOR_MAX,IF(BW177&gt;ITP_TRAMO_ALTO,SUMIFS(CF_CUOTA,CF_MAS,ITP_TRAMO_ALTO,CF_CCMIN,"&lt;="&amp;DY177,CF_CCMAX,"&gt;="&amp;DY177),IF(BW177&gt;ITP_TRAMO_BAJO,SUMIFS(CF_CUOTA,CF_MAS,ITP_TRAMO_BAJO,CF_CCMIN,"&lt;="&amp;DY177,CF_CCMAX,"&gt;="&amp;DY177),O177*ITP_TIPO)),O177*ITP_TIPO))</f>
        <v/>
      </c>
      <c r="EA177" s="4">
        <f>IF(R177="profesional",N(AK177),0)</f>
        <v/>
      </c>
      <c r="EB177" s="3">
        <f>IF(AND(R177="profesional",ISNUMBER(AK177),AL177="sí"),0,TASA_DGT)</f>
        <v/>
      </c>
      <c r="EC177" s="3">
        <f>INFORME_DGT</f>
        <v/>
      </c>
      <c r="ED177" s="4">
        <f>O177+EA177+DZ177+EB177+EC177</f>
        <v/>
      </c>
      <c r="EE177" s="4">
        <f>ED177+N(DF177)</f>
        <v/>
      </c>
      <c r="EF177" s="3">
        <f>MAX(0,ED177-TOTAL_MAX)</f>
        <v/>
      </c>
      <c r="EG177" s="3">
        <f>EF177/100*PEN_100</f>
        <v/>
      </c>
      <c r="EH177" s="3">
        <f>IF(R177="particular",ED177+IF(AND(DA177&lt;&gt;"cadena",X177&lt;&gt;"sí"),RES_CORREA,0)+IF(AND(BJ177&lt;&gt;"sí",BW177&gt;=RES_NEUM_EDAD),RES_NEUM,0),"")</f>
        <v/>
      </c>
      <c r="EI177" s="3">
        <f>IF(ED177&lt;=TOTAL_MAX,"sí",IF(ED177&lt;=TECHO,"negociar","no"))</f>
        <v/>
      </c>
      <c r="EJ177" s="4">
        <f>ROUND(DX177,9)</f>
        <v/>
      </c>
      <c r="EK177" s="4">
        <f>IF(EI177&lt;&gt;"no",SUMPRODUCT(($EI$2:$EI$209&lt;&gt;"no")*($EJ$2:$EJ$209&gt;EJ177))+SUMPRODUCT(($EI$2:EI177&lt;&gt;"no")*($EJ$2:EJ177=EJ177)),"")</f>
        <v/>
      </c>
    </row>
    <row r="178">
      <c r="A178" s="2" t="inlineStr">
        <is>
          <t>cochesnet:71597486</t>
        </is>
      </c>
      <c r="B178" s="2" t="inlineStr">
        <is>
          <t>cochesnet</t>
        </is>
      </c>
      <c r="C178" s="2" t="inlineStr">
        <is>
          <t>https://www.coches.net/renault-laguna-authentique-dci-110cv-5p-diesel-2010-en-valencia-71597486-covo.aspx</t>
        </is>
      </c>
      <c r="D178" s="2" t="inlineStr">
        <is>
          <t>RENAULT Laguna Authentique dCi</t>
        </is>
      </c>
      <c r="E178" s="2" t="inlineStr">
        <is>
          <t>Renault</t>
        </is>
      </c>
      <c r="F178" s="2" t="inlineStr">
        <is>
          <t>Renault Laguna</t>
        </is>
      </c>
      <c r="G178" s="2" t="inlineStr">
        <is>
          <t>? dCi</t>
        </is>
      </c>
      <c r="H178" s="2" t="inlineStr">
        <is>
          <t>Authentique dCi 110cv</t>
        </is>
      </c>
      <c r="I178" s="2" t="n"/>
      <c r="J178" s="2" t="n">
        <v>110</v>
      </c>
      <c r="K178" s="2" t="inlineStr">
        <is>
          <t>diesel</t>
        </is>
      </c>
      <c r="L178" s="2" t="inlineStr">
        <is>
          <t>berlina_d</t>
        </is>
      </c>
      <c r="M178" s="2" t="n">
        <v>2010</v>
      </c>
      <c r="N178" s="2" t="n">
        <v>159500</v>
      </c>
      <c r="O178" s="2" t="n">
        <v>5750</v>
      </c>
      <c r="P178" s="2" t="inlineStr">
        <is>
          <t>manual</t>
        </is>
      </c>
      <c r="Q178" s="2" t="inlineStr">
        <is>
          <t>no</t>
        </is>
      </c>
      <c r="R178" s="2" t="inlineStr">
        <is>
          <t>profesional</t>
        </is>
      </c>
      <c r="S178" s="2" t="inlineStr">
        <is>
          <t>JM Automóviles Alboraya</t>
        </is>
      </c>
      <c r="T178" s="2" t="inlineStr">
        <is>
          <t>2026-09-25T13:04:43Z</t>
        </is>
      </c>
      <c r="U178" s="2" t="n">
        <v>15</v>
      </c>
      <c r="V178" s="2" t="n"/>
      <c r="W178" s="2" t="n"/>
      <c r="X178" s="2" t="n"/>
      <c r="Y178" s="2" t="n"/>
      <c r="Z178" s="2" t="inlineStr">
        <is>
          <t>sí</t>
        </is>
      </c>
      <c r="AA178" s="2" t="n"/>
      <c r="AB178" s="2" t="n">
        <v>12</v>
      </c>
      <c r="AC178" s="2" t="n"/>
      <c r="AD178" s="2" t="n"/>
      <c r="AE178" s="2" t="n"/>
      <c r="AF178" s="2" t="n"/>
      <c r="AG178" s="2" t="n"/>
      <c r="AH178" s="2" t="n">
        <v>5750</v>
      </c>
      <c r="AI178" s="2" t="n">
        <v>5750</v>
      </c>
      <c r="AJ178" s="2" t="n"/>
      <c r="AK178" s="2" t="n"/>
      <c r="AL178" s="2" t="n"/>
      <c r="AM178" s="2" t="n">
        <v>4</v>
      </c>
      <c r="AN178" s="2" t="n"/>
      <c r="AO178" s="2" t="inlineStr">
        <is>
          <t>2010</t>
        </is>
      </c>
      <c r="AP178" s="2" t="n">
        <v>2010</v>
      </c>
      <c r="AQ178" s="2" t="n"/>
      <c r="AR178" s="2" t="inlineStr">
        <is>
          <t>B</t>
        </is>
      </c>
      <c r="AS178" s="2" t="inlineStr">
        <is>
          <t>anuncio</t>
        </is>
      </c>
      <c r="AT178" s="2" t="n"/>
      <c r="AU178" s="2" t="inlineStr">
        <is>
          <t>no</t>
        </is>
      </c>
      <c r="AV178" s="2" t="inlineStr">
        <is>
          <t>B</t>
        </is>
      </c>
      <c r="AW178" s="2" t="n"/>
      <c r="AX178" s="2" t="inlineStr">
        <is>
          <t>no</t>
        </is>
      </c>
      <c r="AY178" s="2" t="inlineStr">
        <is>
          <t>no</t>
        </is>
      </c>
      <c r="AZ178" s="2" t="inlineStr">
        <is>
          <t>COMMON.COLOR_GRAY</t>
        </is>
      </c>
      <c r="BA178" s="2" t="inlineStr">
        <is>
          <t>gris_medio</t>
        </is>
      </c>
      <c r="BB178" s="3" t="n">
        <v>3</v>
      </c>
      <c r="BC178" s="3" t="inlineStr">
        <is>
          <t>(por segmento)</t>
        </is>
      </c>
      <c r="BD178" s="2" t="n"/>
      <c r="BE178" s="2" t="inlineStr">
        <is>
          <t>sí</t>
        </is>
      </c>
      <c r="BF178" s="2" t="n"/>
      <c r="BG178" s="2" t="n"/>
      <c r="BH178" s="2" t="n"/>
      <c r="BI178" s="2" t="n"/>
      <c r="BJ178" s="2" t="n"/>
      <c r="BK178" s="2" t="n">
        <v>5</v>
      </c>
      <c r="BL178" s="2" t="inlineStr">
        <is>
          <t>sí</t>
        </is>
      </c>
      <c r="BM178" s="2" t="n">
        <v>40</v>
      </c>
      <c r="BN178" s="2" t="n"/>
      <c r="BO178" s="2" t="n">
        <v>0</v>
      </c>
      <c r="BP178" s="2" t="n">
        <v>5725</v>
      </c>
      <c r="BQ178" s="2" t="n">
        <v>6</v>
      </c>
      <c r="BR178" s="2" t="inlineStr">
        <is>
          <t>modelo+año</t>
        </is>
      </c>
      <c r="BS178" s="2" t="n"/>
      <c r="BT178" s="2" t="inlineStr">
        <is>
          <t>por encima del presupuesto: negociar 814 € (coste 5814 €; -16.3 puntos); vendedor profesional: sin ITP (operación con IVA/REBU, confirmar en factura); gastos de gestión del vendedor no indicados: se suma la tasa DGT; preguntar el precio final; diésel: motor sin fuente de fiabilidad (fiabilidad limitada a neutra); revisar: no menciona la ITV; fiabilidad del modelo PENDIENTE de fuente (puntuación neutra)</t>
        </is>
      </c>
      <c r="BU178" s="2" t="inlineStr">
        <is>
          <t>RENAULT LAGUNA 1.5 dCi 110 CV DYNAMIQUE – 2010 – 162.000 KM
Renault Laguna Dynamique del año 2010, equipado con el motor 1.5 dCi de 110 CV, diésel y con 162.000 km. Un vehículo cómodo, espacioso y con un buen equilibrio entre consumo y prestaciones.
DATOS PRINCIPALES
Año: 2010
Motor: 1.5 dCi diésel
Potencia: 110 CV
Cambio: Manual
Kilómetros: 162.000 km
Acabado: Dynamique
EQUIPAMIENTO DESTACADO
Climatizador automático
Sistema multimedia
Radio/CD
Bluetooth
Volante multifunción
Control de velocidad
Llantas de aleación
Luces antiniebla
Elevalunas eléctricos
Cierre centralizado
ABS + ESP
ISOFIX
Ordenador de a bordo
LO MEJOR
Motor 1.5 dCi 110 CV
Acabado Dynamique
Diésel y consumo contenido
162.000 km
Vehículo amplio y cómodo
Ideal para uso diario y carretera
Vehículo en buen estado, cuidado y preparado para su entrega.</t>
        </is>
      </c>
      <c r="BV178" s="2" t="inlineStr">
        <is>
          <t>https://www.coches.net/renault-laguna-authentique-dci-110cv-5p-diesel-2010-en-valencia-71597486-covo.aspx (window.__INITIAL_PROPS__.ad) /home/user/Alopecia/buscador-coches/raw/cochesnet/6d14c4d8fff6bec9.json</t>
        </is>
      </c>
      <c r="BW178" s="3">
        <f>MAX(ANIO_ACTUAL-M178,0)</f>
        <v/>
      </c>
      <c r="BX178" s="4">
        <f>N178/MAX(BW178,0.5)</f>
        <v/>
      </c>
      <c r="BY178" s="4">
        <f>F178</f>
        <v/>
      </c>
      <c r="BZ178" s="3">
        <f>BY178&amp;"|"&amp;INT(M178/SEG_ANIO)*SEG_ANIO</f>
        <v/>
      </c>
      <c r="CA178" s="3">
        <f>BZ178&amp;"|"&amp;INT(N178/SEG_KM)*SEG_KM</f>
        <v/>
      </c>
      <c r="CB178" s="4">
        <f>COUNTIF($BY$2:$BY$209,BY178)</f>
        <v/>
      </c>
      <c r="CC178" s="4">
        <f>COUNTIF($BZ$2:$BZ$209,BZ178)</f>
        <v/>
      </c>
      <c r="CD178" s="4">
        <f>COUNTIF($CA$2:$CA$209,CA178)</f>
        <v/>
      </c>
      <c r="CE178" s="3">
        <f t="array" ref="CE178">IF(N(BQ178)&gt;=MIN_N,BP178,IF(CD178&gt;=MIN_N,MEDIAN(IF($CA$2:$CA$209=CA178,$O$2:$O$209)),IF(CC178&gt;=MIN_N,MEDIAN(IF($BZ$2:$BZ$209=BZ178,$O$2:$O$209)),MEDIAN(IF($BY$2:$BY$209=BY178,$O$2:$O$209)))))</f>
        <v/>
      </c>
      <c r="CF178" s="3">
        <f>IF(N(BQ178)&gt;=MIN_N,"mercado "&amp;BR178,IF(CD178&gt;=MIN_N,"modelo+año+km",IF(CC178&gt;=MIN_N,"modelo+año","modelo")))</f>
        <v/>
      </c>
      <c r="CG178" s="4">
        <f>(CE178-O178)/CE178</f>
        <v/>
      </c>
      <c r="CH178" s="3">
        <f>IF(COUNTIFS(FR_FUEL,K178,FR_YEAR,AP178)&gt;0,1,0)</f>
        <v/>
      </c>
      <c r="CI178" s="3">
        <f>IF(COUNTIFS(FR_FUEL,K178,FR_YEAR,AP178-1)&gt;0,1,0)</f>
        <v/>
      </c>
      <c r="CJ178" s="4">
        <f>IF(N(AQ178)&gt;0,AP178*100+AQ178,IF(AND(CH178=1,CI178=1),(AP178-1)*100+1,AP178*100+1))</f>
        <v/>
      </c>
      <c r="CK178" s="3">
        <f>IF(OR(K178="hibrido",K178="glp",K178="gnc",K178="phev"),"ECO",IF(K178="electrico","CERO",IF(K178="gasolina",IF(CJ178&gt;=GAS_C_YM,"C",IF(CJ178&gt;=GAS_B_YM,"B","A")),IF(K178="diesel",IF(CJ178&gt;=DIE_C_YM,"C",IF(CJ178&gt;=DIE_B_YM,"B","A")),""))))</f>
        <v/>
      </c>
      <c r="CL178" s="2" t="inlineStr">
        <is>
          <t>B</t>
        </is>
      </c>
      <c r="CM178" s="4">
        <f>IF(AU178="sí","sí",IF(AS178="regla",IF(AND(N(AQ178)=0,CH178=1),"sí","no"),"no"))</f>
        <v/>
      </c>
      <c r="CN178" s="3">
        <f>IFERROR(VLOOKUP(F178,MOD_TBL,16,0),IFERROR(VLOOKUP(E178,OCU_TBL,2,0),NEUTRO))</f>
        <v/>
      </c>
      <c r="CO178" s="3">
        <f>SUMIFS(MOT_AJUSTE,MOT_MOTOR,G178,MOT_MARCA,E178,MOT_DESDE,"&lt;="&amp;M178,MOT_HASTA,"&gt;="&amp;M178)+SUMIFS(MOT_AJUSTE,MOT_MOTOR,G178,MOT_MARCA,"(todas)",MOT_DESDE,"&lt;="&amp;M178,MOT_HASTA,"&gt;="&amp;M178)+SUMIFS(MOT_AJUSTE,MOT_MOTOR,"(cualquiera)",MOT_MARCA,E178,MOT_DESDE,"&lt;="&amp;M178,MOT_HASTA,"&gt;="&amp;M178)</f>
        <v/>
      </c>
      <c r="CP178" s="3">
        <f>SUMIFS(COMB_AJUSTE,COMB_COMB,K178)</f>
        <v/>
      </c>
      <c r="CQ178" s="3">
        <f>COUNTIFS(MOT_MOTOR,G178,MOT_MARCA,E178,MOT_DESDE,"&lt;="&amp;M178,MOT_HASTA,"&gt;="&amp;M178)+COUNTIFS(MOT_MOTOR,G178,MOT_MARCA,"(todas)",MOT_DESDE,"&lt;="&amp;M178,MOT_HASTA,"&gt;="&amp;M178)+COUNTIFS(MOT_MOTOR,"(cualquiera)",MOT_MARCA,E178,MOT_DESDE,"&lt;="&amp;M178,MOT_HASTA,"&gt;="&amp;M178)</f>
        <v/>
      </c>
      <c r="CR178" s="3">
        <f>IF(AND(K178="diesel",CQ178=0),MIN(CN178,NEUTRO),CN178)</f>
        <v/>
      </c>
      <c r="CS178" s="3">
        <f>MAX(0,MIN(100,CR178+CO178+CP178-IF(AX178="sí",ROB_PEN,0)))</f>
        <v/>
      </c>
      <c r="CT178" s="3">
        <f>100-MAX(0,N178-KM_TOPE_DESDE)/1000*KM_TOPE_PTS</f>
        <v/>
      </c>
      <c r="CU178" s="3">
        <f>MAX(0,MIN(100,50+CG178*PRECIO_PEND,CT178))</f>
        <v/>
      </c>
      <c r="CV178" s="3">
        <f>MAX(0,100*(1-N178/KM_MAX))</f>
        <v/>
      </c>
      <c r="CW178" s="3">
        <f>IF(BX178&lt;KMA_SOSP,IF(AA178="sí",100,KMA_PEN),IF(BX178&lt;=KMA_IDEAL_MAX,100,MAX(0,100*(KMA_CERO-BX178)/(KMA_CERO-KMA_IDEAL_MAX))))</f>
        <v/>
      </c>
      <c r="CX178" s="3">
        <f>MAX(0,MIN(100,100*(M178-ANIO_MIN)/(ANIO_ACTUAL-ANIO_MIN)))</f>
        <v/>
      </c>
      <c r="CY178" s="3">
        <f>W_KMT*CV178+W_KMA*CW178+W_EDAD*CX178</f>
        <v/>
      </c>
      <c r="CZ178" s="4">
        <f>E178&amp;"|"&amp;G178</f>
        <v/>
      </c>
      <c r="DA178" s="3">
        <f>IFERROR(VLOOKUP(CZ178,DIST_TBL,2,0),"")</f>
        <v/>
      </c>
      <c r="DB178" s="3">
        <f>E_ITV*(V178="sí")+E_LIBRO*(W178="sí")+E_PROP*IF(Y178=1,1,IF(Y178=2,0.5,0))+E_CORREA*IF(OR(DA178="cadena",AND(X178="sí",BH178="sí")),1,IF(X178="sí",0.5,0))+E_FACT*(BI178="sí")</f>
        <v/>
      </c>
      <c r="DC178" s="3">
        <f>MAX(0,MIN(100,IFERROR(VLOOKUP(CL178,ETQ_TBL,2,0),0)-IF(CM178="sí",ETQ_PEN_DUD,IF(AS178="regla",ETQ_PEN_REGLA,0))))</f>
        <v/>
      </c>
      <c r="DD178" s="3">
        <f>IF(K178&lt;&gt;"gasolina","",IFERROR(VLOOKUP(F178,CONS_MOD_TBL,2,0),IFERROR(VLOOKUP(L178,CONS_SEG_TBL,2,0),"")))</f>
        <v/>
      </c>
      <c r="DE178" s="3">
        <f>IF(DD178="",NEUTRO,MAX(0,MIN(100,100*(CONS_REF_MAX-DD178)/(CONS_REF_MAX-CONS_REF_MIN))))</f>
        <v/>
      </c>
      <c r="DF178" s="3">
        <f>IFERROR(VLOOKUP(L178,SEGURO_TBL,3,0),"")</f>
        <v/>
      </c>
      <c r="DG178" s="3">
        <f>IF(DF178="",NEUTRO,MAX(0,MIN(100,100*(SEG_REF_MAX-DF178)/(SEG_REF_MAX-SEG_REF_MIN))))</f>
        <v/>
      </c>
      <c r="DH178" s="3">
        <f>IFERROR(VLOOKUP(E178,MANT_MARCA_TBL,2,0)+0,NEUTRO)</f>
        <v/>
      </c>
      <c r="DI178" s="3">
        <f>IF(DA178="",NEUTRO,IFERROR(VLOOKUP(DA178,DIST_PTS_TBL,2,0)+0,NEUTRO))</f>
        <v/>
      </c>
      <c r="DJ178" s="4">
        <f>(DH178+DI178)/2</f>
        <v/>
      </c>
      <c r="DK178" s="3">
        <f>W_CONS*DE178+W_SEG*DG178+W_MANT*DJ178</f>
        <v/>
      </c>
      <c r="DL178" s="3">
        <f>IF(N(AB178)&gt;0,AB178,IF(AND(R178="profesional",SG_LEGAL_ON=1),GAR_LEGAL,0))</f>
        <v/>
      </c>
      <c r="DM178" s="3">
        <f>MAX(0,MIN(100,SG_GAR*MIN(1,DL178/SG_GAR_FULL)+SG_AMPL*(AC178="sí")+SG_KMC*(AF178="sí")+SG_REV*(N(AE178)&gt;0)+SG_DEV*MIN(1,N(AG178)/SG_DEV_FULL)+SG_HIST*(W178="sí")-IF(AND(R178="particular",DL178=0),SG_PART_PEN,0)))</f>
        <v/>
      </c>
      <c r="DN178" s="3">
        <f>IF(BK178="",NEUTRO,MAX(0,MIN(100,BK178/5*100)))</f>
        <v/>
      </c>
      <c r="DO178" s="3">
        <f>IF(BL178="sí",100,IF(BL178="no",0,NEUTRO))</f>
        <v/>
      </c>
      <c r="DP178" s="3">
        <f>SV_W_NCAP*DN178+SV_W_ESP*DO178</f>
        <v/>
      </c>
      <c r="DQ178" s="3">
        <f>MAX(0,MIN(100,ATR_BASE+ATR_ACAB*(BD178&lt;&gt;"")+IF(BE178="16+",ATR_LL16,IF(BE178="sí",ATR_LL,0))+ATR_FAROS*(BF178="sí")+ATR_TINT*(BG178="sí")-ATR_CHAPA*(BE178="chapa")))</f>
        <v/>
      </c>
      <c r="DR178" s="3">
        <f>EST_W_MOD*(BB178-1)/4*100+EST_W_ATR*DQ178</f>
        <v/>
      </c>
      <c r="DS178" s="3">
        <f>IF(BA178="",NEUTRO,IFERROR(VLOOKUP(BA178,COLOR_TBL,2,0)+0,NEUTRO))</f>
        <v/>
      </c>
      <c r="DT178" s="3">
        <f>MAX(0,MIN(100,100*N(BM178)/RV_N_FULL))</f>
        <v/>
      </c>
      <c r="DU178" s="3">
        <f>IF(OR(BN178="",N(BO178)&lt;RV_DIAS_MIN),NEUTRO,MAX(0,MIN(100,100*(RV_DIAS_CERO-BN178)/(RV_DIAS_CERO-RV_DIAS_FULL))))</f>
        <v/>
      </c>
      <c r="DV178" s="3">
        <f>RV_W_LIQ*DT178+RV_W_DIAS*DU178+RV_W_ETQ*DC178</f>
        <v/>
      </c>
      <c r="DW178" s="3">
        <f>IFERROR(VLOOKUP(L178,CARR_PEN_TBL,2,0),0)</f>
        <v/>
      </c>
      <c r="DX178" s="3">
        <f>W_FIAB*CS178+W_PRECIO*CU178+W_KMEDAD*CY178+W_ESTADO*DB178+W_USO*DK178+W_SEGURIDAD*DM178+W_SEGVIAL*DP178+W_ESTETICA*DR178+W_COLOR*DS178+W_REVENTA*DV178-DW178-EG178</f>
        <v/>
      </c>
      <c r="DY178" s="4">
        <f>IF(N(I178)&gt;0,I178,IFERROR(ROUND(_xlfn.NUMBERVALUE(LEFT(G178,FIND(" ",G178&amp;" ")-1),".")*1000,0),99999))</f>
        <v/>
      </c>
      <c r="DZ178" s="3">
        <f>IF(R178="profesional",0,IF(O178&lt;CUOTA_VALOR_MAX,IF(BW178&gt;ITP_TRAMO_ALTO,SUMIFS(CF_CUOTA,CF_MAS,ITP_TRAMO_ALTO,CF_CCMIN,"&lt;="&amp;DY178,CF_CCMAX,"&gt;="&amp;DY178),IF(BW178&gt;ITP_TRAMO_BAJO,SUMIFS(CF_CUOTA,CF_MAS,ITP_TRAMO_BAJO,CF_CCMIN,"&lt;="&amp;DY178,CF_CCMAX,"&gt;="&amp;DY178),O178*ITP_TIPO)),O178*ITP_TIPO))</f>
        <v/>
      </c>
      <c r="EA178" s="4">
        <f>IF(R178="profesional",N(AK178),0)</f>
        <v/>
      </c>
      <c r="EB178" s="3">
        <f>IF(AND(R178="profesional",ISNUMBER(AK178),AL178="sí"),0,TASA_DGT)</f>
        <v/>
      </c>
      <c r="EC178" s="3">
        <f>INFORME_DGT</f>
        <v/>
      </c>
      <c r="ED178" s="4">
        <f>O178+EA178+DZ178+EB178+EC178</f>
        <v/>
      </c>
      <c r="EE178" s="4">
        <f>ED178+N(DF178)</f>
        <v/>
      </c>
      <c r="EF178" s="3">
        <f>MAX(0,ED178-TOTAL_MAX)</f>
        <v/>
      </c>
      <c r="EG178" s="3">
        <f>EF178/100*PEN_100</f>
        <v/>
      </c>
      <c r="EH178" s="3">
        <f>IF(R178="particular",ED178+IF(AND(DA178&lt;&gt;"cadena",X178&lt;&gt;"sí"),RES_CORREA,0)+IF(AND(BJ178&lt;&gt;"sí",BW178&gt;=RES_NEUM_EDAD),RES_NEUM,0),"")</f>
        <v/>
      </c>
      <c r="EI178" s="3">
        <f>IF(ED178&lt;=TOTAL_MAX,"sí",IF(ED178&lt;=TECHO,"negociar","no"))</f>
        <v/>
      </c>
      <c r="EJ178" s="4">
        <f>ROUND(DX178,9)</f>
        <v/>
      </c>
      <c r="EK178" s="4">
        <f>IF(EI178&lt;&gt;"no",SUMPRODUCT(($EI$2:$EI$209&lt;&gt;"no")*($EJ$2:$EJ$209&gt;EJ178))+SUMPRODUCT(($EI$2:EI178&lt;&gt;"no")*($EJ$2:EJ178=EJ178)),"")</f>
        <v/>
      </c>
    </row>
    <row r="179">
      <c r="A179" s="2" t="inlineStr">
        <is>
          <t>cochesnet:71435649</t>
        </is>
      </c>
      <c r="B179" s="2" t="inlineStr">
        <is>
          <t>cochesnet</t>
        </is>
      </c>
      <c r="C179" s="2" t="inlineStr">
        <is>
          <t>https://www.coches.net/dacia-sandero-laureate-tce-90-5p-gasolina-2012-en-valencia-71435649-covo.aspx</t>
        </is>
      </c>
      <c r="D179" s="2" t="inlineStr">
        <is>
          <t>DACIA Sandero Laureate TCE 90</t>
        </is>
      </c>
      <c r="E179" s="2" t="inlineStr">
        <is>
          <t>Dacia</t>
        </is>
      </c>
      <c r="F179" s="2" t="inlineStr">
        <is>
          <t>Dacia Sandero</t>
        </is>
      </c>
      <c r="G179" s="2" t="inlineStr">
        <is>
          <t>? TCe</t>
        </is>
      </c>
      <c r="H179" s="2" t="inlineStr">
        <is>
          <t>Laureate TCE 90</t>
        </is>
      </c>
      <c r="I179" s="2" t="n"/>
      <c r="J179" s="2" t="n"/>
      <c r="K179" s="2" t="inlineStr">
        <is>
          <t>gasolina</t>
        </is>
      </c>
      <c r="L179" s="2" t="inlineStr">
        <is>
          <t>utilitario</t>
        </is>
      </c>
      <c r="M179" s="2" t="n">
        <v>2014</v>
      </c>
      <c r="N179" s="2" t="n">
        <v>123000</v>
      </c>
      <c r="O179" s="2" t="n">
        <v>5750</v>
      </c>
      <c r="P179" s="2" t="inlineStr">
        <is>
          <t>manual</t>
        </is>
      </c>
      <c r="Q179" s="2" t="inlineStr">
        <is>
          <t>no</t>
        </is>
      </c>
      <c r="R179" s="2" t="inlineStr">
        <is>
          <t>profesional</t>
        </is>
      </c>
      <c r="S179" s="2" t="inlineStr">
        <is>
          <t>JM Automóviles Alboraya</t>
        </is>
      </c>
      <c r="T179" s="2" t="inlineStr">
        <is>
          <t>2026-09-03T17:43:22Z</t>
        </is>
      </c>
      <c r="U179" s="2" t="n">
        <v>12</v>
      </c>
      <c r="V179" s="2" t="n"/>
      <c r="W179" s="2" t="inlineStr">
        <is>
          <t>sí</t>
        </is>
      </c>
      <c r="X179" s="2" t="n"/>
      <c r="Y179" s="2" t="n"/>
      <c r="Z179" s="2" t="inlineStr">
        <is>
          <t>sí</t>
        </is>
      </c>
      <c r="AA179" s="2" t="n"/>
      <c r="AB179" s="2" t="n">
        <v>12</v>
      </c>
      <c r="AC179" s="2" t="n"/>
      <c r="AD179" s="2" t="n"/>
      <c r="AE179" s="2" t="n"/>
      <c r="AF179" s="2" t="n"/>
      <c r="AG179" s="2" t="n"/>
      <c r="AH179" s="2" t="n">
        <v>5750</v>
      </c>
      <c r="AI179" s="2" t="n">
        <v>5750</v>
      </c>
      <c r="AJ179" s="2" t="n"/>
      <c r="AK179" s="2" t="n"/>
      <c r="AL179" s="2" t="n"/>
      <c r="AM179" s="2" t="n">
        <v>4</v>
      </c>
      <c r="AN179" s="2" t="n"/>
      <c r="AO179" s="2" t="inlineStr">
        <is>
          <t>2014</t>
        </is>
      </c>
      <c r="AP179" s="2" t="n">
        <v>2014</v>
      </c>
      <c r="AQ179" s="2" t="n"/>
      <c r="AR179" s="2" t="inlineStr">
        <is>
          <t>C</t>
        </is>
      </c>
      <c r="AS179" s="2" t="inlineStr">
        <is>
          <t>anuncio</t>
        </is>
      </c>
      <c r="AT179" s="2" t="n">
        <v>2012</v>
      </c>
      <c r="AU179" s="2" t="inlineStr">
        <is>
          <t>no</t>
        </is>
      </c>
      <c r="AV179" s="2" t="inlineStr">
        <is>
          <t>C</t>
        </is>
      </c>
      <c r="AW179" s="2" t="n"/>
      <c r="AX179" s="2" t="inlineStr">
        <is>
          <t>no</t>
        </is>
      </c>
      <c r="AY179" s="2" t="inlineStr">
        <is>
          <t>no</t>
        </is>
      </c>
      <c r="AZ179" s="2" t="inlineStr">
        <is>
          <t>COMMON.COLOR_BEIGE</t>
        </is>
      </c>
      <c r="BA179" s="2" t="inlineStr">
        <is>
          <t>beige</t>
        </is>
      </c>
      <c r="BB179" s="3" t="n">
        <v>2</v>
      </c>
      <c r="BC179" s="3" t="inlineStr">
        <is>
          <t>(por segmento)</t>
        </is>
      </c>
      <c r="BD179" s="2" t="n"/>
      <c r="BE179" s="2" t="inlineStr">
        <is>
          <t>sí</t>
        </is>
      </c>
      <c r="BF179" s="2" t="n"/>
      <c r="BG179" s="2" t="n"/>
      <c r="BH179" s="2" t="n"/>
      <c r="BI179" s="2" t="n"/>
      <c r="BJ179" s="2" t="n"/>
      <c r="BK179" s="2" t="n"/>
      <c r="BL179" s="2" t="inlineStr">
        <is>
          <t>sí</t>
        </is>
      </c>
      <c r="BM179" s="2" t="n">
        <v>211</v>
      </c>
      <c r="BN179" s="2" t="n">
        <v>0.021909722359851</v>
      </c>
      <c r="BO179" s="2" t="n">
        <v>4</v>
      </c>
      <c r="BP179" s="2" t="n">
        <v>7200</v>
      </c>
      <c r="BQ179" s="2" t="n">
        <v>13</v>
      </c>
      <c r="BR179" s="2" t="inlineStr">
        <is>
          <t>modelo+año+km</t>
        </is>
      </c>
      <c r="BS179" s="2" t="n"/>
      <c r="BT179" s="2" t="inlineStr">
        <is>
          <t>año a confirmar: la URL/título dice 2012; por encima del presupuesto: negociar 814 € (coste 5814 €; -16.3 puntos); vendedor profesional: sin ITP (operación con IVA/REBU, confirmar en factura); gastos de gestión del vendedor no indicados: se suma la tasa DGT; preguntar el precio final; Euro NCAP de la generación PENDIENTE (seguridad neutra); revisar: no menciona la ITV</t>
        </is>
      </c>
      <c r="BU179" s="2" t="inlineStr">
        <is>
          <t>DACIA SANDERO 0.9 TCe 90 CV LAUREATE – 2014 – 123.000 KM
Utilitario práctico, económico y versátil, con motor gasolina de 90 CV y acabado Laureate. Ideal para el día a día, ciudad y carretera, con un buen equilibrio entre consumo, prestaciones y comodidad.
DATOS PRINCIPALES
Año: 2014
Kilómetros: 123.000 km
Motor: 0.9 TCe Gasolina
Potencia: 90 CV
Cambio manual
Acabado Laureate
Mantenimiento al día
Listo para circular
EQUIPAMIENTO DESTACADO
Aire acondicionado
Pantalla multimedia
Navegador GPS
Bluetooth / USB
Volante multifunción
Ordenador de a bordo
Llantas de aleación
Elevalunas eléctricos
Cierre centralizado
Control de velocidad
Sensores de aparcamiento
Luces antiniebla
ABS + Control de estabilidad
ISOFIX
LO MEJOR
Motor 0.9 TCe de 90 CV
Acabado Laureate
123.000 km
Motor gasolina económico
Bajo coste de mantenimiento
Cómodo y práctico
Ideal para ciudad y carretera
Vehículo en buen estado general, cuidado y listo para su entrega.</t>
        </is>
      </c>
      <c r="BV179" s="2" t="inlineStr">
        <is>
          <t>https://www.coches.net/dacia-sandero-laureate-tce-90-5p-gasolina-2012-en-valencia-71435649-covo.aspx (window.__INITIAL_PROPS__.ad) /home/user/Alopecia/buscador-coches/raw/cochesnet/25d6a658b95a69ee.json</t>
        </is>
      </c>
      <c r="BW179" s="3">
        <f>MAX(ANIO_ACTUAL-M179,0)</f>
        <v/>
      </c>
      <c r="BX179" s="4">
        <f>N179/MAX(BW179,0.5)</f>
        <v/>
      </c>
      <c r="BY179" s="4">
        <f>F179</f>
        <v/>
      </c>
      <c r="BZ179" s="3">
        <f>BY179&amp;"|"&amp;INT(M179/SEG_ANIO)*SEG_ANIO</f>
        <v/>
      </c>
      <c r="CA179" s="3">
        <f>BZ179&amp;"|"&amp;INT(N179/SEG_KM)*SEG_KM</f>
        <v/>
      </c>
      <c r="CB179" s="4">
        <f>COUNTIF($BY$2:$BY$209,BY179)</f>
        <v/>
      </c>
      <c r="CC179" s="4">
        <f>COUNTIF($BZ$2:$BZ$209,BZ179)</f>
        <v/>
      </c>
      <c r="CD179" s="4">
        <f>COUNTIF($CA$2:$CA$209,CA179)</f>
        <v/>
      </c>
      <c r="CE179" s="3">
        <f t="array" ref="CE179">IF(N(BQ179)&gt;=MIN_N,BP179,IF(CD179&gt;=MIN_N,MEDIAN(IF($CA$2:$CA$209=CA179,$O$2:$O$209)),IF(CC179&gt;=MIN_N,MEDIAN(IF($BZ$2:$BZ$209=BZ179,$O$2:$O$209)),MEDIAN(IF($BY$2:$BY$209=BY179,$O$2:$O$209)))))</f>
        <v/>
      </c>
      <c r="CF179" s="3">
        <f>IF(N(BQ179)&gt;=MIN_N,"mercado "&amp;BR179,IF(CD179&gt;=MIN_N,"modelo+año+km",IF(CC179&gt;=MIN_N,"modelo+año","modelo")))</f>
        <v/>
      </c>
      <c r="CG179" s="4">
        <f>(CE179-O179)/CE179</f>
        <v/>
      </c>
      <c r="CH179" s="3">
        <f>IF(COUNTIFS(FR_FUEL,K179,FR_YEAR,AP179)&gt;0,1,0)</f>
        <v/>
      </c>
      <c r="CI179" s="3">
        <f>IF(COUNTIFS(FR_FUEL,K179,FR_YEAR,AP179-1)&gt;0,1,0)</f>
        <v/>
      </c>
      <c r="CJ179" s="4">
        <f>IF(N(AQ179)&gt;0,AP179*100+AQ179,IF(AND(CH179=1,CI179=1),(AP179-1)*100+1,AP179*100+1))</f>
        <v/>
      </c>
      <c r="CK179" s="3">
        <f>IF(OR(K179="hibrido",K179="glp",K179="gnc",K179="phev"),"ECO",IF(K179="electrico","CERO",IF(K179="gasolina",IF(CJ179&gt;=GAS_C_YM,"C",IF(CJ179&gt;=GAS_B_YM,"B","A")),IF(K179="diesel",IF(CJ179&gt;=DIE_C_YM,"C",IF(CJ179&gt;=DIE_B_YM,"B","A")),""))))</f>
        <v/>
      </c>
      <c r="CL179" s="2" t="inlineStr">
        <is>
          <t>C</t>
        </is>
      </c>
      <c r="CM179" s="4">
        <f>IF(AU179="sí","sí",IF(AS179="regla",IF(AND(N(AQ179)=0,CH179=1),"sí","no"),"no"))</f>
        <v/>
      </c>
      <c r="CN179" s="3">
        <f>IFERROR(VLOOKUP(F179,MOD_TBL,16,0),IFERROR(VLOOKUP(E179,OCU_TBL,2,0),NEUTRO))</f>
        <v/>
      </c>
      <c r="CO179" s="3">
        <f>SUMIFS(MOT_AJUSTE,MOT_MOTOR,G179,MOT_MARCA,E179,MOT_DESDE,"&lt;="&amp;M179,MOT_HASTA,"&gt;="&amp;M179)+SUMIFS(MOT_AJUSTE,MOT_MOTOR,G179,MOT_MARCA,"(todas)",MOT_DESDE,"&lt;="&amp;M179,MOT_HASTA,"&gt;="&amp;M179)+SUMIFS(MOT_AJUSTE,MOT_MOTOR,"(cualquiera)",MOT_MARCA,E179,MOT_DESDE,"&lt;="&amp;M179,MOT_HASTA,"&gt;="&amp;M179)</f>
        <v/>
      </c>
      <c r="CP179" s="3">
        <f>SUMIFS(COMB_AJUSTE,COMB_COMB,K179)</f>
        <v/>
      </c>
      <c r="CQ179" s="3">
        <f>COUNTIFS(MOT_MOTOR,G179,MOT_MARCA,E179,MOT_DESDE,"&lt;="&amp;M179,MOT_HASTA,"&gt;="&amp;M179)+COUNTIFS(MOT_MOTOR,G179,MOT_MARCA,"(todas)",MOT_DESDE,"&lt;="&amp;M179,MOT_HASTA,"&gt;="&amp;M179)+COUNTIFS(MOT_MOTOR,"(cualquiera)",MOT_MARCA,E179,MOT_DESDE,"&lt;="&amp;M179,MOT_HASTA,"&gt;="&amp;M179)</f>
        <v/>
      </c>
      <c r="CR179" s="3">
        <f>IF(AND(K179="diesel",CQ179=0),MIN(CN179,NEUTRO),CN179)</f>
        <v/>
      </c>
      <c r="CS179" s="3">
        <f>MAX(0,MIN(100,CR179+CO179+CP179-IF(AX179="sí",ROB_PEN,0)))</f>
        <v/>
      </c>
      <c r="CT179" s="3">
        <f>100-MAX(0,N179-KM_TOPE_DESDE)/1000*KM_TOPE_PTS</f>
        <v/>
      </c>
      <c r="CU179" s="3">
        <f>MAX(0,MIN(100,50+CG179*PRECIO_PEND,CT179))</f>
        <v/>
      </c>
      <c r="CV179" s="3">
        <f>MAX(0,100*(1-N179/KM_MAX))</f>
        <v/>
      </c>
      <c r="CW179" s="3">
        <f>IF(BX179&lt;KMA_SOSP,IF(AA179="sí",100,KMA_PEN),IF(BX179&lt;=KMA_IDEAL_MAX,100,MAX(0,100*(KMA_CERO-BX179)/(KMA_CERO-KMA_IDEAL_MAX))))</f>
        <v/>
      </c>
      <c r="CX179" s="3">
        <f>MAX(0,MIN(100,100*(M179-ANIO_MIN)/(ANIO_ACTUAL-ANIO_MIN)))</f>
        <v/>
      </c>
      <c r="CY179" s="3">
        <f>W_KMT*CV179+W_KMA*CW179+W_EDAD*CX179</f>
        <v/>
      </c>
      <c r="CZ179" s="4">
        <f>E179&amp;"|"&amp;G179</f>
        <v/>
      </c>
      <c r="DA179" s="3">
        <f>IFERROR(VLOOKUP(CZ179,DIST_TBL,2,0),"")</f>
        <v/>
      </c>
      <c r="DB179" s="3">
        <f>E_ITV*(V179="sí")+E_LIBRO*(W179="sí")+E_PROP*IF(Y179=1,1,IF(Y179=2,0.5,0))+E_CORREA*IF(OR(DA179="cadena",AND(X179="sí",BH179="sí")),1,IF(X179="sí",0.5,0))+E_FACT*(BI179="sí")</f>
        <v/>
      </c>
      <c r="DC179" s="3">
        <f>MAX(0,MIN(100,IFERROR(VLOOKUP(CL179,ETQ_TBL,2,0),0)-IF(CM179="sí",ETQ_PEN_DUD,IF(AS179="regla",ETQ_PEN_REGLA,0))))</f>
        <v/>
      </c>
      <c r="DD179" s="3">
        <f>IF(K179&lt;&gt;"gasolina","",IFERROR(VLOOKUP(F179,CONS_MOD_TBL,2,0),IFERROR(VLOOKUP(L179,CONS_SEG_TBL,2,0),"")))</f>
        <v/>
      </c>
      <c r="DE179" s="3">
        <f>IF(DD179="",NEUTRO,MAX(0,MIN(100,100*(CONS_REF_MAX-DD179)/(CONS_REF_MAX-CONS_REF_MIN))))</f>
        <v/>
      </c>
      <c r="DF179" s="3">
        <f>IFERROR(VLOOKUP(L179,SEGURO_TBL,3,0),"")</f>
        <v/>
      </c>
      <c r="DG179" s="3">
        <f>IF(DF179="",NEUTRO,MAX(0,MIN(100,100*(SEG_REF_MAX-DF179)/(SEG_REF_MAX-SEG_REF_MIN))))</f>
        <v/>
      </c>
      <c r="DH179" s="3">
        <f>IFERROR(VLOOKUP(E179,MANT_MARCA_TBL,2,0)+0,NEUTRO)</f>
        <v/>
      </c>
      <c r="DI179" s="3">
        <f>IF(DA179="",NEUTRO,IFERROR(VLOOKUP(DA179,DIST_PTS_TBL,2,0)+0,NEUTRO))</f>
        <v/>
      </c>
      <c r="DJ179" s="4">
        <f>(DH179+DI179)/2</f>
        <v/>
      </c>
      <c r="DK179" s="3">
        <f>W_CONS*DE179+W_SEG*DG179+W_MANT*DJ179</f>
        <v/>
      </c>
      <c r="DL179" s="3">
        <f>IF(N(AB179)&gt;0,AB179,IF(AND(R179="profesional",SG_LEGAL_ON=1),GAR_LEGAL,0))</f>
        <v/>
      </c>
      <c r="DM179" s="3">
        <f>MAX(0,MIN(100,SG_GAR*MIN(1,DL179/SG_GAR_FULL)+SG_AMPL*(AC179="sí")+SG_KMC*(AF179="sí")+SG_REV*(N(AE179)&gt;0)+SG_DEV*MIN(1,N(AG179)/SG_DEV_FULL)+SG_HIST*(W179="sí")-IF(AND(R179="particular",DL179=0),SG_PART_PEN,0)))</f>
        <v/>
      </c>
      <c r="DN179" s="3">
        <f>IF(BK179="",NEUTRO,MAX(0,MIN(100,BK179/5*100)))</f>
        <v/>
      </c>
      <c r="DO179" s="3">
        <f>IF(BL179="sí",100,IF(BL179="no",0,NEUTRO))</f>
        <v/>
      </c>
      <c r="DP179" s="3">
        <f>SV_W_NCAP*DN179+SV_W_ESP*DO179</f>
        <v/>
      </c>
      <c r="DQ179" s="3">
        <f>MAX(0,MIN(100,ATR_BASE+ATR_ACAB*(BD179&lt;&gt;"")+IF(BE179="16+",ATR_LL16,IF(BE179="sí",ATR_LL,0))+ATR_FAROS*(BF179="sí")+ATR_TINT*(BG179="sí")-ATR_CHAPA*(BE179="chapa")))</f>
        <v/>
      </c>
      <c r="DR179" s="3">
        <f>EST_W_MOD*(BB179-1)/4*100+EST_W_ATR*DQ179</f>
        <v/>
      </c>
      <c r="DS179" s="3">
        <f>IF(BA179="",NEUTRO,IFERROR(VLOOKUP(BA179,COLOR_TBL,2,0)+0,NEUTRO))</f>
        <v/>
      </c>
      <c r="DT179" s="3">
        <f>MAX(0,MIN(100,100*N(BM179)/RV_N_FULL))</f>
        <v/>
      </c>
      <c r="DU179" s="3">
        <f>IF(OR(BN179="",N(BO179)&lt;RV_DIAS_MIN),NEUTRO,MAX(0,MIN(100,100*(RV_DIAS_CERO-BN179)/(RV_DIAS_CERO-RV_DIAS_FULL))))</f>
        <v/>
      </c>
      <c r="DV179" s="3">
        <f>RV_W_LIQ*DT179+RV_W_DIAS*DU179+RV_W_ETQ*DC179</f>
        <v/>
      </c>
      <c r="DW179" s="3">
        <f>IFERROR(VLOOKUP(L179,CARR_PEN_TBL,2,0),0)</f>
        <v/>
      </c>
      <c r="DX179" s="3">
        <f>W_FIAB*CS179+W_PRECIO*CU179+W_KMEDAD*CY179+W_ESTADO*DB179+W_USO*DK179+W_SEGURIDAD*DM179+W_SEGVIAL*DP179+W_ESTETICA*DR179+W_COLOR*DS179+W_REVENTA*DV179-DW179-EG179</f>
        <v/>
      </c>
      <c r="DY179" s="4">
        <f>IF(N(I179)&gt;0,I179,IFERROR(ROUND(_xlfn.NUMBERVALUE(LEFT(G179,FIND(" ",G179&amp;" ")-1),".")*1000,0),99999))</f>
        <v/>
      </c>
      <c r="DZ179" s="3">
        <f>IF(R179="profesional",0,IF(O179&lt;CUOTA_VALOR_MAX,IF(BW179&gt;ITP_TRAMO_ALTO,SUMIFS(CF_CUOTA,CF_MAS,ITP_TRAMO_ALTO,CF_CCMIN,"&lt;="&amp;DY179,CF_CCMAX,"&gt;="&amp;DY179),IF(BW179&gt;ITP_TRAMO_BAJO,SUMIFS(CF_CUOTA,CF_MAS,ITP_TRAMO_BAJO,CF_CCMIN,"&lt;="&amp;DY179,CF_CCMAX,"&gt;="&amp;DY179),O179*ITP_TIPO)),O179*ITP_TIPO))</f>
        <v/>
      </c>
      <c r="EA179" s="4">
        <f>IF(R179="profesional",N(AK179),0)</f>
        <v/>
      </c>
      <c r="EB179" s="3">
        <f>IF(AND(R179="profesional",ISNUMBER(AK179),AL179="sí"),0,TASA_DGT)</f>
        <v/>
      </c>
      <c r="EC179" s="3">
        <f>INFORME_DGT</f>
        <v/>
      </c>
      <c r="ED179" s="4">
        <f>O179+EA179+DZ179+EB179+EC179</f>
        <v/>
      </c>
      <c r="EE179" s="4">
        <f>ED179+N(DF179)</f>
        <v/>
      </c>
      <c r="EF179" s="3">
        <f>MAX(0,ED179-TOTAL_MAX)</f>
        <v/>
      </c>
      <c r="EG179" s="3">
        <f>EF179/100*PEN_100</f>
        <v/>
      </c>
      <c r="EH179" s="3">
        <f>IF(R179="particular",ED179+IF(AND(DA179&lt;&gt;"cadena",X179&lt;&gt;"sí"),RES_CORREA,0)+IF(AND(BJ179&lt;&gt;"sí",BW179&gt;=RES_NEUM_EDAD),RES_NEUM,0),"")</f>
        <v/>
      </c>
      <c r="EI179" s="3">
        <f>IF(ED179&lt;=TOTAL_MAX,"sí",IF(ED179&lt;=TECHO,"negociar","no"))</f>
        <v/>
      </c>
      <c r="EJ179" s="4">
        <f>ROUND(DX179,9)</f>
        <v/>
      </c>
      <c r="EK179" s="4">
        <f>IF(EI179&lt;&gt;"no",SUMPRODUCT(($EI$2:$EI$209&lt;&gt;"no")*($EJ$2:$EJ$209&gt;EJ179))+SUMPRODUCT(($EI$2:EI179&lt;&gt;"no")*($EJ$2:EJ179=EJ179)),"")</f>
        <v/>
      </c>
    </row>
    <row r="180">
      <c r="A180" s="2" t="inlineStr">
        <is>
          <t>cochesnet:71399936</t>
        </is>
      </c>
      <c r="B180" s="2" t="inlineStr">
        <is>
          <t>cochesnet</t>
        </is>
      </c>
      <c r="C180" s="2" t="inlineStr">
        <is>
          <t>https://www.coches.net/dacia-sandero-ambiance-12-75cv-5p-gasolina-2012-en-valencia-71399936-covo.aspx</t>
        </is>
      </c>
      <c r="D180" s="2" t="inlineStr">
        <is>
          <t>DACIA Sandero Ambiance 1.2</t>
        </is>
      </c>
      <c r="E180" s="2" t="inlineStr">
        <is>
          <t>Dacia</t>
        </is>
      </c>
      <c r="F180" s="2" t="inlineStr">
        <is>
          <t>Dacia Sandero</t>
        </is>
      </c>
      <c r="G180" s="2" t="inlineStr">
        <is>
          <t>1.2</t>
        </is>
      </c>
      <c r="H180" s="2" t="inlineStr">
        <is>
          <t>Ambiance 1.2 75cv</t>
        </is>
      </c>
      <c r="I180" s="2" t="n"/>
      <c r="J180" s="2" t="n">
        <v>75</v>
      </c>
      <c r="K180" s="2" t="inlineStr">
        <is>
          <t>gasolina</t>
        </is>
      </c>
      <c r="L180" s="2" t="inlineStr">
        <is>
          <t>utilitario</t>
        </is>
      </c>
      <c r="M180" s="2" t="n">
        <v>2014</v>
      </c>
      <c r="N180" s="2" t="n">
        <v>107000</v>
      </c>
      <c r="O180" s="2" t="n">
        <v>5700</v>
      </c>
      <c r="P180" s="2" t="inlineStr">
        <is>
          <t>manual</t>
        </is>
      </c>
      <c r="Q180" s="2" t="inlineStr">
        <is>
          <t>no</t>
        </is>
      </c>
      <c r="R180" s="2" t="inlineStr">
        <is>
          <t>profesional</t>
        </is>
      </c>
      <c r="S180" s="2" t="inlineStr">
        <is>
          <t>Beniparrell</t>
        </is>
      </c>
      <c r="T180" s="2" t="inlineStr">
        <is>
          <t>2026-08-31T12:55:34Z</t>
        </is>
      </c>
      <c r="U180" s="2" t="n">
        <v>13</v>
      </c>
      <c r="V180" s="2" t="n"/>
      <c r="W180" s="2" t="n"/>
      <c r="X180" s="2" t="n"/>
      <c r="Y180" s="2" t="n"/>
      <c r="Z180" s="2" t="inlineStr">
        <is>
          <t>sí</t>
        </is>
      </c>
      <c r="AA180" s="2" t="n"/>
      <c r="AB180" s="2" t="n">
        <v>12</v>
      </c>
      <c r="AC180" s="2" t="n"/>
      <c r="AD180" s="2" t="n"/>
      <c r="AE180" s="2" t="n"/>
      <c r="AF180" s="2" t="n"/>
      <c r="AG180" s="2" t="n"/>
      <c r="AH180" s="2" t="n">
        <v>5700</v>
      </c>
      <c r="AI180" s="2" t="n"/>
      <c r="AJ180" s="2" t="n"/>
      <c r="AK180" s="2" t="n"/>
      <c r="AL180" s="2" t="n"/>
      <c r="AM180" s="2" t="n">
        <v>10.2</v>
      </c>
      <c r="AN180" s="2" t="n"/>
      <c r="AO180" s="2" t="inlineStr">
        <is>
          <t>2014</t>
        </is>
      </c>
      <c r="AP180" s="2" t="n">
        <v>2014</v>
      </c>
      <c r="AQ180" s="2" t="n"/>
      <c r="AR180" s="2" t="inlineStr">
        <is>
          <t>C</t>
        </is>
      </c>
      <c r="AS180" s="2" t="inlineStr">
        <is>
          <t>anuncio</t>
        </is>
      </c>
      <c r="AT180" s="2" t="n">
        <v>2012</v>
      </c>
      <c r="AU180" s="2" t="inlineStr">
        <is>
          <t>no</t>
        </is>
      </c>
      <c r="AV180" s="2" t="inlineStr">
        <is>
          <t>C</t>
        </is>
      </c>
      <c r="AW180" s="2" t="n"/>
      <c r="AX180" s="2" t="inlineStr">
        <is>
          <t>no</t>
        </is>
      </c>
      <c r="AY180" s="2" t="inlineStr">
        <is>
          <t>no</t>
        </is>
      </c>
      <c r="AZ180" s="2" t="inlineStr">
        <is>
          <t>COMMON.COLOR_WHITE</t>
        </is>
      </c>
      <c r="BA180" s="2" t="inlineStr">
        <is>
          <t>blanco</t>
        </is>
      </c>
      <c r="BB180" s="3" t="n">
        <v>2</v>
      </c>
      <c r="BC180" s="3" t="inlineStr">
        <is>
          <t>(por segmento)</t>
        </is>
      </c>
      <c r="BD180" s="2" t="n"/>
      <c r="BE180" s="2" t="n"/>
      <c r="BF180" s="2" t="n"/>
      <c r="BG180" s="2" t="inlineStr">
        <is>
          <t>sí</t>
        </is>
      </c>
      <c r="BH180" s="2" t="n"/>
      <c r="BI180" s="2" t="n"/>
      <c r="BJ180" s="2" t="n"/>
      <c r="BK180" s="2" t="n"/>
      <c r="BL180" s="2" t="n"/>
      <c r="BM180" s="2" t="n">
        <v>211</v>
      </c>
      <c r="BN180" s="2" t="n">
        <v>0.021909722359851</v>
      </c>
      <c r="BO180" s="2" t="n">
        <v>4</v>
      </c>
      <c r="BP180" s="2" t="n">
        <v>7200</v>
      </c>
      <c r="BQ180" s="2" t="n">
        <v>13</v>
      </c>
      <c r="BR180" s="2" t="inlineStr">
        <is>
          <t>modelo+año+km</t>
        </is>
      </c>
      <c r="BS180" s="2" t="n"/>
      <c r="BT180" s="2" t="inlineStr">
        <is>
          <t>año a confirmar: la URL/título dice 2012; por encima del presupuesto: negociar 764 € (coste 5764 €; -15.3 puntos); vendedor profesional: sin ITP (operación con IVA/REBU, confirmar en factura); gastos de gestión del vendedor no indicados: se suma la tasa DGT; preguntar el precio final; Euro NCAP de la generación PENDIENTE (seguridad neutra); revisar: no menciona la ITV</t>
        </is>
      </c>
      <c r="BU180" s="2" t="inlineStr">
        <is>
          <t>Este Sandero Ambiance ofrece dirección asistida y elevalunas eléctricos delanteros para mayor comodidad en la conducción diaria. Equipado con cierre centralizado con mando a distancia, cristales tintados, sistema de ventilación con filtro de pólen y asientos traseros abatibles, proporciona practicidad y confort en un formato compacto. Dispone de reposacabezas ajustables en todas las plazas, volante en plástico y retrovisor exterior ajustable desde el interior. Su etiqueta ecológica C permite acceso a zonas de tráfico limitado en ciudades.GARANTÍA 12 meses (cobertura de 25 componentes del vehículo )cobertura de reparación hasta 2.000e en cualquier taller)</t>
        </is>
      </c>
      <c r="BV180" s="2" t="inlineStr">
        <is>
          <t>https://www.coches.net/dacia-sandero-ambiance-12-75cv-5p-gasolina-2012-en-valencia-71399936-covo.aspx (window.__INITIAL_PROPS__.ad) /home/user/Alopecia/buscador-coches/raw/cochesnet/4a4c8384e15092d9.json</t>
        </is>
      </c>
      <c r="BW180" s="3">
        <f>MAX(ANIO_ACTUAL-M180,0)</f>
        <v/>
      </c>
      <c r="BX180" s="4">
        <f>N180/MAX(BW180,0.5)</f>
        <v/>
      </c>
      <c r="BY180" s="4">
        <f>F180</f>
        <v/>
      </c>
      <c r="BZ180" s="3">
        <f>BY180&amp;"|"&amp;INT(M180/SEG_ANIO)*SEG_ANIO</f>
        <v/>
      </c>
      <c r="CA180" s="3">
        <f>BZ180&amp;"|"&amp;INT(N180/SEG_KM)*SEG_KM</f>
        <v/>
      </c>
      <c r="CB180" s="4">
        <f>COUNTIF($BY$2:$BY$209,BY180)</f>
        <v/>
      </c>
      <c r="CC180" s="4">
        <f>COUNTIF($BZ$2:$BZ$209,BZ180)</f>
        <v/>
      </c>
      <c r="CD180" s="4">
        <f>COUNTIF($CA$2:$CA$209,CA180)</f>
        <v/>
      </c>
      <c r="CE180" s="3">
        <f t="array" ref="CE180">IF(N(BQ180)&gt;=MIN_N,BP180,IF(CD180&gt;=MIN_N,MEDIAN(IF($CA$2:$CA$209=CA180,$O$2:$O$209)),IF(CC180&gt;=MIN_N,MEDIAN(IF($BZ$2:$BZ$209=BZ180,$O$2:$O$209)),MEDIAN(IF($BY$2:$BY$209=BY180,$O$2:$O$209)))))</f>
        <v/>
      </c>
      <c r="CF180" s="3">
        <f>IF(N(BQ180)&gt;=MIN_N,"mercado "&amp;BR180,IF(CD180&gt;=MIN_N,"modelo+año+km",IF(CC180&gt;=MIN_N,"modelo+año","modelo")))</f>
        <v/>
      </c>
      <c r="CG180" s="4">
        <f>(CE180-O180)/CE180</f>
        <v/>
      </c>
      <c r="CH180" s="3">
        <f>IF(COUNTIFS(FR_FUEL,K180,FR_YEAR,AP180)&gt;0,1,0)</f>
        <v/>
      </c>
      <c r="CI180" s="3">
        <f>IF(COUNTIFS(FR_FUEL,K180,FR_YEAR,AP180-1)&gt;0,1,0)</f>
        <v/>
      </c>
      <c r="CJ180" s="4">
        <f>IF(N(AQ180)&gt;0,AP180*100+AQ180,IF(AND(CH180=1,CI180=1),(AP180-1)*100+1,AP180*100+1))</f>
        <v/>
      </c>
      <c r="CK180" s="3">
        <f>IF(OR(K180="hibrido",K180="glp",K180="gnc",K180="phev"),"ECO",IF(K180="electrico","CERO",IF(K180="gasolina",IF(CJ180&gt;=GAS_C_YM,"C",IF(CJ180&gt;=GAS_B_YM,"B","A")),IF(K180="diesel",IF(CJ180&gt;=DIE_C_YM,"C",IF(CJ180&gt;=DIE_B_YM,"B","A")),""))))</f>
        <v/>
      </c>
      <c r="CL180" s="2" t="inlineStr">
        <is>
          <t>C</t>
        </is>
      </c>
      <c r="CM180" s="4">
        <f>IF(AU180="sí","sí",IF(AS180="regla",IF(AND(N(AQ180)=0,CH180=1),"sí","no"),"no"))</f>
        <v/>
      </c>
      <c r="CN180" s="3">
        <f>IFERROR(VLOOKUP(F180,MOD_TBL,16,0),IFERROR(VLOOKUP(E180,OCU_TBL,2,0),NEUTRO))</f>
        <v/>
      </c>
      <c r="CO180" s="3">
        <f>SUMIFS(MOT_AJUSTE,MOT_MOTOR,G180,MOT_MARCA,E180,MOT_DESDE,"&lt;="&amp;M180,MOT_HASTA,"&gt;="&amp;M180)+SUMIFS(MOT_AJUSTE,MOT_MOTOR,G180,MOT_MARCA,"(todas)",MOT_DESDE,"&lt;="&amp;M180,MOT_HASTA,"&gt;="&amp;M180)+SUMIFS(MOT_AJUSTE,MOT_MOTOR,"(cualquiera)",MOT_MARCA,E180,MOT_DESDE,"&lt;="&amp;M180,MOT_HASTA,"&gt;="&amp;M180)</f>
        <v/>
      </c>
      <c r="CP180" s="3">
        <f>SUMIFS(COMB_AJUSTE,COMB_COMB,K180)</f>
        <v/>
      </c>
      <c r="CQ180" s="3">
        <f>COUNTIFS(MOT_MOTOR,G180,MOT_MARCA,E180,MOT_DESDE,"&lt;="&amp;M180,MOT_HASTA,"&gt;="&amp;M180)+COUNTIFS(MOT_MOTOR,G180,MOT_MARCA,"(todas)",MOT_DESDE,"&lt;="&amp;M180,MOT_HASTA,"&gt;="&amp;M180)+COUNTIFS(MOT_MOTOR,"(cualquiera)",MOT_MARCA,E180,MOT_DESDE,"&lt;="&amp;M180,MOT_HASTA,"&gt;="&amp;M180)</f>
        <v/>
      </c>
      <c r="CR180" s="3">
        <f>IF(AND(K180="diesel",CQ180=0),MIN(CN180,NEUTRO),CN180)</f>
        <v/>
      </c>
      <c r="CS180" s="3">
        <f>MAX(0,MIN(100,CR180+CO180+CP180-IF(AX180="sí",ROB_PEN,0)))</f>
        <v/>
      </c>
      <c r="CT180" s="3">
        <f>100-MAX(0,N180-KM_TOPE_DESDE)/1000*KM_TOPE_PTS</f>
        <v/>
      </c>
      <c r="CU180" s="3">
        <f>MAX(0,MIN(100,50+CG180*PRECIO_PEND,CT180))</f>
        <v/>
      </c>
      <c r="CV180" s="3">
        <f>MAX(0,100*(1-N180/KM_MAX))</f>
        <v/>
      </c>
      <c r="CW180" s="3">
        <f>IF(BX180&lt;KMA_SOSP,IF(AA180="sí",100,KMA_PEN),IF(BX180&lt;=KMA_IDEAL_MAX,100,MAX(0,100*(KMA_CERO-BX180)/(KMA_CERO-KMA_IDEAL_MAX))))</f>
        <v/>
      </c>
      <c r="CX180" s="3">
        <f>MAX(0,MIN(100,100*(M180-ANIO_MIN)/(ANIO_ACTUAL-ANIO_MIN)))</f>
        <v/>
      </c>
      <c r="CY180" s="3">
        <f>W_KMT*CV180+W_KMA*CW180+W_EDAD*CX180</f>
        <v/>
      </c>
      <c r="CZ180" s="4">
        <f>E180&amp;"|"&amp;G180</f>
        <v/>
      </c>
      <c r="DA180" s="3">
        <f>IFERROR(VLOOKUP(CZ180,DIST_TBL,2,0),"")</f>
        <v/>
      </c>
      <c r="DB180" s="3">
        <f>E_ITV*(V180="sí")+E_LIBRO*(W180="sí")+E_PROP*IF(Y180=1,1,IF(Y180=2,0.5,0))+E_CORREA*IF(OR(DA180="cadena",AND(X180="sí",BH180="sí")),1,IF(X180="sí",0.5,0))+E_FACT*(BI180="sí")</f>
        <v/>
      </c>
      <c r="DC180" s="3">
        <f>MAX(0,MIN(100,IFERROR(VLOOKUP(CL180,ETQ_TBL,2,0),0)-IF(CM180="sí",ETQ_PEN_DUD,IF(AS180="regla",ETQ_PEN_REGLA,0))))</f>
        <v/>
      </c>
      <c r="DD180" s="3">
        <f>IF(K180&lt;&gt;"gasolina","",IFERROR(VLOOKUP(F180,CONS_MOD_TBL,2,0),IFERROR(VLOOKUP(L180,CONS_SEG_TBL,2,0),"")))</f>
        <v/>
      </c>
      <c r="DE180" s="3">
        <f>IF(DD180="",NEUTRO,MAX(0,MIN(100,100*(CONS_REF_MAX-DD180)/(CONS_REF_MAX-CONS_REF_MIN))))</f>
        <v/>
      </c>
      <c r="DF180" s="3">
        <f>IFERROR(VLOOKUP(L180,SEGURO_TBL,3,0),"")</f>
        <v/>
      </c>
      <c r="DG180" s="3">
        <f>IF(DF180="",NEUTRO,MAX(0,MIN(100,100*(SEG_REF_MAX-DF180)/(SEG_REF_MAX-SEG_REF_MIN))))</f>
        <v/>
      </c>
      <c r="DH180" s="3">
        <f>IFERROR(VLOOKUP(E180,MANT_MARCA_TBL,2,0)+0,NEUTRO)</f>
        <v/>
      </c>
      <c r="DI180" s="3">
        <f>IF(DA180="",NEUTRO,IFERROR(VLOOKUP(DA180,DIST_PTS_TBL,2,0)+0,NEUTRO))</f>
        <v/>
      </c>
      <c r="DJ180" s="4">
        <f>(DH180+DI180)/2</f>
        <v/>
      </c>
      <c r="DK180" s="3">
        <f>W_CONS*DE180+W_SEG*DG180+W_MANT*DJ180</f>
        <v/>
      </c>
      <c r="DL180" s="3">
        <f>IF(N(AB180)&gt;0,AB180,IF(AND(R180="profesional",SG_LEGAL_ON=1),GAR_LEGAL,0))</f>
        <v/>
      </c>
      <c r="DM180" s="3">
        <f>MAX(0,MIN(100,SG_GAR*MIN(1,DL180/SG_GAR_FULL)+SG_AMPL*(AC180="sí")+SG_KMC*(AF180="sí")+SG_REV*(N(AE180)&gt;0)+SG_DEV*MIN(1,N(AG180)/SG_DEV_FULL)+SG_HIST*(W180="sí")-IF(AND(R180="particular",DL180=0),SG_PART_PEN,0)))</f>
        <v/>
      </c>
      <c r="DN180" s="3">
        <f>IF(BK180="",NEUTRO,MAX(0,MIN(100,BK180/5*100)))</f>
        <v/>
      </c>
      <c r="DO180" s="3">
        <f>IF(BL180="sí",100,IF(BL180="no",0,NEUTRO))</f>
        <v/>
      </c>
      <c r="DP180" s="3">
        <f>SV_W_NCAP*DN180+SV_W_ESP*DO180</f>
        <v/>
      </c>
      <c r="DQ180" s="3">
        <f>MAX(0,MIN(100,ATR_BASE+ATR_ACAB*(BD180&lt;&gt;"")+IF(BE180="16+",ATR_LL16,IF(BE180="sí",ATR_LL,0))+ATR_FAROS*(BF180="sí")+ATR_TINT*(BG180="sí")-ATR_CHAPA*(BE180="chapa")))</f>
        <v/>
      </c>
      <c r="DR180" s="3">
        <f>EST_W_MOD*(BB180-1)/4*100+EST_W_ATR*DQ180</f>
        <v/>
      </c>
      <c r="DS180" s="3">
        <f>IF(BA180="",NEUTRO,IFERROR(VLOOKUP(BA180,COLOR_TBL,2,0)+0,NEUTRO))</f>
        <v/>
      </c>
      <c r="DT180" s="3">
        <f>MAX(0,MIN(100,100*N(BM180)/RV_N_FULL))</f>
        <v/>
      </c>
      <c r="DU180" s="3">
        <f>IF(OR(BN180="",N(BO180)&lt;RV_DIAS_MIN),NEUTRO,MAX(0,MIN(100,100*(RV_DIAS_CERO-BN180)/(RV_DIAS_CERO-RV_DIAS_FULL))))</f>
        <v/>
      </c>
      <c r="DV180" s="3">
        <f>RV_W_LIQ*DT180+RV_W_DIAS*DU180+RV_W_ETQ*DC180</f>
        <v/>
      </c>
      <c r="DW180" s="3">
        <f>IFERROR(VLOOKUP(L180,CARR_PEN_TBL,2,0),0)</f>
        <v/>
      </c>
      <c r="DX180" s="3">
        <f>W_FIAB*CS180+W_PRECIO*CU180+W_KMEDAD*CY180+W_ESTADO*DB180+W_USO*DK180+W_SEGURIDAD*DM180+W_SEGVIAL*DP180+W_ESTETICA*DR180+W_COLOR*DS180+W_REVENTA*DV180-DW180-EG180</f>
        <v/>
      </c>
      <c r="DY180" s="4">
        <f>IF(N(I180)&gt;0,I180,IFERROR(ROUND(_xlfn.NUMBERVALUE(LEFT(G180,FIND(" ",G180&amp;" ")-1),".")*1000,0),99999))</f>
        <v/>
      </c>
      <c r="DZ180" s="3">
        <f>IF(R180="profesional",0,IF(O180&lt;CUOTA_VALOR_MAX,IF(BW180&gt;ITP_TRAMO_ALTO,SUMIFS(CF_CUOTA,CF_MAS,ITP_TRAMO_ALTO,CF_CCMIN,"&lt;="&amp;DY180,CF_CCMAX,"&gt;="&amp;DY180),IF(BW180&gt;ITP_TRAMO_BAJO,SUMIFS(CF_CUOTA,CF_MAS,ITP_TRAMO_BAJO,CF_CCMIN,"&lt;="&amp;DY180,CF_CCMAX,"&gt;="&amp;DY180),O180*ITP_TIPO)),O180*ITP_TIPO))</f>
        <v/>
      </c>
      <c r="EA180" s="4">
        <f>IF(R180="profesional",N(AK180),0)</f>
        <v/>
      </c>
      <c r="EB180" s="3">
        <f>IF(AND(R180="profesional",ISNUMBER(AK180),AL180="sí"),0,TASA_DGT)</f>
        <v/>
      </c>
      <c r="EC180" s="3">
        <f>INFORME_DGT</f>
        <v/>
      </c>
      <c r="ED180" s="4">
        <f>O180+EA180+DZ180+EB180+EC180</f>
        <v/>
      </c>
      <c r="EE180" s="4">
        <f>ED180+N(DF180)</f>
        <v/>
      </c>
      <c r="EF180" s="3">
        <f>MAX(0,ED180-TOTAL_MAX)</f>
        <v/>
      </c>
      <c r="EG180" s="3">
        <f>EF180/100*PEN_100</f>
        <v/>
      </c>
      <c r="EH180" s="3">
        <f>IF(R180="particular",ED180+IF(AND(DA180&lt;&gt;"cadena",X180&lt;&gt;"sí"),RES_CORREA,0)+IF(AND(BJ180&lt;&gt;"sí",BW180&gt;=RES_NEUM_EDAD),RES_NEUM,0),"")</f>
        <v/>
      </c>
      <c r="EI180" s="3">
        <f>IF(ED180&lt;=TOTAL_MAX,"sí",IF(ED180&lt;=TECHO,"negociar","no"))</f>
        <v/>
      </c>
      <c r="EJ180" s="4">
        <f>ROUND(DX180,9)</f>
        <v/>
      </c>
      <c r="EK180" s="4">
        <f>IF(EI180&lt;&gt;"no",SUMPRODUCT(($EI$2:$EI$209&lt;&gt;"no")*($EJ$2:$EJ$209&gt;EJ180))+SUMPRODUCT(($EI$2:EI180&lt;&gt;"no")*($EJ$2:EJ180=EJ180)),"")</f>
        <v/>
      </c>
    </row>
    <row r="181">
      <c r="A181" s="2" t="inlineStr">
        <is>
          <t>cochesnet:71466798</t>
        </is>
      </c>
      <c r="B181" s="2" t="inlineStr">
        <is>
          <t>cochesnet</t>
        </is>
      </c>
      <c r="C181" s="2" t="inlineStr">
        <is>
          <t>https://www.coches.net/citroen-c3-hdi-90-exclusive-5p-diesel-2010-en-valencia-71466798-covo.aspx</t>
        </is>
      </c>
      <c r="D181" s="2" t="inlineStr">
        <is>
          <t>CITROEN C3 HDI 90 Exclusive</t>
        </is>
      </c>
      <c r="E181" s="2" t="inlineStr">
        <is>
          <t>Citroën</t>
        </is>
      </c>
      <c r="F181" s="2" t="inlineStr">
        <is>
          <t>Citroën C3</t>
        </is>
      </c>
      <c r="G181" s="2" t="inlineStr">
        <is>
          <t>? HDi</t>
        </is>
      </c>
      <c r="H181" s="2" t="inlineStr">
        <is>
          <t>HDI 90 Exclusive</t>
        </is>
      </c>
      <c r="I181" s="2" t="n"/>
      <c r="J181" s="2" t="n"/>
      <c r="K181" s="2" t="inlineStr">
        <is>
          <t>diesel</t>
        </is>
      </c>
      <c r="L181" s="2" t="inlineStr">
        <is>
          <t>utilitario</t>
        </is>
      </c>
      <c r="M181" s="2" t="n">
        <v>2010</v>
      </c>
      <c r="N181" s="2" t="n">
        <v>170444</v>
      </c>
      <c r="O181" s="2" t="n">
        <v>5600</v>
      </c>
      <c r="P181" s="2" t="inlineStr">
        <is>
          <t>manual</t>
        </is>
      </c>
      <c r="Q181" s="2" t="inlineStr">
        <is>
          <t>no</t>
        </is>
      </c>
      <c r="R181" s="2" t="inlineStr">
        <is>
          <t>profesional</t>
        </is>
      </c>
      <c r="S181" s="2" t="inlineStr">
        <is>
          <t>COCHESAMIL Manises</t>
        </is>
      </c>
      <c r="T181" s="2" t="inlineStr">
        <is>
          <t>2026-09-08T12:51:46Z</t>
        </is>
      </c>
      <c r="U181" s="2" t="n">
        <v>20</v>
      </c>
      <c r="V181" s="2" t="n"/>
      <c r="W181" s="2" t="n"/>
      <c r="X181" s="2" t="n"/>
      <c r="Y181" s="2" t="n"/>
      <c r="Z181" s="2" t="inlineStr">
        <is>
          <t>sí</t>
        </is>
      </c>
      <c r="AA181" s="2" t="n"/>
      <c r="AB181" s="2" t="n">
        <v>12</v>
      </c>
      <c r="AC181" s="2" t="n"/>
      <c r="AD181" s="2" t="n"/>
      <c r="AE181" s="2" t="n"/>
      <c r="AF181" s="2" t="n"/>
      <c r="AG181" s="2" t="n"/>
      <c r="AH181" s="2" t="n">
        <v>5600</v>
      </c>
      <c r="AI181" s="2" t="n"/>
      <c r="AJ181" s="2" t="n"/>
      <c r="AK181" s="2" t="n"/>
      <c r="AL181" s="2" t="n"/>
      <c r="AM181" s="2" t="n">
        <v>8.1</v>
      </c>
      <c r="AN181" s="2" t="n"/>
      <c r="AO181" s="2" t="inlineStr">
        <is>
          <t>2010</t>
        </is>
      </c>
      <c r="AP181" s="2" t="n">
        <v>2010</v>
      </c>
      <c r="AQ181" s="2" t="n"/>
      <c r="AR181" s="2" t="inlineStr">
        <is>
          <t>B</t>
        </is>
      </c>
      <c r="AS181" s="2" t="inlineStr">
        <is>
          <t>anuncio</t>
        </is>
      </c>
      <c r="AT181" s="2" t="n"/>
      <c r="AU181" s="2" t="inlineStr">
        <is>
          <t>no</t>
        </is>
      </c>
      <c r="AV181" s="2" t="inlineStr">
        <is>
          <t>B</t>
        </is>
      </c>
      <c r="AW181" s="2" t="n"/>
      <c r="AX181" s="2" t="inlineStr">
        <is>
          <t>no</t>
        </is>
      </c>
      <c r="AY181" s="2" t="inlineStr">
        <is>
          <t>no</t>
        </is>
      </c>
      <c r="AZ181" s="2" t="inlineStr">
        <is>
          <t>COMMON.COLOR_GRAY</t>
        </is>
      </c>
      <c r="BA181" s="2" t="inlineStr">
        <is>
          <t>gris_medio</t>
        </is>
      </c>
      <c r="BB181" s="3" t="n">
        <v>2</v>
      </c>
      <c r="BC181" s="3" t="inlineStr">
        <is>
          <t>(por segmento)</t>
        </is>
      </c>
      <c r="BD181" s="2" t="inlineStr">
        <is>
          <t>exclusive</t>
        </is>
      </c>
      <c r="BE181" s="2" t="n"/>
      <c r="BF181" s="2" t="n"/>
      <c r="BG181" s="2" t="n"/>
      <c r="BH181" s="2" t="n"/>
      <c r="BI181" s="2" t="n"/>
      <c r="BJ181" s="2" t="n"/>
      <c r="BK181" s="2" t="n">
        <v>4</v>
      </c>
      <c r="BL181" s="2" t="n"/>
      <c r="BM181" s="2" t="n">
        <v>405</v>
      </c>
      <c r="BN181" s="2" t="n">
        <v>0</v>
      </c>
      <c r="BO181" s="2" t="n">
        <v>3</v>
      </c>
      <c r="BP181" s="2" t="n">
        <v>5600</v>
      </c>
      <c r="BQ181" s="2" t="n">
        <v>4</v>
      </c>
      <c r="BR181" s="2" t="inlineStr">
        <is>
          <t>modelo+año+km</t>
        </is>
      </c>
      <c r="BS181" s="2" t="n"/>
      <c r="BT181" s="2" t="inlineStr">
        <is>
          <t>por encima del presupuesto: negociar 664 € (coste 5664 €; -13.3 puntos); vendedor profesional: sin ITP (operación con IVA/REBU, confirmar en factura); gastos de gestión del vendedor no indicados: se suma la tasa DGT; preguntar el precio final; diésel: motor sin fuente de fiabilidad (fiabilidad limitada a neutra); revisar: no menciona la ITV</t>
        </is>
      </c>
      <c r="BU181" s="2" t="inlineStr">
        <is>
          <t xml:space="preserve">Este anuncio es meramente informativo, no es vinculante ni contractual.  </t>
        </is>
      </c>
      <c r="BV181" s="2" t="inlineStr">
        <is>
          <t>https://www.coches.net/citroen-c3-hdi-90-exclusive-5p-diesel-2010-en-valencia-71466798-covo.aspx (window.__INITIAL_PROPS__.ad) /home/user/Alopecia/buscador-coches/raw/cochesnet/6b42221572c4cfd8.json</t>
        </is>
      </c>
      <c r="BW181" s="3">
        <f>MAX(ANIO_ACTUAL-M181,0)</f>
        <v/>
      </c>
      <c r="BX181" s="4">
        <f>N181/MAX(BW181,0.5)</f>
        <v/>
      </c>
      <c r="BY181" s="4">
        <f>F181</f>
        <v/>
      </c>
      <c r="BZ181" s="3">
        <f>BY181&amp;"|"&amp;INT(M181/SEG_ANIO)*SEG_ANIO</f>
        <v/>
      </c>
      <c r="CA181" s="3">
        <f>BZ181&amp;"|"&amp;INT(N181/SEG_KM)*SEG_KM</f>
        <v/>
      </c>
      <c r="CB181" s="4">
        <f>COUNTIF($BY$2:$BY$209,BY181)</f>
        <v/>
      </c>
      <c r="CC181" s="4">
        <f>COUNTIF($BZ$2:$BZ$209,BZ181)</f>
        <v/>
      </c>
      <c r="CD181" s="4">
        <f>COUNTIF($CA$2:$CA$209,CA181)</f>
        <v/>
      </c>
      <c r="CE181" s="3">
        <f t="array" ref="CE181">IF(N(BQ181)&gt;=MIN_N,BP181,IF(CD181&gt;=MIN_N,MEDIAN(IF($CA$2:$CA$209=CA181,$O$2:$O$209)),IF(CC181&gt;=MIN_N,MEDIAN(IF($BZ$2:$BZ$209=BZ181,$O$2:$O$209)),MEDIAN(IF($BY$2:$BY$209=BY181,$O$2:$O$209)))))</f>
        <v/>
      </c>
      <c r="CF181" s="3">
        <f>IF(N(BQ181)&gt;=MIN_N,"mercado "&amp;BR181,IF(CD181&gt;=MIN_N,"modelo+año+km",IF(CC181&gt;=MIN_N,"modelo+año","modelo")))</f>
        <v/>
      </c>
      <c r="CG181" s="4">
        <f>(CE181-O181)/CE181</f>
        <v/>
      </c>
      <c r="CH181" s="3">
        <f>IF(COUNTIFS(FR_FUEL,K181,FR_YEAR,AP181)&gt;0,1,0)</f>
        <v/>
      </c>
      <c r="CI181" s="3">
        <f>IF(COUNTIFS(FR_FUEL,K181,FR_YEAR,AP181-1)&gt;0,1,0)</f>
        <v/>
      </c>
      <c r="CJ181" s="4">
        <f>IF(N(AQ181)&gt;0,AP181*100+AQ181,IF(AND(CH181=1,CI181=1),(AP181-1)*100+1,AP181*100+1))</f>
        <v/>
      </c>
      <c r="CK181" s="3">
        <f>IF(OR(K181="hibrido",K181="glp",K181="gnc",K181="phev"),"ECO",IF(K181="electrico","CERO",IF(K181="gasolina",IF(CJ181&gt;=GAS_C_YM,"C",IF(CJ181&gt;=GAS_B_YM,"B","A")),IF(K181="diesel",IF(CJ181&gt;=DIE_C_YM,"C",IF(CJ181&gt;=DIE_B_YM,"B","A")),""))))</f>
        <v/>
      </c>
      <c r="CL181" s="2" t="inlineStr">
        <is>
          <t>B</t>
        </is>
      </c>
      <c r="CM181" s="4">
        <f>IF(AU181="sí","sí",IF(AS181="regla",IF(AND(N(AQ181)=0,CH181=1),"sí","no"),"no"))</f>
        <v/>
      </c>
      <c r="CN181" s="3">
        <f>IFERROR(VLOOKUP(F181,MOD_TBL,16,0),IFERROR(VLOOKUP(E181,OCU_TBL,2,0),NEUTRO))</f>
        <v/>
      </c>
      <c r="CO181" s="3">
        <f>SUMIFS(MOT_AJUSTE,MOT_MOTOR,G181,MOT_MARCA,E181,MOT_DESDE,"&lt;="&amp;M181,MOT_HASTA,"&gt;="&amp;M181)+SUMIFS(MOT_AJUSTE,MOT_MOTOR,G181,MOT_MARCA,"(todas)",MOT_DESDE,"&lt;="&amp;M181,MOT_HASTA,"&gt;="&amp;M181)+SUMIFS(MOT_AJUSTE,MOT_MOTOR,"(cualquiera)",MOT_MARCA,E181,MOT_DESDE,"&lt;="&amp;M181,MOT_HASTA,"&gt;="&amp;M181)</f>
        <v/>
      </c>
      <c r="CP181" s="3">
        <f>SUMIFS(COMB_AJUSTE,COMB_COMB,K181)</f>
        <v/>
      </c>
      <c r="CQ181" s="3">
        <f>COUNTIFS(MOT_MOTOR,G181,MOT_MARCA,E181,MOT_DESDE,"&lt;="&amp;M181,MOT_HASTA,"&gt;="&amp;M181)+COUNTIFS(MOT_MOTOR,G181,MOT_MARCA,"(todas)",MOT_DESDE,"&lt;="&amp;M181,MOT_HASTA,"&gt;="&amp;M181)+COUNTIFS(MOT_MOTOR,"(cualquiera)",MOT_MARCA,E181,MOT_DESDE,"&lt;="&amp;M181,MOT_HASTA,"&gt;="&amp;M181)</f>
        <v/>
      </c>
      <c r="CR181" s="3">
        <f>IF(AND(K181="diesel",CQ181=0),MIN(CN181,NEUTRO),CN181)</f>
        <v/>
      </c>
      <c r="CS181" s="3">
        <f>MAX(0,MIN(100,CR181+CO181+CP181-IF(AX181="sí",ROB_PEN,0)))</f>
        <v/>
      </c>
      <c r="CT181" s="3">
        <f>100-MAX(0,N181-KM_TOPE_DESDE)/1000*KM_TOPE_PTS</f>
        <v/>
      </c>
      <c r="CU181" s="3">
        <f>MAX(0,MIN(100,50+CG181*PRECIO_PEND,CT181))</f>
        <v/>
      </c>
      <c r="CV181" s="3">
        <f>MAX(0,100*(1-N181/KM_MAX))</f>
        <v/>
      </c>
      <c r="CW181" s="3">
        <f>IF(BX181&lt;KMA_SOSP,IF(AA181="sí",100,KMA_PEN),IF(BX181&lt;=KMA_IDEAL_MAX,100,MAX(0,100*(KMA_CERO-BX181)/(KMA_CERO-KMA_IDEAL_MAX))))</f>
        <v/>
      </c>
      <c r="CX181" s="3">
        <f>MAX(0,MIN(100,100*(M181-ANIO_MIN)/(ANIO_ACTUAL-ANIO_MIN)))</f>
        <v/>
      </c>
      <c r="CY181" s="3">
        <f>W_KMT*CV181+W_KMA*CW181+W_EDAD*CX181</f>
        <v/>
      </c>
      <c r="CZ181" s="4">
        <f>E181&amp;"|"&amp;G181</f>
        <v/>
      </c>
      <c r="DA181" s="3">
        <f>IFERROR(VLOOKUP(CZ181,DIST_TBL,2,0),"")</f>
        <v/>
      </c>
      <c r="DB181" s="3">
        <f>E_ITV*(V181="sí")+E_LIBRO*(W181="sí")+E_PROP*IF(Y181=1,1,IF(Y181=2,0.5,0))+E_CORREA*IF(OR(DA181="cadena",AND(X181="sí",BH181="sí")),1,IF(X181="sí",0.5,0))+E_FACT*(BI181="sí")</f>
        <v/>
      </c>
      <c r="DC181" s="3">
        <f>MAX(0,MIN(100,IFERROR(VLOOKUP(CL181,ETQ_TBL,2,0),0)-IF(CM181="sí",ETQ_PEN_DUD,IF(AS181="regla",ETQ_PEN_REGLA,0))))</f>
        <v/>
      </c>
      <c r="DD181" s="3">
        <f>IF(K181&lt;&gt;"gasolina","",IFERROR(VLOOKUP(F181,CONS_MOD_TBL,2,0),IFERROR(VLOOKUP(L181,CONS_SEG_TBL,2,0),"")))</f>
        <v/>
      </c>
      <c r="DE181" s="3">
        <f>IF(DD181="",NEUTRO,MAX(0,MIN(100,100*(CONS_REF_MAX-DD181)/(CONS_REF_MAX-CONS_REF_MIN))))</f>
        <v/>
      </c>
      <c r="DF181" s="3">
        <f>IFERROR(VLOOKUP(L181,SEGURO_TBL,3,0),"")</f>
        <v/>
      </c>
      <c r="DG181" s="3">
        <f>IF(DF181="",NEUTRO,MAX(0,MIN(100,100*(SEG_REF_MAX-DF181)/(SEG_REF_MAX-SEG_REF_MIN))))</f>
        <v/>
      </c>
      <c r="DH181" s="3">
        <f>IFERROR(VLOOKUP(E181,MANT_MARCA_TBL,2,0)+0,NEUTRO)</f>
        <v/>
      </c>
      <c r="DI181" s="3">
        <f>IF(DA181="",NEUTRO,IFERROR(VLOOKUP(DA181,DIST_PTS_TBL,2,0)+0,NEUTRO))</f>
        <v/>
      </c>
      <c r="DJ181" s="4">
        <f>(DH181+DI181)/2</f>
        <v/>
      </c>
      <c r="DK181" s="3">
        <f>W_CONS*DE181+W_SEG*DG181+W_MANT*DJ181</f>
        <v/>
      </c>
      <c r="DL181" s="3">
        <f>IF(N(AB181)&gt;0,AB181,IF(AND(R181="profesional",SG_LEGAL_ON=1),GAR_LEGAL,0))</f>
        <v/>
      </c>
      <c r="DM181" s="3">
        <f>MAX(0,MIN(100,SG_GAR*MIN(1,DL181/SG_GAR_FULL)+SG_AMPL*(AC181="sí")+SG_KMC*(AF181="sí")+SG_REV*(N(AE181)&gt;0)+SG_DEV*MIN(1,N(AG181)/SG_DEV_FULL)+SG_HIST*(W181="sí")-IF(AND(R181="particular",DL181=0),SG_PART_PEN,0)))</f>
        <v/>
      </c>
      <c r="DN181" s="3">
        <f>IF(BK181="",NEUTRO,MAX(0,MIN(100,BK181/5*100)))</f>
        <v/>
      </c>
      <c r="DO181" s="3">
        <f>IF(BL181="sí",100,IF(BL181="no",0,NEUTRO))</f>
        <v/>
      </c>
      <c r="DP181" s="3">
        <f>SV_W_NCAP*DN181+SV_W_ESP*DO181</f>
        <v/>
      </c>
      <c r="DQ181" s="3">
        <f>MAX(0,MIN(100,ATR_BASE+ATR_ACAB*(BD181&lt;&gt;"")+IF(BE181="16+",ATR_LL16,IF(BE181="sí",ATR_LL,0))+ATR_FAROS*(BF181="sí")+ATR_TINT*(BG181="sí")-ATR_CHAPA*(BE181="chapa")))</f>
        <v/>
      </c>
      <c r="DR181" s="3">
        <f>EST_W_MOD*(BB181-1)/4*100+EST_W_ATR*DQ181</f>
        <v/>
      </c>
      <c r="DS181" s="3">
        <f>IF(BA181="",NEUTRO,IFERROR(VLOOKUP(BA181,COLOR_TBL,2,0)+0,NEUTRO))</f>
        <v/>
      </c>
      <c r="DT181" s="3">
        <f>MAX(0,MIN(100,100*N(BM181)/RV_N_FULL))</f>
        <v/>
      </c>
      <c r="DU181" s="3">
        <f>IF(OR(BN181="",N(BO181)&lt;RV_DIAS_MIN),NEUTRO,MAX(0,MIN(100,100*(RV_DIAS_CERO-BN181)/(RV_DIAS_CERO-RV_DIAS_FULL))))</f>
        <v/>
      </c>
      <c r="DV181" s="3">
        <f>RV_W_LIQ*DT181+RV_W_DIAS*DU181+RV_W_ETQ*DC181</f>
        <v/>
      </c>
      <c r="DW181" s="3">
        <f>IFERROR(VLOOKUP(L181,CARR_PEN_TBL,2,0),0)</f>
        <v/>
      </c>
      <c r="DX181" s="3">
        <f>W_FIAB*CS181+W_PRECIO*CU181+W_KMEDAD*CY181+W_ESTADO*DB181+W_USO*DK181+W_SEGURIDAD*DM181+W_SEGVIAL*DP181+W_ESTETICA*DR181+W_COLOR*DS181+W_REVENTA*DV181-DW181-EG181</f>
        <v/>
      </c>
      <c r="DY181" s="4">
        <f>IF(N(I181)&gt;0,I181,IFERROR(ROUND(_xlfn.NUMBERVALUE(LEFT(G181,FIND(" ",G181&amp;" ")-1),".")*1000,0),99999))</f>
        <v/>
      </c>
      <c r="DZ181" s="3">
        <f>IF(R181="profesional",0,IF(O181&lt;CUOTA_VALOR_MAX,IF(BW181&gt;ITP_TRAMO_ALTO,SUMIFS(CF_CUOTA,CF_MAS,ITP_TRAMO_ALTO,CF_CCMIN,"&lt;="&amp;DY181,CF_CCMAX,"&gt;="&amp;DY181),IF(BW181&gt;ITP_TRAMO_BAJO,SUMIFS(CF_CUOTA,CF_MAS,ITP_TRAMO_BAJO,CF_CCMIN,"&lt;="&amp;DY181,CF_CCMAX,"&gt;="&amp;DY181),O181*ITP_TIPO)),O181*ITP_TIPO))</f>
        <v/>
      </c>
      <c r="EA181" s="4">
        <f>IF(R181="profesional",N(AK181),0)</f>
        <v/>
      </c>
      <c r="EB181" s="3">
        <f>IF(AND(R181="profesional",ISNUMBER(AK181),AL181="sí"),0,TASA_DGT)</f>
        <v/>
      </c>
      <c r="EC181" s="3">
        <f>INFORME_DGT</f>
        <v/>
      </c>
      <c r="ED181" s="4">
        <f>O181+EA181+DZ181+EB181+EC181</f>
        <v/>
      </c>
      <c r="EE181" s="4">
        <f>ED181+N(DF181)</f>
        <v/>
      </c>
      <c r="EF181" s="3">
        <f>MAX(0,ED181-TOTAL_MAX)</f>
        <v/>
      </c>
      <c r="EG181" s="3">
        <f>EF181/100*PEN_100</f>
        <v/>
      </c>
      <c r="EH181" s="3">
        <f>IF(R181="particular",ED181+IF(AND(DA181&lt;&gt;"cadena",X181&lt;&gt;"sí"),RES_CORREA,0)+IF(AND(BJ181&lt;&gt;"sí",BW181&gt;=RES_NEUM_EDAD),RES_NEUM,0),"")</f>
        <v/>
      </c>
      <c r="EI181" s="3">
        <f>IF(ED181&lt;=TOTAL_MAX,"sí",IF(ED181&lt;=TECHO,"negociar","no"))</f>
        <v/>
      </c>
      <c r="EJ181" s="4">
        <f>ROUND(DX181,9)</f>
        <v/>
      </c>
      <c r="EK181" s="4">
        <f>IF(EI181&lt;&gt;"no",SUMPRODUCT(($EI$2:$EI$209&lt;&gt;"no")*($EJ$2:$EJ$209&gt;EJ181))+SUMPRODUCT(($EI$2:EI181&lt;&gt;"no")*($EJ$2:EJ181=EJ181)),"")</f>
        <v/>
      </c>
    </row>
    <row r="182">
      <c r="A182" s="2" t="inlineStr">
        <is>
          <t>cochesnet:70116660</t>
        </is>
      </c>
      <c r="B182" s="2" t="inlineStr">
        <is>
          <t>cochesnet</t>
        </is>
      </c>
      <c r="C182" s="2" t="inlineStr">
        <is>
          <t>https://www.coches.net/citroen-c3-vti-120-exclusive-5p-gasolina-2014-en-valencia-70116660-covo.aspx</t>
        </is>
      </c>
      <c r="D182" s="2" t="inlineStr">
        <is>
          <t>CITROEN C3 VTi 120 Exclusive</t>
        </is>
      </c>
      <c r="E182" s="2" t="inlineStr">
        <is>
          <t>Citroën</t>
        </is>
      </c>
      <c r="F182" s="2" t="inlineStr">
        <is>
          <t>Citroën C3</t>
        </is>
      </c>
      <c r="G182" s="2" t="inlineStr">
        <is>
          <t>? VTi</t>
        </is>
      </c>
      <c r="H182" s="2" t="inlineStr">
        <is>
          <t>VTi 120 Exclusive</t>
        </is>
      </c>
      <c r="I182" s="2" t="n"/>
      <c r="J182" s="2" t="n"/>
      <c r="K182" s="2" t="inlineStr">
        <is>
          <t>gasolina</t>
        </is>
      </c>
      <c r="L182" s="2" t="inlineStr">
        <is>
          <t>utilitario</t>
        </is>
      </c>
      <c r="M182" s="2" t="n">
        <v>2015</v>
      </c>
      <c r="N182" s="2" t="n">
        <v>115000</v>
      </c>
      <c r="O182" s="2" t="n">
        <v>5800</v>
      </c>
      <c r="P182" s="2" t="inlineStr">
        <is>
          <t>manual</t>
        </is>
      </c>
      <c r="Q182" s="2" t="inlineStr">
        <is>
          <t>no</t>
        </is>
      </c>
      <c r="R182" s="2" t="inlineStr">
        <is>
          <t>profesional</t>
        </is>
      </c>
      <c r="S182" s="2" t="inlineStr">
        <is>
          <t>Valencia</t>
        </is>
      </c>
      <c r="T182" s="2" t="inlineStr">
        <is>
          <t>2026-08-29T12:37:27Z</t>
        </is>
      </c>
      <c r="U182" s="2" t="n">
        <v>22</v>
      </c>
      <c r="V182" s="2" t="inlineStr">
        <is>
          <t>sí</t>
        </is>
      </c>
      <c r="W182" s="2" t="inlineStr">
        <is>
          <t>sí</t>
        </is>
      </c>
      <c r="X182" s="2" t="n"/>
      <c r="Y182" s="2" t="n"/>
      <c r="Z182" s="2" t="inlineStr">
        <is>
          <t>sí</t>
        </is>
      </c>
      <c r="AA182" s="2" t="n"/>
      <c r="AB182" s="2" t="n">
        <v>12</v>
      </c>
      <c r="AC182" s="2" t="n"/>
      <c r="AD182" s="2" t="n"/>
      <c r="AE182" s="2" t="n"/>
      <c r="AF182" s="2" t="n"/>
      <c r="AG182" s="2" t="n"/>
      <c r="AH182" s="2" t="n">
        <v>5800</v>
      </c>
      <c r="AI182" s="2" t="n">
        <v>5800</v>
      </c>
      <c r="AJ182" s="2" t="n"/>
      <c r="AK182" s="2" t="n"/>
      <c r="AL182" s="2" t="n"/>
      <c r="AM182" s="2" t="n">
        <v>0.1</v>
      </c>
      <c r="AN182" s="2" t="n"/>
      <c r="AO182" s="2" t="inlineStr">
        <is>
          <t>2015</t>
        </is>
      </c>
      <c r="AP182" s="2" t="n">
        <v>2015</v>
      </c>
      <c r="AQ182" s="2" t="n"/>
      <c r="AR182" s="2" t="n"/>
      <c r="AS182" s="2" t="inlineStr">
        <is>
          <t>regla</t>
        </is>
      </c>
      <c r="AT182" s="2" t="n">
        <v>2014</v>
      </c>
      <c r="AU182" s="2" t="inlineStr">
        <is>
          <t>no</t>
        </is>
      </c>
      <c r="AV182" s="2" t="inlineStr">
        <is>
          <t>C</t>
        </is>
      </c>
      <c r="AW182" s="2" t="n"/>
      <c r="AX182" s="2" t="inlineStr">
        <is>
          <t>no</t>
        </is>
      </c>
      <c r="AY182" s="2" t="inlineStr">
        <is>
          <t>no</t>
        </is>
      </c>
      <c r="AZ182" s="2" t="inlineStr">
        <is>
          <t>COMMON.COLOR_GRAY</t>
        </is>
      </c>
      <c r="BA182" s="2" t="inlineStr">
        <is>
          <t>gris_medio</t>
        </is>
      </c>
      <c r="BB182" s="3" t="n">
        <v>2</v>
      </c>
      <c r="BC182" s="3" t="inlineStr">
        <is>
          <t>(por segmento)</t>
        </is>
      </c>
      <c r="BD182" s="2" t="inlineStr">
        <is>
          <t>exclusive</t>
        </is>
      </c>
      <c r="BE182" s="2" t="n"/>
      <c r="BF182" s="2" t="n"/>
      <c r="BG182" s="2" t="n"/>
      <c r="BH182" s="2" t="n"/>
      <c r="BI182" s="2" t="n"/>
      <c r="BJ182" s="2" t="n"/>
      <c r="BK182" s="2" t="n">
        <v>4</v>
      </c>
      <c r="BL182" s="2" t="inlineStr">
        <is>
          <t>sí</t>
        </is>
      </c>
      <c r="BM182" s="2" t="n">
        <v>405</v>
      </c>
      <c r="BN182" s="2" t="n">
        <v>0</v>
      </c>
      <c r="BO182" s="2" t="n">
        <v>3</v>
      </c>
      <c r="BP182" s="2" t="n">
        <v>5990</v>
      </c>
      <c r="BQ182" s="2" t="n">
        <v>9</v>
      </c>
      <c r="BR182" s="2" t="inlineStr">
        <is>
          <t>modelo+año+km</t>
        </is>
      </c>
      <c r="BS182" s="2" t="n"/>
      <c r="BT182" s="2" t="inlineStr">
        <is>
          <t>año a confirmar: la URL/título dice 2014; por encima del presupuesto: negociar 864 € (coste 5864 €; -17.3 puntos); vendedor profesional: sin ITP (operación con IVA/REBU, confirmar en factura); gastos de gestión del vendedor no indicados: se suma la tasa DGT; preguntar el precio final; etiqueta C deducida por fecha (sin matrícula ni dato del anuncio)</t>
        </is>
      </c>
      <c r="BU182" s="2" t="inlineStr">
        <is>
          <t xml:space="preserve">Citroën C3 1.0 VTi gasolina
114.000 km reales
Muy cuidado, mantenimiento al día
Bajo consumo y económico de mantener
Ideal para ciudad o primer coche
Listo para usar, sin nada que hacer.
Se entrega con la itv hasta 2027
Financiacion a medida
Garantía de un año motor
</t>
        </is>
      </c>
      <c r="BV182" s="2" t="inlineStr">
        <is>
          <t>https://www.coches.net/citroen-c3-vti-120-exclusive-5p-gasolina-2014-en-valencia-70116660-covo.aspx (window.__INITIAL_PROPS__.ad) /home/user/Alopecia/buscador-coches/raw/cochesnet/4ac1bbf4780c46f4.json</t>
        </is>
      </c>
      <c r="BW182" s="3">
        <f>MAX(ANIO_ACTUAL-M182,0)</f>
        <v/>
      </c>
      <c r="BX182" s="4">
        <f>N182/MAX(BW182,0.5)</f>
        <v/>
      </c>
      <c r="BY182" s="4">
        <f>F182</f>
        <v/>
      </c>
      <c r="BZ182" s="3">
        <f>BY182&amp;"|"&amp;INT(M182/SEG_ANIO)*SEG_ANIO</f>
        <v/>
      </c>
      <c r="CA182" s="3">
        <f>BZ182&amp;"|"&amp;INT(N182/SEG_KM)*SEG_KM</f>
        <v/>
      </c>
      <c r="CB182" s="4">
        <f>COUNTIF($BY$2:$BY$209,BY182)</f>
        <v/>
      </c>
      <c r="CC182" s="4">
        <f>COUNTIF($BZ$2:$BZ$209,BZ182)</f>
        <v/>
      </c>
      <c r="CD182" s="4">
        <f>COUNTIF($CA$2:$CA$209,CA182)</f>
        <v/>
      </c>
      <c r="CE182" s="3">
        <f t="array" ref="CE182">IF(N(BQ182)&gt;=MIN_N,BP182,IF(CD182&gt;=MIN_N,MEDIAN(IF($CA$2:$CA$209=CA182,$O$2:$O$209)),IF(CC182&gt;=MIN_N,MEDIAN(IF($BZ$2:$BZ$209=BZ182,$O$2:$O$209)),MEDIAN(IF($BY$2:$BY$209=BY182,$O$2:$O$209)))))</f>
        <v/>
      </c>
      <c r="CF182" s="3">
        <f>IF(N(BQ182)&gt;=MIN_N,"mercado "&amp;BR182,IF(CD182&gt;=MIN_N,"modelo+año+km",IF(CC182&gt;=MIN_N,"modelo+año","modelo")))</f>
        <v/>
      </c>
      <c r="CG182" s="4">
        <f>(CE182-O182)/CE182</f>
        <v/>
      </c>
      <c r="CH182" s="3">
        <f>IF(COUNTIFS(FR_FUEL,K182,FR_YEAR,AP182)&gt;0,1,0)</f>
        <v/>
      </c>
      <c r="CI182" s="3">
        <f>IF(COUNTIFS(FR_FUEL,K182,FR_YEAR,AP182-1)&gt;0,1,0)</f>
        <v/>
      </c>
      <c r="CJ182" s="4">
        <f>IF(N(AQ182)&gt;0,AP182*100+AQ182,IF(AND(CH182=1,CI182=1),(AP182-1)*100+1,AP182*100+1))</f>
        <v/>
      </c>
      <c r="CK182" s="3">
        <f>IF(OR(K182="hibrido",K182="glp",K182="gnc",K182="phev"),"ECO",IF(K182="electrico","CERO",IF(K182="gasolina",IF(CJ182&gt;=GAS_C_YM,"C",IF(CJ182&gt;=GAS_B_YM,"B","A")),IF(K182="diesel",IF(CJ182&gt;=DIE_C_YM,"C",IF(CJ182&gt;=DIE_B_YM,"B","A")),""))))</f>
        <v/>
      </c>
      <c r="CL182" s="4">
        <f>CK182</f>
        <v/>
      </c>
      <c r="CM182" s="4">
        <f>IF(AU182="sí","sí",IF(AS182="regla",IF(AND(N(AQ182)=0,CH182=1),"sí","no"),"no"))</f>
        <v/>
      </c>
      <c r="CN182" s="3">
        <f>IFERROR(VLOOKUP(F182,MOD_TBL,16,0),IFERROR(VLOOKUP(E182,OCU_TBL,2,0),NEUTRO))</f>
        <v/>
      </c>
      <c r="CO182" s="3">
        <f>SUMIFS(MOT_AJUSTE,MOT_MOTOR,G182,MOT_MARCA,E182,MOT_DESDE,"&lt;="&amp;M182,MOT_HASTA,"&gt;="&amp;M182)+SUMIFS(MOT_AJUSTE,MOT_MOTOR,G182,MOT_MARCA,"(todas)",MOT_DESDE,"&lt;="&amp;M182,MOT_HASTA,"&gt;="&amp;M182)+SUMIFS(MOT_AJUSTE,MOT_MOTOR,"(cualquiera)",MOT_MARCA,E182,MOT_DESDE,"&lt;="&amp;M182,MOT_HASTA,"&gt;="&amp;M182)</f>
        <v/>
      </c>
      <c r="CP182" s="3">
        <f>SUMIFS(COMB_AJUSTE,COMB_COMB,K182)</f>
        <v/>
      </c>
      <c r="CQ182" s="3">
        <f>COUNTIFS(MOT_MOTOR,G182,MOT_MARCA,E182,MOT_DESDE,"&lt;="&amp;M182,MOT_HASTA,"&gt;="&amp;M182)+COUNTIFS(MOT_MOTOR,G182,MOT_MARCA,"(todas)",MOT_DESDE,"&lt;="&amp;M182,MOT_HASTA,"&gt;="&amp;M182)+COUNTIFS(MOT_MOTOR,"(cualquiera)",MOT_MARCA,E182,MOT_DESDE,"&lt;="&amp;M182,MOT_HASTA,"&gt;="&amp;M182)</f>
        <v/>
      </c>
      <c r="CR182" s="3">
        <f>IF(AND(K182="diesel",CQ182=0),MIN(CN182,NEUTRO),CN182)</f>
        <v/>
      </c>
      <c r="CS182" s="3">
        <f>MAX(0,MIN(100,CR182+CO182+CP182-IF(AX182="sí",ROB_PEN,0)))</f>
        <v/>
      </c>
      <c r="CT182" s="3">
        <f>100-MAX(0,N182-KM_TOPE_DESDE)/1000*KM_TOPE_PTS</f>
        <v/>
      </c>
      <c r="CU182" s="3">
        <f>MAX(0,MIN(100,50+CG182*PRECIO_PEND,CT182))</f>
        <v/>
      </c>
      <c r="CV182" s="3">
        <f>MAX(0,100*(1-N182/KM_MAX))</f>
        <v/>
      </c>
      <c r="CW182" s="3">
        <f>IF(BX182&lt;KMA_SOSP,IF(AA182="sí",100,KMA_PEN),IF(BX182&lt;=KMA_IDEAL_MAX,100,MAX(0,100*(KMA_CERO-BX182)/(KMA_CERO-KMA_IDEAL_MAX))))</f>
        <v/>
      </c>
      <c r="CX182" s="3">
        <f>MAX(0,MIN(100,100*(M182-ANIO_MIN)/(ANIO_ACTUAL-ANIO_MIN)))</f>
        <v/>
      </c>
      <c r="CY182" s="3">
        <f>W_KMT*CV182+W_KMA*CW182+W_EDAD*CX182</f>
        <v/>
      </c>
      <c r="CZ182" s="4">
        <f>E182&amp;"|"&amp;G182</f>
        <v/>
      </c>
      <c r="DA182" s="3">
        <f>IFERROR(VLOOKUP(CZ182,DIST_TBL,2,0),"")</f>
        <v/>
      </c>
      <c r="DB182" s="3">
        <f>E_ITV*(V182="sí")+E_LIBRO*(W182="sí")+E_PROP*IF(Y182=1,1,IF(Y182=2,0.5,0))+E_CORREA*IF(OR(DA182="cadena",AND(X182="sí",BH182="sí")),1,IF(X182="sí",0.5,0))+E_FACT*(BI182="sí")</f>
        <v/>
      </c>
      <c r="DC182" s="3">
        <f>MAX(0,MIN(100,IFERROR(VLOOKUP(CL182,ETQ_TBL,2,0),0)-IF(CM182="sí",ETQ_PEN_DUD,IF(AS182="regla",ETQ_PEN_REGLA,0))))</f>
        <v/>
      </c>
      <c r="DD182" s="3">
        <f>IF(K182&lt;&gt;"gasolina","",IFERROR(VLOOKUP(F182,CONS_MOD_TBL,2,0),IFERROR(VLOOKUP(L182,CONS_SEG_TBL,2,0),"")))</f>
        <v/>
      </c>
      <c r="DE182" s="3">
        <f>IF(DD182="",NEUTRO,MAX(0,MIN(100,100*(CONS_REF_MAX-DD182)/(CONS_REF_MAX-CONS_REF_MIN))))</f>
        <v/>
      </c>
      <c r="DF182" s="3">
        <f>IFERROR(VLOOKUP(L182,SEGURO_TBL,3,0),"")</f>
        <v/>
      </c>
      <c r="DG182" s="3">
        <f>IF(DF182="",NEUTRO,MAX(0,MIN(100,100*(SEG_REF_MAX-DF182)/(SEG_REF_MAX-SEG_REF_MIN))))</f>
        <v/>
      </c>
      <c r="DH182" s="3">
        <f>IFERROR(VLOOKUP(E182,MANT_MARCA_TBL,2,0)+0,NEUTRO)</f>
        <v/>
      </c>
      <c r="DI182" s="3">
        <f>IF(DA182="",NEUTRO,IFERROR(VLOOKUP(DA182,DIST_PTS_TBL,2,0)+0,NEUTRO))</f>
        <v/>
      </c>
      <c r="DJ182" s="4">
        <f>(DH182+DI182)/2</f>
        <v/>
      </c>
      <c r="DK182" s="3">
        <f>W_CONS*DE182+W_SEG*DG182+W_MANT*DJ182</f>
        <v/>
      </c>
      <c r="DL182" s="3">
        <f>IF(N(AB182)&gt;0,AB182,IF(AND(R182="profesional",SG_LEGAL_ON=1),GAR_LEGAL,0))</f>
        <v/>
      </c>
      <c r="DM182" s="3">
        <f>MAX(0,MIN(100,SG_GAR*MIN(1,DL182/SG_GAR_FULL)+SG_AMPL*(AC182="sí")+SG_KMC*(AF182="sí")+SG_REV*(N(AE182)&gt;0)+SG_DEV*MIN(1,N(AG182)/SG_DEV_FULL)+SG_HIST*(W182="sí")-IF(AND(R182="particular",DL182=0),SG_PART_PEN,0)))</f>
        <v/>
      </c>
      <c r="DN182" s="3">
        <f>IF(BK182="",NEUTRO,MAX(0,MIN(100,BK182/5*100)))</f>
        <v/>
      </c>
      <c r="DO182" s="3">
        <f>IF(BL182="sí",100,IF(BL182="no",0,NEUTRO))</f>
        <v/>
      </c>
      <c r="DP182" s="3">
        <f>SV_W_NCAP*DN182+SV_W_ESP*DO182</f>
        <v/>
      </c>
      <c r="DQ182" s="3">
        <f>MAX(0,MIN(100,ATR_BASE+ATR_ACAB*(BD182&lt;&gt;"")+IF(BE182="16+",ATR_LL16,IF(BE182="sí",ATR_LL,0))+ATR_FAROS*(BF182="sí")+ATR_TINT*(BG182="sí")-ATR_CHAPA*(BE182="chapa")))</f>
        <v/>
      </c>
      <c r="DR182" s="3">
        <f>EST_W_MOD*(BB182-1)/4*100+EST_W_ATR*DQ182</f>
        <v/>
      </c>
      <c r="DS182" s="3">
        <f>IF(BA182="",NEUTRO,IFERROR(VLOOKUP(BA182,COLOR_TBL,2,0)+0,NEUTRO))</f>
        <v/>
      </c>
      <c r="DT182" s="3">
        <f>MAX(0,MIN(100,100*N(BM182)/RV_N_FULL))</f>
        <v/>
      </c>
      <c r="DU182" s="3">
        <f>IF(OR(BN182="",N(BO182)&lt;RV_DIAS_MIN),NEUTRO,MAX(0,MIN(100,100*(RV_DIAS_CERO-BN182)/(RV_DIAS_CERO-RV_DIAS_FULL))))</f>
        <v/>
      </c>
      <c r="DV182" s="3">
        <f>RV_W_LIQ*DT182+RV_W_DIAS*DU182+RV_W_ETQ*DC182</f>
        <v/>
      </c>
      <c r="DW182" s="3">
        <f>IFERROR(VLOOKUP(L182,CARR_PEN_TBL,2,0),0)</f>
        <v/>
      </c>
      <c r="DX182" s="3">
        <f>W_FIAB*CS182+W_PRECIO*CU182+W_KMEDAD*CY182+W_ESTADO*DB182+W_USO*DK182+W_SEGURIDAD*DM182+W_SEGVIAL*DP182+W_ESTETICA*DR182+W_COLOR*DS182+W_REVENTA*DV182-DW182-EG182</f>
        <v/>
      </c>
      <c r="DY182" s="4">
        <f>IF(N(I182)&gt;0,I182,IFERROR(ROUND(_xlfn.NUMBERVALUE(LEFT(G182,FIND(" ",G182&amp;" ")-1),".")*1000,0),99999))</f>
        <v/>
      </c>
      <c r="DZ182" s="3">
        <f>IF(R182="profesional",0,IF(O182&lt;CUOTA_VALOR_MAX,IF(BW182&gt;ITP_TRAMO_ALTO,SUMIFS(CF_CUOTA,CF_MAS,ITP_TRAMO_ALTO,CF_CCMIN,"&lt;="&amp;DY182,CF_CCMAX,"&gt;="&amp;DY182),IF(BW182&gt;ITP_TRAMO_BAJO,SUMIFS(CF_CUOTA,CF_MAS,ITP_TRAMO_BAJO,CF_CCMIN,"&lt;="&amp;DY182,CF_CCMAX,"&gt;="&amp;DY182),O182*ITP_TIPO)),O182*ITP_TIPO))</f>
        <v/>
      </c>
      <c r="EA182" s="4">
        <f>IF(R182="profesional",N(AK182),0)</f>
        <v/>
      </c>
      <c r="EB182" s="3">
        <f>IF(AND(R182="profesional",ISNUMBER(AK182),AL182="sí"),0,TASA_DGT)</f>
        <v/>
      </c>
      <c r="EC182" s="3">
        <f>INFORME_DGT</f>
        <v/>
      </c>
      <c r="ED182" s="4">
        <f>O182+EA182+DZ182+EB182+EC182</f>
        <v/>
      </c>
      <c r="EE182" s="4">
        <f>ED182+N(DF182)</f>
        <v/>
      </c>
      <c r="EF182" s="3">
        <f>MAX(0,ED182-TOTAL_MAX)</f>
        <v/>
      </c>
      <c r="EG182" s="3">
        <f>EF182/100*PEN_100</f>
        <v/>
      </c>
      <c r="EH182" s="3">
        <f>IF(R182="particular",ED182+IF(AND(DA182&lt;&gt;"cadena",X182&lt;&gt;"sí"),RES_CORREA,0)+IF(AND(BJ182&lt;&gt;"sí",BW182&gt;=RES_NEUM_EDAD),RES_NEUM,0),"")</f>
        <v/>
      </c>
      <c r="EI182" s="3">
        <f>IF(ED182&lt;=TOTAL_MAX,"sí",IF(ED182&lt;=TECHO,"negociar","no"))</f>
        <v/>
      </c>
      <c r="EJ182" s="4">
        <f>ROUND(DX182,9)</f>
        <v/>
      </c>
      <c r="EK182" s="4">
        <f>IF(EI182&lt;&gt;"no",SUMPRODUCT(($EI$2:$EI$209&lt;&gt;"no")*($EJ$2:$EJ$209&gt;EJ182))+SUMPRODUCT(($EI$2:EI182&lt;&gt;"no")*($EJ$2:EJ182=EJ182)),"")</f>
        <v/>
      </c>
    </row>
    <row r="183">
      <c r="A183" s="2" t="inlineStr">
        <is>
          <t>cochesnet:71741251</t>
        </is>
      </c>
      <c r="B183" s="2" t="inlineStr">
        <is>
          <t>cochesnet</t>
        </is>
      </c>
      <c r="C183" s="2" t="inlineStr">
        <is>
          <t>https://www.coches.net/citroen-c3-bluehdi-55kw-75cv-ss-shine-5p-diesel-2016-en-valencia-71741251-covo.aspx</t>
        </is>
      </c>
      <c r="D183" s="2" t="inlineStr">
        <is>
          <t>CITROEN C3 BlueHDi SS SHINE</t>
        </is>
      </c>
      <c r="E183" s="2" t="inlineStr">
        <is>
          <t>Citroën</t>
        </is>
      </c>
      <c r="F183" s="2" t="inlineStr">
        <is>
          <t>Citroën C3</t>
        </is>
      </c>
      <c r="G183" s="2" t="inlineStr">
        <is>
          <t>? HDi</t>
        </is>
      </c>
      <c r="H183" s="2" t="inlineStr">
        <is>
          <t>BlueHDi 55KW 75CV SS SHINE</t>
        </is>
      </c>
      <c r="I183" s="2" t="n"/>
      <c r="J183" s="2" t="n">
        <v>75</v>
      </c>
      <c r="K183" s="2" t="inlineStr">
        <is>
          <t>diesel</t>
        </is>
      </c>
      <c r="L183" s="2" t="inlineStr">
        <is>
          <t>utilitario</t>
        </is>
      </c>
      <c r="M183" s="2" t="n">
        <v>2016</v>
      </c>
      <c r="N183" s="2" t="n">
        <v>140000</v>
      </c>
      <c r="O183" s="2" t="n">
        <v>5799</v>
      </c>
      <c r="P183" s="2" t="inlineStr">
        <is>
          <t>manual</t>
        </is>
      </c>
      <c r="Q183" s="2" t="inlineStr">
        <is>
          <t>no</t>
        </is>
      </c>
      <c r="R183" s="2" t="inlineStr">
        <is>
          <t>profesional</t>
        </is>
      </c>
      <c r="S183" s="2" t="inlineStr">
        <is>
          <t>Cars Premium Albal Albal</t>
        </is>
      </c>
      <c r="T183" s="2" t="inlineStr">
        <is>
          <t>2026-10-14T11:11:22Z</t>
        </is>
      </c>
      <c r="U183" s="2" t="n">
        <v>15</v>
      </c>
      <c r="V183" s="2" t="inlineStr">
        <is>
          <t>sí</t>
        </is>
      </c>
      <c r="W183" s="2" t="n"/>
      <c r="X183" s="2" t="n"/>
      <c r="Y183" s="2" t="n"/>
      <c r="Z183" s="2" t="inlineStr">
        <is>
          <t>sí</t>
        </is>
      </c>
      <c r="AA183" s="2" t="n"/>
      <c r="AB183" s="2" t="n">
        <v>12</v>
      </c>
      <c r="AC183" s="2" t="n"/>
      <c r="AD183" s="2" t="n"/>
      <c r="AE183" s="2" t="n"/>
      <c r="AF183" s="2" t="n"/>
      <c r="AG183" s="2" t="n"/>
      <c r="AH183" s="2" t="n">
        <v>5799</v>
      </c>
      <c r="AI183" s="2" t="n">
        <v>5799</v>
      </c>
      <c r="AJ183" s="2" t="n"/>
      <c r="AK183" s="2" t="n"/>
      <c r="AL183" s="2" t="n"/>
      <c r="AM183" s="2" t="n">
        <v>8.699999999999999</v>
      </c>
      <c r="AN183" s="2" t="n"/>
      <c r="AO183" s="2" t="inlineStr">
        <is>
          <t>2016</t>
        </is>
      </c>
      <c r="AP183" s="2" t="n">
        <v>2016</v>
      </c>
      <c r="AQ183" s="2" t="n"/>
      <c r="AR183" s="2" t="n"/>
      <c r="AS183" s="2" t="inlineStr">
        <is>
          <t>regla</t>
        </is>
      </c>
      <c r="AT183" s="2" t="n"/>
      <c r="AU183" s="2" t="inlineStr">
        <is>
          <t>no</t>
        </is>
      </c>
      <c r="AV183" s="2" t="inlineStr">
        <is>
          <t>C</t>
        </is>
      </c>
      <c r="AW183" s="2" t="inlineStr">
        <is>
          <t>B</t>
        </is>
      </c>
      <c r="AX183" s="2" t="inlineStr">
        <is>
          <t>no</t>
        </is>
      </c>
      <c r="AY183" s="2" t="inlineStr">
        <is>
          <t>no</t>
        </is>
      </c>
      <c r="AZ183" s="2" t="inlineStr">
        <is>
          <t>COMMON.COLOR_BLUE</t>
        </is>
      </c>
      <c r="BA183" s="2" t="inlineStr">
        <is>
          <t>azul</t>
        </is>
      </c>
      <c r="BB183" s="3" t="n">
        <v>2</v>
      </c>
      <c r="BC183" s="3" t="inlineStr">
        <is>
          <t>(por segmento)</t>
        </is>
      </c>
      <c r="BD183" s="2" t="n"/>
      <c r="BE183" s="2" t="n"/>
      <c r="BF183" s="2" t="n"/>
      <c r="BG183" s="2" t="n"/>
      <c r="BH183" s="2" t="n"/>
      <c r="BI183" s="2" t="n"/>
      <c r="BJ183" s="2" t="n"/>
      <c r="BK183" s="2" t="n">
        <v>4</v>
      </c>
      <c r="BL183" s="2" t="inlineStr">
        <is>
          <t>sí</t>
        </is>
      </c>
      <c r="BM183" s="2" t="n">
        <v>405</v>
      </c>
      <c r="BN183" s="2" t="n">
        <v>0</v>
      </c>
      <c r="BO183" s="2" t="n">
        <v>3</v>
      </c>
      <c r="BP183" s="2" t="n">
        <v>7500</v>
      </c>
      <c r="BQ183" s="2" t="n">
        <v>21</v>
      </c>
      <c r="BR183" s="2" t="inlineStr">
        <is>
          <t>modelo+año+km</t>
        </is>
      </c>
      <c r="BS183" s="2" t="n"/>
      <c r="BT183" s="2" t="inlineStr">
        <is>
          <t>anuncio incoherente: dice etiqueta B y por fecha corresponde C; se usa la regla; por encima del presupuesto: negociar 863 € (coste 5863 €; -17.3 puntos); vendedor profesional: sin ITP (operación con IVA/REBU, confirmar en factura); gastos de gestión del vendedor no indicados: se suma la tasa DGT; preguntar el precio final; diésel: motor sin fuente de fiabilidad (fiabilidad limitada a neutra); etiqueta C deducida por fecha (sin matrícula ni dato del anuncio)</t>
        </is>
      </c>
      <c r="BU183" s="2" t="inlineStr">
        <is>
          <t>PRECIOSO CITROEN C3 AÑO 2016 MOTOR 1.4HDI 75CV  CON TAN SOLO 140000 KILÓMETROS DE BUENÍSIMAS PRESTACIONES Y BAJISIMO CONSUMO CON ITV AL DIA 12 MESES DE GARANTÍA OFRECEMOS UNA FINANCIACION A SU MEDIDA HASTA 48 MESES PERFECTO ESTADO DE INTERIOR Y EXTERIOR , VEHÍCULO CON   MUCHOS EXTRAS , MANDOS EN EL VOLANTE, CLIMATIZADOR , VELOCIDAD DE CRUCERO , LIMITADOR DE VELOCIDAD , SENSOR DE LLUVIA , SENSOR DE LUCES , ELEVALUNAS ELECTRICAS , CIERRE CENTRALIZADO, RETROVISORES ELECTRICOS,  DIRECCION ASISTIDA , AIRBAGS , RD CD MP3,,,, PARA MAS INFORMACION LLAMEN AL 646354408 O VISITEN NUESTRAS INSTALACIONES EN ALBAL VALENCIA AV PADRE CARLOS FERRIS 87</t>
        </is>
      </c>
      <c r="BV183" s="2" t="inlineStr">
        <is>
          <t>https://www.coches.net/citroen-c3-bluehdi-55kw-75cv-ss-shine-5p-diesel-2016-en-valencia-71741251-covo.aspx (window.__INITIAL_PROPS__.ad) /home/user/Alopecia/buscador-coches/raw/cochesnet/517e11ecb798d597.json</t>
        </is>
      </c>
      <c r="BW183" s="3">
        <f>MAX(ANIO_ACTUAL-M183,0)</f>
        <v/>
      </c>
      <c r="BX183" s="4">
        <f>N183/MAX(BW183,0.5)</f>
        <v/>
      </c>
      <c r="BY183" s="4">
        <f>F183</f>
        <v/>
      </c>
      <c r="BZ183" s="3">
        <f>BY183&amp;"|"&amp;INT(M183/SEG_ANIO)*SEG_ANIO</f>
        <v/>
      </c>
      <c r="CA183" s="3">
        <f>BZ183&amp;"|"&amp;INT(N183/SEG_KM)*SEG_KM</f>
        <v/>
      </c>
      <c r="CB183" s="4">
        <f>COUNTIF($BY$2:$BY$209,BY183)</f>
        <v/>
      </c>
      <c r="CC183" s="4">
        <f>COUNTIF($BZ$2:$BZ$209,BZ183)</f>
        <v/>
      </c>
      <c r="CD183" s="4">
        <f>COUNTIF($CA$2:$CA$209,CA183)</f>
        <v/>
      </c>
      <c r="CE183" s="3">
        <f t="array" ref="CE183">IF(N(BQ183)&gt;=MIN_N,BP183,IF(CD183&gt;=MIN_N,MEDIAN(IF($CA$2:$CA$209=CA183,$O$2:$O$209)),IF(CC183&gt;=MIN_N,MEDIAN(IF($BZ$2:$BZ$209=BZ183,$O$2:$O$209)),MEDIAN(IF($BY$2:$BY$209=BY183,$O$2:$O$209)))))</f>
        <v/>
      </c>
      <c r="CF183" s="3">
        <f>IF(N(BQ183)&gt;=MIN_N,"mercado "&amp;BR183,IF(CD183&gt;=MIN_N,"modelo+año+km",IF(CC183&gt;=MIN_N,"modelo+año","modelo")))</f>
        <v/>
      </c>
      <c r="CG183" s="4">
        <f>(CE183-O183)/CE183</f>
        <v/>
      </c>
      <c r="CH183" s="3">
        <f>IF(COUNTIFS(FR_FUEL,K183,FR_YEAR,AP183)&gt;0,1,0)</f>
        <v/>
      </c>
      <c r="CI183" s="3">
        <f>IF(COUNTIFS(FR_FUEL,K183,FR_YEAR,AP183-1)&gt;0,1,0)</f>
        <v/>
      </c>
      <c r="CJ183" s="4">
        <f>IF(N(AQ183)&gt;0,AP183*100+AQ183,IF(AND(CH183=1,CI183=1),(AP183-1)*100+1,AP183*100+1))</f>
        <v/>
      </c>
      <c r="CK183" s="3">
        <f>IF(OR(K183="hibrido",K183="glp",K183="gnc",K183="phev"),"ECO",IF(K183="electrico","CERO",IF(K183="gasolina",IF(CJ183&gt;=GAS_C_YM,"C",IF(CJ183&gt;=GAS_B_YM,"B","A")),IF(K183="diesel",IF(CJ183&gt;=DIE_C_YM,"C",IF(CJ183&gt;=DIE_B_YM,"B","A")),""))))</f>
        <v/>
      </c>
      <c r="CL183" s="4">
        <f>CK183</f>
        <v/>
      </c>
      <c r="CM183" s="4">
        <f>IF(AU183="sí","sí",IF(AS183="regla",IF(AND(N(AQ183)=0,CH183=1),"sí","no"),"no"))</f>
        <v/>
      </c>
      <c r="CN183" s="3">
        <f>IFERROR(VLOOKUP(F183,MOD_TBL,16,0),IFERROR(VLOOKUP(E183,OCU_TBL,2,0),NEUTRO))</f>
        <v/>
      </c>
      <c r="CO183" s="3">
        <f>SUMIFS(MOT_AJUSTE,MOT_MOTOR,G183,MOT_MARCA,E183,MOT_DESDE,"&lt;="&amp;M183,MOT_HASTA,"&gt;="&amp;M183)+SUMIFS(MOT_AJUSTE,MOT_MOTOR,G183,MOT_MARCA,"(todas)",MOT_DESDE,"&lt;="&amp;M183,MOT_HASTA,"&gt;="&amp;M183)+SUMIFS(MOT_AJUSTE,MOT_MOTOR,"(cualquiera)",MOT_MARCA,E183,MOT_DESDE,"&lt;="&amp;M183,MOT_HASTA,"&gt;="&amp;M183)</f>
        <v/>
      </c>
      <c r="CP183" s="3">
        <f>SUMIFS(COMB_AJUSTE,COMB_COMB,K183)</f>
        <v/>
      </c>
      <c r="CQ183" s="3">
        <f>COUNTIFS(MOT_MOTOR,G183,MOT_MARCA,E183,MOT_DESDE,"&lt;="&amp;M183,MOT_HASTA,"&gt;="&amp;M183)+COUNTIFS(MOT_MOTOR,G183,MOT_MARCA,"(todas)",MOT_DESDE,"&lt;="&amp;M183,MOT_HASTA,"&gt;="&amp;M183)+COUNTIFS(MOT_MOTOR,"(cualquiera)",MOT_MARCA,E183,MOT_DESDE,"&lt;="&amp;M183,MOT_HASTA,"&gt;="&amp;M183)</f>
        <v/>
      </c>
      <c r="CR183" s="3">
        <f>IF(AND(K183="diesel",CQ183=0),MIN(CN183,NEUTRO),CN183)</f>
        <v/>
      </c>
      <c r="CS183" s="3">
        <f>MAX(0,MIN(100,CR183+CO183+CP183-IF(AX183="sí",ROB_PEN,0)))</f>
        <v/>
      </c>
      <c r="CT183" s="3">
        <f>100-MAX(0,N183-KM_TOPE_DESDE)/1000*KM_TOPE_PTS</f>
        <v/>
      </c>
      <c r="CU183" s="3">
        <f>MAX(0,MIN(100,50+CG183*PRECIO_PEND,CT183))</f>
        <v/>
      </c>
      <c r="CV183" s="3">
        <f>MAX(0,100*(1-N183/KM_MAX))</f>
        <v/>
      </c>
      <c r="CW183" s="3">
        <f>IF(BX183&lt;KMA_SOSP,IF(AA183="sí",100,KMA_PEN),IF(BX183&lt;=KMA_IDEAL_MAX,100,MAX(0,100*(KMA_CERO-BX183)/(KMA_CERO-KMA_IDEAL_MAX))))</f>
        <v/>
      </c>
      <c r="CX183" s="3">
        <f>MAX(0,MIN(100,100*(M183-ANIO_MIN)/(ANIO_ACTUAL-ANIO_MIN)))</f>
        <v/>
      </c>
      <c r="CY183" s="3">
        <f>W_KMT*CV183+W_KMA*CW183+W_EDAD*CX183</f>
        <v/>
      </c>
      <c r="CZ183" s="4">
        <f>E183&amp;"|"&amp;G183</f>
        <v/>
      </c>
      <c r="DA183" s="3">
        <f>IFERROR(VLOOKUP(CZ183,DIST_TBL,2,0),"")</f>
        <v/>
      </c>
      <c r="DB183" s="3">
        <f>E_ITV*(V183="sí")+E_LIBRO*(W183="sí")+E_PROP*IF(Y183=1,1,IF(Y183=2,0.5,0))+E_CORREA*IF(OR(DA183="cadena",AND(X183="sí",BH183="sí")),1,IF(X183="sí",0.5,0))+E_FACT*(BI183="sí")</f>
        <v/>
      </c>
      <c r="DC183" s="3">
        <f>MAX(0,MIN(100,IFERROR(VLOOKUP(CL183,ETQ_TBL,2,0),0)-IF(CM183="sí",ETQ_PEN_DUD,IF(AS183="regla",ETQ_PEN_REGLA,0))))</f>
        <v/>
      </c>
      <c r="DD183" s="3">
        <f>IF(K183&lt;&gt;"gasolina","",IFERROR(VLOOKUP(F183,CONS_MOD_TBL,2,0),IFERROR(VLOOKUP(L183,CONS_SEG_TBL,2,0),"")))</f>
        <v/>
      </c>
      <c r="DE183" s="3">
        <f>IF(DD183="",NEUTRO,MAX(0,MIN(100,100*(CONS_REF_MAX-DD183)/(CONS_REF_MAX-CONS_REF_MIN))))</f>
        <v/>
      </c>
      <c r="DF183" s="3">
        <f>IFERROR(VLOOKUP(L183,SEGURO_TBL,3,0),"")</f>
        <v/>
      </c>
      <c r="DG183" s="3">
        <f>IF(DF183="",NEUTRO,MAX(0,MIN(100,100*(SEG_REF_MAX-DF183)/(SEG_REF_MAX-SEG_REF_MIN))))</f>
        <v/>
      </c>
      <c r="DH183" s="3">
        <f>IFERROR(VLOOKUP(E183,MANT_MARCA_TBL,2,0)+0,NEUTRO)</f>
        <v/>
      </c>
      <c r="DI183" s="3">
        <f>IF(DA183="",NEUTRO,IFERROR(VLOOKUP(DA183,DIST_PTS_TBL,2,0)+0,NEUTRO))</f>
        <v/>
      </c>
      <c r="DJ183" s="4">
        <f>(DH183+DI183)/2</f>
        <v/>
      </c>
      <c r="DK183" s="3">
        <f>W_CONS*DE183+W_SEG*DG183+W_MANT*DJ183</f>
        <v/>
      </c>
      <c r="DL183" s="3">
        <f>IF(N(AB183)&gt;0,AB183,IF(AND(R183="profesional",SG_LEGAL_ON=1),GAR_LEGAL,0))</f>
        <v/>
      </c>
      <c r="DM183" s="3">
        <f>MAX(0,MIN(100,SG_GAR*MIN(1,DL183/SG_GAR_FULL)+SG_AMPL*(AC183="sí")+SG_KMC*(AF183="sí")+SG_REV*(N(AE183)&gt;0)+SG_DEV*MIN(1,N(AG183)/SG_DEV_FULL)+SG_HIST*(W183="sí")-IF(AND(R183="particular",DL183=0),SG_PART_PEN,0)))</f>
        <v/>
      </c>
      <c r="DN183" s="3">
        <f>IF(BK183="",NEUTRO,MAX(0,MIN(100,BK183/5*100)))</f>
        <v/>
      </c>
      <c r="DO183" s="3">
        <f>IF(BL183="sí",100,IF(BL183="no",0,NEUTRO))</f>
        <v/>
      </c>
      <c r="DP183" s="3">
        <f>SV_W_NCAP*DN183+SV_W_ESP*DO183</f>
        <v/>
      </c>
      <c r="DQ183" s="3">
        <f>MAX(0,MIN(100,ATR_BASE+ATR_ACAB*(BD183&lt;&gt;"")+IF(BE183="16+",ATR_LL16,IF(BE183="sí",ATR_LL,0))+ATR_FAROS*(BF183="sí")+ATR_TINT*(BG183="sí")-ATR_CHAPA*(BE183="chapa")))</f>
        <v/>
      </c>
      <c r="DR183" s="3">
        <f>EST_W_MOD*(BB183-1)/4*100+EST_W_ATR*DQ183</f>
        <v/>
      </c>
      <c r="DS183" s="3">
        <f>IF(BA183="",NEUTRO,IFERROR(VLOOKUP(BA183,COLOR_TBL,2,0)+0,NEUTRO))</f>
        <v/>
      </c>
      <c r="DT183" s="3">
        <f>MAX(0,MIN(100,100*N(BM183)/RV_N_FULL))</f>
        <v/>
      </c>
      <c r="DU183" s="3">
        <f>IF(OR(BN183="",N(BO183)&lt;RV_DIAS_MIN),NEUTRO,MAX(0,MIN(100,100*(RV_DIAS_CERO-BN183)/(RV_DIAS_CERO-RV_DIAS_FULL))))</f>
        <v/>
      </c>
      <c r="DV183" s="3">
        <f>RV_W_LIQ*DT183+RV_W_DIAS*DU183+RV_W_ETQ*DC183</f>
        <v/>
      </c>
      <c r="DW183" s="3">
        <f>IFERROR(VLOOKUP(L183,CARR_PEN_TBL,2,0),0)</f>
        <v/>
      </c>
      <c r="DX183" s="3">
        <f>W_FIAB*CS183+W_PRECIO*CU183+W_KMEDAD*CY183+W_ESTADO*DB183+W_USO*DK183+W_SEGURIDAD*DM183+W_SEGVIAL*DP183+W_ESTETICA*DR183+W_COLOR*DS183+W_REVENTA*DV183-DW183-EG183</f>
        <v/>
      </c>
      <c r="DY183" s="4">
        <f>IF(N(I183)&gt;0,I183,IFERROR(ROUND(_xlfn.NUMBERVALUE(LEFT(G183,FIND(" ",G183&amp;" ")-1),".")*1000,0),99999))</f>
        <v/>
      </c>
      <c r="DZ183" s="3">
        <f>IF(R183="profesional",0,IF(O183&lt;CUOTA_VALOR_MAX,IF(BW183&gt;ITP_TRAMO_ALTO,SUMIFS(CF_CUOTA,CF_MAS,ITP_TRAMO_ALTO,CF_CCMIN,"&lt;="&amp;DY183,CF_CCMAX,"&gt;="&amp;DY183),IF(BW183&gt;ITP_TRAMO_BAJO,SUMIFS(CF_CUOTA,CF_MAS,ITP_TRAMO_BAJO,CF_CCMIN,"&lt;="&amp;DY183,CF_CCMAX,"&gt;="&amp;DY183),O183*ITP_TIPO)),O183*ITP_TIPO))</f>
        <v/>
      </c>
      <c r="EA183" s="4">
        <f>IF(R183="profesional",N(AK183),0)</f>
        <v/>
      </c>
      <c r="EB183" s="3">
        <f>IF(AND(R183="profesional",ISNUMBER(AK183),AL183="sí"),0,TASA_DGT)</f>
        <v/>
      </c>
      <c r="EC183" s="3">
        <f>INFORME_DGT</f>
        <v/>
      </c>
      <c r="ED183" s="4">
        <f>O183+EA183+DZ183+EB183+EC183</f>
        <v/>
      </c>
      <c r="EE183" s="4">
        <f>ED183+N(DF183)</f>
        <v/>
      </c>
      <c r="EF183" s="3">
        <f>MAX(0,ED183-TOTAL_MAX)</f>
        <v/>
      </c>
      <c r="EG183" s="3">
        <f>EF183/100*PEN_100</f>
        <v/>
      </c>
      <c r="EH183" s="3">
        <f>IF(R183="particular",ED183+IF(AND(DA183&lt;&gt;"cadena",X183&lt;&gt;"sí"),RES_CORREA,0)+IF(AND(BJ183&lt;&gt;"sí",BW183&gt;=RES_NEUM_EDAD),RES_NEUM,0),"")</f>
        <v/>
      </c>
      <c r="EI183" s="3">
        <f>IF(ED183&lt;=TOTAL_MAX,"sí",IF(ED183&lt;=TECHO,"negociar","no"))</f>
        <v/>
      </c>
      <c r="EJ183" s="4">
        <f>ROUND(DX183,9)</f>
        <v/>
      </c>
      <c r="EK183" s="4">
        <f>IF(EI183&lt;&gt;"no",SUMPRODUCT(($EI$2:$EI$209&lt;&gt;"no")*($EJ$2:$EJ$209&gt;EJ183))+SUMPRODUCT(($EI$2:EI183&lt;&gt;"no")*($EJ$2:EJ183=EJ183)),"")</f>
        <v/>
      </c>
    </row>
    <row r="184">
      <c r="A184" s="2" t="inlineStr">
        <is>
          <t>cochesnet:71483731</t>
        </is>
      </c>
      <c r="B184" s="2" t="inlineStr">
        <is>
          <t>cochesnet</t>
        </is>
      </c>
      <c r="C184" s="2" t="inlineStr">
        <is>
          <t>https://www.coches.net/citroen-c3-vti-95-exclusive-5p-gasolina-2010-en-valencia-71483731-covo.aspx</t>
        </is>
      </c>
      <c r="D184" s="2" t="inlineStr">
        <is>
          <t>CITROEN C3 VTi 95 Exclusive</t>
        </is>
      </c>
      <c r="E184" s="2" t="inlineStr">
        <is>
          <t>Citroën</t>
        </is>
      </c>
      <c r="F184" s="2" t="inlineStr">
        <is>
          <t>Citroën C3</t>
        </is>
      </c>
      <c r="G184" s="2" t="inlineStr">
        <is>
          <t>? VTi</t>
        </is>
      </c>
      <c r="H184" s="2" t="inlineStr">
        <is>
          <t>VTi 95 Exclusive</t>
        </is>
      </c>
      <c r="I184" s="2" t="n"/>
      <c r="J184" s="2" t="n"/>
      <c r="K184" s="2" t="inlineStr">
        <is>
          <t>gasolina</t>
        </is>
      </c>
      <c r="L184" s="2" t="inlineStr">
        <is>
          <t>utilitario</t>
        </is>
      </c>
      <c r="M184" s="2" t="n">
        <v>2010</v>
      </c>
      <c r="N184" s="2" t="n">
        <v>117000</v>
      </c>
      <c r="O184" s="2" t="n">
        <v>5590</v>
      </c>
      <c r="P184" s="2" t="inlineStr">
        <is>
          <t>manual</t>
        </is>
      </c>
      <c r="Q184" s="2" t="inlineStr">
        <is>
          <t>no</t>
        </is>
      </c>
      <c r="R184" s="2" t="inlineStr">
        <is>
          <t>profesional</t>
        </is>
      </c>
      <c r="S184" s="2" t="inlineStr">
        <is>
          <t>Riba-roja de Túria</t>
        </is>
      </c>
      <c r="T184" s="2" t="inlineStr">
        <is>
          <t>2026-09-10T12:04:05Z</t>
        </is>
      </c>
      <c r="U184" s="2" t="n">
        <v>13</v>
      </c>
      <c r="V184" s="2" t="n"/>
      <c r="W184" s="2" t="n"/>
      <c r="X184" s="2" t="n"/>
      <c r="Y184" s="2" t="n"/>
      <c r="Z184" s="2" t="inlineStr">
        <is>
          <t>sí</t>
        </is>
      </c>
      <c r="AA184" s="2" t="n"/>
      <c r="AB184" s="2" t="n">
        <v>12</v>
      </c>
      <c r="AC184" s="2" t="inlineStr">
        <is>
          <t>sí</t>
        </is>
      </c>
      <c r="AD184" s="2" t="n"/>
      <c r="AE184" s="2" t="n"/>
      <c r="AF184" s="2" t="n"/>
      <c r="AG184" s="2" t="n"/>
      <c r="AH184" s="2" t="n">
        <v>5590</v>
      </c>
      <c r="AI184" s="2" t="n"/>
      <c r="AJ184" s="2" t="n"/>
      <c r="AK184" s="2" t="n"/>
      <c r="AL184" s="2" t="n"/>
      <c r="AM184" s="2" t="n">
        <v>13.1</v>
      </c>
      <c r="AN184" s="2" t="n"/>
      <c r="AO184" s="2" t="inlineStr">
        <is>
          <t>2010</t>
        </is>
      </c>
      <c r="AP184" s="2" t="n">
        <v>2010</v>
      </c>
      <c r="AQ184" s="2" t="n"/>
      <c r="AR184" s="2" t="inlineStr">
        <is>
          <t>C</t>
        </is>
      </c>
      <c r="AS184" s="2" t="inlineStr">
        <is>
          <t>anuncio</t>
        </is>
      </c>
      <c r="AT184" s="2" t="n"/>
      <c r="AU184" s="2" t="inlineStr">
        <is>
          <t>no</t>
        </is>
      </c>
      <c r="AV184" s="2" t="inlineStr">
        <is>
          <t>C</t>
        </is>
      </c>
      <c r="AW184" s="2" t="n"/>
      <c r="AX184" s="2" t="inlineStr">
        <is>
          <t>no</t>
        </is>
      </c>
      <c r="AY184" s="2" t="inlineStr">
        <is>
          <t>no</t>
        </is>
      </c>
      <c r="AZ184" s="2" t="inlineStr">
        <is>
          <t>COMMON.COLOR_WHITE</t>
        </is>
      </c>
      <c r="BA184" s="2" t="inlineStr">
        <is>
          <t>blanco</t>
        </is>
      </c>
      <c r="BB184" s="3" t="n">
        <v>2</v>
      </c>
      <c r="BC184" s="3" t="inlineStr">
        <is>
          <t>(por segmento)</t>
        </is>
      </c>
      <c r="BD184" s="2" t="inlineStr">
        <is>
          <t>exclusive</t>
        </is>
      </c>
      <c r="BE184" s="2" t="n"/>
      <c r="BF184" s="2" t="n"/>
      <c r="BG184" s="2" t="n"/>
      <c r="BH184" s="2" t="n"/>
      <c r="BI184" s="2" t="n"/>
      <c r="BJ184" s="2" t="n"/>
      <c r="BK184" s="2" t="n">
        <v>4</v>
      </c>
      <c r="BL184" s="2" t="n"/>
      <c r="BM184" s="2" t="n">
        <v>405</v>
      </c>
      <c r="BN184" s="2" t="n">
        <v>0</v>
      </c>
      <c r="BO184" s="2" t="n">
        <v>3</v>
      </c>
      <c r="BP184" s="2" t="n">
        <v>5590</v>
      </c>
      <c r="BQ184" s="2" t="n">
        <v>7</v>
      </c>
      <c r="BR184" s="2" t="inlineStr">
        <is>
          <t>modelo+año</t>
        </is>
      </c>
      <c r="BS184" s="2" t="n"/>
      <c r="BT184" s="2" t="inlineStr">
        <is>
          <t>por encima del presupuesto: negociar 654 € (coste 5654 €; -13.1 puntos); vendedor profesional: sin ITP (operación con IVA/REBU, confirmar en factura); gastos de gestión del vendedor no indicados: se suma la tasa DGT; preguntar el precio final</t>
        </is>
      </c>
      <c r="BU184" s="2" t="inlineStr">
        <is>
          <t xml:space="preserve">
Precio del vehículo financiado :(consultar condiciones)
Gastos de gestoría : 150€ 
Garantía incluida de 12 meses, posibilidad de ampliar la garantía hasta 24 o 36 meses
En nuestro centro multimarca , los vehículos se someten a un proceso de filtro antes de su entrega definitiva: limpieza, reparación , ITV , en nuestro taller propio 
Ofrecemos a todos nuestros clientes un trato personalizado en el sector de la automoción .
Entrega tu vehículo como parte del pago ! Si contacta por correo electrónico , por favor incluya su numero de teléfono para un trato más rápido y ágil y personalizado.
Revise los vehículos en nuestro Instagram y en nuestra web concreta tu cita </t>
        </is>
      </c>
      <c r="BV184" s="2" t="inlineStr">
        <is>
          <t>https://www.coches.net/citroen-c3-vti-95-exclusive-5p-gasolina-2010-en-valencia-71483731-covo.aspx (window.__INITIAL_PROPS__.ad) /home/user/Alopecia/buscador-coches/raw/cochesnet/b924e9c7db00a262.json</t>
        </is>
      </c>
      <c r="BW184" s="3">
        <f>MAX(ANIO_ACTUAL-M184,0)</f>
        <v/>
      </c>
      <c r="BX184" s="4">
        <f>N184/MAX(BW184,0.5)</f>
        <v/>
      </c>
      <c r="BY184" s="4">
        <f>F184</f>
        <v/>
      </c>
      <c r="BZ184" s="3">
        <f>BY184&amp;"|"&amp;INT(M184/SEG_ANIO)*SEG_ANIO</f>
        <v/>
      </c>
      <c r="CA184" s="3">
        <f>BZ184&amp;"|"&amp;INT(N184/SEG_KM)*SEG_KM</f>
        <v/>
      </c>
      <c r="CB184" s="4">
        <f>COUNTIF($BY$2:$BY$209,BY184)</f>
        <v/>
      </c>
      <c r="CC184" s="4">
        <f>COUNTIF($BZ$2:$BZ$209,BZ184)</f>
        <v/>
      </c>
      <c r="CD184" s="4">
        <f>COUNTIF($CA$2:$CA$209,CA184)</f>
        <v/>
      </c>
      <c r="CE184" s="3">
        <f t="array" ref="CE184">IF(N(BQ184)&gt;=MIN_N,BP184,IF(CD184&gt;=MIN_N,MEDIAN(IF($CA$2:$CA$209=CA184,$O$2:$O$209)),IF(CC184&gt;=MIN_N,MEDIAN(IF($BZ$2:$BZ$209=BZ184,$O$2:$O$209)),MEDIAN(IF($BY$2:$BY$209=BY184,$O$2:$O$209)))))</f>
        <v/>
      </c>
      <c r="CF184" s="3">
        <f>IF(N(BQ184)&gt;=MIN_N,"mercado "&amp;BR184,IF(CD184&gt;=MIN_N,"modelo+año+km",IF(CC184&gt;=MIN_N,"modelo+año","modelo")))</f>
        <v/>
      </c>
      <c r="CG184" s="4">
        <f>(CE184-O184)/CE184</f>
        <v/>
      </c>
      <c r="CH184" s="3">
        <f>IF(COUNTIFS(FR_FUEL,K184,FR_YEAR,AP184)&gt;0,1,0)</f>
        <v/>
      </c>
      <c r="CI184" s="3">
        <f>IF(COUNTIFS(FR_FUEL,K184,FR_YEAR,AP184-1)&gt;0,1,0)</f>
        <v/>
      </c>
      <c r="CJ184" s="4">
        <f>IF(N(AQ184)&gt;0,AP184*100+AQ184,IF(AND(CH184=1,CI184=1),(AP184-1)*100+1,AP184*100+1))</f>
        <v/>
      </c>
      <c r="CK184" s="3">
        <f>IF(OR(K184="hibrido",K184="glp",K184="gnc",K184="phev"),"ECO",IF(K184="electrico","CERO",IF(K184="gasolina",IF(CJ184&gt;=GAS_C_YM,"C",IF(CJ184&gt;=GAS_B_YM,"B","A")),IF(K184="diesel",IF(CJ184&gt;=DIE_C_YM,"C",IF(CJ184&gt;=DIE_B_YM,"B","A")),""))))</f>
        <v/>
      </c>
      <c r="CL184" s="2" t="inlineStr">
        <is>
          <t>C</t>
        </is>
      </c>
      <c r="CM184" s="4">
        <f>IF(AU184="sí","sí",IF(AS184="regla",IF(AND(N(AQ184)=0,CH184=1),"sí","no"),"no"))</f>
        <v/>
      </c>
      <c r="CN184" s="3">
        <f>IFERROR(VLOOKUP(F184,MOD_TBL,16,0),IFERROR(VLOOKUP(E184,OCU_TBL,2,0),NEUTRO))</f>
        <v/>
      </c>
      <c r="CO184" s="3">
        <f>SUMIFS(MOT_AJUSTE,MOT_MOTOR,G184,MOT_MARCA,E184,MOT_DESDE,"&lt;="&amp;M184,MOT_HASTA,"&gt;="&amp;M184)+SUMIFS(MOT_AJUSTE,MOT_MOTOR,G184,MOT_MARCA,"(todas)",MOT_DESDE,"&lt;="&amp;M184,MOT_HASTA,"&gt;="&amp;M184)+SUMIFS(MOT_AJUSTE,MOT_MOTOR,"(cualquiera)",MOT_MARCA,E184,MOT_DESDE,"&lt;="&amp;M184,MOT_HASTA,"&gt;="&amp;M184)</f>
        <v/>
      </c>
      <c r="CP184" s="3">
        <f>SUMIFS(COMB_AJUSTE,COMB_COMB,K184)</f>
        <v/>
      </c>
      <c r="CQ184" s="3">
        <f>COUNTIFS(MOT_MOTOR,G184,MOT_MARCA,E184,MOT_DESDE,"&lt;="&amp;M184,MOT_HASTA,"&gt;="&amp;M184)+COUNTIFS(MOT_MOTOR,G184,MOT_MARCA,"(todas)",MOT_DESDE,"&lt;="&amp;M184,MOT_HASTA,"&gt;="&amp;M184)+COUNTIFS(MOT_MOTOR,"(cualquiera)",MOT_MARCA,E184,MOT_DESDE,"&lt;="&amp;M184,MOT_HASTA,"&gt;="&amp;M184)</f>
        <v/>
      </c>
      <c r="CR184" s="3">
        <f>IF(AND(K184="diesel",CQ184=0),MIN(CN184,NEUTRO),CN184)</f>
        <v/>
      </c>
      <c r="CS184" s="3">
        <f>MAX(0,MIN(100,CR184+CO184+CP184-IF(AX184="sí",ROB_PEN,0)))</f>
        <v/>
      </c>
      <c r="CT184" s="3">
        <f>100-MAX(0,N184-KM_TOPE_DESDE)/1000*KM_TOPE_PTS</f>
        <v/>
      </c>
      <c r="CU184" s="3">
        <f>MAX(0,MIN(100,50+CG184*PRECIO_PEND,CT184))</f>
        <v/>
      </c>
      <c r="CV184" s="3">
        <f>MAX(0,100*(1-N184/KM_MAX))</f>
        <v/>
      </c>
      <c r="CW184" s="3">
        <f>IF(BX184&lt;KMA_SOSP,IF(AA184="sí",100,KMA_PEN),IF(BX184&lt;=KMA_IDEAL_MAX,100,MAX(0,100*(KMA_CERO-BX184)/(KMA_CERO-KMA_IDEAL_MAX))))</f>
        <v/>
      </c>
      <c r="CX184" s="3">
        <f>MAX(0,MIN(100,100*(M184-ANIO_MIN)/(ANIO_ACTUAL-ANIO_MIN)))</f>
        <v/>
      </c>
      <c r="CY184" s="3">
        <f>W_KMT*CV184+W_KMA*CW184+W_EDAD*CX184</f>
        <v/>
      </c>
      <c r="CZ184" s="4">
        <f>E184&amp;"|"&amp;G184</f>
        <v/>
      </c>
      <c r="DA184" s="3">
        <f>IFERROR(VLOOKUP(CZ184,DIST_TBL,2,0),"")</f>
        <v/>
      </c>
      <c r="DB184" s="3">
        <f>E_ITV*(V184="sí")+E_LIBRO*(W184="sí")+E_PROP*IF(Y184=1,1,IF(Y184=2,0.5,0))+E_CORREA*IF(OR(DA184="cadena",AND(X184="sí",BH184="sí")),1,IF(X184="sí",0.5,0))+E_FACT*(BI184="sí")</f>
        <v/>
      </c>
      <c r="DC184" s="3">
        <f>MAX(0,MIN(100,IFERROR(VLOOKUP(CL184,ETQ_TBL,2,0),0)-IF(CM184="sí",ETQ_PEN_DUD,IF(AS184="regla",ETQ_PEN_REGLA,0))))</f>
        <v/>
      </c>
      <c r="DD184" s="3">
        <f>IF(K184&lt;&gt;"gasolina","",IFERROR(VLOOKUP(F184,CONS_MOD_TBL,2,0),IFERROR(VLOOKUP(L184,CONS_SEG_TBL,2,0),"")))</f>
        <v/>
      </c>
      <c r="DE184" s="3">
        <f>IF(DD184="",NEUTRO,MAX(0,MIN(100,100*(CONS_REF_MAX-DD184)/(CONS_REF_MAX-CONS_REF_MIN))))</f>
        <v/>
      </c>
      <c r="DF184" s="3">
        <f>IFERROR(VLOOKUP(L184,SEGURO_TBL,3,0),"")</f>
        <v/>
      </c>
      <c r="DG184" s="3">
        <f>IF(DF184="",NEUTRO,MAX(0,MIN(100,100*(SEG_REF_MAX-DF184)/(SEG_REF_MAX-SEG_REF_MIN))))</f>
        <v/>
      </c>
      <c r="DH184" s="3">
        <f>IFERROR(VLOOKUP(E184,MANT_MARCA_TBL,2,0)+0,NEUTRO)</f>
        <v/>
      </c>
      <c r="DI184" s="3">
        <f>IF(DA184="",NEUTRO,IFERROR(VLOOKUP(DA184,DIST_PTS_TBL,2,0)+0,NEUTRO))</f>
        <v/>
      </c>
      <c r="DJ184" s="4">
        <f>(DH184+DI184)/2</f>
        <v/>
      </c>
      <c r="DK184" s="3">
        <f>W_CONS*DE184+W_SEG*DG184+W_MANT*DJ184</f>
        <v/>
      </c>
      <c r="DL184" s="3">
        <f>IF(N(AB184)&gt;0,AB184,IF(AND(R184="profesional",SG_LEGAL_ON=1),GAR_LEGAL,0))</f>
        <v/>
      </c>
      <c r="DM184" s="3">
        <f>MAX(0,MIN(100,SG_GAR*MIN(1,DL184/SG_GAR_FULL)+SG_AMPL*(AC184="sí")+SG_KMC*(AF184="sí")+SG_REV*(N(AE184)&gt;0)+SG_DEV*MIN(1,N(AG184)/SG_DEV_FULL)+SG_HIST*(W184="sí")-IF(AND(R184="particular",DL184=0),SG_PART_PEN,0)))</f>
        <v/>
      </c>
      <c r="DN184" s="3">
        <f>IF(BK184="",NEUTRO,MAX(0,MIN(100,BK184/5*100)))</f>
        <v/>
      </c>
      <c r="DO184" s="3">
        <f>IF(BL184="sí",100,IF(BL184="no",0,NEUTRO))</f>
        <v/>
      </c>
      <c r="DP184" s="3">
        <f>SV_W_NCAP*DN184+SV_W_ESP*DO184</f>
        <v/>
      </c>
      <c r="DQ184" s="3">
        <f>MAX(0,MIN(100,ATR_BASE+ATR_ACAB*(BD184&lt;&gt;"")+IF(BE184="16+",ATR_LL16,IF(BE184="sí",ATR_LL,0))+ATR_FAROS*(BF184="sí")+ATR_TINT*(BG184="sí")-ATR_CHAPA*(BE184="chapa")))</f>
        <v/>
      </c>
      <c r="DR184" s="3">
        <f>EST_W_MOD*(BB184-1)/4*100+EST_W_ATR*DQ184</f>
        <v/>
      </c>
      <c r="DS184" s="3">
        <f>IF(BA184="",NEUTRO,IFERROR(VLOOKUP(BA184,COLOR_TBL,2,0)+0,NEUTRO))</f>
        <v/>
      </c>
      <c r="DT184" s="3">
        <f>MAX(0,MIN(100,100*N(BM184)/RV_N_FULL))</f>
        <v/>
      </c>
      <c r="DU184" s="3">
        <f>IF(OR(BN184="",N(BO184)&lt;RV_DIAS_MIN),NEUTRO,MAX(0,MIN(100,100*(RV_DIAS_CERO-BN184)/(RV_DIAS_CERO-RV_DIAS_FULL))))</f>
        <v/>
      </c>
      <c r="DV184" s="3">
        <f>RV_W_LIQ*DT184+RV_W_DIAS*DU184+RV_W_ETQ*DC184</f>
        <v/>
      </c>
      <c r="DW184" s="3">
        <f>IFERROR(VLOOKUP(L184,CARR_PEN_TBL,2,0),0)</f>
        <v/>
      </c>
      <c r="DX184" s="3">
        <f>W_FIAB*CS184+W_PRECIO*CU184+W_KMEDAD*CY184+W_ESTADO*DB184+W_USO*DK184+W_SEGURIDAD*DM184+W_SEGVIAL*DP184+W_ESTETICA*DR184+W_COLOR*DS184+W_REVENTA*DV184-DW184-EG184</f>
        <v/>
      </c>
      <c r="DY184" s="4">
        <f>IF(N(I184)&gt;0,I184,IFERROR(ROUND(_xlfn.NUMBERVALUE(LEFT(G184,FIND(" ",G184&amp;" ")-1),".")*1000,0),99999))</f>
        <v/>
      </c>
      <c r="DZ184" s="3">
        <f>IF(R184="profesional",0,IF(O184&lt;CUOTA_VALOR_MAX,IF(BW184&gt;ITP_TRAMO_ALTO,SUMIFS(CF_CUOTA,CF_MAS,ITP_TRAMO_ALTO,CF_CCMIN,"&lt;="&amp;DY184,CF_CCMAX,"&gt;="&amp;DY184),IF(BW184&gt;ITP_TRAMO_BAJO,SUMIFS(CF_CUOTA,CF_MAS,ITP_TRAMO_BAJO,CF_CCMIN,"&lt;="&amp;DY184,CF_CCMAX,"&gt;="&amp;DY184),O184*ITP_TIPO)),O184*ITP_TIPO))</f>
        <v/>
      </c>
      <c r="EA184" s="4">
        <f>IF(R184="profesional",N(AK184),0)</f>
        <v/>
      </c>
      <c r="EB184" s="3">
        <f>IF(AND(R184="profesional",ISNUMBER(AK184),AL184="sí"),0,TASA_DGT)</f>
        <v/>
      </c>
      <c r="EC184" s="3">
        <f>INFORME_DGT</f>
        <v/>
      </c>
      <c r="ED184" s="4">
        <f>O184+EA184+DZ184+EB184+EC184</f>
        <v/>
      </c>
      <c r="EE184" s="4">
        <f>ED184+N(DF184)</f>
        <v/>
      </c>
      <c r="EF184" s="3">
        <f>MAX(0,ED184-TOTAL_MAX)</f>
        <v/>
      </c>
      <c r="EG184" s="3">
        <f>EF184/100*PEN_100</f>
        <v/>
      </c>
      <c r="EH184" s="3">
        <f>IF(R184="particular",ED184+IF(AND(DA184&lt;&gt;"cadena",X184&lt;&gt;"sí"),RES_CORREA,0)+IF(AND(BJ184&lt;&gt;"sí",BW184&gt;=RES_NEUM_EDAD),RES_NEUM,0),"")</f>
        <v/>
      </c>
      <c r="EI184" s="3">
        <f>IF(ED184&lt;=TOTAL_MAX,"sí",IF(ED184&lt;=TECHO,"negociar","no"))</f>
        <v/>
      </c>
      <c r="EJ184" s="4">
        <f>ROUND(DX184,9)</f>
        <v/>
      </c>
      <c r="EK184" s="4">
        <f>IF(EI184&lt;&gt;"no",SUMPRODUCT(($EI$2:$EI$209&lt;&gt;"no")*($EJ$2:$EJ$209&gt;EJ184))+SUMPRODUCT(($EI$2:EI184&lt;&gt;"no")*($EJ$2:EJ184=EJ184)),"")</f>
        <v/>
      </c>
    </row>
    <row r="185">
      <c r="A185" s="2" t="inlineStr">
        <is>
          <t>cochesnet:71183232</t>
        </is>
      </c>
      <c r="B185" s="2" t="inlineStr">
        <is>
          <t>cochesnet</t>
        </is>
      </c>
      <c r="C185" s="2" t="inlineStr">
        <is>
          <t>https://www.coches.net/citroen-c3-vti-82cv-collection-5p-gasolina-2014-en-valencia-71183232-covo.aspx</t>
        </is>
      </c>
      <c r="D185" s="2" t="inlineStr">
        <is>
          <t>CITROEN C3 VTi Collection</t>
        </is>
      </c>
      <c r="E185" s="2" t="inlineStr">
        <is>
          <t>Citroën</t>
        </is>
      </c>
      <c r="F185" s="2" t="inlineStr">
        <is>
          <t>Citroën C3</t>
        </is>
      </c>
      <c r="G185" s="2" t="inlineStr">
        <is>
          <t>? VTi</t>
        </is>
      </c>
      <c r="H185" s="2" t="inlineStr">
        <is>
          <t>VTi 82cv Collection</t>
        </is>
      </c>
      <c r="I185" s="2" t="n"/>
      <c r="J185" s="2" t="n">
        <v>82</v>
      </c>
      <c r="K185" s="2" t="inlineStr">
        <is>
          <t>gasolina</t>
        </is>
      </c>
      <c r="L185" s="2" t="inlineStr">
        <is>
          <t>utilitario</t>
        </is>
      </c>
      <c r="M185" s="2" t="n">
        <v>2014</v>
      </c>
      <c r="N185" s="2" t="n">
        <v>74000</v>
      </c>
      <c r="O185" s="2" t="n">
        <v>5490</v>
      </c>
      <c r="P185" s="2" t="inlineStr">
        <is>
          <t>manual</t>
        </is>
      </c>
      <c r="Q185" s="2" t="inlineStr">
        <is>
          <t>no</t>
        </is>
      </c>
      <c r="R185" s="2" t="inlineStr">
        <is>
          <t>profesional</t>
        </is>
      </c>
      <c r="S185" s="2" t="inlineStr">
        <is>
          <t>PRIM CARS Alboraya</t>
        </is>
      </c>
      <c r="T185" s="2" t="inlineStr">
        <is>
          <t>2026-10-26T14:52:01Z</t>
        </is>
      </c>
      <c r="U185" s="2" t="n">
        <v>30</v>
      </c>
      <c r="V185" s="2" t="inlineStr">
        <is>
          <t>sí</t>
        </is>
      </c>
      <c r="W185" s="2" t="n"/>
      <c r="X185" s="2" t="n"/>
      <c r="Y185" s="2" t="n"/>
      <c r="Z185" s="2" t="inlineStr">
        <is>
          <t>sí</t>
        </is>
      </c>
      <c r="AA185" s="2" t="n"/>
      <c r="AB185" s="2" t="n">
        <v>12</v>
      </c>
      <c r="AC185" s="2" t="n"/>
      <c r="AD185" s="2" t="n"/>
      <c r="AE185" s="2" t="n"/>
      <c r="AF185" s="2" t="n"/>
      <c r="AG185" s="2" t="n"/>
      <c r="AH185" s="2" t="n">
        <v>5490</v>
      </c>
      <c r="AI185" s="2" t="n"/>
      <c r="AJ185" s="2" t="n"/>
      <c r="AK185" s="2" t="n"/>
      <c r="AL185" s="2" t="n"/>
      <c r="AM185" s="2" t="n">
        <v>4</v>
      </c>
      <c r="AN185" s="2" t="n"/>
      <c r="AO185" s="2" t="inlineStr">
        <is>
          <t>2014</t>
        </is>
      </c>
      <c r="AP185" s="2" t="n">
        <v>2014</v>
      </c>
      <c r="AQ185" s="2" t="n"/>
      <c r="AR185" s="2" t="inlineStr">
        <is>
          <t>C</t>
        </is>
      </c>
      <c r="AS185" s="2" t="inlineStr">
        <is>
          <t>anuncio</t>
        </is>
      </c>
      <c r="AT185" s="2" t="n"/>
      <c r="AU185" s="2" t="inlineStr">
        <is>
          <t>no</t>
        </is>
      </c>
      <c r="AV185" s="2" t="inlineStr">
        <is>
          <t>C</t>
        </is>
      </c>
      <c r="AW185" s="2" t="n"/>
      <c r="AX185" s="2" t="inlineStr">
        <is>
          <t>no</t>
        </is>
      </c>
      <c r="AY185" s="2" t="inlineStr">
        <is>
          <t>no</t>
        </is>
      </c>
      <c r="AZ185" s="2" t="inlineStr">
        <is>
          <t>COMMON.COLOR_WHITE</t>
        </is>
      </c>
      <c r="BA185" s="2" t="inlineStr">
        <is>
          <t>blanco</t>
        </is>
      </c>
      <c r="BB185" s="3" t="n">
        <v>2</v>
      </c>
      <c r="BC185" s="3" t="inlineStr">
        <is>
          <t>(por segmento)</t>
        </is>
      </c>
      <c r="BD185" s="2" t="n"/>
      <c r="BE185" s="2" t="n"/>
      <c r="BF185" s="2" t="n"/>
      <c r="BG185" s="2" t="n"/>
      <c r="BH185" s="2" t="n"/>
      <c r="BI185" s="2" t="n"/>
      <c r="BJ185" s="2" t="n"/>
      <c r="BK185" s="2" t="n">
        <v>4</v>
      </c>
      <c r="BL185" s="2" t="inlineStr">
        <is>
          <t>sí</t>
        </is>
      </c>
      <c r="BM185" s="2" t="n">
        <v>405</v>
      </c>
      <c r="BN185" s="2" t="n">
        <v>0</v>
      </c>
      <c r="BO185" s="2" t="n">
        <v>3</v>
      </c>
      <c r="BP185" s="2" t="n">
        <v>5500</v>
      </c>
      <c r="BQ185" s="2" t="n">
        <v>17</v>
      </c>
      <c r="BR185" s="2" t="inlineStr">
        <is>
          <t>modelo+año</t>
        </is>
      </c>
      <c r="BS185" s="2" t="n"/>
      <c r="BT185" s="2" t="inlineStr">
        <is>
          <t>por encima del presupuesto: negociar 554 € (coste 5554 €; -11.1 puntos); vendedor profesional: sin ITP (operación con IVA/REBU, confirmar en factura); gastos de gestión del vendedor no indicados: se suma la tasa DGT; preguntar el precio final</t>
        </is>
      </c>
      <c r="BU185" s="2" t="inlineStr">
        <is>
          <t>CITROËN C3 II 1.2 VTi 82 CV – AÑO 2014
Vehículo nacional en impecable estado, con 12 meses de garantía.
Distintivo ambiental C.
Se entrega con la ITV recién pasada y el mantenimiento recién realizado, listo para disfrutar desde el primer día.
Motor gasolina 1.2 VTi de 82 CV, muy fiable, con un consumo reducido y un mantenimiento económico. Ideal tanto para ciudad como para carretera.
Equipamiento:
* Cambio manual de 5 velocidades
* Pantalla multifunción
* Radio CD/MP3
* Bluetooth manos libres y audio
* Entrada USB
* Entrada AUX
* Mandos de audio en el volante
* Volante multifunción regulable en altura y profundidad
* Aire acondicionado
* Ordenador de a bordo
* Elevalunas eléctricos delanteros
* Espejos eléctricos
* Cierre centralizado con mando y dos llaves 
* Dirección asistida eléctrica
* Faros antiniebla delanteros
* Luces diurnas LED
* Asientos traseros abatibles 
* ISOFIX
* ABS
* ESP (Control Electrónico de Estabilidad)
* Control de tracción
* Múltiples airbags (frontales, laterales y de cortina)
Para más información, contactar sin compromiso.
Este anuncio tiene carácter informativo y no contractual, pudiendo contener errores tipográficos.</t>
        </is>
      </c>
      <c r="BV185" s="2" t="inlineStr">
        <is>
          <t>https://www.coches.net/citroen-c3-vti-82cv-collection-5p-gasolina-2014-en-valencia-71183232-covo.aspx (window.__INITIAL_PROPS__.ad) /home/user/Alopecia/buscador-coches/raw/cochesnet/da73657ef04b474f.json</t>
        </is>
      </c>
      <c r="BW185" s="3">
        <f>MAX(ANIO_ACTUAL-M185,0)</f>
        <v/>
      </c>
      <c r="BX185" s="4">
        <f>N185/MAX(BW185,0.5)</f>
        <v/>
      </c>
      <c r="BY185" s="4">
        <f>F185</f>
        <v/>
      </c>
      <c r="BZ185" s="3">
        <f>BY185&amp;"|"&amp;INT(M185/SEG_ANIO)*SEG_ANIO</f>
        <v/>
      </c>
      <c r="CA185" s="3">
        <f>BZ185&amp;"|"&amp;INT(N185/SEG_KM)*SEG_KM</f>
        <v/>
      </c>
      <c r="CB185" s="4">
        <f>COUNTIF($BY$2:$BY$209,BY185)</f>
        <v/>
      </c>
      <c r="CC185" s="4">
        <f>COUNTIF($BZ$2:$BZ$209,BZ185)</f>
        <v/>
      </c>
      <c r="CD185" s="4">
        <f>COUNTIF($CA$2:$CA$209,CA185)</f>
        <v/>
      </c>
      <c r="CE185" s="3">
        <f t="array" ref="CE185">IF(N(BQ185)&gt;=MIN_N,BP185,IF(CD185&gt;=MIN_N,MEDIAN(IF($CA$2:$CA$209=CA185,$O$2:$O$209)),IF(CC185&gt;=MIN_N,MEDIAN(IF($BZ$2:$BZ$209=BZ185,$O$2:$O$209)),MEDIAN(IF($BY$2:$BY$209=BY185,$O$2:$O$209)))))</f>
        <v/>
      </c>
      <c r="CF185" s="3">
        <f>IF(N(BQ185)&gt;=MIN_N,"mercado "&amp;BR185,IF(CD185&gt;=MIN_N,"modelo+año+km",IF(CC185&gt;=MIN_N,"modelo+año","modelo")))</f>
        <v/>
      </c>
      <c r="CG185" s="4">
        <f>(CE185-O185)/CE185</f>
        <v/>
      </c>
      <c r="CH185" s="3">
        <f>IF(COUNTIFS(FR_FUEL,K185,FR_YEAR,AP185)&gt;0,1,0)</f>
        <v/>
      </c>
      <c r="CI185" s="3">
        <f>IF(COUNTIFS(FR_FUEL,K185,FR_YEAR,AP185-1)&gt;0,1,0)</f>
        <v/>
      </c>
      <c r="CJ185" s="4">
        <f>IF(N(AQ185)&gt;0,AP185*100+AQ185,IF(AND(CH185=1,CI185=1),(AP185-1)*100+1,AP185*100+1))</f>
        <v/>
      </c>
      <c r="CK185" s="3">
        <f>IF(OR(K185="hibrido",K185="glp",K185="gnc",K185="phev"),"ECO",IF(K185="electrico","CERO",IF(K185="gasolina",IF(CJ185&gt;=GAS_C_YM,"C",IF(CJ185&gt;=GAS_B_YM,"B","A")),IF(K185="diesel",IF(CJ185&gt;=DIE_C_YM,"C",IF(CJ185&gt;=DIE_B_YM,"B","A")),""))))</f>
        <v/>
      </c>
      <c r="CL185" s="2" t="inlineStr">
        <is>
          <t>C</t>
        </is>
      </c>
      <c r="CM185" s="4">
        <f>IF(AU185="sí","sí",IF(AS185="regla",IF(AND(N(AQ185)=0,CH185=1),"sí","no"),"no"))</f>
        <v/>
      </c>
      <c r="CN185" s="3">
        <f>IFERROR(VLOOKUP(F185,MOD_TBL,16,0),IFERROR(VLOOKUP(E185,OCU_TBL,2,0),NEUTRO))</f>
        <v/>
      </c>
      <c r="CO185" s="3">
        <f>SUMIFS(MOT_AJUSTE,MOT_MOTOR,G185,MOT_MARCA,E185,MOT_DESDE,"&lt;="&amp;M185,MOT_HASTA,"&gt;="&amp;M185)+SUMIFS(MOT_AJUSTE,MOT_MOTOR,G185,MOT_MARCA,"(todas)",MOT_DESDE,"&lt;="&amp;M185,MOT_HASTA,"&gt;="&amp;M185)+SUMIFS(MOT_AJUSTE,MOT_MOTOR,"(cualquiera)",MOT_MARCA,E185,MOT_DESDE,"&lt;="&amp;M185,MOT_HASTA,"&gt;="&amp;M185)</f>
        <v/>
      </c>
      <c r="CP185" s="3">
        <f>SUMIFS(COMB_AJUSTE,COMB_COMB,K185)</f>
        <v/>
      </c>
      <c r="CQ185" s="3">
        <f>COUNTIFS(MOT_MOTOR,G185,MOT_MARCA,E185,MOT_DESDE,"&lt;="&amp;M185,MOT_HASTA,"&gt;="&amp;M185)+COUNTIFS(MOT_MOTOR,G185,MOT_MARCA,"(todas)",MOT_DESDE,"&lt;="&amp;M185,MOT_HASTA,"&gt;="&amp;M185)+COUNTIFS(MOT_MOTOR,"(cualquiera)",MOT_MARCA,E185,MOT_DESDE,"&lt;="&amp;M185,MOT_HASTA,"&gt;="&amp;M185)</f>
        <v/>
      </c>
      <c r="CR185" s="3">
        <f>IF(AND(K185="diesel",CQ185=0),MIN(CN185,NEUTRO),CN185)</f>
        <v/>
      </c>
      <c r="CS185" s="3">
        <f>MAX(0,MIN(100,CR185+CO185+CP185-IF(AX185="sí",ROB_PEN,0)))</f>
        <v/>
      </c>
      <c r="CT185" s="3">
        <f>100-MAX(0,N185-KM_TOPE_DESDE)/1000*KM_TOPE_PTS</f>
        <v/>
      </c>
      <c r="CU185" s="3">
        <f>MAX(0,MIN(100,50+CG185*PRECIO_PEND,CT185))</f>
        <v/>
      </c>
      <c r="CV185" s="3">
        <f>MAX(0,100*(1-N185/KM_MAX))</f>
        <v/>
      </c>
      <c r="CW185" s="3">
        <f>IF(BX185&lt;KMA_SOSP,IF(AA185="sí",100,KMA_PEN),IF(BX185&lt;=KMA_IDEAL_MAX,100,MAX(0,100*(KMA_CERO-BX185)/(KMA_CERO-KMA_IDEAL_MAX))))</f>
        <v/>
      </c>
      <c r="CX185" s="3">
        <f>MAX(0,MIN(100,100*(M185-ANIO_MIN)/(ANIO_ACTUAL-ANIO_MIN)))</f>
        <v/>
      </c>
      <c r="CY185" s="3">
        <f>W_KMT*CV185+W_KMA*CW185+W_EDAD*CX185</f>
        <v/>
      </c>
      <c r="CZ185" s="4">
        <f>E185&amp;"|"&amp;G185</f>
        <v/>
      </c>
      <c r="DA185" s="3">
        <f>IFERROR(VLOOKUP(CZ185,DIST_TBL,2,0),"")</f>
        <v/>
      </c>
      <c r="DB185" s="3">
        <f>E_ITV*(V185="sí")+E_LIBRO*(W185="sí")+E_PROP*IF(Y185=1,1,IF(Y185=2,0.5,0))+E_CORREA*IF(OR(DA185="cadena",AND(X185="sí",BH185="sí")),1,IF(X185="sí",0.5,0))+E_FACT*(BI185="sí")</f>
        <v/>
      </c>
      <c r="DC185" s="3">
        <f>MAX(0,MIN(100,IFERROR(VLOOKUP(CL185,ETQ_TBL,2,0),0)-IF(CM185="sí",ETQ_PEN_DUD,IF(AS185="regla",ETQ_PEN_REGLA,0))))</f>
        <v/>
      </c>
      <c r="DD185" s="3">
        <f>IF(K185&lt;&gt;"gasolina","",IFERROR(VLOOKUP(F185,CONS_MOD_TBL,2,0),IFERROR(VLOOKUP(L185,CONS_SEG_TBL,2,0),"")))</f>
        <v/>
      </c>
      <c r="DE185" s="3">
        <f>IF(DD185="",NEUTRO,MAX(0,MIN(100,100*(CONS_REF_MAX-DD185)/(CONS_REF_MAX-CONS_REF_MIN))))</f>
        <v/>
      </c>
      <c r="DF185" s="3">
        <f>IFERROR(VLOOKUP(L185,SEGURO_TBL,3,0),"")</f>
        <v/>
      </c>
      <c r="DG185" s="3">
        <f>IF(DF185="",NEUTRO,MAX(0,MIN(100,100*(SEG_REF_MAX-DF185)/(SEG_REF_MAX-SEG_REF_MIN))))</f>
        <v/>
      </c>
      <c r="DH185" s="3">
        <f>IFERROR(VLOOKUP(E185,MANT_MARCA_TBL,2,0)+0,NEUTRO)</f>
        <v/>
      </c>
      <c r="DI185" s="3">
        <f>IF(DA185="",NEUTRO,IFERROR(VLOOKUP(DA185,DIST_PTS_TBL,2,0)+0,NEUTRO))</f>
        <v/>
      </c>
      <c r="DJ185" s="4">
        <f>(DH185+DI185)/2</f>
        <v/>
      </c>
      <c r="DK185" s="3">
        <f>W_CONS*DE185+W_SEG*DG185+W_MANT*DJ185</f>
        <v/>
      </c>
      <c r="DL185" s="3">
        <f>IF(N(AB185)&gt;0,AB185,IF(AND(R185="profesional",SG_LEGAL_ON=1),GAR_LEGAL,0))</f>
        <v/>
      </c>
      <c r="DM185" s="3">
        <f>MAX(0,MIN(100,SG_GAR*MIN(1,DL185/SG_GAR_FULL)+SG_AMPL*(AC185="sí")+SG_KMC*(AF185="sí")+SG_REV*(N(AE185)&gt;0)+SG_DEV*MIN(1,N(AG185)/SG_DEV_FULL)+SG_HIST*(W185="sí")-IF(AND(R185="particular",DL185=0),SG_PART_PEN,0)))</f>
        <v/>
      </c>
      <c r="DN185" s="3">
        <f>IF(BK185="",NEUTRO,MAX(0,MIN(100,BK185/5*100)))</f>
        <v/>
      </c>
      <c r="DO185" s="3">
        <f>IF(BL185="sí",100,IF(BL185="no",0,NEUTRO))</f>
        <v/>
      </c>
      <c r="DP185" s="3">
        <f>SV_W_NCAP*DN185+SV_W_ESP*DO185</f>
        <v/>
      </c>
      <c r="DQ185" s="3">
        <f>MAX(0,MIN(100,ATR_BASE+ATR_ACAB*(BD185&lt;&gt;"")+IF(BE185="16+",ATR_LL16,IF(BE185="sí",ATR_LL,0))+ATR_FAROS*(BF185="sí")+ATR_TINT*(BG185="sí")-ATR_CHAPA*(BE185="chapa")))</f>
        <v/>
      </c>
      <c r="DR185" s="3">
        <f>EST_W_MOD*(BB185-1)/4*100+EST_W_ATR*DQ185</f>
        <v/>
      </c>
      <c r="DS185" s="3">
        <f>IF(BA185="",NEUTRO,IFERROR(VLOOKUP(BA185,COLOR_TBL,2,0)+0,NEUTRO))</f>
        <v/>
      </c>
      <c r="DT185" s="3">
        <f>MAX(0,MIN(100,100*N(BM185)/RV_N_FULL))</f>
        <v/>
      </c>
      <c r="DU185" s="3">
        <f>IF(OR(BN185="",N(BO185)&lt;RV_DIAS_MIN),NEUTRO,MAX(0,MIN(100,100*(RV_DIAS_CERO-BN185)/(RV_DIAS_CERO-RV_DIAS_FULL))))</f>
        <v/>
      </c>
      <c r="DV185" s="3">
        <f>RV_W_LIQ*DT185+RV_W_DIAS*DU185+RV_W_ETQ*DC185</f>
        <v/>
      </c>
      <c r="DW185" s="3">
        <f>IFERROR(VLOOKUP(L185,CARR_PEN_TBL,2,0),0)</f>
        <v/>
      </c>
      <c r="DX185" s="3">
        <f>W_FIAB*CS185+W_PRECIO*CU185+W_KMEDAD*CY185+W_ESTADO*DB185+W_USO*DK185+W_SEGURIDAD*DM185+W_SEGVIAL*DP185+W_ESTETICA*DR185+W_COLOR*DS185+W_REVENTA*DV185-DW185-EG185</f>
        <v/>
      </c>
      <c r="DY185" s="4">
        <f>IF(N(I185)&gt;0,I185,IFERROR(ROUND(_xlfn.NUMBERVALUE(LEFT(G185,FIND(" ",G185&amp;" ")-1),".")*1000,0),99999))</f>
        <v/>
      </c>
      <c r="DZ185" s="3">
        <f>IF(R185="profesional",0,IF(O185&lt;CUOTA_VALOR_MAX,IF(BW185&gt;ITP_TRAMO_ALTO,SUMIFS(CF_CUOTA,CF_MAS,ITP_TRAMO_ALTO,CF_CCMIN,"&lt;="&amp;DY185,CF_CCMAX,"&gt;="&amp;DY185),IF(BW185&gt;ITP_TRAMO_BAJO,SUMIFS(CF_CUOTA,CF_MAS,ITP_TRAMO_BAJO,CF_CCMIN,"&lt;="&amp;DY185,CF_CCMAX,"&gt;="&amp;DY185),O185*ITP_TIPO)),O185*ITP_TIPO))</f>
        <v/>
      </c>
      <c r="EA185" s="4">
        <f>IF(R185="profesional",N(AK185),0)</f>
        <v/>
      </c>
      <c r="EB185" s="3">
        <f>IF(AND(R185="profesional",ISNUMBER(AK185),AL185="sí"),0,TASA_DGT)</f>
        <v/>
      </c>
      <c r="EC185" s="3">
        <f>INFORME_DGT</f>
        <v/>
      </c>
      <c r="ED185" s="4">
        <f>O185+EA185+DZ185+EB185+EC185</f>
        <v/>
      </c>
      <c r="EE185" s="4">
        <f>ED185+N(DF185)</f>
        <v/>
      </c>
      <c r="EF185" s="3">
        <f>MAX(0,ED185-TOTAL_MAX)</f>
        <v/>
      </c>
      <c r="EG185" s="3">
        <f>EF185/100*PEN_100</f>
        <v/>
      </c>
      <c r="EH185" s="3">
        <f>IF(R185="particular",ED185+IF(AND(DA185&lt;&gt;"cadena",X185&lt;&gt;"sí"),RES_CORREA,0)+IF(AND(BJ185&lt;&gt;"sí",BW185&gt;=RES_NEUM_EDAD),RES_NEUM,0),"")</f>
        <v/>
      </c>
      <c r="EI185" s="3">
        <f>IF(ED185&lt;=TOTAL_MAX,"sí",IF(ED185&lt;=TECHO,"negociar","no"))</f>
        <v/>
      </c>
      <c r="EJ185" s="4">
        <f>ROUND(DX185,9)</f>
        <v/>
      </c>
      <c r="EK185" s="4">
        <f>IF(EI185&lt;&gt;"no",SUMPRODUCT(($EI$2:$EI$209&lt;&gt;"no")*($EJ$2:$EJ$209&gt;EJ185))+SUMPRODUCT(($EI$2:EI185&lt;&gt;"no")*($EJ$2:EJ185=EJ185)),"")</f>
        <v/>
      </c>
    </row>
    <row r="186">
      <c r="A186" s="2" t="inlineStr">
        <is>
          <t>cochesnet:70359259</t>
        </is>
      </c>
      <c r="B186" s="2" t="inlineStr">
        <is>
          <t>cochesnet</t>
        </is>
      </c>
      <c r="C186" s="2" t="inlineStr">
        <is>
          <t>https://www.coches.net/citroen-c3-puretech-68cv-tonic-5p-gasolina-2014-en-valencia-70359259-covo.aspx</t>
        </is>
      </c>
      <c r="D186" s="2" t="inlineStr">
        <is>
          <t>CITROEN C3 Puretech Tonic</t>
        </is>
      </c>
      <c r="E186" s="2" t="inlineStr">
        <is>
          <t>Citroën</t>
        </is>
      </c>
      <c r="F186" s="2" t="inlineStr">
        <is>
          <t>Citroën C3</t>
        </is>
      </c>
      <c r="G186" s="2" t="inlineStr">
        <is>
          <t>? PureTech</t>
        </is>
      </c>
      <c r="H186" s="2" t="inlineStr">
        <is>
          <t>Puretech 68cv Tonic</t>
        </is>
      </c>
      <c r="I186" s="2" t="n"/>
      <c r="J186" s="2" t="n">
        <v>68</v>
      </c>
      <c r="K186" s="2" t="inlineStr">
        <is>
          <t>gasolina</t>
        </is>
      </c>
      <c r="L186" s="2" t="inlineStr">
        <is>
          <t>utilitario</t>
        </is>
      </c>
      <c r="M186" s="2" t="n">
        <v>2015</v>
      </c>
      <c r="N186" s="2" t="n">
        <v>105000</v>
      </c>
      <c r="O186" s="2" t="n">
        <v>5500</v>
      </c>
      <c r="P186" s="2" t="inlineStr">
        <is>
          <t>manual</t>
        </is>
      </c>
      <c r="Q186" s="2" t="inlineStr">
        <is>
          <t>no</t>
        </is>
      </c>
      <c r="R186" s="2" t="inlineStr">
        <is>
          <t>profesional</t>
        </is>
      </c>
      <c r="S186" s="2" t="inlineStr">
        <is>
          <t>Compraventa MCars L'Alcúdia</t>
        </is>
      </c>
      <c r="T186" s="2" t="inlineStr">
        <is>
          <t>2026-10-02T18:27:58Z</t>
        </is>
      </c>
      <c r="U186" s="2" t="n">
        <v>10</v>
      </c>
      <c r="V186" s="2" t="n"/>
      <c r="W186" s="2" t="n"/>
      <c r="X186" s="2" t="n"/>
      <c r="Y186" s="2" t="n"/>
      <c r="Z186" s="2" t="inlineStr">
        <is>
          <t>sí</t>
        </is>
      </c>
      <c r="AA186" s="2" t="n"/>
      <c r="AB186" s="2" t="n">
        <v>12</v>
      </c>
      <c r="AC186" s="2" t="n"/>
      <c r="AD186" s="2" t="n"/>
      <c r="AE186" s="2" t="n"/>
      <c r="AF186" s="2" t="n"/>
      <c r="AG186" s="2" t="n"/>
      <c r="AH186" s="2" t="n">
        <v>5500</v>
      </c>
      <c r="AI186" s="2" t="n"/>
      <c r="AJ186" s="2" t="n"/>
      <c r="AK186" s="2" t="n"/>
      <c r="AL186" s="2" t="n"/>
      <c r="AM186" s="2" t="n"/>
      <c r="AN186" s="2" t="n"/>
      <c r="AO186" s="2" t="inlineStr">
        <is>
          <t>2015</t>
        </is>
      </c>
      <c r="AP186" s="2" t="n">
        <v>2015</v>
      </c>
      <c r="AQ186" s="2" t="n"/>
      <c r="AR186" s="2" t="n"/>
      <c r="AS186" s="2" t="inlineStr">
        <is>
          <t>regla</t>
        </is>
      </c>
      <c r="AT186" s="2" t="n">
        <v>2014</v>
      </c>
      <c r="AU186" s="2" t="inlineStr">
        <is>
          <t>no</t>
        </is>
      </c>
      <c r="AV186" s="2" t="inlineStr">
        <is>
          <t>C</t>
        </is>
      </c>
      <c r="AW186" s="2" t="n"/>
      <c r="AX186" s="2" t="inlineStr">
        <is>
          <t>no</t>
        </is>
      </c>
      <c r="AY186" s="2" t="inlineStr">
        <is>
          <t>no</t>
        </is>
      </c>
      <c r="AZ186" s="2" t="inlineStr">
        <is>
          <t>COMMON.COLOR_WHITE</t>
        </is>
      </c>
      <c r="BA186" s="2" t="inlineStr">
        <is>
          <t>blanco</t>
        </is>
      </c>
      <c r="BB186" s="3" t="n">
        <v>2</v>
      </c>
      <c r="BC186" s="3" t="inlineStr">
        <is>
          <t>(por segmento)</t>
        </is>
      </c>
      <c r="BD186" s="2" t="n"/>
      <c r="BE186" s="2" t="n"/>
      <c r="BF186" s="2" t="n"/>
      <c r="BG186" s="2" t="n"/>
      <c r="BH186" s="2" t="n"/>
      <c r="BI186" s="2" t="n"/>
      <c r="BJ186" s="2" t="n"/>
      <c r="BK186" s="2" t="n">
        <v>4</v>
      </c>
      <c r="BL186" s="2" t="inlineStr">
        <is>
          <t>sí</t>
        </is>
      </c>
      <c r="BM186" s="2" t="n">
        <v>405</v>
      </c>
      <c r="BN186" s="2" t="n">
        <v>0</v>
      </c>
      <c r="BO186" s="2" t="n">
        <v>3</v>
      </c>
      <c r="BP186" s="2" t="n">
        <v>5990</v>
      </c>
      <c r="BQ186" s="2" t="n">
        <v>9</v>
      </c>
      <c r="BR186" s="2" t="inlineStr">
        <is>
          <t>modelo+año+km</t>
        </is>
      </c>
      <c r="BS186" s="2" t="n"/>
      <c r="BT186" s="2" t="inlineStr">
        <is>
          <t>año a confirmar: la URL/título dice 2014; por encima del presupuesto: negociar 564 € (coste 5564 €; -11.3 puntos); vendedor profesional: sin ITP (operación con IVA/REBU, confirmar en factura); gastos de gestión del vendedor no indicados: se suma la tasa DGT; preguntar el precio final; etiqueta C deducida por fecha (sin matrícula ni dato del anuncio); revisar: no menciona la ITV; distancia no verificable (el anuncio solo indica la provincia): confirmar que está a &lt;= 70 km</t>
        </is>
      </c>
      <c r="BU186" s="2" t="inlineStr">
        <is>
          <t xml:space="preserve">Filtró en C3 1.0 vti
En muy buen estado, aire acondicionado, elevalunas eléctricos, cierre centralizado,,,, se entrega totalmente revisado por nuestros mecánicos transferido y con 12 meses de garantía </t>
        </is>
      </c>
      <c r="BV186" s="2" t="inlineStr">
        <is>
          <t>https://www.coches.net/citroen-c3-puretech-68cv-tonic-5p-gasolina-2014-en-valencia-70359259-covo.aspx (window.__INITIAL_PROPS__.ad) /home/user/Alopecia/buscador-coches/raw/cochesnet/a6bf42cd8992fc69.json</t>
        </is>
      </c>
      <c r="BW186" s="3">
        <f>MAX(ANIO_ACTUAL-M186,0)</f>
        <v/>
      </c>
      <c r="BX186" s="4">
        <f>N186/MAX(BW186,0.5)</f>
        <v/>
      </c>
      <c r="BY186" s="4">
        <f>F186</f>
        <v/>
      </c>
      <c r="BZ186" s="3">
        <f>BY186&amp;"|"&amp;INT(M186/SEG_ANIO)*SEG_ANIO</f>
        <v/>
      </c>
      <c r="CA186" s="3">
        <f>BZ186&amp;"|"&amp;INT(N186/SEG_KM)*SEG_KM</f>
        <v/>
      </c>
      <c r="CB186" s="4">
        <f>COUNTIF($BY$2:$BY$209,BY186)</f>
        <v/>
      </c>
      <c r="CC186" s="4">
        <f>COUNTIF($BZ$2:$BZ$209,BZ186)</f>
        <v/>
      </c>
      <c r="CD186" s="4">
        <f>COUNTIF($CA$2:$CA$209,CA186)</f>
        <v/>
      </c>
      <c r="CE186" s="3">
        <f t="array" ref="CE186">IF(N(BQ186)&gt;=MIN_N,BP186,IF(CD186&gt;=MIN_N,MEDIAN(IF($CA$2:$CA$209=CA186,$O$2:$O$209)),IF(CC186&gt;=MIN_N,MEDIAN(IF($BZ$2:$BZ$209=BZ186,$O$2:$O$209)),MEDIAN(IF($BY$2:$BY$209=BY186,$O$2:$O$209)))))</f>
        <v/>
      </c>
      <c r="CF186" s="3">
        <f>IF(N(BQ186)&gt;=MIN_N,"mercado "&amp;BR186,IF(CD186&gt;=MIN_N,"modelo+año+km",IF(CC186&gt;=MIN_N,"modelo+año","modelo")))</f>
        <v/>
      </c>
      <c r="CG186" s="4">
        <f>(CE186-O186)/CE186</f>
        <v/>
      </c>
      <c r="CH186" s="3">
        <f>IF(COUNTIFS(FR_FUEL,K186,FR_YEAR,AP186)&gt;0,1,0)</f>
        <v/>
      </c>
      <c r="CI186" s="3">
        <f>IF(COUNTIFS(FR_FUEL,K186,FR_YEAR,AP186-1)&gt;0,1,0)</f>
        <v/>
      </c>
      <c r="CJ186" s="4">
        <f>IF(N(AQ186)&gt;0,AP186*100+AQ186,IF(AND(CH186=1,CI186=1),(AP186-1)*100+1,AP186*100+1))</f>
        <v/>
      </c>
      <c r="CK186" s="3">
        <f>IF(OR(K186="hibrido",K186="glp",K186="gnc",K186="phev"),"ECO",IF(K186="electrico","CERO",IF(K186="gasolina",IF(CJ186&gt;=GAS_C_YM,"C",IF(CJ186&gt;=GAS_B_YM,"B","A")),IF(K186="diesel",IF(CJ186&gt;=DIE_C_YM,"C",IF(CJ186&gt;=DIE_B_YM,"B","A")),""))))</f>
        <v/>
      </c>
      <c r="CL186" s="4">
        <f>CK186</f>
        <v/>
      </c>
      <c r="CM186" s="4">
        <f>IF(AU186="sí","sí",IF(AS186="regla",IF(AND(N(AQ186)=0,CH186=1),"sí","no"),"no"))</f>
        <v/>
      </c>
      <c r="CN186" s="3">
        <f>IFERROR(VLOOKUP(F186,MOD_TBL,16,0),IFERROR(VLOOKUP(E186,OCU_TBL,2,0),NEUTRO))</f>
        <v/>
      </c>
      <c r="CO186" s="3">
        <f>SUMIFS(MOT_AJUSTE,MOT_MOTOR,G186,MOT_MARCA,E186,MOT_DESDE,"&lt;="&amp;M186,MOT_HASTA,"&gt;="&amp;M186)+SUMIFS(MOT_AJUSTE,MOT_MOTOR,G186,MOT_MARCA,"(todas)",MOT_DESDE,"&lt;="&amp;M186,MOT_HASTA,"&gt;="&amp;M186)+SUMIFS(MOT_AJUSTE,MOT_MOTOR,"(cualquiera)",MOT_MARCA,E186,MOT_DESDE,"&lt;="&amp;M186,MOT_HASTA,"&gt;="&amp;M186)</f>
        <v/>
      </c>
      <c r="CP186" s="3">
        <f>SUMIFS(COMB_AJUSTE,COMB_COMB,K186)</f>
        <v/>
      </c>
      <c r="CQ186" s="3">
        <f>COUNTIFS(MOT_MOTOR,G186,MOT_MARCA,E186,MOT_DESDE,"&lt;="&amp;M186,MOT_HASTA,"&gt;="&amp;M186)+COUNTIFS(MOT_MOTOR,G186,MOT_MARCA,"(todas)",MOT_DESDE,"&lt;="&amp;M186,MOT_HASTA,"&gt;="&amp;M186)+COUNTIFS(MOT_MOTOR,"(cualquiera)",MOT_MARCA,E186,MOT_DESDE,"&lt;="&amp;M186,MOT_HASTA,"&gt;="&amp;M186)</f>
        <v/>
      </c>
      <c r="CR186" s="3">
        <f>IF(AND(K186="diesel",CQ186=0),MIN(CN186,NEUTRO),CN186)</f>
        <v/>
      </c>
      <c r="CS186" s="3">
        <f>MAX(0,MIN(100,CR186+CO186+CP186-IF(AX186="sí",ROB_PEN,0)))</f>
        <v/>
      </c>
      <c r="CT186" s="3">
        <f>100-MAX(0,N186-KM_TOPE_DESDE)/1000*KM_TOPE_PTS</f>
        <v/>
      </c>
      <c r="CU186" s="3">
        <f>MAX(0,MIN(100,50+CG186*PRECIO_PEND,CT186))</f>
        <v/>
      </c>
      <c r="CV186" s="3">
        <f>MAX(0,100*(1-N186/KM_MAX))</f>
        <v/>
      </c>
      <c r="CW186" s="3">
        <f>IF(BX186&lt;KMA_SOSP,IF(AA186="sí",100,KMA_PEN),IF(BX186&lt;=KMA_IDEAL_MAX,100,MAX(0,100*(KMA_CERO-BX186)/(KMA_CERO-KMA_IDEAL_MAX))))</f>
        <v/>
      </c>
      <c r="CX186" s="3">
        <f>MAX(0,MIN(100,100*(M186-ANIO_MIN)/(ANIO_ACTUAL-ANIO_MIN)))</f>
        <v/>
      </c>
      <c r="CY186" s="3">
        <f>W_KMT*CV186+W_KMA*CW186+W_EDAD*CX186</f>
        <v/>
      </c>
      <c r="CZ186" s="4">
        <f>E186&amp;"|"&amp;G186</f>
        <v/>
      </c>
      <c r="DA186" s="3">
        <f>IFERROR(VLOOKUP(CZ186,DIST_TBL,2,0),"")</f>
        <v/>
      </c>
      <c r="DB186" s="3">
        <f>E_ITV*(V186="sí")+E_LIBRO*(W186="sí")+E_PROP*IF(Y186=1,1,IF(Y186=2,0.5,0))+E_CORREA*IF(OR(DA186="cadena",AND(X186="sí",BH186="sí")),1,IF(X186="sí",0.5,0))+E_FACT*(BI186="sí")</f>
        <v/>
      </c>
      <c r="DC186" s="3">
        <f>MAX(0,MIN(100,IFERROR(VLOOKUP(CL186,ETQ_TBL,2,0),0)-IF(CM186="sí",ETQ_PEN_DUD,IF(AS186="regla",ETQ_PEN_REGLA,0))))</f>
        <v/>
      </c>
      <c r="DD186" s="3">
        <f>IF(K186&lt;&gt;"gasolina","",IFERROR(VLOOKUP(F186,CONS_MOD_TBL,2,0),IFERROR(VLOOKUP(L186,CONS_SEG_TBL,2,0),"")))</f>
        <v/>
      </c>
      <c r="DE186" s="3">
        <f>IF(DD186="",NEUTRO,MAX(0,MIN(100,100*(CONS_REF_MAX-DD186)/(CONS_REF_MAX-CONS_REF_MIN))))</f>
        <v/>
      </c>
      <c r="DF186" s="3">
        <f>IFERROR(VLOOKUP(L186,SEGURO_TBL,3,0),"")</f>
        <v/>
      </c>
      <c r="DG186" s="3">
        <f>IF(DF186="",NEUTRO,MAX(0,MIN(100,100*(SEG_REF_MAX-DF186)/(SEG_REF_MAX-SEG_REF_MIN))))</f>
        <v/>
      </c>
      <c r="DH186" s="3">
        <f>IFERROR(VLOOKUP(E186,MANT_MARCA_TBL,2,0)+0,NEUTRO)</f>
        <v/>
      </c>
      <c r="DI186" s="3">
        <f>IF(DA186="",NEUTRO,IFERROR(VLOOKUP(DA186,DIST_PTS_TBL,2,0)+0,NEUTRO))</f>
        <v/>
      </c>
      <c r="DJ186" s="4">
        <f>(DH186+DI186)/2</f>
        <v/>
      </c>
      <c r="DK186" s="3">
        <f>W_CONS*DE186+W_SEG*DG186+W_MANT*DJ186</f>
        <v/>
      </c>
      <c r="DL186" s="3">
        <f>IF(N(AB186)&gt;0,AB186,IF(AND(R186="profesional",SG_LEGAL_ON=1),GAR_LEGAL,0))</f>
        <v/>
      </c>
      <c r="DM186" s="3">
        <f>MAX(0,MIN(100,SG_GAR*MIN(1,DL186/SG_GAR_FULL)+SG_AMPL*(AC186="sí")+SG_KMC*(AF186="sí")+SG_REV*(N(AE186)&gt;0)+SG_DEV*MIN(1,N(AG186)/SG_DEV_FULL)+SG_HIST*(W186="sí")-IF(AND(R186="particular",DL186=0),SG_PART_PEN,0)))</f>
        <v/>
      </c>
      <c r="DN186" s="3">
        <f>IF(BK186="",NEUTRO,MAX(0,MIN(100,BK186/5*100)))</f>
        <v/>
      </c>
      <c r="DO186" s="3">
        <f>IF(BL186="sí",100,IF(BL186="no",0,NEUTRO))</f>
        <v/>
      </c>
      <c r="DP186" s="3">
        <f>SV_W_NCAP*DN186+SV_W_ESP*DO186</f>
        <v/>
      </c>
      <c r="DQ186" s="3">
        <f>MAX(0,MIN(100,ATR_BASE+ATR_ACAB*(BD186&lt;&gt;"")+IF(BE186="16+",ATR_LL16,IF(BE186="sí",ATR_LL,0))+ATR_FAROS*(BF186="sí")+ATR_TINT*(BG186="sí")-ATR_CHAPA*(BE186="chapa")))</f>
        <v/>
      </c>
      <c r="DR186" s="3">
        <f>EST_W_MOD*(BB186-1)/4*100+EST_W_ATR*DQ186</f>
        <v/>
      </c>
      <c r="DS186" s="3">
        <f>IF(BA186="",NEUTRO,IFERROR(VLOOKUP(BA186,COLOR_TBL,2,0)+0,NEUTRO))</f>
        <v/>
      </c>
      <c r="DT186" s="3">
        <f>MAX(0,MIN(100,100*N(BM186)/RV_N_FULL))</f>
        <v/>
      </c>
      <c r="DU186" s="3">
        <f>IF(OR(BN186="",N(BO186)&lt;RV_DIAS_MIN),NEUTRO,MAX(0,MIN(100,100*(RV_DIAS_CERO-BN186)/(RV_DIAS_CERO-RV_DIAS_FULL))))</f>
        <v/>
      </c>
      <c r="DV186" s="3">
        <f>RV_W_LIQ*DT186+RV_W_DIAS*DU186+RV_W_ETQ*DC186</f>
        <v/>
      </c>
      <c r="DW186" s="3">
        <f>IFERROR(VLOOKUP(L186,CARR_PEN_TBL,2,0),0)</f>
        <v/>
      </c>
      <c r="DX186" s="3">
        <f>W_FIAB*CS186+W_PRECIO*CU186+W_KMEDAD*CY186+W_ESTADO*DB186+W_USO*DK186+W_SEGURIDAD*DM186+W_SEGVIAL*DP186+W_ESTETICA*DR186+W_COLOR*DS186+W_REVENTA*DV186-DW186-EG186</f>
        <v/>
      </c>
      <c r="DY186" s="4">
        <f>IF(N(I186)&gt;0,I186,IFERROR(ROUND(_xlfn.NUMBERVALUE(LEFT(G186,FIND(" ",G186&amp;" ")-1),".")*1000,0),99999))</f>
        <v/>
      </c>
      <c r="DZ186" s="3">
        <f>IF(R186="profesional",0,IF(O186&lt;CUOTA_VALOR_MAX,IF(BW186&gt;ITP_TRAMO_ALTO,SUMIFS(CF_CUOTA,CF_MAS,ITP_TRAMO_ALTO,CF_CCMIN,"&lt;="&amp;DY186,CF_CCMAX,"&gt;="&amp;DY186),IF(BW186&gt;ITP_TRAMO_BAJO,SUMIFS(CF_CUOTA,CF_MAS,ITP_TRAMO_BAJO,CF_CCMIN,"&lt;="&amp;DY186,CF_CCMAX,"&gt;="&amp;DY186),O186*ITP_TIPO)),O186*ITP_TIPO))</f>
        <v/>
      </c>
      <c r="EA186" s="4">
        <f>IF(R186="profesional",N(AK186),0)</f>
        <v/>
      </c>
      <c r="EB186" s="3">
        <f>IF(AND(R186="profesional",ISNUMBER(AK186),AL186="sí"),0,TASA_DGT)</f>
        <v/>
      </c>
      <c r="EC186" s="3">
        <f>INFORME_DGT</f>
        <v/>
      </c>
      <c r="ED186" s="4">
        <f>O186+EA186+DZ186+EB186+EC186</f>
        <v/>
      </c>
      <c r="EE186" s="4">
        <f>ED186+N(DF186)</f>
        <v/>
      </c>
      <c r="EF186" s="3">
        <f>MAX(0,ED186-TOTAL_MAX)</f>
        <v/>
      </c>
      <c r="EG186" s="3">
        <f>EF186/100*PEN_100</f>
        <v/>
      </c>
      <c r="EH186" s="3">
        <f>IF(R186="particular",ED186+IF(AND(DA186&lt;&gt;"cadena",X186&lt;&gt;"sí"),RES_CORREA,0)+IF(AND(BJ186&lt;&gt;"sí",BW186&gt;=RES_NEUM_EDAD),RES_NEUM,0),"")</f>
        <v/>
      </c>
      <c r="EI186" s="3">
        <f>IF(ED186&lt;=TOTAL_MAX,"sí",IF(ED186&lt;=TECHO,"negociar","no"))</f>
        <v/>
      </c>
      <c r="EJ186" s="4">
        <f>ROUND(DX186,9)</f>
        <v/>
      </c>
      <c r="EK186" s="4">
        <f>IF(EI186&lt;&gt;"no",SUMPRODUCT(($EI$2:$EI$209&lt;&gt;"no")*($EJ$2:$EJ$209&gt;EJ186))+SUMPRODUCT(($EI$2:EI186&lt;&gt;"no")*($EJ$2:EJ186=EJ186)),"")</f>
        <v/>
      </c>
    </row>
    <row r="187">
      <c r="A187" s="2" t="inlineStr">
        <is>
          <t>cochesnet:71819618</t>
        </is>
      </c>
      <c r="B187" s="2" t="inlineStr">
        <is>
          <t>cochesnet</t>
        </is>
      </c>
      <c r="C187" s="2" t="inlineStr">
        <is>
          <t>https://www.coches.net/ford-fiesta-125-82cv-trend-3p-gasolina-2009-en-valencia-71819618-covo.aspx</t>
        </is>
      </c>
      <c r="D187" s="2" t="inlineStr">
        <is>
          <t>FORD Fiesta 1.25 Trend</t>
        </is>
      </c>
      <c r="E187" s="2" t="inlineStr">
        <is>
          <t>Ford</t>
        </is>
      </c>
      <c r="F187" s="2" t="inlineStr">
        <is>
          <t>Ford Fiesta</t>
        </is>
      </c>
      <c r="G187" s="2" t="inlineStr">
        <is>
          <t>1.2</t>
        </is>
      </c>
      <c r="H187" s="2" t="inlineStr">
        <is>
          <t>1.25 82cv Trend</t>
        </is>
      </c>
      <c r="I187" s="2" t="n"/>
      <c r="J187" s="2" t="n">
        <v>82</v>
      </c>
      <c r="K187" s="2" t="inlineStr">
        <is>
          <t>gasolina</t>
        </is>
      </c>
      <c r="L187" s="2" t="inlineStr">
        <is>
          <t>utilitario</t>
        </is>
      </c>
      <c r="M187" s="2" t="n">
        <v>2008</v>
      </c>
      <c r="N187" s="2" t="n">
        <v>152000</v>
      </c>
      <c r="O187" s="2" t="n">
        <v>5500</v>
      </c>
      <c r="P187" s="2" t="inlineStr">
        <is>
          <t>manual</t>
        </is>
      </c>
      <c r="Q187" s="2" t="inlineStr">
        <is>
          <t>no</t>
        </is>
      </c>
      <c r="R187" s="2" t="inlineStr">
        <is>
          <t>profesional</t>
        </is>
      </c>
      <c r="S187" s="2" t="inlineStr">
        <is>
          <t>Torrent</t>
        </is>
      </c>
      <c r="T187" s="2" t="inlineStr">
        <is>
          <t>2026-10-23T18:46:35Z</t>
        </is>
      </c>
      <c r="U187" s="2" t="n">
        <v>19</v>
      </c>
      <c r="V187" s="2" t="n"/>
      <c r="W187" s="2" t="n"/>
      <c r="X187" s="2" t="n"/>
      <c r="Y187" s="2" t="n"/>
      <c r="Z187" s="2" t="inlineStr">
        <is>
          <t>sí</t>
        </is>
      </c>
      <c r="AA187" s="2" t="n"/>
      <c r="AB187" s="2" t="n">
        <v>12</v>
      </c>
      <c r="AC187" s="2" t="n"/>
      <c r="AD187" s="2" t="n"/>
      <c r="AE187" s="2" t="n"/>
      <c r="AF187" s="2" t="n"/>
      <c r="AG187" s="2" t="n"/>
      <c r="AH187" s="2" t="n">
        <v>5500</v>
      </c>
      <c r="AI187" s="2" t="n">
        <v>5500</v>
      </c>
      <c r="AJ187" s="2" t="n"/>
      <c r="AK187" s="2" t="n"/>
      <c r="AL187" s="2" t="n"/>
      <c r="AM187" s="2" t="n">
        <v>8.800000000000001</v>
      </c>
      <c r="AN187" s="2" t="n"/>
      <c r="AO187" s="2" t="inlineStr">
        <is>
          <t>2008</t>
        </is>
      </c>
      <c r="AP187" s="2" t="n">
        <v>2008</v>
      </c>
      <c r="AQ187" s="2" t="n"/>
      <c r="AR187" s="2" t="inlineStr">
        <is>
          <t>C</t>
        </is>
      </c>
      <c r="AS187" s="2" t="inlineStr">
        <is>
          <t>anuncio</t>
        </is>
      </c>
      <c r="AT187" s="2" t="n">
        <v>2009</v>
      </c>
      <c r="AU187" s="2" t="inlineStr">
        <is>
          <t>no</t>
        </is>
      </c>
      <c r="AV187" s="2" t="inlineStr">
        <is>
          <t>C</t>
        </is>
      </c>
      <c r="AW187" s="2" t="n"/>
      <c r="AX187" s="2" t="inlineStr">
        <is>
          <t>no</t>
        </is>
      </c>
      <c r="AY187" s="2" t="inlineStr">
        <is>
          <t>no</t>
        </is>
      </c>
      <c r="AZ187" s="2" t="inlineStr">
        <is>
          <t>COMMON.COLOR_GREEN</t>
        </is>
      </c>
      <c r="BA187" s="2" t="inlineStr">
        <is>
          <t>verde</t>
        </is>
      </c>
      <c r="BB187" s="3" t="n">
        <v>2</v>
      </c>
      <c r="BC187" s="3" t="inlineStr">
        <is>
          <t>(por segmento)</t>
        </is>
      </c>
      <c r="BD187" s="2" t="n"/>
      <c r="BE187" s="2" t="inlineStr">
        <is>
          <t>sí</t>
        </is>
      </c>
      <c r="BF187" s="2" t="n"/>
      <c r="BG187" s="2" t="n"/>
      <c r="BH187" s="2" t="n"/>
      <c r="BI187" s="2" t="n"/>
      <c r="BJ187" s="2" t="n"/>
      <c r="BK187" s="2" t="n">
        <v>4</v>
      </c>
      <c r="BL187" s="2" t="inlineStr">
        <is>
          <t>sí</t>
        </is>
      </c>
      <c r="BM187" s="2" t="n">
        <v>302</v>
      </c>
      <c r="BN187" s="2" t="n">
        <v>0.07434027781710029</v>
      </c>
      <c r="BO187" s="2" t="n">
        <v>3</v>
      </c>
      <c r="BP187" s="2" t="n">
        <v>4500</v>
      </c>
      <c r="BQ187" s="2" t="n">
        <v>19</v>
      </c>
      <c r="BR187" s="2" t="inlineStr">
        <is>
          <t>modelo+año+km</t>
        </is>
      </c>
      <c r="BS187" s="2" t="n"/>
      <c r="BT187" s="2" t="inlineStr">
        <is>
          <t>año a confirmar: la URL/título dice 2009; por encima del presupuesto: negociar 564 € (coste 5564 €; -11.3 puntos); vendedor profesional: sin ITP (operación con IVA/REBU, confirmar en factura); gastos de gestión del vendedor no indicados: se suma la tasa DGT; preguntar el precio final; revisar: no menciona la ITV</t>
        </is>
      </c>
      <c r="BU187" s="2" t="inlineStr">
        <is>
          <t>FORD FIESTA, 1.2cc 82cv, MUY BUEN ESTADO GENERAL. 
ENTREGA INMEDIATA, PUESTA A PUNTO REALIZADA.
ETIQUETA C
• EQUIPAMIENTO: AIRE ACONDICIONADO, LLANTAS DE ALUMINIO, RETROVISORES ELÉCTRICOS, ELEVALUNAS ELÉCTRICOS, INTERIOR MUY CUIDADO, ORDENADOR ABORDO, CIERRE CENTRALIZADO, ISOFIX, CONEXION USB Y AUXILIAR, DOBLE LLAVE, ABS, ASR, ESP...
• POSIBILIDAD DE PROBAR EL VEHÍCULO.
• GARANTÍA: 12 MESES SIN LÍMITE DE KM.
• CAMBIO DE NOMBRE NO INCLUIDO +200€
• CERTIFICAMOS EN CONTRATO EL KILOMETRAJE DEL VEHÍCULO.
• ACEPTAMOS VEHÍCULO COMO PARTE DE PAGO.
• ENTREGA A DOMICILIO.
• ATENDEMOS CON CITA PREVIA.</t>
        </is>
      </c>
      <c r="BV187" s="2" t="inlineStr">
        <is>
          <t>https://www.coches.net/ford-fiesta-125-82cv-trend-3p-gasolina-2009-en-valencia-71819618-covo.aspx (window.__INITIAL_PROPS__.ad) /home/user/Alopecia/buscador-coches/raw/cochesnet/44e63cdbb36a67e1.json</t>
        </is>
      </c>
      <c r="BW187" s="3">
        <f>MAX(ANIO_ACTUAL-M187,0)</f>
        <v/>
      </c>
      <c r="BX187" s="4">
        <f>N187/MAX(BW187,0.5)</f>
        <v/>
      </c>
      <c r="BY187" s="4">
        <f>F187</f>
        <v/>
      </c>
      <c r="BZ187" s="3">
        <f>BY187&amp;"|"&amp;INT(M187/SEG_ANIO)*SEG_ANIO</f>
        <v/>
      </c>
      <c r="CA187" s="3">
        <f>BZ187&amp;"|"&amp;INT(N187/SEG_KM)*SEG_KM</f>
        <v/>
      </c>
      <c r="CB187" s="4">
        <f>COUNTIF($BY$2:$BY$209,BY187)</f>
        <v/>
      </c>
      <c r="CC187" s="4">
        <f>COUNTIF($BZ$2:$BZ$209,BZ187)</f>
        <v/>
      </c>
      <c r="CD187" s="4">
        <f>COUNTIF($CA$2:$CA$209,CA187)</f>
        <v/>
      </c>
      <c r="CE187" s="3">
        <f t="array" ref="CE187">IF(N(BQ187)&gt;=MIN_N,BP187,IF(CD187&gt;=MIN_N,MEDIAN(IF($CA$2:$CA$209=CA187,$O$2:$O$209)),IF(CC187&gt;=MIN_N,MEDIAN(IF($BZ$2:$BZ$209=BZ187,$O$2:$O$209)),MEDIAN(IF($BY$2:$BY$209=BY187,$O$2:$O$209)))))</f>
        <v/>
      </c>
      <c r="CF187" s="3">
        <f>IF(N(BQ187)&gt;=MIN_N,"mercado "&amp;BR187,IF(CD187&gt;=MIN_N,"modelo+año+km",IF(CC187&gt;=MIN_N,"modelo+año","modelo")))</f>
        <v/>
      </c>
      <c r="CG187" s="4">
        <f>(CE187-O187)/CE187</f>
        <v/>
      </c>
      <c r="CH187" s="3">
        <f>IF(COUNTIFS(FR_FUEL,K187,FR_YEAR,AP187)&gt;0,1,0)</f>
        <v/>
      </c>
      <c r="CI187" s="3">
        <f>IF(COUNTIFS(FR_FUEL,K187,FR_YEAR,AP187-1)&gt;0,1,0)</f>
        <v/>
      </c>
      <c r="CJ187" s="4">
        <f>IF(N(AQ187)&gt;0,AP187*100+AQ187,IF(AND(CH187=1,CI187=1),(AP187-1)*100+1,AP187*100+1))</f>
        <v/>
      </c>
      <c r="CK187" s="3">
        <f>IF(OR(K187="hibrido",K187="glp",K187="gnc",K187="phev"),"ECO",IF(K187="electrico","CERO",IF(K187="gasolina",IF(CJ187&gt;=GAS_C_YM,"C",IF(CJ187&gt;=GAS_B_YM,"B","A")),IF(K187="diesel",IF(CJ187&gt;=DIE_C_YM,"C",IF(CJ187&gt;=DIE_B_YM,"B","A")),""))))</f>
        <v/>
      </c>
      <c r="CL187" s="2" t="inlineStr">
        <is>
          <t>C</t>
        </is>
      </c>
      <c r="CM187" s="4">
        <f>IF(AU187="sí","sí",IF(AS187="regla",IF(AND(N(AQ187)=0,CH187=1),"sí","no"),"no"))</f>
        <v/>
      </c>
      <c r="CN187" s="3">
        <f>IFERROR(VLOOKUP(F187,MOD_TBL,16,0),IFERROR(VLOOKUP(E187,OCU_TBL,2,0),NEUTRO))</f>
        <v/>
      </c>
      <c r="CO187" s="3">
        <f>SUMIFS(MOT_AJUSTE,MOT_MOTOR,G187,MOT_MARCA,E187,MOT_DESDE,"&lt;="&amp;M187,MOT_HASTA,"&gt;="&amp;M187)+SUMIFS(MOT_AJUSTE,MOT_MOTOR,G187,MOT_MARCA,"(todas)",MOT_DESDE,"&lt;="&amp;M187,MOT_HASTA,"&gt;="&amp;M187)+SUMIFS(MOT_AJUSTE,MOT_MOTOR,"(cualquiera)",MOT_MARCA,E187,MOT_DESDE,"&lt;="&amp;M187,MOT_HASTA,"&gt;="&amp;M187)</f>
        <v/>
      </c>
      <c r="CP187" s="3">
        <f>SUMIFS(COMB_AJUSTE,COMB_COMB,K187)</f>
        <v/>
      </c>
      <c r="CQ187" s="3">
        <f>COUNTIFS(MOT_MOTOR,G187,MOT_MARCA,E187,MOT_DESDE,"&lt;="&amp;M187,MOT_HASTA,"&gt;="&amp;M187)+COUNTIFS(MOT_MOTOR,G187,MOT_MARCA,"(todas)",MOT_DESDE,"&lt;="&amp;M187,MOT_HASTA,"&gt;="&amp;M187)+COUNTIFS(MOT_MOTOR,"(cualquiera)",MOT_MARCA,E187,MOT_DESDE,"&lt;="&amp;M187,MOT_HASTA,"&gt;="&amp;M187)</f>
        <v/>
      </c>
      <c r="CR187" s="3">
        <f>IF(AND(K187="diesel",CQ187=0),MIN(CN187,NEUTRO),CN187)</f>
        <v/>
      </c>
      <c r="CS187" s="3">
        <f>MAX(0,MIN(100,CR187+CO187+CP187-IF(AX187="sí",ROB_PEN,0)))</f>
        <v/>
      </c>
      <c r="CT187" s="3">
        <f>100-MAX(0,N187-KM_TOPE_DESDE)/1000*KM_TOPE_PTS</f>
        <v/>
      </c>
      <c r="CU187" s="3">
        <f>MAX(0,MIN(100,50+CG187*PRECIO_PEND,CT187))</f>
        <v/>
      </c>
      <c r="CV187" s="3">
        <f>MAX(0,100*(1-N187/KM_MAX))</f>
        <v/>
      </c>
      <c r="CW187" s="3">
        <f>IF(BX187&lt;KMA_SOSP,IF(AA187="sí",100,KMA_PEN),IF(BX187&lt;=KMA_IDEAL_MAX,100,MAX(0,100*(KMA_CERO-BX187)/(KMA_CERO-KMA_IDEAL_MAX))))</f>
        <v/>
      </c>
      <c r="CX187" s="3">
        <f>MAX(0,MIN(100,100*(M187-ANIO_MIN)/(ANIO_ACTUAL-ANIO_MIN)))</f>
        <v/>
      </c>
      <c r="CY187" s="3">
        <f>W_KMT*CV187+W_KMA*CW187+W_EDAD*CX187</f>
        <v/>
      </c>
      <c r="CZ187" s="4">
        <f>E187&amp;"|"&amp;G187</f>
        <v/>
      </c>
      <c r="DA187" s="3">
        <f>IFERROR(VLOOKUP(CZ187,DIST_TBL,2,0),"")</f>
        <v/>
      </c>
      <c r="DB187" s="3">
        <f>E_ITV*(V187="sí")+E_LIBRO*(W187="sí")+E_PROP*IF(Y187=1,1,IF(Y187=2,0.5,0))+E_CORREA*IF(OR(DA187="cadena",AND(X187="sí",BH187="sí")),1,IF(X187="sí",0.5,0))+E_FACT*(BI187="sí")</f>
        <v/>
      </c>
      <c r="DC187" s="3">
        <f>MAX(0,MIN(100,IFERROR(VLOOKUP(CL187,ETQ_TBL,2,0),0)-IF(CM187="sí",ETQ_PEN_DUD,IF(AS187="regla",ETQ_PEN_REGLA,0))))</f>
        <v/>
      </c>
      <c r="DD187" s="3">
        <f>IF(K187&lt;&gt;"gasolina","",IFERROR(VLOOKUP(F187,CONS_MOD_TBL,2,0),IFERROR(VLOOKUP(L187,CONS_SEG_TBL,2,0),"")))</f>
        <v/>
      </c>
      <c r="DE187" s="3">
        <f>IF(DD187="",NEUTRO,MAX(0,MIN(100,100*(CONS_REF_MAX-DD187)/(CONS_REF_MAX-CONS_REF_MIN))))</f>
        <v/>
      </c>
      <c r="DF187" s="3">
        <f>IFERROR(VLOOKUP(L187,SEGURO_TBL,3,0),"")</f>
        <v/>
      </c>
      <c r="DG187" s="3">
        <f>IF(DF187="",NEUTRO,MAX(0,MIN(100,100*(SEG_REF_MAX-DF187)/(SEG_REF_MAX-SEG_REF_MIN))))</f>
        <v/>
      </c>
      <c r="DH187" s="3">
        <f>IFERROR(VLOOKUP(E187,MANT_MARCA_TBL,2,0)+0,NEUTRO)</f>
        <v/>
      </c>
      <c r="DI187" s="3">
        <f>IF(DA187="",NEUTRO,IFERROR(VLOOKUP(DA187,DIST_PTS_TBL,2,0)+0,NEUTRO))</f>
        <v/>
      </c>
      <c r="DJ187" s="4">
        <f>(DH187+DI187)/2</f>
        <v/>
      </c>
      <c r="DK187" s="3">
        <f>W_CONS*DE187+W_SEG*DG187+W_MANT*DJ187</f>
        <v/>
      </c>
      <c r="DL187" s="3">
        <f>IF(N(AB187)&gt;0,AB187,IF(AND(R187="profesional",SG_LEGAL_ON=1),GAR_LEGAL,0))</f>
        <v/>
      </c>
      <c r="DM187" s="3">
        <f>MAX(0,MIN(100,SG_GAR*MIN(1,DL187/SG_GAR_FULL)+SG_AMPL*(AC187="sí")+SG_KMC*(AF187="sí")+SG_REV*(N(AE187)&gt;0)+SG_DEV*MIN(1,N(AG187)/SG_DEV_FULL)+SG_HIST*(W187="sí")-IF(AND(R187="particular",DL187=0),SG_PART_PEN,0)))</f>
        <v/>
      </c>
      <c r="DN187" s="3">
        <f>IF(BK187="",NEUTRO,MAX(0,MIN(100,BK187/5*100)))</f>
        <v/>
      </c>
      <c r="DO187" s="3">
        <f>IF(BL187="sí",100,IF(BL187="no",0,NEUTRO))</f>
        <v/>
      </c>
      <c r="DP187" s="3">
        <f>SV_W_NCAP*DN187+SV_W_ESP*DO187</f>
        <v/>
      </c>
      <c r="DQ187" s="3">
        <f>MAX(0,MIN(100,ATR_BASE+ATR_ACAB*(BD187&lt;&gt;"")+IF(BE187="16+",ATR_LL16,IF(BE187="sí",ATR_LL,0))+ATR_FAROS*(BF187="sí")+ATR_TINT*(BG187="sí")-ATR_CHAPA*(BE187="chapa")))</f>
        <v/>
      </c>
      <c r="DR187" s="3">
        <f>EST_W_MOD*(BB187-1)/4*100+EST_W_ATR*DQ187</f>
        <v/>
      </c>
      <c r="DS187" s="3">
        <f>IF(BA187="",NEUTRO,IFERROR(VLOOKUP(BA187,COLOR_TBL,2,0)+0,NEUTRO))</f>
        <v/>
      </c>
      <c r="DT187" s="3">
        <f>MAX(0,MIN(100,100*N(BM187)/RV_N_FULL))</f>
        <v/>
      </c>
      <c r="DU187" s="3">
        <f>IF(OR(BN187="",N(BO187)&lt;RV_DIAS_MIN),NEUTRO,MAX(0,MIN(100,100*(RV_DIAS_CERO-BN187)/(RV_DIAS_CERO-RV_DIAS_FULL))))</f>
        <v/>
      </c>
      <c r="DV187" s="3">
        <f>RV_W_LIQ*DT187+RV_W_DIAS*DU187+RV_W_ETQ*DC187</f>
        <v/>
      </c>
      <c r="DW187" s="3">
        <f>IFERROR(VLOOKUP(L187,CARR_PEN_TBL,2,0),0)</f>
        <v/>
      </c>
      <c r="DX187" s="3">
        <f>W_FIAB*CS187+W_PRECIO*CU187+W_KMEDAD*CY187+W_ESTADO*DB187+W_USO*DK187+W_SEGURIDAD*DM187+W_SEGVIAL*DP187+W_ESTETICA*DR187+W_COLOR*DS187+W_REVENTA*DV187-DW187-EG187</f>
        <v/>
      </c>
      <c r="DY187" s="4">
        <f>IF(N(I187)&gt;0,I187,IFERROR(ROUND(_xlfn.NUMBERVALUE(LEFT(G187,FIND(" ",G187&amp;" ")-1),".")*1000,0),99999))</f>
        <v/>
      </c>
      <c r="DZ187" s="3">
        <f>IF(R187="profesional",0,IF(O187&lt;CUOTA_VALOR_MAX,IF(BW187&gt;ITP_TRAMO_ALTO,SUMIFS(CF_CUOTA,CF_MAS,ITP_TRAMO_ALTO,CF_CCMIN,"&lt;="&amp;DY187,CF_CCMAX,"&gt;="&amp;DY187),IF(BW187&gt;ITP_TRAMO_BAJO,SUMIFS(CF_CUOTA,CF_MAS,ITP_TRAMO_BAJO,CF_CCMIN,"&lt;="&amp;DY187,CF_CCMAX,"&gt;="&amp;DY187),O187*ITP_TIPO)),O187*ITP_TIPO))</f>
        <v/>
      </c>
      <c r="EA187" s="4">
        <f>IF(R187="profesional",N(AK187),0)</f>
        <v/>
      </c>
      <c r="EB187" s="3">
        <f>IF(AND(R187="profesional",ISNUMBER(AK187),AL187="sí"),0,TASA_DGT)</f>
        <v/>
      </c>
      <c r="EC187" s="3">
        <f>INFORME_DGT</f>
        <v/>
      </c>
      <c r="ED187" s="4">
        <f>O187+EA187+DZ187+EB187+EC187</f>
        <v/>
      </c>
      <c r="EE187" s="4">
        <f>ED187+N(DF187)</f>
        <v/>
      </c>
      <c r="EF187" s="3">
        <f>MAX(0,ED187-TOTAL_MAX)</f>
        <v/>
      </c>
      <c r="EG187" s="3">
        <f>EF187/100*PEN_100</f>
        <v/>
      </c>
      <c r="EH187" s="3">
        <f>IF(R187="particular",ED187+IF(AND(DA187&lt;&gt;"cadena",X187&lt;&gt;"sí"),RES_CORREA,0)+IF(AND(BJ187&lt;&gt;"sí",BW187&gt;=RES_NEUM_EDAD),RES_NEUM,0),"")</f>
        <v/>
      </c>
      <c r="EI187" s="3">
        <f>IF(ED187&lt;=TOTAL_MAX,"sí",IF(ED187&lt;=TECHO,"negociar","no"))</f>
        <v/>
      </c>
      <c r="EJ187" s="4">
        <f>ROUND(DX187,9)</f>
        <v/>
      </c>
      <c r="EK187" s="4">
        <f>IF(EI187&lt;&gt;"no",SUMPRODUCT(($EI$2:$EI$209&lt;&gt;"no")*($EJ$2:$EJ$209&gt;EJ187))+SUMPRODUCT(($EI$2:EI187&lt;&gt;"no")*($EJ$2:EJ187=EJ187)),"")</f>
        <v/>
      </c>
    </row>
    <row r="188">
      <c r="A188" s="2" t="inlineStr">
        <is>
          <t>cochesnet:71382237</t>
        </is>
      </c>
      <c r="B188" s="2" t="inlineStr">
        <is>
          <t>cochesnet</t>
        </is>
      </c>
      <c r="C188" s="2" t="inlineStr">
        <is>
          <t>https://www.coches.net/ford-ka-titanium-12-duratec-autostartstop-3p-gasolina-2012-en-valencia-71382237-covo.aspx</t>
        </is>
      </c>
      <c r="D188" s="2" t="inlineStr">
        <is>
          <t>FORD Ka Titanium 1.2 Duratec AutoStartStop</t>
        </is>
      </c>
      <c r="E188" s="2" t="inlineStr">
        <is>
          <t>Ford</t>
        </is>
      </c>
      <c r="F188" s="2" t="inlineStr">
        <is>
          <t>Ford Ka</t>
        </is>
      </c>
      <c r="G188" s="2" t="inlineStr">
        <is>
          <t>1.2</t>
        </is>
      </c>
      <c r="H188" s="2" t="inlineStr">
        <is>
          <t>Titanium 1.2 Duratec AutoStartStop</t>
        </is>
      </c>
      <c r="I188" s="2" t="n"/>
      <c r="J188" s="2" t="n"/>
      <c r="K188" s="2" t="inlineStr">
        <is>
          <t>gasolina</t>
        </is>
      </c>
      <c r="L188" s="2" t="inlineStr">
        <is>
          <t>utilitario</t>
        </is>
      </c>
      <c r="M188" s="2" t="n">
        <v>2012</v>
      </c>
      <c r="N188" s="2" t="n">
        <v>98000</v>
      </c>
      <c r="O188" s="2" t="n">
        <v>5600</v>
      </c>
      <c r="P188" s="2" t="inlineStr">
        <is>
          <t>manual</t>
        </is>
      </c>
      <c r="Q188" s="2" t="inlineStr">
        <is>
          <t>no</t>
        </is>
      </c>
      <c r="R188" s="2" t="inlineStr">
        <is>
          <t>profesional</t>
        </is>
      </c>
      <c r="S188" s="2" t="inlineStr">
        <is>
          <t>Multimarcas Valencia Aldaia</t>
        </is>
      </c>
      <c r="T188" s="2" t="inlineStr">
        <is>
          <t>2026-08-28T10:25:11Z</t>
        </is>
      </c>
      <c r="U188" s="2" t="n">
        <v>17</v>
      </c>
      <c r="V188" s="2" t="n"/>
      <c r="W188" s="2" t="n"/>
      <c r="X188" s="2" t="n"/>
      <c r="Y188" s="2" t="n"/>
      <c r="Z188" s="2" t="inlineStr">
        <is>
          <t>sí</t>
        </is>
      </c>
      <c r="AA188" s="2" t="inlineStr">
        <is>
          <t>sí</t>
        </is>
      </c>
      <c r="AB188" s="2" t="n">
        <v>12</v>
      </c>
      <c r="AC188" s="2" t="n"/>
      <c r="AD188" s="2" t="n"/>
      <c r="AE188" s="2" t="n"/>
      <c r="AF188" s="2" t="inlineStr">
        <is>
          <t>sí</t>
        </is>
      </c>
      <c r="AG188" s="2" t="n"/>
      <c r="AH188" s="2" t="n">
        <v>5600</v>
      </c>
      <c r="AI188" s="2" t="n">
        <v>5600</v>
      </c>
      <c r="AJ188" s="2" t="n"/>
      <c r="AK188" s="2" t="n"/>
      <c r="AL188" s="2" t="n"/>
      <c r="AM188" s="2" t="n">
        <v>7.5</v>
      </c>
      <c r="AN188" s="2" t="n"/>
      <c r="AO188" s="2" t="inlineStr">
        <is>
          <t>2012</t>
        </is>
      </c>
      <c r="AP188" s="2" t="n">
        <v>2012</v>
      </c>
      <c r="AQ188" s="2" t="n"/>
      <c r="AR188" s="2" t="inlineStr">
        <is>
          <t>C</t>
        </is>
      </c>
      <c r="AS188" s="2" t="inlineStr">
        <is>
          <t>anuncio</t>
        </is>
      </c>
      <c r="AT188" s="2" t="n"/>
      <c r="AU188" s="2" t="inlineStr">
        <is>
          <t>no</t>
        </is>
      </c>
      <c r="AV188" s="2" t="inlineStr">
        <is>
          <t>C</t>
        </is>
      </c>
      <c r="AW188" s="2" t="n"/>
      <c r="AX188" s="2" t="inlineStr">
        <is>
          <t>no</t>
        </is>
      </c>
      <c r="AY188" s="2" t="inlineStr">
        <is>
          <t>no</t>
        </is>
      </c>
      <c r="AZ188" s="2" t="inlineStr">
        <is>
          <t>COMMON.COLOR_RED</t>
        </is>
      </c>
      <c r="BA188" s="2" t="inlineStr">
        <is>
          <t>rojo</t>
        </is>
      </c>
      <c r="BB188" s="3" t="n">
        <v>2</v>
      </c>
      <c r="BC188" s="3" t="inlineStr">
        <is>
          <t>(por segmento)</t>
        </is>
      </c>
      <c r="BD188" s="2" t="n"/>
      <c r="BE188" s="2" t="n"/>
      <c r="BF188" s="2" t="n"/>
      <c r="BG188" s="2" t="n"/>
      <c r="BH188" s="2" t="n"/>
      <c r="BI188" s="2" t="n"/>
      <c r="BJ188" s="2" t="n"/>
      <c r="BK188" s="2" t="n"/>
      <c r="BL188" s="2" t="n"/>
      <c r="BM188" s="2" t="n">
        <v>50</v>
      </c>
      <c r="BN188" s="2" t="n"/>
      <c r="BO188" s="2" t="n">
        <v>0</v>
      </c>
      <c r="BP188" s="2" t="n">
        <v>3000</v>
      </c>
      <c r="BQ188" s="2" t="n">
        <v>9</v>
      </c>
      <c r="BR188" s="2" t="inlineStr">
        <is>
          <t>modelo+año</t>
        </is>
      </c>
      <c r="BS188" s="2" t="n"/>
      <c r="BT188" s="2" t="inlineStr">
        <is>
          <t>por encima del presupuesto: negociar 664 € (coste 5664 €; -13.3 puntos); vendedor profesional: sin ITP (operación con IVA/REBU, confirmar en factura); gastos de gestión del vendedor no indicados: se suma la tasa DGT; preguntar el precio final; Euro NCAP de la generación PENDIENTE (seguridad neutra); revisar: detalles «detalle», no menciona la ITV; fiabilidad del modelo PENDIENTE de fuente (puntuación neutra)</t>
        </is>
      </c>
      <c r="BU188" s="2" t="inlineStr">
        <is>
          <t>ENTREGA A DOMICILIO DEL VEHÍCULO EN TODA LA PENÍNSULA. VEHÍCULO REVISADO, CON KILOMETRAJE CERTIFICADO, SIN GOLPE ESTRUCTURAL. FINANCIACIÓN 100% A TU MEDIDA. ENTREGA TU COCHE COMO FORMA DE PAGO, MÁXIMA TASACIÓN DEL MERCADO TANTO PRESENCIAL COMO ONLINE.
Espectacular HERMOSO FORD KA CON TAN SOLO 98000 KILOEMTROS
POSIBILIDAD DE CONTRATAR UN SEGUNDO AÑO DE GARANTIA POR 395 € 
 -Extras a destacar: 
-Aire acondicionado  
-Retrovisores eléctricos.
-Entregamos el vehiculo recien pulido. Todos nuestros vehículos son nacionales y están revisados al detalle en nuestro taller , con certificación de kilometraje y de no siniestralidad 
Ven a visitarnos a Aldaya C/ Ovidi Montllor no14 HORARIO: -De lunes a viernes de 09:30 a 13:30 y de 16:30 a 20:00 Sabados mediante cita previa</t>
        </is>
      </c>
      <c r="BV188" s="2" t="inlineStr">
        <is>
          <t>https://www.coches.net/ford-ka-titanium-12-duratec-autostartstop-3p-gasolina-2012-en-valencia-71382237-covo.aspx (window.__INITIAL_PROPS__.ad) /home/user/Alopecia/buscador-coches/raw/cochesnet/55449c05ad03ab19.json</t>
        </is>
      </c>
      <c r="BW188" s="3">
        <f>MAX(ANIO_ACTUAL-M188,0)</f>
        <v/>
      </c>
      <c r="BX188" s="4">
        <f>N188/MAX(BW188,0.5)</f>
        <v/>
      </c>
      <c r="BY188" s="4">
        <f>F188</f>
        <v/>
      </c>
      <c r="BZ188" s="3">
        <f>BY188&amp;"|"&amp;INT(M188/SEG_ANIO)*SEG_ANIO</f>
        <v/>
      </c>
      <c r="CA188" s="3">
        <f>BZ188&amp;"|"&amp;INT(N188/SEG_KM)*SEG_KM</f>
        <v/>
      </c>
      <c r="CB188" s="4">
        <f>COUNTIF($BY$2:$BY$209,BY188)</f>
        <v/>
      </c>
      <c r="CC188" s="4">
        <f>COUNTIF($BZ$2:$BZ$209,BZ188)</f>
        <v/>
      </c>
      <c r="CD188" s="4">
        <f>COUNTIF($CA$2:$CA$209,CA188)</f>
        <v/>
      </c>
      <c r="CE188" s="3">
        <f t="array" ref="CE188">IF(N(BQ188)&gt;=MIN_N,BP188,IF(CD188&gt;=MIN_N,MEDIAN(IF($CA$2:$CA$209=CA188,$O$2:$O$209)),IF(CC188&gt;=MIN_N,MEDIAN(IF($BZ$2:$BZ$209=BZ188,$O$2:$O$209)),MEDIAN(IF($BY$2:$BY$209=BY188,$O$2:$O$209)))))</f>
        <v/>
      </c>
      <c r="CF188" s="3">
        <f>IF(N(BQ188)&gt;=MIN_N,"mercado "&amp;BR188,IF(CD188&gt;=MIN_N,"modelo+año+km",IF(CC188&gt;=MIN_N,"modelo+año","modelo")))</f>
        <v/>
      </c>
      <c r="CG188" s="4">
        <f>(CE188-O188)/CE188</f>
        <v/>
      </c>
      <c r="CH188" s="3">
        <f>IF(COUNTIFS(FR_FUEL,K188,FR_YEAR,AP188)&gt;0,1,0)</f>
        <v/>
      </c>
      <c r="CI188" s="3">
        <f>IF(COUNTIFS(FR_FUEL,K188,FR_YEAR,AP188-1)&gt;0,1,0)</f>
        <v/>
      </c>
      <c r="CJ188" s="4">
        <f>IF(N(AQ188)&gt;0,AP188*100+AQ188,IF(AND(CH188=1,CI188=1),(AP188-1)*100+1,AP188*100+1))</f>
        <v/>
      </c>
      <c r="CK188" s="3">
        <f>IF(OR(K188="hibrido",K188="glp",K188="gnc",K188="phev"),"ECO",IF(K188="electrico","CERO",IF(K188="gasolina",IF(CJ188&gt;=GAS_C_YM,"C",IF(CJ188&gt;=GAS_B_YM,"B","A")),IF(K188="diesel",IF(CJ188&gt;=DIE_C_YM,"C",IF(CJ188&gt;=DIE_B_YM,"B","A")),""))))</f>
        <v/>
      </c>
      <c r="CL188" s="2" t="inlineStr">
        <is>
          <t>C</t>
        </is>
      </c>
      <c r="CM188" s="4">
        <f>IF(AU188="sí","sí",IF(AS188="regla",IF(AND(N(AQ188)=0,CH188=1),"sí","no"),"no"))</f>
        <v/>
      </c>
      <c r="CN188" s="3">
        <f>IFERROR(VLOOKUP(F188,MOD_TBL,16,0),IFERROR(VLOOKUP(E188,OCU_TBL,2,0),NEUTRO))</f>
        <v/>
      </c>
      <c r="CO188" s="3">
        <f>SUMIFS(MOT_AJUSTE,MOT_MOTOR,G188,MOT_MARCA,E188,MOT_DESDE,"&lt;="&amp;M188,MOT_HASTA,"&gt;="&amp;M188)+SUMIFS(MOT_AJUSTE,MOT_MOTOR,G188,MOT_MARCA,"(todas)",MOT_DESDE,"&lt;="&amp;M188,MOT_HASTA,"&gt;="&amp;M188)+SUMIFS(MOT_AJUSTE,MOT_MOTOR,"(cualquiera)",MOT_MARCA,E188,MOT_DESDE,"&lt;="&amp;M188,MOT_HASTA,"&gt;="&amp;M188)</f>
        <v/>
      </c>
      <c r="CP188" s="3">
        <f>SUMIFS(COMB_AJUSTE,COMB_COMB,K188)</f>
        <v/>
      </c>
      <c r="CQ188" s="3">
        <f>COUNTIFS(MOT_MOTOR,G188,MOT_MARCA,E188,MOT_DESDE,"&lt;="&amp;M188,MOT_HASTA,"&gt;="&amp;M188)+COUNTIFS(MOT_MOTOR,G188,MOT_MARCA,"(todas)",MOT_DESDE,"&lt;="&amp;M188,MOT_HASTA,"&gt;="&amp;M188)+COUNTIFS(MOT_MOTOR,"(cualquiera)",MOT_MARCA,E188,MOT_DESDE,"&lt;="&amp;M188,MOT_HASTA,"&gt;="&amp;M188)</f>
        <v/>
      </c>
      <c r="CR188" s="3">
        <f>IF(AND(K188="diesel",CQ188=0),MIN(CN188,NEUTRO),CN188)</f>
        <v/>
      </c>
      <c r="CS188" s="3">
        <f>MAX(0,MIN(100,CR188+CO188+CP188-IF(AX188="sí",ROB_PEN,0)))</f>
        <v/>
      </c>
      <c r="CT188" s="3">
        <f>100-MAX(0,N188-KM_TOPE_DESDE)/1000*KM_TOPE_PTS</f>
        <v/>
      </c>
      <c r="CU188" s="3">
        <f>MAX(0,MIN(100,50+CG188*PRECIO_PEND,CT188))</f>
        <v/>
      </c>
      <c r="CV188" s="3">
        <f>MAX(0,100*(1-N188/KM_MAX))</f>
        <v/>
      </c>
      <c r="CW188" s="3">
        <f>IF(BX188&lt;KMA_SOSP,IF(AA188="sí",100,KMA_PEN),IF(BX188&lt;=KMA_IDEAL_MAX,100,MAX(0,100*(KMA_CERO-BX188)/(KMA_CERO-KMA_IDEAL_MAX))))</f>
        <v/>
      </c>
      <c r="CX188" s="3">
        <f>MAX(0,MIN(100,100*(M188-ANIO_MIN)/(ANIO_ACTUAL-ANIO_MIN)))</f>
        <v/>
      </c>
      <c r="CY188" s="3">
        <f>W_KMT*CV188+W_KMA*CW188+W_EDAD*CX188</f>
        <v/>
      </c>
      <c r="CZ188" s="4">
        <f>E188&amp;"|"&amp;G188</f>
        <v/>
      </c>
      <c r="DA188" s="3">
        <f>IFERROR(VLOOKUP(CZ188,DIST_TBL,2,0),"")</f>
        <v/>
      </c>
      <c r="DB188" s="3">
        <f>E_ITV*(V188="sí")+E_LIBRO*(W188="sí")+E_PROP*IF(Y188=1,1,IF(Y188=2,0.5,0))+E_CORREA*IF(OR(DA188="cadena",AND(X188="sí",BH188="sí")),1,IF(X188="sí",0.5,0))+E_FACT*(BI188="sí")</f>
        <v/>
      </c>
      <c r="DC188" s="3">
        <f>MAX(0,MIN(100,IFERROR(VLOOKUP(CL188,ETQ_TBL,2,0),0)-IF(CM188="sí",ETQ_PEN_DUD,IF(AS188="regla",ETQ_PEN_REGLA,0))))</f>
        <v/>
      </c>
      <c r="DD188" s="3">
        <f>IF(K188&lt;&gt;"gasolina","",IFERROR(VLOOKUP(F188,CONS_MOD_TBL,2,0),IFERROR(VLOOKUP(L188,CONS_SEG_TBL,2,0),"")))</f>
        <v/>
      </c>
      <c r="DE188" s="3">
        <f>IF(DD188="",NEUTRO,MAX(0,MIN(100,100*(CONS_REF_MAX-DD188)/(CONS_REF_MAX-CONS_REF_MIN))))</f>
        <v/>
      </c>
      <c r="DF188" s="3">
        <f>IFERROR(VLOOKUP(L188,SEGURO_TBL,3,0),"")</f>
        <v/>
      </c>
      <c r="DG188" s="3">
        <f>IF(DF188="",NEUTRO,MAX(0,MIN(100,100*(SEG_REF_MAX-DF188)/(SEG_REF_MAX-SEG_REF_MIN))))</f>
        <v/>
      </c>
      <c r="DH188" s="3">
        <f>IFERROR(VLOOKUP(E188,MANT_MARCA_TBL,2,0)+0,NEUTRO)</f>
        <v/>
      </c>
      <c r="DI188" s="3">
        <f>IF(DA188="",NEUTRO,IFERROR(VLOOKUP(DA188,DIST_PTS_TBL,2,0)+0,NEUTRO))</f>
        <v/>
      </c>
      <c r="DJ188" s="4">
        <f>(DH188+DI188)/2</f>
        <v/>
      </c>
      <c r="DK188" s="3">
        <f>W_CONS*DE188+W_SEG*DG188+W_MANT*DJ188</f>
        <v/>
      </c>
      <c r="DL188" s="3">
        <f>IF(N(AB188)&gt;0,AB188,IF(AND(R188="profesional",SG_LEGAL_ON=1),GAR_LEGAL,0))</f>
        <v/>
      </c>
      <c r="DM188" s="3">
        <f>MAX(0,MIN(100,SG_GAR*MIN(1,DL188/SG_GAR_FULL)+SG_AMPL*(AC188="sí")+SG_KMC*(AF188="sí")+SG_REV*(N(AE188)&gt;0)+SG_DEV*MIN(1,N(AG188)/SG_DEV_FULL)+SG_HIST*(W188="sí")-IF(AND(R188="particular",DL188=0),SG_PART_PEN,0)))</f>
        <v/>
      </c>
      <c r="DN188" s="3">
        <f>IF(BK188="",NEUTRO,MAX(0,MIN(100,BK188/5*100)))</f>
        <v/>
      </c>
      <c r="DO188" s="3">
        <f>IF(BL188="sí",100,IF(BL188="no",0,NEUTRO))</f>
        <v/>
      </c>
      <c r="DP188" s="3">
        <f>SV_W_NCAP*DN188+SV_W_ESP*DO188</f>
        <v/>
      </c>
      <c r="DQ188" s="3">
        <f>MAX(0,MIN(100,ATR_BASE+ATR_ACAB*(BD188&lt;&gt;"")+IF(BE188="16+",ATR_LL16,IF(BE188="sí",ATR_LL,0))+ATR_FAROS*(BF188="sí")+ATR_TINT*(BG188="sí")-ATR_CHAPA*(BE188="chapa")))</f>
        <v/>
      </c>
      <c r="DR188" s="3">
        <f>EST_W_MOD*(BB188-1)/4*100+EST_W_ATR*DQ188</f>
        <v/>
      </c>
      <c r="DS188" s="3">
        <f>IF(BA188="",NEUTRO,IFERROR(VLOOKUP(BA188,COLOR_TBL,2,0)+0,NEUTRO))</f>
        <v/>
      </c>
      <c r="DT188" s="3">
        <f>MAX(0,MIN(100,100*N(BM188)/RV_N_FULL))</f>
        <v/>
      </c>
      <c r="DU188" s="3">
        <f>IF(OR(BN188="",N(BO188)&lt;RV_DIAS_MIN),NEUTRO,MAX(0,MIN(100,100*(RV_DIAS_CERO-BN188)/(RV_DIAS_CERO-RV_DIAS_FULL))))</f>
        <v/>
      </c>
      <c r="DV188" s="3">
        <f>RV_W_LIQ*DT188+RV_W_DIAS*DU188+RV_W_ETQ*DC188</f>
        <v/>
      </c>
      <c r="DW188" s="3">
        <f>IFERROR(VLOOKUP(L188,CARR_PEN_TBL,2,0),0)</f>
        <v/>
      </c>
      <c r="DX188" s="3">
        <f>W_FIAB*CS188+W_PRECIO*CU188+W_KMEDAD*CY188+W_ESTADO*DB188+W_USO*DK188+W_SEGURIDAD*DM188+W_SEGVIAL*DP188+W_ESTETICA*DR188+W_COLOR*DS188+W_REVENTA*DV188-DW188-EG188</f>
        <v/>
      </c>
      <c r="DY188" s="4">
        <f>IF(N(I188)&gt;0,I188,IFERROR(ROUND(_xlfn.NUMBERVALUE(LEFT(G188,FIND(" ",G188&amp;" ")-1),".")*1000,0),99999))</f>
        <v/>
      </c>
      <c r="DZ188" s="3">
        <f>IF(R188="profesional",0,IF(O188&lt;CUOTA_VALOR_MAX,IF(BW188&gt;ITP_TRAMO_ALTO,SUMIFS(CF_CUOTA,CF_MAS,ITP_TRAMO_ALTO,CF_CCMIN,"&lt;="&amp;DY188,CF_CCMAX,"&gt;="&amp;DY188),IF(BW188&gt;ITP_TRAMO_BAJO,SUMIFS(CF_CUOTA,CF_MAS,ITP_TRAMO_BAJO,CF_CCMIN,"&lt;="&amp;DY188,CF_CCMAX,"&gt;="&amp;DY188),O188*ITP_TIPO)),O188*ITP_TIPO))</f>
        <v/>
      </c>
      <c r="EA188" s="4">
        <f>IF(R188="profesional",N(AK188),0)</f>
        <v/>
      </c>
      <c r="EB188" s="3">
        <f>IF(AND(R188="profesional",ISNUMBER(AK188),AL188="sí"),0,TASA_DGT)</f>
        <v/>
      </c>
      <c r="EC188" s="3">
        <f>INFORME_DGT</f>
        <v/>
      </c>
      <c r="ED188" s="4">
        <f>O188+EA188+DZ188+EB188+EC188</f>
        <v/>
      </c>
      <c r="EE188" s="4">
        <f>ED188+N(DF188)</f>
        <v/>
      </c>
      <c r="EF188" s="3">
        <f>MAX(0,ED188-TOTAL_MAX)</f>
        <v/>
      </c>
      <c r="EG188" s="3">
        <f>EF188/100*PEN_100</f>
        <v/>
      </c>
      <c r="EH188" s="3">
        <f>IF(R188="particular",ED188+IF(AND(DA188&lt;&gt;"cadena",X188&lt;&gt;"sí"),RES_CORREA,0)+IF(AND(BJ188&lt;&gt;"sí",BW188&gt;=RES_NEUM_EDAD),RES_NEUM,0),"")</f>
        <v/>
      </c>
      <c r="EI188" s="3">
        <f>IF(ED188&lt;=TOTAL_MAX,"sí",IF(ED188&lt;=TECHO,"negociar","no"))</f>
        <v/>
      </c>
      <c r="EJ188" s="4">
        <f>ROUND(DX188,9)</f>
        <v/>
      </c>
      <c r="EK188" s="4">
        <f>IF(EI188&lt;&gt;"no",SUMPRODUCT(($EI$2:$EI$209&lt;&gt;"no")*($EJ$2:$EJ$209&gt;EJ188))+SUMPRODUCT(($EI$2:EI188&lt;&gt;"no")*($EJ$2:EJ188=EJ188)),"")</f>
        <v/>
      </c>
    </row>
    <row r="189">
      <c r="A189" s="2" t="inlineStr">
        <is>
          <t>cochesnet:71484790</t>
        </is>
      </c>
      <c r="B189" s="2" t="inlineStr">
        <is>
          <t>cochesnet</t>
        </is>
      </c>
      <c r="C189" s="2" t="inlineStr">
        <is>
          <t>https://www.coches.net/ford-fiesta-125-82cv-trend-3p-gasolina-2009-en-valencia-71484790-covo.aspx</t>
        </is>
      </c>
      <c r="D189" s="2" t="inlineStr">
        <is>
          <t>FORD Fiesta 1.25 Trend</t>
        </is>
      </c>
      <c r="E189" s="2" t="inlineStr">
        <is>
          <t>Ford</t>
        </is>
      </c>
      <c r="F189" s="2" t="inlineStr">
        <is>
          <t>Ford Fiesta</t>
        </is>
      </c>
      <c r="G189" s="2" t="inlineStr">
        <is>
          <t>1.2</t>
        </is>
      </c>
      <c r="H189" s="2" t="inlineStr">
        <is>
          <t>1.25 82cv Trend</t>
        </is>
      </c>
      <c r="I189" s="2" t="n"/>
      <c r="J189" s="2" t="n">
        <v>82</v>
      </c>
      <c r="K189" s="2" t="inlineStr">
        <is>
          <t>gasolina</t>
        </is>
      </c>
      <c r="L189" s="2" t="inlineStr">
        <is>
          <t>utilitario</t>
        </is>
      </c>
      <c r="M189" s="2" t="n">
        <v>2009</v>
      </c>
      <c r="N189" s="2" t="n">
        <v>147000</v>
      </c>
      <c r="O189" s="2" t="n">
        <v>5290</v>
      </c>
      <c r="P189" s="2" t="inlineStr">
        <is>
          <t>manual</t>
        </is>
      </c>
      <c r="Q189" s="2" t="inlineStr">
        <is>
          <t>no</t>
        </is>
      </c>
      <c r="R189" s="2" t="inlineStr">
        <is>
          <t>profesional</t>
        </is>
      </c>
      <c r="S189" s="2" t="inlineStr">
        <is>
          <t>Riba-roja de Túria</t>
        </is>
      </c>
      <c r="T189" s="2" t="inlineStr">
        <is>
          <t>2026-09-10T13:50:17Z</t>
        </is>
      </c>
      <c r="U189" s="2" t="n">
        <v>11</v>
      </c>
      <c r="V189" s="2" t="n"/>
      <c r="W189" s="2" t="n"/>
      <c r="X189" s="2" t="n"/>
      <c r="Y189" s="2" t="n"/>
      <c r="Z189" s="2" t="inlineStr">
        <is>
          <t>sí</t>
        </is>
      </c>
      <c r="AA189" s="2" t="n"/>
      <c r="AB189" s="2" t="n">
        <v>12</v>
      </c>
      <c r="AC189" s="2" t="inlineStr">
        <is>
          <t>sí</t>
        </is>
      </c>
      <c r="AD189" s="2" t="n"/>
      <c r="AE189" s="2" t="n"/>
      <c r="AF189" s="2" t="n"/>
      <c r="AG189" s="2" t="n"/>
      <c r="AH189" s="2" t="n">
        <v>5290</v>
      </c>
      <c r="AI189" s="2" t="n"/>
      <c r="AJ189" s="2" t="n"/>
      <c r="AK189" s="2" t="n"/>
      <c r="AL189" s="2" t="n"/>
      <c r="AM189" s="2" t="n">
        <v>13.1</v>
      </c>
      <c r="AN189" s="2" t="n"/>
      <c r="AO189" s="2" t="inlineStr">
        <is>
          <t>2009</t>
        </is>
      </c>
      <c r="AP189" s="2" t="n">
        <v>2009</v>
      </c>
      <c r="AQ189" s="2" t="n"/>
      <c r="AR189" s="2" t="inlineStr">
        <is>
          <t>C</t>
        </is>
      </c>
      <c r="AS189" s="2" t="inlineStr">
        <is>
          <t>anuncio</t>
        </is>
      </c>
      <c r="AT189" s="2" t="n"/>
      <c r="AU189" s="2" t="inlineStr">
        <is>
          <t>no</t>
        </is>
      </c>
      <c r="AV189" s="2" t="inlineStr">
        <is>
          <t>C</t>
        </is>
      </c>
      <c r="AW189" s="2" t="n"/>
      <c r="AX189" s="2" t="inlineStr">
        <is>
          <t>no</t>
        </is>
      </c>
      <c r="AY189" s="2" t="inlineStr">
        <is>
          <t>no</t>
        </is>
      </c>
      <c r="AZ189" s="2" t="inlineStr">
        <is>
          <t>COMMON.COLOR_GREEN</t>
        </is>
      </c>
      <c r="BA189" s="2" t="inlineStr">
        <is>
          <t>verde</t>
        </is>
      </c>
      <c r="BB189" s="3" t="n">
        <v>2</v>
      </c>
      <c r="BC189" s="3" t="inlineStr">
        <is>
          <t>(por segmento)</t>
        </is>
      </c>
      <c r="BD189" s="2" t="n"/>
      <c r="BE189" s="2" t="n"/>
      <c r="BF189" s="2" t="n"/>
      <c r="BG189" s="2" t="n"/>
      <c r="BH189" s="2" t="n"/>
      <c r="BI189" s="2" t="n"/>
      <c r="BJ189" s="2" t="n"/>
      <c r="BK189" s="2" t="n">
        <v>5</v>
      </c>
      <c r="BL189" s="2" t="n"/>
      <c r="BM189" s="2" t="n">
        <v>302</v>
      </c>
      <c r="BN189" s="2" t="n">
        <v>0.07434027781710029</v>
      </c>
      <c r="BO189" s="2" t="n">
        <v>3</v>
      </c>
      <c r="BP189" s="2" t="n">
        <v>4990</v>
      </c>
      <c r="BQ189" s="2" t="n">
        <v>9</v>
      </c>
      <c r="BR189" s="2" t="inlineStr">
        <is>
          <t>modelo+año+km</t>
        </is>
      </c>
      <c r="BS189" s="2" t="n"/>
      <c r="BT189" s="2" t="inlineStr">
        <is>
          <t>por encima del presupuesto: negociar 354 € (coste 5354 €; -7.1 puntos); vendedor profesional: sin ITP (operación con IVA/REBU, confirmar en factura); gastos de gestión del vendedor no indicados: se suma la tasa DGT; preguntar el precio final</t>
        </is>
      </c>
      <c r="BU189" s="2" t="inlineStr">
        <is>
          <t xml:space="preserve">
Precio del vehículo financiado :(consultar condiciones)
Gastos de gestoría : 150€ 
Garantía incluida de 12 meses, posibilidad de ampliar la garantía hasta 24 o 36 meses
En nuestro centro multimarca , los vehículos se someten a un proceso de filtro antes de su entrega definitiva: limpieza, reparación , ITV , en nuestro taller propio 
Ofrecemos a todos nuestros clientes un trato personalizado en el sector de la automoción .
Entrega tu vehículo como parte del pago ! Si contacta por correo electrónico , por favor incluya su numero de teléfono para un trato más rápido y ágil y personalizado.
Revise los vehículos en nuestro Instagram y en nuestra web concreta tu cita </t>
        </is>
      </c>
      <c r="BV189" s="2" t="inlineStr">
        <is>
          <t>https://www.coches.net/ford-fiesta-125-82cv-trend-3p-gasolina-2009-en-valencia-71484790-covo.aspx (window.__INITIAL_PROPS__.ad) /home/user/Alopecia/buscador-coches/raw/cochesnet/1a8b7e35c6701d7b.json</t>
        </is>
      </c>
      <c r="BW189" s="3">
        <f>MAX(ANIO_ACTUAL-M189,0)</f>
        <v/>
      </c>
      <c r="BX189" s="4">
        <f>N189/MAX(BW189,0.5)</f>
        <v/>
      </c>
      <c r="BY189" s="4">
        <f>F189</f>
        <v/>
      </c>
      <c r="BZ189" s="3">
        <f>BY189&amp;"|"&amp;INT(M189/SEG_ANIO)*SEG_ANIO</f>
        <v/>
      </c>
      <c r="CA189" s="3">
        <f>BZ189&amp;"|"&amp;INT(N189/SEG_KM)*SEG_KM</f>
        <v/>
      </c>
      <c r="CB189" s="4">
        <f>COUNTIF($BY$2:$BY$209,BY189)</f>
        <v/>
      </c>
      <c r="CC189" s="4">
        <f>COUNTIF($BZ$2:$BZ$209,BZ189)</f>
        <v/>
      </c>
      <c r="CD189" s="4">
        <f>COUNTIF($CA$2:$CA$209,CA189)</f>
        <v/>
      </c>
      <c r="CE189" s="3">
        <f t="array" ref="CE189">IF(N(BQ189)&gt;=MIN_N,BP189,IF(CD189&gt;=MIN_N,MEDIAN(IF($CA$2:$CA$209=CA189,$O$2:$O$209)),IF(CC189&gt;=MIN_N,MEDIAN(IF($BZ$2:$BZ$209=BZ189,$O$2:$O$209)),MEDIAN(IF($BY$2:$BY$209=BY189,$O$2:$O$209)))))</f>
        <v/>
      </c>
      <c r="CF189" s="3">
        <f>IF(N(BQ189)&gt;=MIN_N,"mercado "&amp;BR189,IF(CD189&gt;=MIN_N,"modelo+año+km",IF(CC189&gt;=MIN_N,"modelo+año","modelo")))</f>
        <v/>
      </c>
      <c r="CG189" s="4">
        <f>(CE189-O189)/CE189</f>
        <v/>
      </c>
      <c r="CH189" s="3">
        <f>IF(COUNTIFS(FR_FUEL,K189,FR_YEAR,AP189)&gt;0,1,0)</f>
        <v/>
      </c>
      <c r="CI189" s="3">
        <f>IF(COUNTIFS(FR_FUEL,K189,FR_YEAR,AP189-1)&gt;0,1,0)</f>
        <v/>
      </c>
      <c r="CJ189" s="4">
        <f>IF(N(AQ189)&gt;0,AP189*100+AQ189,IF(AND(CH189=1,CI189=1),(AP189-1)*100+1,AP189*100+1))</f>
        <v/>
      </c>
      <c r="CK189" s="3">
        <f>IF(OR(K189="hibrido",K189="glp",K189="gnc",K189="phev"),"ECO",IF(K189="electrico","CERO",IF(K189="gasolina",IF(CJ189&gt;=GAS_C_YM,"C",IF(CJ189&gt;=GAS_B_YM,"B","A")),IF(K189="diesel",IF(CJ189&gt;=DIE_C_YM,"C",IF(CJ189&gt;=DIE_B_YM,"B","A")),""))))</f>
        <v/>
      </c>
      <c r="CL189" s="2" t="inlineStr">
        <is>
          <t>C</t>
        </is>
      </c>
      <c r="CM189" s="4">
        <f>IF(AU189="sí","sí",IF(AS189="regla",IF(AND(N(AQ189)=0,CH189=1),"sí","no"),"no"))</f>
        <v/>
      </c>
      <c r="CN189" s="3">
        <f>IFERROR(VLOOKUP(F189,MOD_TBL,16,0),IFERROR(VLOOKUP(E189,OCU_TBL,2,0),NEUTRO))</f>
        <v/>
      </c>
      <c r="CO189" s="3">
        <f>SUMIFS(MOT_AJUSTE,MOT_MOTOR,G189,MOT_MARCA,E189,MOT_DESDE,"&lt;="&amp;M189,MOT_HASTA,"&gt;="&amp;M189)+SUMIFS(MOT_AJUSTE,MOT_MOTOR,G189,MOT_MARCA,"(todas)",MOT_DESDE,"&lt;="&amp;M189,MOT_HASTA,"&gt;="&amp;M189)+SUMIFS(MOT_AJUSTE,MOT_MOTOR,"(cualquiera)",MOT_MARCA,E189,MOT_DESDE,"&lt;="&amp;M189,MOT_HASTA,"&gt;="&amp;M189)</f>
        <v/>
      </c>
      <c r="CP189" s="3">
        <f>SUMIFS(COMB_AJUSTE,COMB_COMB,K189)</f>
        <v/>
      </c>
      <c r="CQ189" s="3">
        <f>COUNTIFS(MOT_MOTOR,G189,MOT_MARCA,E189,MOT_DESDE,"&lt;="&amp;M189,MOT_HASTA,"&gt;="&amp;M189)+COUNTIFS(MOT_MOTOR,G189,MOT_MARCA,"(todas)",MOT_DESDE,"&lt;="&amp;M189,MOT_HASTA,"&gt;="&amp;M189)+COUNTIFS(MOT_MOTOR,"(cualquiera)",MOT_MARCA,E189,MOT_DESDE,"&lt;="&amp;M189,MOT_HASTA,"&gt;="&amp;M189)</f>
        <v/>
      </c>
      <c r="CR189" s="3">
        <f>IF(AND(K189="diesel",CQ189=0),MIN(CN189,NEUTRO),CN189)</f>
        <v/>
      </c>
      <c r="CS189" s="3">
        <f>MAX(0,MIN(100,CR189+CO189+CP189-IF(AX189="sí",ROB_PEN,0)))</f>
        <v/>
      </c>
      <c r="CT189" s="3">
        <f>100-MAX(0,N189-KM_TOPE_DESDE)/1000*KM_TOPE_PTS</f>
        <v/>
      </c>
      <c r="CU189" s="3">
        <f>MAX(0,MIN(100,50+CG189*PRECIO_PEND,CT189))</f>
        <v/>
      </c>
      <c r="CV189" s="3">
        <f>MAX(0,100*(1-N189/KM_MAX))</f>
        <v/>
      </c>
      <c r="CW189" s="3">
        <f>IF(BX189&lt;KMA_SOSP,IF(AA189="sí",100,KMA_PEN),IF(BX189&lt;=KMA_IDEAL_MAX,100,MAX(0,100*(KMA_CERO-BX189)/(KMA_CERO-KMA_IDEAL_MAX))))</f>
        <v/>
      </c>
      <c r="CX189" s="3">
        <f>MAX(0,MIN(100,100*(M189-ANIO_MIN)/(ANIO_ACTUAL-ANIO_MIN)))</f>
        <v/>
      </c>
      <c r="CY189" s="3">
        <f>W_KMT*CV189+W_KMA*CW189+W_EDAD*CX189</f>
        <v/>
      </c>
      <c r="CZ189" s="4">
        <f>E189&amp;"|"&amp;G189</f>
        <v/>
      </c>
      <c r="DA189" s="3">
        <f>IFERROR(VLOOKUP(CZ189,DIST_TBL,2,0),"")</f>
        <v/>
      </c>
      <c r="DB189" s="3">
        <f>E_ITV*(V189="sí")+E_LIBRO*(W189="sí")+E_PROP*IF(Y189=1,1,IF(Y189=2,0.5,0))+E_CORREA*IF(OR(DA189="cadena",AND(X189="sí",BH189="sí")),1,IF(X189="sí",0.5,0))+E_FACT*(BI189="sí")</f>
        <v/>
      </c>
      <c r="DC189" s="3">
        <f>MAX(0,MIN(100,IFERROR(VLOOKUP(CL189,ETQ_TBL,2,0),0)-IF(CM189="sí",ETQ_PEN_DUD,IF(AS189="regla",ETQ_PEN_REGLA,0))))</f>
        <v/>
      </c>
      <c r="DD189" s="3">
        <f>IF(K189&lt;&gt;"gasolina","",IFERROR(VLOOKUP(F189,CONS_MOD_TBL,2,0),IFERROR(VLOOKUP(L189,CONS_SEG_TBL,2,0),"")))</f>
        <v/>
      </c>
      <c r="DE189" s="3">
        <f>IF(DD189="",NEUTRO,MAX(0,MIN(100,100*(CONS_REF_MAX-DD189)/(CONS_REF_MAX-CONS_REF_MIN))))</f>
        <v/>
      </c>
      <c r="DF189" s="3">
        <f>IFERROR(VLOOKUP(L189,SEGURO_TBL,3,0),"")</f>
        <v/>
      </c>
      <c r="DG189" s="3">
        <f>IF(DF189="",NEUTRO,MAX(0,MIN(100,100*(SEG_REF_MAX-DF189)/(SEG_REF_MAX-SEG_REF_MIN))))</f>
        <v/>
      </c>
      <c r="DH189" s="3">
        <f>IFERROR(VLOOKUP(E189,MANT_MARCA_TBL,2,0)+0,NEUTRO)</f>
        <v/>
      </c>
      <c r="DI189" s="3">
        <f>IF(DA189="",NEUTRO,IFERROR(VLOOKUP(DA189,DIST_PTS_TBL,2,0)+0,NEUTRO))</f>
        <v/>
      </c>
      <c r="DJ189" s="4">
        <f>(DH189+DI189)/2</f>
        <v/>
      </c>
      <c r="DK189" s="3">
        <f>W_CONS*DE189+W_SEG*DG189+W_MANT*DJ189</f>
        <v/>
      </c>
      <c r="DL189" s="3">
        <f>IF(N(AB189)&gt;0,AB189,IF(AND(R189="profesional",SG_LEGAL_ON=1),GAR_LEGAL,0))</f>
        <v/>
      </c>
      <c r="DM189" s="3">
        <f>MAX(0,MIN(100,SG_GAR*MIN(1,DL189/SG_GAR_FULL)+SG_AMPL*(AC189="sí")+SG_KMC*(AF189="sí")+SG_REV*(N(AE189)&gt;0)+SG_DEV*MIN(1,N(AG189)/SG_DEV_FULL)+SG_HIST*(W189="sí")-IF(AND(R189="particular",DL189=0),SG_PART_PEN,0)))</f>
        <v/>
      </c>
      <c r="DN189" s="3">
        <f>IF(BK189="",NEUTRO,MAX(0,MIN(100,BK189/5*100)))</f>
        <v/>
      </c>
      <c r="DO189" s="3">
        <f>IF(BL189="sí",100,IF(BL189="no",0,NEUTRO))</f>
        <v/>
      </c>
      <c r="DP189" s="3">
        <f>SV_W_NCAP*DN189+SV_W_ESP*DO189</f>
        <v/>
      </c>
      <c r="DQ189" s="3">
        <f>MAX(0,MIN(100,ATR_BASE+ATR_ACAB*(BD189&lt;&gt;"")+IF(BE189="16+",ATR_LL16,IF(BE189="sí",ATR_LL,0))+ATR_FAROS*(BF189="sí")+ATR_TINT*(BG189="sí")-ATR_CHAPA*(BE189="chapa")))</f>
        <v/>
      </c>
      <c r="DR189" s="3">
        <f>EST_W_MOD*(BB189-1)/4*100+EST_W_ATR*DQ189</f>
        <v/>
      </c>
      <c r="DS189" s="3">
        <f>IF(BA189="",NEUTRO,IFERROR(VLOOKUP(BA189,COLOR_TBL,2,0)+0,NEUTRO))</f>
        <v/>
      </c>
      <c r="DT189" s="3">
        <f>MAX(0,MIN(100,100*N(BM189)/RV_N_FULL))</f>
        <v/>
      </c>
      <c r="DU189" s="3">
        <f>IF(OR(BN189="",N(BO189)&lt;RV_DIAS_MIN),NEUTRO,MAX(0,MIN(100,100*(RV_DIAS_CERO-BN189)/(RV_DIAS_CERO-RV_DIAS_FULL))))</f>
        <v/>
      </c>
      <c r="DV189" s="3">
        <f>RV_W_LIQ*DT189+RV_W_DIAS*DU189+RV_W_ETQ*DC189</f>
        <v/>
      </c>
      <c r="DW189" s="3">
        <f>IFERROR(VLOOKUP(L189,CARR_PEN_TBL,2,0),0)</f>
        <v/>
      </c>
      <c r="DX189" s="3">
        <f>W_FIAB*CS189+W_PRECIO*CU189+W_KMEDAD*CY189+W_ESTADO*DB189+W_USO*DK189+W_SEGURIDAD*DM189+W_SEGVIAL*DP189+W_ESTETICA*DR189+W_COLOR*DS189+W_REVENTA*DV189-DW189-EG189</f>
        <v/>
      </c>
      <c r="DY189" s="4">
        <f>IF(N(I189)&gt;0,I189,IFERROR(ROUND(_xlfn.NUMBERVALUE(LEFT(G189,FIND(" ",G189&amp;" ")-1),".")*1000,0),99999))</f>
        <v/>
      </c>
      <c r="DZ189" s="3">
        <f>IF(R189="profesional",0,IF(O189&lt;CUOTA_VALOR_MAX,IF(BW189&gt;ITP_TRAMO_ALTO,SUMIFS(CF_CUOTA,CF_MAS,ITP_TRAMO_ALTO,CF_CCMIN,"&lt;="&amp;DY189,CF_CCMAX,"&gt;="&amp;DY189),IF(BW189&gt;ITP_TRAMO_BAJO,SUMIFS(CF_CUOTA,CF_MAS,ITP_TRAMO_BAJO,CF_CCMIN,"&lt;="&amp;DY189,CF_CCMAX,"&gt;="&amp;DY189),O189*ITP_TIPO)),O189*ITP_TIPO))</f>
        <v/>
      </c>
      <c r="EA189" s="4">
        <f>IF(R189="profesional",N(AK189),0)</f>
        <v/>
      </c>
      <c r="EB189" s="3">
        <f>IF(AND(R189="profesional",ISNUMBER(AK189),AL189="sí"),0,TASA_DGT)</f>
        <v/>
      </c>
      <c r="EC189" s="3">
        <f>INFORME_DGT</f>
        <v/>
      </c>
      <c r="ED189" s="4">
        <f>O189+EA189+DZ189+EB189+EC189</f>
        <v/>
      </c>
      <c r="EE189" s="4">
        <f>ED189+N(DF189)</f>
        <v/>
      </c>
      <c r="EF189" s="3">
        <f>MAX(0,ED189-TOTAL_MAX)</f>
        <v/>
      </c>
      <c r="EG189" s="3">
        <f>EF189/100*PEN_100</f>
        <v/>
      </c>
      <c r="EH189" s="3">
        <f>IF(R189="particular",ED189+IF(AND(DA189&lt;&gt;"cadena",X189&lt;&gt;"sí"),RES_CORREA,0)+IF(AND(BJ189&lt;&gt;"sí",BW189&gt;=RES_NEUM_EDAD),RES_NEUM,0),"")</f>
        <v/>
      </c>
      <c r="EI189" s="3">
        <f>IF(ED189&lt;=TOTAL_MAX,"sí",IF(ED189&lt;=TECHO,"negociar","no"))</f>
        <v/>
      </c>
      <c r="EJ189" s="4">
        <f>ROUND(DX189,9)</f>
        <v/>
      </c>
      <c r="EK189" s="4">
        <f>IF(EI189&lt;&gt;"no",SUMPRODUCT(($EI$2:$EI$209&lt;&gt;"no")*($EJ$2:$EJ$209&gt;EJ189))+SUMPRODUCT(($EI$2:EI189&lt;&gt;"no")*($EJ$2:EJ189=EJ189)),"")</f>
        <v/>
      </c>
    </row>
    <row r="190">
      <c r="A190" s="2" t="inlineStr">
        <is>
          <t>cochesnet:71231869</t>
        </is>
      </c>
      <c r="B190" s="2" t="inlineStr">
        <is>
          <t>cochesnet</t>
        </is>
      </c>
      <c r="C190" s="2" t="inlineStr">
        <is>
          <t>https://www.coches.net/ford-fiesta-10-ecoboost-100cv-trend-5p-5p-gasolina-2014-en-valencia-71231869-covo.aspx</t>
        </is>
      </c>
      <c r="D190" s="2" t="inlineStr">
        <is>
          <t>FORD Fiesta 1.0 EcoBoost Trend</t>
        </is>
      </c>
      <c r="E190" s="2" t="inlineStr">
        <is>
          <t>Ford</t>
        </is>
      </c>
      <c r="F190" s="2" t="inlineStr">
        <is>
          <t>Ford Fiesta</t>
        </is>
      </c>
      <c r="G190" s="2" t="inlineStr">
        <is>
          <t>1.0 EcoBoost</t>
        </is>
      </c>
      <c r="H190" s="2" t="inlineStr">
        <is>
          <t>1.0 EcoBoost 100cv Trend 5p</t>
        </is>
      </c>
      <c r="I190" s="2" t="n"/>
      <c r="J190" s="2" t="n">
        <v>100</v>
      </c>
      <c r="K190" s="2" t="inlineStr">
        <is>
          <t>gasolina</t>
        </is>
      </c>
      <c r="L190" s="2" t="inlineStr">
        <is>
          <t>utilitario</t>
        </is>
      </c>
      <c r="M190" s="2" t="n">
        <v>2013</v>
      </c>
      <c r="N190" s="2" t="n">
        <v>159000</v>
      </c>
      <c r="O190" s="2" t="n">
        <v>5300</v>
      </c>
      <c r="P190" s="2" t="inlineStr">
        <is>
          <t>manual</t>
        </is>
      </c>
      <c r="Q190" s="2" t="inlineStr">
        <is>
          <t>no</t>
        </is>
      </c>
      <c r="R190" s="2" t="inlineStr">
        <is>
          <t>profesional</t>
        </is>
      </c>
      <c r="S190" s="2" t="inlineStr">
        <is>
          <t>Auto Ocasión Mauri Massanassa</t>
        </is>
      </c>
      <c r="T190" s="2" t="inlineStr">
        <is>
          <t>2026-08-05T08:48:56Z</t>
        </is>
      </c>
      <c r="U190" s="2" t="n">
        <v>12</v>
      </c>
      <c r="V190" s="2" t="n"/>
      <c r="W190" s="2" t="n"/>
      <c r="X190" s="2" t="n"/>
      <c r="Y190" s="2" t="n"/>
      <c r="Z190" s="2" t="inlineStr">
        <is>
          <t>sí</t>
        </is>
      </c>
      <c r="AA190" s="2" t="n"/>
      <c r="AB190" s="2" t="n">
        <v>12</v>
      </c>
      <c r="AC190" s="2" t="n"/>
      <c r="AD190" s="2" t="n"/>
      <c r="AE190" s="2" t="n"/>
      <c r="AF190" s="2" t="n"/>
      <c r="AG190" s="2" t="n"/>
      <c r="AH190" s="2" t="n">
        <v>5300</v>
      </c>
      <c r="AI190" s="2" t="n"/>
      <c r="AJ190" s="2" t="n"/>
      <c r="AK190" s="2" t="n"/>
      <c r="AL190" s="2" t="n"/>
      <c r="AM190" s="2" t="n">
        <v>6.9</v>
      </c>
      <c r="AN190" s="2" t="n"/>
      <c r="AO190" s="2" t="inlineStr">
        <is>
          <t>2013</t>
        </is>
      </c>
      <c r="AP190" s="2" t="n">
        <v>2013</v>
      </c>
      <c r="AQ190" s="2" t="n"/>
      <c r="AR190" s="2" t="n"/>
      <c r="AS190" s="2" t="inlineStr">
        <is>
          <t>regla</t>
        </is>
      </c>
      <c r="AT190" s="2" t="n">
        <v>2014</v>
      </c>
      <c r="AU190" s="2" t="inlineStr">
        <is>
          <t>no</t>
        </is>
      </c>
      <c r="AV190" s="2" t="inlineStr">
        <is>
          <t>C</t>
        </is>
      </c>
      <c r="AW190" s="2" t="n"/>
      <c r="AX190" s="2" t="inlineStr">
        <is>
          <t>no</t>
        </is>
      </c>
      <c r="AY190" s="2" t="inlineStr">
        <is>
          <t>no</t>
        </is>
      </c>
      <c r="AZ190" s="2" t="inlineStr">
        <is>
          <t>COMMON.COLOR_RED</t>
        </is>
      </c>
      <c r="BA190" s="2" t="inlineStr">
        <is>
          <t>rojo</t>
        </is>
      </c>
      <c r="BB190" s="3" t="n">
        <v>2</v>
      </c>
      <c r="BC190" s="3" t="inlineStr">
        <is>
          <t>(por segmento)</t>
        </is>
      </c>
      <c r="BD190" s="2" t="n"/>
      <c r="BE190" s="2" t="n"/>
      <c r="BF190" s="2" t="n"/>
      <c r="BG190" s="2" t="n"/>
      <c r="BH190" s="2" t="n"/>
      <c r="BI190" s="2" t="n"/>
      <c r="BJ190" s="2" t="n"/>
      <c r="BK190" s="2" t="n">
        <v>5</v>
      </c>
      <c r="BL190" s="2" t="inlineStr">
        <is>
          <t>sí</t>
        </is>
      </c>
      <c r="BM190" s="2" t="n">
        <v>302</v>
      </c>
      <c r="BN190" s="2" t="n">
        <v>0.07434027781710029</v>
      </c>
      <c r="BO190" s="2" t="n">
        <v>3</v>
      </c>
      <c r="BP190" s="2" t="n">
        <v>6490</v>
      </c>
      <c r="BQ190" s="2" t="n">
        <v>13</v>
      </c>
      <c r="BR190" s="2" t="inlineStr">
        <is>
          <t>modelo+año+km</t>
        </is>
      </c>
      <c r="BS190" s="2" t="n"/>
      <c r="BT190" s="2" t="inlineStr">
        <is>
          <t>año a confirmar: la URL/título dice 2014; por encima del presupuesto: negociar 364 € (coste 5364 €; -7.3 puntos); vendedor profesional: sin ITP (operación con IVA/REBU, confirmar en factura); gastos de gestión del vendedor no indicados: se suma la tasa DGT; preguntar el precio final; etiqueta C deducida por fecha (sin matrícula ni dato del anuncio); revisar: no menciona la ITV</t>
        </is>
      </c>
      <c r="BU190" s="2" t="inlineStr">
        <is>
          <t>Este Ford Fiesta 1.0 EcoBoost es un vehículo compacto versátil, diseñado para quienes buscan practicidad y eficiencia en ciudad sin renunciar a la comodidad. Su motor de tres cilindros ofrece un consumo moderado (4,3 l/100km en ciclo mixto) con una autonomía cercana a los 1.000 kilómetros, lo que lo hace adecuado para desplazamientos diarios y viajes ocasionales.
El espacio interior está bien aprovechado: 290 litros de maletero permiten transportar equipaje habitual, ampliables a 974 litros con los asientos traseros abatidos. La batalla corta facilita la maniobrabilidad en espacios reducidos, mientras que la dirección asistida eléctrica con endurecimiento progresivo proporciona precisión a cualquier velocidad.
En cuanto a seguridad, este modelo incluye airbags frontales y laterales, control de estabilidad, ABS y preparación Isofix, elementos fundamentales para la protección de ocupantes. Los cinturones de seguridad con pretensores en los asientos delanteros y la estructura de la carrocería completan el equipamiento de seguridad básico.
El acabado Trend ofrece elementos de confort como cierre centralizado con mando a distancia, elevalunas eléctricos delanteros, retrovisores exteriores ajustables eléctricamente y sistema de ventilación con filtro de pólen. La transmisión manual de cinco marchas es robusta y económica en consumo.
Este Fiesta se adapta bien a conductores que valoren la eficiencia operativa, la facilidad de aparcamiento y un mantenimiento accesible, siendo esp</t>
        </is>
      </c>
      <c r="BV190" s="2" t="inlineStr">
        <is>
          <t>https://www.coches.net/ford-fiesta-10-ecoboost-100cv-trend-5p-5p-gasolina-2014-en-valencia-71231869-covo.aspx (window.__INITIAL_PROPS__.ad) /home/user/Alopecia/buscador-coches/raw/cochesnet/f6b57fb3bc8f3886.json</t>
        </is>
      </c>
      <c r="BW190" s="3">
        <f>MAX(ANIO_ACTUAL-M190,0)</f>
        <v/>
      </c>
      <c r="BX190" s="4">
        <f>N190/MAX(BW190,0.5)</f>
        <v/>
      </c>
      <c r="BY190" s="4">
        <f>F190</f>
        <v/>
      </c>
      <c r="BZ190" s="3">
        <f>BY190&amp;"|"&amp;INT(M190/SEG_ANIO)*SEG_ANIO</f>
        <v/>
      </c>
      <c r="CA190" s="3">
        <f>BZ190&amp;"|"&amp;INT(N190/SEG_KM)*SEG_KM</f>
        <v/>
      </c>
      <c r="CB190" s="4">
        <f>COUNTIF($BY$2:$BY$209,BY190)</f>
        <v/>
      </c>
      <c r="CC190" s="4">
        <f>COUNTIF($BZ$2:$BZ$209,BZ190)</f>
        <v/>
      </c>
      <c r="CD190" s="4">
        <f>COUNTIF($CA$2:$CA$209,CA190)</f>
        <v/>
      </c>
      <c r="CE190" s="3">
        <f t="array" ref="CE190">IF(N(BQ190)&gt;=MIN_N,BP190,IF(CD190&gt;=MIN_N,MEDIAN(IF($CA$2:$CA$209=CA190,$O$2:$O$209)),IF(CC190&gt;=MIN_N,MEDIAN(IF($BZ$2:$BZ$209=BZ190,$O$2:$O$209)),MEDIAN(IF($BY$2:$BY$209=BY190,$O$2:$O$209)))))</f>
        <v/>
      </c>
      <c r="CF190" s="3">
        <f>IF(N(BQ190)&gt;=MIN_N,"mercado "&amp;BR190,IF(CD190&gt;=MIN_N,"modelo+año+km",IF(CC190&gt;=MIN_N,"modelo+año","modelo")))</f>
        <v/>
      </c>
      <c r="CG190" s="4">
        <f>(CE190-O190)/CE190</f>
        <v/>
      </c>
      <c r="CH190" s="3">
        <f>IF(COUNTIFS(FR_FUEL,K190,FR_YEAR,AP190)&gt;0,1,0)</f>
        <v/>
      </c>
      <c r="CI190" s="3">
        <f>IF(COUNTIFS(FR_FUEL,K190,FR_YEAR,AP190-1)&gt;0,1,0)</f>
        <v/>
      </c>
      <c r="CJ190" s="4">
        <f>IF(N(AQ190)&gt;0,AP190*100+AQ190,IF(AND(CH190=1,CI190=1),(AP190-1)*100+1,AP190*100+1))</f>
        <v/>
      </c>
      <c r="CK190" s="3">
        <f>IF(OR(K190="hibrido",K190="glp",K190="gnc",K190="phev"),"ECO",IF(K190="electrico","CERO",IF(K190="gasolina",IF(CJ190&gt;=GAS_C_YM,"C",IF(CJ190&gt;=GAS_B_YM,"B","A")),IF(K190="diesel",IF(CJ190&gt;=DIE_C_YM,"C",IF(CJ190&gt;=DIE_B_YM,"B","A")),""))))</f>
        <v/>
      </c>
      <c r="CL190" s="4">
        <f>CK190</f>
        <v/>
      </c>
      <c r="CM190" s="4">
        <f>IF(AU190="sí","sí",IF(AS190="regla",IF(AND(N(AQ190)=0,CH190=1),"sí","no"),"no"))</f>
        <v/>
      </c>
      <c r="CN190" s="3">
        <f>IFERROR(VLOOKUP(F190,MOD_TBL,16,0),IFERROR(VLOOKUP(E190,OCU_TBL,2,0),NEUTRO))</f>
        <v/>
      </c>
      <c r="CO190" s="3">
        <f>SUMIFS(MOT_AJUSTE,MOT_MOTOR,G190,MOT_MARCA,E190,MOT_DESDE,"&lt;="&amp;M190,MOT_HASTA,"&gt;="&amp;M190)+SUMIFS(MOT_AJUSTE,MOT_MOTOR,G190,MOT_MARCA,"(todas)",MOT_DESDE,"&lt;="&amp;M190,MOT_HASTA,"&gt;="&amp;M190)+SUMIFS(MOT_AJUSTE,MOT_MOTOR,"(cualquiera)",MOT_MARCA,E190,MOT_DESDE,"&lt;="&amp;M190,MOT_HASTA,"&gt;="&amp;M190)</f>
        <v/>
      </c>
      <c r="CP190" s="3">
        <f>SUMIFS(COMB_AJUSTE,COMB_COMB,K190)</f>
        <v/>
      </c>
      <c r="CQ190" s="3">
        <f>COUNTIFS(MOT_MOTOR,G190,MOT_MARCA,E190,MOT_DESDE,"&lt;="&amp;M190,MOT_HASTA,"&gt;="&amp;M190)+COUNTIFS(MOT_MOTOR,G190,MOT_MARCA,"(todas)",MOT_DESDE,"&lt;="&amp;M190,MOT_HASTA,"&gt;="&amp;M190)+COUNTIFS(MOT_MOTOR,"(cualquiera)",MOT_MARCA,E190,MOT_DESDE,"&lt;="&amp;M190,MOT_HASTA,"&gt;="&amp;M190)</f>
        <v/>
      </c>
      <c r="CR190" s="3">
        <f>IF(AND(K190="diesel",CQ190=0),MIN(CN190,NEUTRO),CN190)</f>
        <v/>
      </c>
      <c r="CS190" s="3">
        <f>MAX(0,MIN(100,CR190+CO190+CP190-IF(AX190="sí",ROB_PEN,0)))</f>
        <v/>
      </c>
      <c r="CT190" s="3">
        <f>100-MAX(0,N190-KM_TOPE_DESDE)/1000*KM_TOPE_PTS</f>
        <v/>
      </c>
      <c r="CU190" s="3">
        <f>MAX(0,MIN(100,50+CG190*PRECIO_PEND,CT190))</f>
        <v/>
      </c>
      <c r="CV190" s="3">
        <f>MAX(0,100*(1-N190/KM_MAX))</f>
        <v/>
      </c>
      <c r="CW190" s="3">
        <f>IF(BX190&lt;KMA_SOSP,IF(AA190="sí",100,KMA_PEN),IF(BX190&lt;=KMA_IDEAL_MAX,100,MAX(0,100*(KMA_CERO-BX190)/(KMA_CERO-KMA_IDEAL_MAX))))</f>
        <v/>
      </c>
      <c r="CX190" s="3">
        <f>MAX(0,MIN(100,100*(M190-ANIO_MIN)/(ANIO_ACTUAL-ANIO_MIN)))</f>
        <v/>
      </c>
      <c r="CY190" s="3">
        <f>W_KMT*CV190+W_KMA*CW190+W_EDAD*CX190</f>
        <v/>
      </c>
      <c r="CZ190" s="4">
        <f>E190&amp;"|"&amp;G190</f>
        <v/>
      </c>
      <c r="DA190" s="3">
        <f>IFERROR(VLOOKUP(CZ190,DIST_TBL,2,0),"")</f>
        <v/>
      </c>
      <c r="DB190" s="3">
        <f>E_ITV*(V190="sí")+E_LIBRO*(W190="sí")+E_PROP*IF(Y190=1,1,IF(Y190=2,0.5,0))+E_CORREA*IF(OR(DA190="cadena",AND(X190="sí",BH190="sí")),1,IF(X190="sí",0.5,0))+E_FACT*(BI190="sí")</f>
        <v/>
      </c>
      <c r="DC190" s="3">
        <f>MAX(0,MIN(100,IFERROR(VLOOKUP(CL190,ETQ_TBL,2,0),0)-IF(CM190="sí",ETQ_PEN_DUD,IF(AS190="regla",ETQ_PEN_REGLA,0))))</f>
        <v/>
      </c>
      <c r="DD190" s="3">
        <f>IF(K190&lt;&gt;"gasolina","",IFERROR(VLOOKUP(F190,CONS_MOD_TBL,2,0),IFERROR(VLOOKUP(L190,CONS_SEG_TBL,2,0),"")))</f>
        <v/>
      </c>
      <c r="DE190" s="3">
        <f>IF(DD190="",NEUTRO,MAX(0,MIN(100,100*(CONS_REF_MAX-DD190)/(CONS_REF_MAX-CONS_REF_MIN))))</f>
        <v/>
      </c>
      <c r="DF190" s="3">
        <f>IFERROR(VLOOKUP(L190,SEGURO_TBL,3,0),"")</f>
        <v/>
      </c>
      <c r="DG190" s="3">
        <f>IF(DF190="",NEUTRO,MAX(0,MIN(100,100*(SEG_REF_MAX-DF190)/(SEG_REF_MAX-SEG_REF_MIN))))</f>
        <v/>
      </c>
      <c r="DH190" s="3">
        <f>IFERROR(VLOOKUP(E190,MANT_MARCA_TBL,2,0)+0,NEUTRO)</f>
        <v/>
      </c>
      <c r="DI190" s="3">
        <f>IF(DA190="",NEUTRO,IFERROR(VLOOKUP(DA190,DIST_PTS_TBL,2,0)+0,NEUTRO))</f>
        <v/>
      </c>
      <c r="DJ190" s="4">
        <f>(DH190+DI190)/2</f>
        <v/>
      </c>
      <c r="DK190" s="3">
        <f>W_CONS*DE190+W_SEG*DG190+W_MANT*DJ190</f>
        <v/>
      </c>
      <c r="DL190" s="3">
        <f>IF(N(AB190)&gt;0,AB190,IF(AND(R190="profesional",SG_LEGAL_ON=1),GAR_LEGAL,0))</f>
        <v/>
      </c>
      <c r="DM190" s="3">
        <f>MAX(0,MIN(100,SG_GAR*MIN(1,DL190/SG_GAR_FULL)+SG_AMPL*(AC190="sí")+SG_KMC*(AF190="sí")+SG_REV*(N(AE190)&gt;0)+SG_DEV*MIN(1,N(AG190)/SG_DEV_FULL)+SG_HIST*(W190="sí")-IF(AND(R190="particular",DL190=0),SG_PART_PEN,0)))</f>
        <v/>
      </c>
      <c r="DN190" s="3">
        <f>IF(BK190="",NEUTRO,MAX(0,MIN(100,BK190/5*100)))</f>
        <v/>
      </c>
      <c r="DO190" s="3">
        <f>IF(BL190="sí",100,IF(BL190="no",0,NEUTRO))</f>
        <v/>
      </c>
      <c r="DP190" s="3">
        <f>SV_W_NCAP*DN190+SV_W_ESP*DO190</f>
        <v/>
      </c>
      <c r="DQ190" s="3">
        <f>MAX(0,MIN(100,ATR_BASE+ATR_ACAB*(BD190&lt;&gt;"")+IF(BE190="16+",ATR_LL16,IF(BE190="sí",ATR_LL,0))+ATR_FAROS*(BF190="sí")+ATR_TINT*(BG190="sí")-ATR_CHAPA*(BE190="chapa")))</f>
        <v/>
      </c>
      <c r="DR190" s="3">
        <f>EST_W_MOD*(BB190-1)/4*100+EST_W_ATR*DQ190</f>
        <v/>
      </c>
      <c r="DS190" s="3">
        <f>IF(BA190="",NEUTRO,IFERROR(VLOOKUP(BA190,COLOR_TBL,2,0)+0,NEUTRO))</f>
        <v/>
      </c>
      <c r="DT190" s="3">
        <f>MAX(0,MIN(100,100*N(BM190)/RV_N_FULL))</f>
        <v/>
      </c>
      <c r="DU190" s="3">
        <f>IF(OR(BN190="",N(BO190)&lt;RV_DIAS_MIN),NEUTRO,MAX(0,MIN(100,100*(RV_DIAS_CERO-BN190)/(RV_DIAS_CERO-RV_DIAS_FULL))))</f>
        <v/>
      </c>
      <c r="DV190" s="3">
        <f>RV_W_LIQ*DT190+RV_W_DIAS*DU190+RV_W_ETQ*DC190</f>
        <v/>
      </c>
      <c r="DW190" s="3">
        <f>IFERROR(VLOOKUP(L190,CARR_PEN_TBL,2,0),0)</f>
        <v/>
      </c>
      <c r="DX190" s="3">
        <f>W_FIAB*CS190+W_PRECIO*CU190+W_KMEDAD*CY190+W_ESTADO*DB190+W_USO*DK190+W_SEGURIDAD*DM190+W_SEGVIAL*DP190+W_ESTETICA*DR190+W_COLOR*DS190+W_REVENTA*DV190-DW190-EG190</f>
        <v/>
      </c>
      <c r="DY190" s="4">
        <f>IF(N(I190)&gt;0,I190,IFERROR(ROUND(_xlfn.NUMBERVALUE(LEFT(G190,FIND(" ",G190&amp;" ")-1),".")*1000,0),99999))</f>
        <v/>
      </c>
      <c r="DZ190" s="3">
        <f>IF(R190="profesional",0,IF(O190&lt;CUOTA_VALOR_MAX,IF(BW190&gt;ITP_TRAMO_ALTO,SUMIFS(CF_CUOTA,CF_MAS,ITP_TRAMO_ALTO,CF_CCMIN,"&lt;="&amp;DY190,CF_CCMAX,"&gt;="&amp;DY190),IF(BW190&gt;ITP_TRAMO_BAJO,SUMIFS(CF_CUOTA,CF_MAS,ITP_TRAMO_BAJO,CF_CCMIN,"&lt;="&amp;DY190,CF_CCMAX,"&gt;="&amp;DY190),O190*ITP_TIPO)),O190*ITP_TIPO))</f>
        <v/>
      </c>
      <c r="EA190" s="4">
        <f>IF(R190="profesional",N(AK190),0)</f>
        <v/>
      </c>
      <c r="EB190" s="3">
        <f>IF(AND(R190="profesional",ISNUMBER(AK190),AL190="sí"),0,TASA_DGT)</f>
        <v/>
      </c>
      <c r="EC190" s="3">
        <f>INFORME_DGT</f>
        <v/>
      </c>
      <c r="ED190" s="4">
        <f>O190+EA190+DZ190+EB190+EC190</f>
        <v/>
      </c>
      <c r="EE190" s="4">
        <f>ED190+N(DF190)</f>
        <v/>
      </c>
      <c r="EF190" s="3">
        <f>MAX(0,ED190-TOTAL_MAX)</f>
        <v/>
      </c>
      <c r="EG190" s="3">
        <f>EF190/100*PEN_100</f>
        <v/>
      </c>
      <c r="EH190" s="3">
        <f>IF(R190="particular",ED190+IF(AND(DA190&lt;&gt;"cadena",X190&lt;&gt;"sí"),RES_CORREA,0)+IF(AND(BJ190&lt;&gt;"sí",BW190&gt;=RES_NEUM_EDAD),RES_NEUM,0),"")</f>
        <v/>
      </c>
      <c r="EI190" s="3">
        <f>IF(ED190&lt;=TOTAL_MAX,"sí",IF(ED190&lt;=TECHO,"negociar","no"))</f>
        <v/>
      </c>
      <c r="EJ190" s="4">
        <f>ROUND(DX190,9)</f>
        <v/>
      </c>
      <c r="EK190" s="4">
        <f>IF(EI190&lt;&gt;"no",SUMPRODUCT(($EI$2:$EI$209&lt;&gt;"no")*($EJ$2:$EJ$209&gt;EJ190))+SUMPRODUCT(($EI$2:EI190&lt;&gt;"no")*($EJ$2:EJ190=EJ190)),"")</f>
        <v/>
      </c>
    </row>
    <row r="191">
      <c r="A191" s="2" t="inlineStr">
        <is>
          <t>wallapop:1317347149</t>
        </is>
      </c>
      <c r="B191" s="2" t="inlineStr">
        <is>
          <t>wallapop</t>
        </is>
      </c>
      <c r="C191" s="2" t="inlineStr">
        <is>
          <t>https://es.wallapop.com/item/ford-focus-2007-1317347149</t>
        </is>
      </c>
      <c r="D191" s="2" t="inlineStr">
        <is>
          <t>Ford Focus 2007</t>
        </is>
      </c>
      <c r="E191" s="2" t="inlineStr">
        <is>
          <t>Ford</t>
        </is>
      </c>
      <c r="F191" s="2" t="inlineStr">
        <is>
          <t>Ford Focus</t>
        </is>
      </c>
      <c r="G191" s="2" t="inlineStr">
        <is>
          <t>1.6</t>
        </is>
      </c>
      <c r="H191" s="2" t="inlineStr">
        <is>
          <t>1.6 100 Trend 5p</t>
        </is>
      </c>
      <c r="I191" s="2" t="n"/>
      <c r="J191" s="2" t="n">
        <v>100</v>
      </c>
      <c r="K191" s="2" t="inlineStr">
        <is>
          <t>gasolina</t>
        </is>
      </c>
      <c r="L191" s="2" t="inlineStr">
        <is>
          <t>compacto</t>
        </is>
      </c>
      <c r="M191" s="2" t="n">
        <v>2007</v>
      </c>
      <c r="N191" s="2" t="n">
        <v>130000</v>
      </c>
      <c r="O191" s="2" t="n">
        <v>5900</v>
      </c>
      <c r="P191" s="2" t="inlineStr">
        <is>
          <t>manual</t>
        </is>
      </c>
      <c r="Q191" s="2" t="inlineStr">
        <is>
          <t>no</t>
        </is>
      </c>
      <c r="R191" s="2" t="inlineStr">
        <is>
          <t>profesional</t>
        </is>
      </c>
      <c r="S191" s="2" t="inlineStr">
        <is>
          <t>Valencia (46017)</t>
        </is>
      </c>
      <c r="T191" s="2" t="inlineStr">
        <is>
          <t>2026-10-26T10:52:17</t>
        </is>
      </c>
      <c r="U191" s="2" t="n">
        <v>9</v>
      </c>
      <c r="V191" s="2" t="n"/>
      <c r="W191" s="2" t="n"/>
      <c r="X191" s="2" t="n"/>
      <c r="Y191" s="2" t="n"/>
      <c r="Z191" s="2" t="inlineStr">
        <is>
          <t>sí</t>
        </is>
      </c>
      <c r="AA191" s="2" t="n"/>
      <c r="AB191" s="2" t="n">
        <v>12</v>
      </c>
      <c r="AC191" s="2" t="n"/>
      <c r="AD191" s="2" t="n"/>
      <c r="AE191" s="2" t="n"/>
      <c r="AF191" s="2" t="n"/>
      <c r="AG191" s="2" t="n"/>
      <c r="AH191" s="2" t="n"/>
      <c r="AI191" s="2" t="n"/>
      <c r="AJ191" s="2" t="n"/>
      <c r="AK191" s="2" t="n"/>
      <c r="AL191" s="2" t="n"/>
      <c r="AM191" s="2" t="n">
        <v>4.8</v>
      </c>
      <c r="AN191" s="2" t="n"/>
      <c r="AO191" s="2" t="n"/>
      <c r="AP191" s="2" t="n">
        <v>2007</v>
      </c>
      <c r="AQ191" s="2" t="n"/>
      <c r="AR191" s="2" t="n"/>
      <c r="AS191" s="2" t="inlineStr">
        <is>
          <t>regla</t>
        </is>
      </c>
      <c r="AT191" s="2" t="n"/>
      <c r="AU191" s="2" t="inlineStr">
        <is>
          <t>no</t>
        </is>
      </c>
      <c r="AV191" s="2" t="inlineStr">
        <is>
          <t>C</t>
        </is>
      </c>
      <c r="AW191" s="2" t="n"/>
      <c r="AX191" s="2" t="inlineStr">
        <is>
          <t>no</t>
        </is>
      </c>
      <c r="AY191" s="2" t="inlineStr">
        <is>
          <t>no</t>
        </is>
      </c>
      <c r="AZ191" s="2" t="n"/>
      <c r="BA191" s="2" t="n"/>
      <c r="BB191" s="3" t="n">
        <v>3</v>
      </c>
      <c r="BC191" s="3" t="inlineStr">
        <is>
          <t>(por segmento)</t>
        </is>
      </c>
      <c r="BD191" s="2" t="n"/>
      <c r="BE191" s="2" t="n"/>
      <c r="BF191" s="2" t="n"/>
      <c r="BG191" s="2" t="n"/>
      <c r="BH191" s="2" t="n"/>
      <c r="BI191" s="2" t="n"/>
      <c r="BJ191" s="2" t="n"/>
      <c r="BK191" s="2" t="n">
        <v>5</v>
      </c>
      <c r="BL191" s="2" t="inlineStr">
        <is>
          <t>sí</t>
        </is>
      </c>
      <c r="BM191" s="2" t="n">
        <v>421</v>
      </c>
      <c r="BN191" s="2" t="n">
        <v>0.05126157402992249</v>
      </c>
      <c r="BO191" s="2" t="n">
        <v>7</v>
      </c>
      <c r="BP191" s="2" t="n">
        <v>4970</v>
      </c>
      <c r="BQ191" s="2" t="n">
        <v>8</v>
      </c>
      <c r="BR191" s="2" t="inlineStr">
        <is>
          <t>modelo+año+km</t>
        </is>
      </c>
      <c r="BS191" s="2" t="inlineStr">
        <is>
          <t>cochesnet:71832983 (https://www.coches.net/ford-focus-16-trend-5p-gasolina-2007-en-valencia-71832983-covo.aspx)</t>
        </is>
      </c>
      <c r="BT191" s="2" t="inlineStr">
        <is>
          <t>por encima del presupuesto: negociar 964 € (coste 5964 €; -19.3 puntos); vendedor profesional: sin ITP (operación con IVA/REBU, confirmar en factura); gastos de gestión del vendedor no indicados: se suma la tasa DGT; preguntar el precio final; etiqueta C deducida por fecha (sin matrícula ni dato del anuncio); revisar: no menciona la ITV</t>
        </is>
      </c>
      <c r="BU191" s="2" t="inlineStr">
        <is>
          <t>🚗 FORD FOCUS TREND 1.6 100CV – 2007 – GASOLINA
Compacto práctico y versátil, ideal para el día a día, tanto en ciudad como en carretera. Un vehículo cómodo y funcional, perfecto para quienes buscan un coche económico y fácil de conducir.
🚘 Datos del vehículo
Año: 2007
Kilómetros: 130.000 km
Motor: Gasolina
Potencia: 100 CV (74 kW)
Combustible: Gasolina
Cambio: Manual
Carrocería: Compacto
Puertas: 5
Plazas: 5
Acabado: Trend
⚙️ Equipamiento y extras
Aire acondicionado
Elevalunas eléctricos
Cierre centralizado
Dirección asistida
Frenos ABS
Control de estabilidad
Ordenador de viaje
Amplio espacio interior
💰 Precio: 5.900 €
✅ Garantía de 12 meses (1 año).
✔ Todo incluido (garantía e impuestos).
✖ Cambio de nombre no incluido (+250 €).
📍 MRD CARS
Avinguda Real de Madrid 132, Valencia (46017)
📞 621 276 243
⏰ Horario
Lunes a viernes: 9:30–13:30 y 17:00–20:00
Sábados: 10:00–13:00
La información de este anuncio es meramente informativa y puede contener errores</t>
        </is>
      </c>
      <c r="BV191" s="2" t="inlineStr">
        <is>
          <t>https://es.wallapop.com/item/ford-focus-2007-1317347149 (__NEXT_DATA__ item) /home/user/Alopecia/buscador-coches/raw/wallapop/4e2c79064a52e048.json</t>
        </is>
      </c>
      <c r="BW191" s="3">
        <f>MAX(ANIO_ACTUAL-M191,0)</f>
        <v/>
      </c>
      <c r="BX191" s="4">
        <f>N191/MAX(BW191,0.5)</f>
        <v/>
      </c>
      <c r="BY191" s="4">
        <f>F191</f>
        <v/>
      </c>
      <c r="BZ191" s="3">
        <f>BY191&amp;"|"&amp;INT(M191/SEG_ANIO)*SEG_ANIO</f>
        <v/>
      </c>
      <c r="CA191" s="3">
        <f>BZ191&amp;"|"&amp;INT(N191/SEG_KM)*SEG_KM</f>
        <v/>
      </c>
      <c r="CB191" s="4">
        <f>COUNTIF($BY$2:$BY$209,BY191)</f>
        <v/>
      </c>
      <c r="CC191" s="4">
        <f>COUNTIF($BZ$2:$BZ$209,BZ191)</f>
        <v/>
      </c>
      <c r="CD191" s="4">
        <f>COUNTIF($CA$2:$CA$209,CA191)</f>
        <v/>
      </c>
      <c r="CE191" s="3">
        <f t="array" ref="CE191">IF(N(BQ191)&gt;=MIN_N,BP191,IF(CD191&gt;=MIN_N,MEDIAN(IF($CA$2:$CA$209=CA191,$O$2:$O$209)),IF(CC191&gt;=MIN_N,MEDIAN(IF($BZ$2:$BZ$209=BZ191,$O$2:$O$209)),MEDIAN(IF($BY$2:$BY$209=BY191,$O$2:$O$209)))))</f>
        <v/>
      </c>
      <c r="CF191" s="3">
        <f>IF(N(BQ191)&gt;=MIN_N,"mercado "&amp;BR191,IF(CD191&gt;=MIN_N,"modelo+año+km",IF(CC191&gt;=MIN_N,"modelo+año","modelo")))</f>
        <v/>
      </c>
      <c r="CG191" s="4">
        <f>(CE191-O191)/CE191</f>
        <v/>
      </c>
      <c r="CH191" s="3">
        <f>IF(COUNTIFS(FR_FUEL,K191,FR_YEAR,AP191)&gt;0,1,0)</f>
        <v/>
      </c>
      <c r="CI191" s="3">
        <f>IF(COUNTIFS(FR_FUEL,K191,FR_YEAR,AP191-1)&gt;0,1,0)</f>
        <v/>
      </c>
      <c r="CJ191" s="4">
        <f>IF(N(AQ191)&gt;0,AP191*100+AQ191,IF(AND(CH191=1,CI191=1),(AP191-1)*100+1,AP191*100+1))</f>
        <v/>
      </c>
      <c r="CK191" s="3">
        <f>IF(OR(K191="hibrido",K191="glp",K191="gnc",K191="phev"),"ECO",IF(K191="electrico","CERO",IF(K191="gasolina",IF(CJ191&gt;=GAS_C_YM,"C",IF(CJ191&gt;=GAS_B_YM,"B","A")),IF(K191="diesel",IF(CJ191&gt;=DIE_C_YM,"C",IF(CJ191&gt;=DIE_B_YM,"B","A")),""))))</f>
        <v/>
      </c>
      <c r="CL191" s="4">
        <f>CK191</f>
        <v/>
      </c>
      <c r="CM191" s="4">
        <f>IF(AU191="sí","sí",IF(AS191="regla",IF(AND(N(AQ191)=0,CH191=1),"sí","no"),"no"))</f>
        <v/>
      </c>
      <c r="CN191" s="3">
        <f>IFERROR(VLOOKUP(F191,MOD_TBL,16,0),IFERROR(VLOOKUP(E191,OCU_TBL,2,0),NEUTRO))</f>
        <v/>
      </c>
      <c r="CO191" s="3">
        <f>SUMIFS(MOT_AJUSTE,MOT_MOTOR,G191,MOT_MARCA,E191,MOT_DESDE,"&lt;="&amp;M191,MOT_HASTA,"&gt;="&amp;M191)+SUMIFS(MOT_AJUSTE,MOT_MOTOR,G191,MOT_MARCA,"(todas)",MOT_DESDE,"&lt;="&amp;M191,MOT_HASTA,"&gt;="&amp;M191)+SUMIFS(MOT_AJUSTE,MOT_MOTOR,"(cualquiera)",MOT_MARCA,E191,MOT_DESDE,"&lt;="&amp;M191,MOT_HASTA,"&gt;="&amp;M191)</f>
        <v/>
      </c>
      <c r="CP191" s="3">
        <f>SUMIFS(COMB_AJUSTE,COMB_COMB,K191)</f>
        <v/>
      </c>
      <c r="CQ191" s="3">
        <f>COUNTIFS(MOT_MOTOR,G191,MOT_MARCA,E191,MOT_DESDE,"&lt;="&amp;M191,MOT_HASTA,"&gt;="&amp;M191)+COUNTIFS(MOT_MOTOR,G191,MOT_MARCA,"(todas)",MOT_DESDE,"&lt;="&amp;M191,MOT_HASTA,"&gt;="&amp;M191)+COUNTIFS(MOT_MOTOR,"(cualquiera)",MOT_MARCA,E191,MOT_DESDE,"&lt;="&amp;M191,MOT_HASTA,"&gt;="&amp;M191)</f>
        <v/>
      </c>
      <c r="CR191" s="3">
        <f>IF(AND(K191="diesel",CQ191=0),MIN(CN191,NEUTRO),CN191)</f>
        <v/>
      </c>
      <c r="CS191" s="3">
        <f>MAX(0,MIN(100,CR191+CO191+CP191-IF(AX191="sí",ROB_PEN,0)))</f>
        <v/>
      </c>
      <c r="CT191" s="3">
        <f>100-MAX(0,N191-KM_TOPE_DESDE)/1000*KM_TOPE_PTS</f>
        <v/>
      </c>
      <c r="CU191" s="3">
        <f>MAX(0,MIN(100,50+CG191*PRECIO_PEND,CT191))</f>
        <v/>
      </c>
      <c r="CV191" s="3">
        <f>MAX(0,100*(1-N191/KM_MAX))</f>
        <v/>
      </c>
      <c r="CW191" s="3">
        <f>IF(BX191&lt;KMA_SOSP,IF(AA191="sí",100,KMA_PEN),IF(BX191&lt;=KMA_IDEAL_MAX,100,MAX(0,100*(KMA_CERO-BX191)/(KMA_CERO-KMA_IDEAL_MAX))))</f>
        <v/>
      </c>
      <c r="CX191" s="3">
        <f>MAX(0,MIN(100,100*(M191-ANIO_MIN)/(ANIO_ACTUAL-ANIO_MIN)))</f>
        <v/>
      </c>
      <c r="CY191" s="3">
        <f>W_KMT*CV191+W_KMA*CW191+W_EDAD*CX191</f>
        <v/>
      </c>
      <c r="CZ191" s="4">
        <f>E191&amp;"|"&amp;G191</f>
        <v/>
      </c>
      <c r="DA191" s="3">
        <f>IFERROR(VLOOKUP(CZ191,DIST_TBL,2,0),"")</f>
        <v/>
      </c>
      <c r="DB191" s="3">
        <f>E_ITV*(V191="sí")+E_LIBRO*(W191="sí")+E_PROP*IF(Y191=1,1,IF(Y191=2,0.5,0))+E_CORREA*IF(OR(DA191="cadena",AND(X191="sí",BH191="sí")),1,IF(X191="sí",0.5,0))+E_FACT*(BI191="sí")</f>
        <v/>
      </c>
      <c r="DC191" s="3">
        <f>MAX(0,MIN(100,IFERROR(VLOOKUP(CL191,ETQ_TBL,2,0),0)-IF(CM191="sí",ETQ_PEN_DUD,IF(AS191="regla",ETQ_PEN_REGLA,0))))</f>
        <v/>
      </c>
      <c r="DD191" s="3">
        <f>IF(K191&lt;&gt;"gasolina","",IFERROR(VLOOKUP(F191,CONS_MOD_TBL,2,0),IFERROR(VLOOKUP(L191,CONS_SEG_TBL,2,0),"")))</f>
        <v/>
      </c>
      <c r="DE191" s="3">
        <f>IF(DD191="",NEUTRO,MAX(0,MIN(100,100*(CONS_REF_MAX-DD191)/(CONS_REF_MAX-CONS_REF_MIN))))</f>
        <v/>
      </c>
      <c r="DF191" s="3">
        <f>IFERROR(VLOOKUP(L191,SEGURO_TBL,3,0),"")</f>
        <v/>
      </c>
      <c r="DG191" s="3">
        <f>IF(DF191="",NEUTRO,MAX(0,MIN(100,100*(SEG_REF_MAX-DF191)/(SEG_REF_MAX-SEG_REF_MIN))))</f>
        <v/>
      </c>
      <c r="DH191" s="3">
        <f>IFERROR(VLOOKUP(E191,MANT_MARCA_TBL,2,0)+0,NEUTRO)</f>
        <v/>
      </c>
      <c r="DI191" s="3">
        <f>IF(DA191="",NEUTRO,IFERROR(VLOOKUP(DA191,DIST_PTS_TBL,2,0)+0,NEUTRO))</f>
        <v/>
      </c>
      <c r="DJ191" s="4">
        <f>(DH191+DI191)/2</f>
        <v/>
      </c>
      <c r="DK191" s="3">
        <f>W_CONS*DE191+W_SEG*DG191+W_MANT*DJ191</f>
        <v/>
      </c>
      <c r="DL191" s="3">
        <f>IF(N(AB191)&gt;0,AB191,IF(AND(R191="profesional",SG_LEGAL_ON=1),GAR_LEGAL,0))</f>
        <v/>
      </c>
      <c r="DM191" s="3">
        <f>MAX(0,MIN(100,SG_GAR*MIN(1,DL191/SG_GAR_FULL)+SG_AMPL*(AC191="sí")+SG_KMC*(AF191="sí")+SG_REV*(N(AE191)&gt;0)+SG_DEV*MIN(1,N(AG191)/SG_DEV_FULL)+SG_HIST*(W191="sí")-IF(AND(R191="particular",DL191=0),SG_PART_PEN,0)))</f>
        <v/>
      </c>
      <c r="DN191" s="3">
        <f>IF(BK191="",NEUTRO,MAX(0,MIN(100,BK191/5*100)))</f>
        <v/>
      </c>
      <c r="DO191" s="3">
        <f>IF(BL191="sí",100,IF(BL191="no",0,NEUTRO))</f>
        <v/>
      </c>
      <c r="DP191" s="3">
        <f>SV_W_NCAP*DN191+SV_W_ESP*DO191</f>
        <v/>
      </c>
      <c r="DQ191" s="3">
        <f>MAX(0,MIN(100,ATR_BASE+ATR_ACAB*(BD191&lt;&gt;"")+IF(BE191="16+",ATR_LL16,IF(BE191="sí",ATR_LL,0))+ATR_FAROS*(BF191="sí")+ATR_TINT*(BG191="sí")-ATR_CHAPA*(BE191="chapa")))</f>
        <v/>
      </c>
      <c r="DR191" s="3">
        <f>EST_W_MOD*(BB191-1)/4*100+EST_W_ATR*DQ191</f>
        <v/>
      </c>
      <c r="DS191" s="3">
        <f>IF(BA191="",NEUTRO,IFERROR(VLOOKUP(BA191,COLOR_TBL,2,0)+0,NEUTRO))</f>
        <v/>
      </c>
      <c r="DT191" s="3">
        <f>MAX(0,MIN(100,100*N(BM191)/RV_N_FULL))</f>
        <v/>
      </c>
      <c r="DU191" s="3">
        <f>IF(OR(BN191="",N(BO191)&lt;RV_DIAS_MIN),NEUTRO,MAX(0,MIN(100,100*(RV_DIAS_CERO-BN191)/(RV_DIAS_CERO-RV_DIAS_FULL))))</f>
        <v/>
      </c>
      <c r="DV191" s="3">
        <f>RV_W_LIQ*DT191+RV_W_DIAS*DU191+RV_W_ETQ*DC191</f>
        <v/>
      </c>
      <c r="DW191" s="3">
        <f>IFERROR(VLOOKUP(L191,CARR_PEN_TBL,2,0),0)</f>
        <v/>
      </c>
      <c r="DX191" s="3">
        <f>W_FIAB*CS191+W_PRECIO*CU191+W_KMEDAD*CY191+W_ESTADO*DB191+W_USO*DK191+W_SEGURIDAD*DM191+W_SEGVIAL*DP191+W_ESTETICA*DR191+W_COLOR*DS191+W_REVENTA*DV191-DW191-EG191</f>
        <v/>
      </c>
      <c r="DY191" s="4">
        <f>IF(N(I191)&gt;0,I191,IFERROR(ROUND(_xlfn.NUMBERVALUE(LEFT(G191,FIND(" ",G191&amp;" ")-1),".")*1000,0),99999))</f>
        <v/>
      </c>
      <c r="DZ191" s="3">
        <f>IF(R191="profesional",0,IF(O191&lt;CUOTA_VALOR_MAX,IF(BW191&gt;ITP_TRAMO_ALTO,SUMIFS(CF_CUOTA,CF_MAS,ITP_TRAMO_ALTO,CF_CCMIN,"&lt;="&amp;DY191,CF_CCMAX,"&gt;="&amp;DY191),IF(BW191&gt;ITP_TRAMO_BAJO,SUMIFS(CF_CUOTA,CF_MAS,ITP_TRAMO_BAJO,CF_CCMIN,"&lt;="&amp;DY191,CF_CCMAX,"&gt;="&amp;DY191),O191*ITP_TIPO)),O191*ITP_TIPO))</f>
        <v/>
      </c>
      <c r="EA191" s="4">
        <f>IF(R191="profesional",N(AK191),0)</f>
        <v/>
      </c>
      <c r="EB191" s="3">
        <f>IF(AND(R191="profesional",ISNUMBER(AK191),AL191="sí"),0,TASA_DGT)</f>
        <v/>
      </c>
      <c r="EC191" s="3">
        <f>INFORME_DGT</f>
        <v/>
      </c>
      <c r="ED191" s="4">
        <f>O191+EA191+DZ191+EB191+EC191</f>
        <v/>
      </c>
      <c r="EE191" s="4">
        <f>ED191+N(DF191)</f>
        <v/>
      </c>
      <c r="EF191" s="3">
        <f>MAX(0,ED191-TOTAL_MAX)</f>
        <v/>
      </c>
      <c r="EG191" s="3">
        <f>EF191/100*PEN_100</f>
        <v/>
      </c>
      <c r="EH191" s="3">
        <f>IF(R191="particular",ED191+IF(AND(DA191&lt;&gt;"cadena",X191&lt;&gt;"sí"),RES_CORREA,0)+IF(AND(BJ191&lt;&gt;"sí",BW191&gt;=RES_NEUM_EDAD),RES_NEUM,0),"")</f>
        <v/>
      </c>
      <c r="EI191" s="3">
        <f>IF(ED191&lt;=TOTAL_MAX,"sí",IF(ED191&lt;=TECHO,"negociar","no"))</f>
        <v/>
      </c>
      <c r="EJ191" s="4">
        <f>ROUND(DX191,9)</f>
        <v/>
      </c>
      <c r="EK191" s="4">
        <f>IF(EI191&lt;&gt;"no",SUMPRODUCT(($EI$2:$EI$209&lt;&gt;"no")*($EJ$2:$EJ$209&gt;EJ191))+SUMPRODUCT(($EI$2:EI191&lt;&gt;"no")*($EJ$2:EJ191=EJ191)),"")</f>
        <v/>
      </c>
    </row>
    <row r="192">
      <c r="A192" s="2" t="inlineStr">
        <is>
          <t>cochesnet:71730076</t>
        </is>
      </c>
      <c r="B192" s="2" t="inlineStr">
        <is>
          <t>cochesnet</t>
        </is>
      </c>
      <c r="C192" s="2" t="inlineStr">
        <is>
          <t>https://www.coches.net/ford-mondeo-18-tdci-125-ambiente-5p-diesel-2009-en-valencia-71730076-covo.aspx</t>
        </is>
      </c>
      <c r="D192" s="2" t="inlineStr">
        <is>
          <t>FORD Mondeo 1.8 TDCi 125 Ambiente</t>
        </is>
      </c>
      <c r="E192" s="2" t="inlineStr">
        <is>
          <t>Ford</t>
        </is>
      </c>
      <c r="F192" s="2" t="inlineStr">
        <is>
          <t>Ford Mondeo</t>
        </is>
      </c>
      <c r="G192" s="2" t="inlineStr">
        <is>
          <t>1.8 TDCi</t>
        </is>
      </c>
      <c r="H192" s="2" t="inlineStr">
        <is>
          <t>1.8 TDCi 125 Ambiente</t>
        </is>
      </c>
      <c r="I192" s="2" t="n"/>
      <c r="J192" s="2" t="n"/>
      <c r="K192" s="2" t="inlineStr">
        <is>
          <t>diesel</t>
        </is>
      </c>
      <c r="L192" s="2" t="inlineStr">
        <is>
          <t>berlina_d</t>
        </is>
      </c>
      <c r="M192" s="2" t="n">
        <v>2008</v>
      </c>
      <c r="N192" s="2" t="n">
        <v>190000</v>
      </c>
      <c r="O192" s="2" t="n">
        <v>5500</v>
      </c>
      <c r="P192" s="2" t="inlineStr">
        <is>
          <t>manual</t>
        </is>
      </c>
      <c r="Q192" s="2" t="inlineStr">
        <is>
          <t>no</t>
        </is>
      </c>
      <c r="R192" s="2" t="inlineStr">
        <is>
          <t>profesional</t>
        </is>
      </c>
      <c r="S192" s="2" t="inlineStr">
        <is>
          <t>Pozas Autos Guadassuar</t>
        </is>
      </c>
      <c r="T192" s="2" t="inlineStr">
        <is>
          <t>2026-10-13T08:58:58Z</t>
        </is>
      </c>
      <c r="U192" s="2" t="n">
        <v>8</v>
      </c>
      <c r="V192" s="2" t="inlineStr">
        <is>
          <t>sí</t>
        </is>
      </c>
      <c r="W192" s="2" t="n"/>
      <c r="X192" s="2" t="n"/>
      <c r="Y192" s="2" t="n"/>
      <c r="Z192" s="2" t="inlineStr">
        <is>
          <t>sí</t>
        </is>
      </c>
      <c r="AA192" s="2" t="n"/>
      <c r="AB192" s="2" t="n">
        <v>12</v>
      </c>
      <c r="AC192" s="2" t="n"/>
      <c r="AD192" s="2" t="n"/>
      <c r="AE192" s="2" t="n"/>
      <c r="AF192" s="2" t="n"/>
      <c r="AG192" s="2" t="n"/>
      <c r="AH192" s="2" t="n">
        <v>5500</v>
      </c>
      <c r="AI192" s="2" t="n"/>
      <c r="AJ192" s="2" t="n"/>
      <c r="AK192" s="2" t="n"/>
      <c r="AL192" s="2" t="n"/>
      <c r="AM192" s="2" t="n">
        <v>32.7</v>
      </c>
      <c r="AN192" s="2" t="n"/>
      <c r="AO192" s="2" t="inlineStr">
        <is>
          <t>2008</t>
        </is>
      </c>
      <c r="AP192" s="2" t="n">
        <v>2008</v>
      </c>
      <c r="AQ192" s="2" t="n"/>
      <c r="AR192" s="2" t="inlineStr">
        <is>
          <t>B</t>
        </is>
      </c>
      <c r="AS192" s="2" t="inlineStr">
        <is>
          <t>anuncio</t>
        </is>
      </c>
      <c r="AT192" s="2" t="n">
        <v>2009</v>
      </c>
      <c r="AU192" s="2" t="inlineStr">
        <is>
          <t>no</t>
        </is>
      </c>
      <c r="AV192" s="2" t="inlineStr">
        <is>
          <t>B</t>
        </is>
      </c>
      <c r="AW192" s="2" t="n"/>
      <c r="AX192" s="2" t="inlineStr">
        <is>
          <t>no</t>
        </is>
      </c>
      <c r="AY192" s="2" t="inlineStr">
        <is>
          <t>no</t>
        </is>
      </c>
      <c r="AZ192" s="2" t="inlineStr">
        <is>
          <t>COMMON.COLOR_GARNET</t>
        </is>
      </c>
      <c r="BA192" s="2" t="inlineStr">
        <is>
          <t>granate</t>
        </is>
      </c>
      <c r="BB192" s="3" t="n">
        <v>3</v>
      </c>
      <c r="BC192" s="3" t="inlineStr">
        <is>
          <t>(por segmento)</t>
        </is>
      </c>
      <c r="BD192" s="2" t="n"/>
      <c r="BE192" s="2" t="n"/>
      <c r="BF192" s="2" t="n"/>
      <c r="BG192" s="2" t="n"/>
      <c r="BH192" s="2" t="n"/>
      <c r="BI192" s="2" t="n"/>
      <c r="BJ192" s="2" t="n"/>
      <c r="BK192" s="2" t="n">
        <v>5</v>
      </c>
      <c r="BL192" s="2" t="inlineStr">
        <is>
          <t>sí</t>
        </is>
      </c>
      <c r="BM192" s="2" t="n">
        <v>109</v>
      </c>
      <c r="BN192" s="2" t="n">
        <v>0</v>
      </c>
      <c r="BO192" s="2" t="n">
        <v>1</v>
      </c>
      <c r="BP192" s="2" t="n">
        <v>4700</v>
      </c>
      <c r="BQ192" s="2" t="n">
        <v>5</v>
      </c>
      <c r="BR192" s="2" t="inlineStr">
        <is>
          <t>modelo+año+km</t>
        </is>
      </c>
      <c r="BS192" s="2" t="n"/>
      <c r="BT192" s="2" t="inlineStr">
        <is>
          <t>año a confirmar: la URL/título dice 2009; por encima del presupuesto: negociar 564 € (coste 5564 €; -11.3 puntos); vendedor profesional: sin ITP (operación con IVA/REBU, confirmar en factura); gastos de gestión del vendedor no indicados: se suma la tasa DGT; preguntar el precio final; diésel: motor sin fuente de fiabilidad (fiabilidad limitada a neutra); fiabilidad del modelo PENDIENTE de fuente (puntuación neutra)</t>
        </is>
      </c>
      <c r="BU192" s="2" t="inlineStr">
        <is>
          <t xml:space="preserve">FORD - MONDEO 1.8 TDCI
Modelo 1.8 tdci, 125cv  en muy buen estado. Portón grande trasero, Equipo de sonido originar Ford SONY, elevalunas eléctrico, aire acondicionado, cierre centralizado con mando, dirección asistida, asientos en muy buen estado,  itv en vigor recién pasada, distribucion recién cambiada todo nuevo, neumaticos semi nuevos , ordenador a bordo pintura perfecta. Aceite y filtros recién cambiados ETC. 
</t>
        </is>
      </c>
      <c r="BV192" s="2" t="inlineStr">
        <is>
          <t>https://www.coches.net/ford-mondeo-18-tdci-125-ambiente-5p-diesel-2009-en-valencia-71730076-covo.aspx (window.__INITIAL_PROPS__.ad) /home/user/Alopecia/buscador-coches/raw/cochesnet/fef2a7adbf31e6a5.json</t>
        </is>
      </c>
      <c r="BW192" s="3">
        <f>MAX(ANIO_ACTUAL-M192,0)</f>
        <v/>
      </c>
      <c r="BX192" s="4">
        <f>N192/MAX(BW192,0.5)</f>
        <v/>
      </c>
      <c r="BY192" s="4">
        <f>F192</f>
        <v/>
      </c>
      <c r="BZ192" s="3">
        <f>BY192&amp;"|"&amp;INT(M192/SEG_ANIO)*SEG_ANIO</f>
        <v/>
      </c>
      <c r="CA192" s="3">
        <f>BZ192&amp;"|"&amp;INT(N192/SEG_KM)*SEG_KM</f>
        <v/>
      </c>
      <c r="CB192" s="4">
        <f>COUNTIF($BY$2:$BY$209,BY192)</f>
        <v/>
      </c>
      <c r="CC192" s="4">
        <f>COUNTIF($BZ$2:$BZ$209,BZ192)</f>
        <v/>
      </c>
      <c r="CD192" s="4">
        <f>COUNTIF($CA$2:$CA$209,CA192)</f>
        <v/>
      </c>
      <c r="CE192" s="3">
        <f t="array" ref="CE192">IF(N(BQ192)&gt;=MIN_N,BP192,IF(CD192&gt;=MIN_N,MEDIAN(IF($CA$2:$CA$209=CA192,$O$2:$O$209)),IF(CC192&gt;=MIN_N,MEDIAN(IF($BZ$2:$BZ$209=BZ192,$O$2:$O$209)),MEDIAN(IF($BY$2:$BY$209=BY192,$O$2:$O$209)))))</f>
        <v/>
      </c>
      <c r="CF192" s="3">
        <f>IF(N(BQ192)&gt;=MIN_N,"mercado "&amp;BR192,IF(CD192&gt;=MIN_N,"modelo+año+km",IF(CC192&gt;=MIN_N,"modelo+año","modelo")))</f>
        <v/>
      </c>
      <c r="CG192" s="4">
        <f>(CE192-O192)/CE192</f>
        <v/>
      </c>
      <c r="CH192" s="3">
        <f>IF(COUNTIFS(FR_FUEL,K192,FR_YEAR,AP192)&gt;0,1,0)</f>
        <v/>
      </c>
      <c r="CI192" s="3">
        <f>IF(COUNTIFS(FR_FUEL,K192,FR_YEAR,AP192-1)&gt;0,1,0)</f>
        <v/>
      </c>
      <c r="CJ192" s="4">
        <f>IF(N(AQ192)&gt;0,AP192*100+AQ192,IF(AND(CH192=1,CI192=1),(AP192-1)*100+1,AP192*100+1))</f>
        <v/>
      </c>
      <c r="CK192" s="3">
        <f>IF(OR(K192="hibrido",K192="glp",K192="gnc",K192="phev"),"ECO",IF(K192="electrico","CERO",IF(K192="gasolina",IF(CJ192&gt;=GAS_C_YM,"C",IF(CJ192&gt;=GAS_B_YM,"B","A")),IF(K192="diesel",IF(CJ192&gt;=DIE_C_YM,"C",IF(CJ192&gt;=DIE_B_YM,"B","A")),""))))</f>
        <v/>
      </c>
      <c r="CL192" s="2" t="inlineStr">
        <is>
          <t>B</t>
        </is>
      </c>
      <c r="CM192" s="4">
        <f>IF(AU192="sí","sí",IF(AS192="regla",IF(AND(N(AQ192)=0,CH192=1),"sí","no"),"no"))</f>
        <v/>
      </c>
      <c r="CN192" s="3">
        <f>IFERROR(VLOOKUP(F192,MOD_TBL,16,0),IFERROR(VLOOKUP(E192,OCU_TBL,2,0),NEUTRO))</f>
        <v/>
      </c>
      <c r="CO192" s="3">
        <f>SUMIFS(MOT_AJUSTE,MOT_MOTOR,G192,MOT_MARCA,E192,MOT_DESDE,"&lt;="&amp;M192,MOT_HASTA,"&gt;="&amp;M192)+SUMIFS(MOT_AJUSTE,MOT_MOTOR,G192,MOT_MARCA,"(todas)",MOT_DESDE,"&lt;="&amp;M192,MOT_HASTA,"&gt;="&amp;M192)+SUMIFS(MOT_AJUSTE,MOT_MOTOR,"(cualquiera)",MOT_MARCA,E192,MOT_DESDE,"&lt;="&amp;M192,MOT_HASTA,"&gt;="&amp;M192)</f>
        <v/>
      </c>
      <c r="CP192" s="3">
        <f>SUMIFS(COMB_AJUSTE,COMB_COMB,K192)</f>
        <v/>
      </c>
      <c r="CQ192" s="3">
        <f>COUNTIFS(MOT_MOTOR,G192,MOT_MARCA,E192,MOT_DESDE,"&lt;="&amp;M192,MOT_HASTA,"&gt;="&amp;M192)+COUNTIFS(MOT_MOTOR,G192,MOT_MARCA,"(todas)",MOT_DESDE,"&lt;="&amp;M192,MOT_HASTA,"&gt;="&amp;M192)+COUNTIFS(MOT_MOTOR,"(cualquiera)",MOT_MARCA,E192,MOT_DESDE,"&lt;="&amp;M192,MOT_HASTA,"&gt;="&amp;M192)</f>
        <v/>
      </c>
      <c r="CR192" s="3">
        <f>IF(AND(K192="diesel",CQ192=0),MIN(CN192,NEUTRO),CN192)</f>
        <v/>
      </c>
      <c r="CS192" s="3">
        <f>MAX(0,MIN(100,CR192+CO192+CP192-IF(AX192="sí",ROB_PEN,0)))</f>
        <v/>
      </c>
      <c r="CT192" s="3">
        <f>100-MAX(0,N192-KM_TOPE_DESDE)/1000*KM_TOPE_PTS</f>
        <v/>
      </c>
      <c r="CU192" s="3">
        <f>MAX(0,MIN(100,50+CG192*PRECIO_PEND,CT192))</f>
        <v/>
      </c>
      <c r="CV192" s="3">
        <f>MAX(0,100*(1-N192/KM_MAX))</f>
        <v/>
      </c>
      <c r="CW192" s="3">
        <f>IF(BX192&lt;KMA_SOSP,IF(AA192="sí",100,KMA_PEN),IF(BX192&lt;=KMA_IDEAL_MAX,100,MAX(0,100*(KMA_CERO-BX192)/(KMA_CERO-KMA_IDEAL_MAX))))</f>
        <v/>
      </c>
      <c r="CX192" s="3">
        <f>MAX(0,MIN(100,100*(M192-ANIO_MIN)/(ANIO_ACTUAL-ANIO_MIN)))</f>
        <v/>
      </c>
      <c r="CY192" s="3">
        <f>W_KMT*CV192+W_KMA*CW192+W_EDAD*CX192</f>
        <v/>
      </c>
      <c r="CZ192" s="4">
        <f>E192&amp;"|"&amp;G192</f>
        <v/>
      </c>
      <c r="DA192" s="3">
        <f>IFERROR(VLOOKUP(CZ192,DIST_TBL,2,0),"")</f>
        <v/>
      </c>
      <c r="DB192" s="3">
        <f>E_ITV*(V192="sí")+E_LIBRO*(W192="sí")+E_PROP*IF(Y192=1,1,IF(Y192=2,0.5,0))+E_CORREA*IF(OR(DA192="cadena",AND(X192="sí",BH192="sí")),1,IF(X192="sí",0.5,0))+E_FACT*(BI192="sí")</f>
        <v/>
      </c>
      <c r="DC192" s="3">
        <f>MAX(0,MIN(100,IFERROR(VLOOKUP(CL192,ETQ_TBL,2,0),0)-IF(CM192="sí",ETQ_PEN_DUD,IF(AS192="regla",ETQ_PEN_REGLA,0))))</f>
        <v/>
      </c>
      <c r="DD192" s="3">
        <f>IF(K192&lt;&gt;"gasolina","",IFERROR(VLOOKUP(F192,CONS_MOD_TBL,2,0),IFERROR(VLOOKUP(L192,CONS_SEG_TBL,2,0),"")))</f>
        <v/>
      </c>
      <c r="DE192" s="3">
        <f>IF(DD192="",NEUTRO,MAX(0,MIN(100,100*(CONS_REF_MAX-DD192)/(CONS_REF_MAX-CONS_REF_MIN))))</f>
        <v/>
      </c>
      <c r="DF192" s="3">
        <f>IFERROR(VLOOKUP(L192,SEGURO_TBL,3,0),"")</f>
        <v/>
      </c>
      <c r="DG192" s="3">
        <f>IF(DF192="",NEUTRO,MAX(0,MIN(100,100*(SEG_REF_MAX-DF192)/(SEG_REF_MAX-SEG_REF_MIN))))</f>
        <v/>
      </c>
      <c r="DH192" s="3">
        <f>IFERROR(VLOOKUP(E192,MANT_MARCA_TBL,2,0)+0,NEUTRO)</f>
        <v/>
      </c>
      <c r="DI192" s="3">
        <f>IF(DA192="",NEUTRO,IFERROR(VLOOKUP(DA192,DIST_PTS_TBL,2,0)+0,NEUTRO))</f>
        <v/>
      </c>
      <c r="DJ192" s="4">
        <f>(DH192+DI192)/2</f>
        <v/>
      </c>
      <c r="DK192" s="3">
        <f>W_CONS*DE192+W_SEG*DG192+W_MANT*DJ192</f>
        <v/>
      </c>
      <c r="DL192" s="3">
        <f>IF(N(AB192)&gt;0,AB192,IF(AND(R192="profesional",SG_LEGAL_ON=1),GAR_LEGAL,0))</f>
        <v/>
      </c>
      <c r="DM192" s="3">
        <f>MAX(0,MIN(100,SG_GAR*MIN(1,DL192/SG_GAR_FULL)+SG_AMPL*(AC192="sí")+SG_KMC*(AF192="sí")+SG_REV*(N(AE192)&gt;0)+SG_DEV*MIN(1,N(AG192)/SG_DEV_FULL)+SG_HIST*(W192="sí")-IF(AND(R192="particular",DL192=0),SG_PART_PEN,0)))</f>
        <v/>
      </c>
      <c r="DN192" s="3">
        <f>IF(BK192="",NEUTRO,MAX(0,MIN(100,BK192/5*100)))</f>
        <v/>
      </c>
      <c r="DO192" s="3">
        <f>IF(BL192="sí",100,IF(BL192="no",0,NEUTRO))</f>
        <v/>
      </c>
      <c r="DP192" s="3">
        <f>SV_W_NCAP*DN192+SV_W_ESP*DO192</f>
        <v/>
      </c>
      <c r="DQ192" s="3">
        <f>MAX(0,MIN(100,ATR_BASE+ATR_ACAB*(BD192&lt;&gt;"")+IF(BE192="16+",ATR_LL16,IF(BE192="sí",ATR_LL,0))+ATR_FAROS*(BF192="sí")+ATR_TINT*(BG192="sí")-ATR_CHAPA*(BE192="chapa")))</f>
        <v/>
      </c>
      <c r="DR192" s="3">
        <f>EST_W_MOD*(BB192-1)/4*100+EST_W_ATR*DQ192</f>
        <v/>
      </c>
      <c r="DS192" s="3">
        <f>IF(BA192="",NEUTRO,IFERROR(VLOOKUP(BA192,COLOR_TBL,2,0)+0,NEUTRO))</f>
        <v/>
      </c>
      <c r="DT192" s="3">
        <f>MAX(0,MIN(100,100*N(BM192)/RV_N_FULL))</f>
        <v/>
      </c>
      <c r="DU192" s="3">
        <f>IF(OR(BN192="",N(BO192)&lt;RV_DIAS_MIN),NEUTRO,MAX(0,MIN(100,100*(RV_DIAS_CERO-BN192)/(RV_DIAS_CERO-RV_DIAS_FULL))))</f>
        <v/>
      </c>
      <c r="DV192" s="3">
        <f>RV_W_LIQ*DT192+RV_W_DIAS*DU192+RV_W_ETQ*DC192</f>
        <v/>
      </c>
      <c r="DW192" s="3">
        <f>IFERROR(VLOOKUP(L192,CARR_PEN_TBL,2,0),0)</f>
        <v/>
      </c>
      <c r="DX192" s="3">
        <f>W_FIAB*CS192+W_PRECIO*CU192+W_KMEDAD*CY192+W_ESTADO*DB192+W_USO*DK192+W_SEGURIDAD*DM192+W_SEGVIAL*DP192+W_ESTETICA*DR192+W_COLOR*DS192+W_REVENTA*DV192-DW192-EG192</f>
        <v/>
      </c>
      <c r="DY192" s="4">
        <f>IF(N(I192)&gt;0,I192,IFERROR(ROUND(_xlfn.NUMBERVALUE(LEFT(G192,FIND(" ",G192&amp;" ")-1),".")*1000,0),99999))</f>
        <v/>
      </c>
      <c r="DZ192" s="3">
        <f>IF(R192="profesional",0,IF(O192&lt;CUOTA_VALOR_MAX,IF(BW192&gt;ITP_TRAMO_ALTO,SUMIFS(CF_CUOTA,CF_MAS,ITP_TRAMO_ALTO,CF_CCMIN,"&lt;="&amp;DY192,CF_CCMAX,"&gt;="&amp;DY192),IF(BW192&gt;ITP_TRAMO_BAJO,SUMIFS(CF_CUOTA,CF_MAS,ITP_TRAMO_BAJO,CF_CCMIN,"&lt;="&amp;DY192,CF_CCMAX,"&gt;="&amp;DY192),O192*ITP_TIPO)),O192*ITP_TIPO))</f>
        <v/>
      </c>
      <c r="EA192" s="4">
        <f>IF(R192="profesional",N(AK192),0)</f>
        <v/>
      </c>
      <c r="EB192" s="3">
        <f>IF(AND(R192="profesional",ISNUMBER(AK192),AL192="sí"),0,TASA_DGT)</f>
        <v/>
      </c>
      <c r="EC192" s="3">
        <f>INFORME_DGT</f>
        <v/>
      </c>
      <c r="ED192" s="4">
        <f>O192+EA192+DZ192+EB192+EC192</f>
        <v/>
      </c>
      <c r="EE192" s="4">
        <f>ED192+N(DF192)</f>
        <v/>
      </c>
      <c r="EF192" s="3">
        <f>MAX(0,ED192-TOTAL_MAX)</f>
        <v/>
      </c>
      <c r="EG192" s="3">
        <f>EF192/100*PEN_100</f>
        <v/>
      </c>
      <c r="EH192" s="3">
        <f>IF(R192="particular",ED192+IF(AND(DA192&lt;&gt;"cadena",X192&lt;&gt;"sí"),RES_CORREA,0)+IF(AND(BJ192&lt;&gt;"sí",BW192&gt;=RES_NEUM_EDAD),RES_NEUM,0),"")</f>
        <v/>
      </c>
      <c r="EI192" s="3">
        <f>IF(ED192&lt;=TOTAL_MAX,"sí",IF(ED192&lt;=TECHO,"negociar","no"))</f>
        <v/>
      </c>
      <c r="EJ192" s="4">
        <f>ROUND(DX192,9)</f>
        <v/>
      </c>
      <c r="EK192" s="4">
        <f>IF(EI192&lt;&gt;"no",SUMPRODUCT(($EI$2:$EI$209&lt;&gt;"no")*($EJ$2:$EJ$209&gt;EJ192))+SUMPRODUCT(($EI$2:EI192&lt;&gt;"no")*($EJ$2:EJ192=EJ192)),"")</f>
        <v/>
      </c>
    </row>
    <row r="193">
      <c r="A193" s="2" t="inlineStr">
        <is>
          <t>cochesnet:71863235</t>
        </is>
      </c>
      <c r="B193" s="2" t="inlineStr">
        <is>
          <t>cochesnet</t>
        </is>
      </c>
      <c r="C193" s="2" t="inlineStr">
        <is>
          <t>https://www.coches.net/fiat-punto-12-8v-pop-69-cv-gasolina-ss-3p-gasolina-2013-en-valencia-71863235-covo.aspx</t>
        </is>
      </c>
      <c r="D193" s="2" t="inlineStr">
        <is>
          <t>FIAT Punto 1.2 8v Pop 69 CV Gasolina SS</t>
        </is>
      </c>
      <c r="E193" s="2" t="inlineStr">
        <is>
          <t>Fiat</t>
        </is>
      </c>
      <c r="F193" s="2" t="inlineStr">
        <is>
          <t>Fiat Punto</t>
        </is>
      </c>
      <c r="G193" s="2" t="inlineStr">
        <is>
          <t>1.2</t>
        </is>
      </c>
      <c r="H193" s="2" t="inlineStr">
        <is>
          <t>1.2 8v Pop 69 CV Gasolina SS</t>
        </is>
      </c>
      <c r="I193" s="2" t="n"/>
      <c r="J193" s="2" t="n">
        <v>69</v>
      </c>
      <c r="K193" s="2" t="inlineStr">
        <is>
          <t>gasolina</t>
        </is>
      </c>
      <c r="L193" s="2" t="inlineStr">
        <is>
          <t>utilitario</t>
        </is>
      </c>
      <c r="M193" s="2" t="n">
        <v>2014</v>
      </c>
      <c r="N193" s="2" t="n">
        <v>105000</v>
      </c>
      <c r="O193" s="2" t="n">
        <v>5750</v>
      </c>
      <c r="P193" s="2" t="inlineStr">
        <is>
          <t>manual</t>
        </is>
      </c>
      <c r="Q193" s="2" t="inlineStr">
        <is>
          <t>no</t>
        </is>
      </c>
      <c r="R193" s="2" t="inlineStr">
        <is>
          <t>profesional</t>
        </is>
      </c>
      <c r="S193" s="2" t="inlineStr">
        <is>
          <t>JM Automóviles Alboraya</t>
        </is>
      </c>
      <c r="T193" s="2" t="inlineStr">
        <is>
          <t>2026-10-29T16:05:36Z</t>
        </is>
      </c>
      <c r="U193" s="2" t="n">
        <v>17</v>
      </c>
      <c r="V193" s="2" t="n"/>
      <c r="W193" s="2" t="n"/>
      <c r="X193" s="2" t="n"/>
      <c r="Y193" s="2" t="n">
        <v>1</v>
      </c>
      <c r="Z193" s="2" t="inlineStr">
        <is>
          <t>sí</t>
        </is>
      </c>
      <c r="AA193" s="2" t="n"/>
      <c r="AB193" s="2" t="n">
        <v>12</v>
      </c>
      <c r="AC193" s="2" t="n"/>
      <c r="AD193" s="2" t="n"/>
      <c r="AE193" s="2" t="n"/>
      <c r="AF193" s="2" t="n"/>
      <c r="AG193" s="2" t="n"/>
      <c r="AH193" s="2" t="n">
        <v>5750</v>
      </c>
      <c r="AI193" s="2" t="n">
        <v>5750</v>
      </c>
      <c r="AJ193" s="2" t="n"/>
      <c r="AK193" s="2" t="n"/>
      <c r="AL193" s="2" t="n"/>
      <c r="AM193" s="2" t="n">
        <v>4</v>
      </c>
      <c r="AN193" s="2" t="n"/>
      <c r="AO193" s="2" t="inlineStr">
        <is>
          <t>2014</t>
        </is>
      </c>
      <c r="AP193" s="2" t="n">
        <v>2014</v>
      </c>
      <c r="AQ193" s="2" t="n"/>
      <c r="AR193" s="2" t="inlineStr">
        <is>
          <t>C</t>
        </is>
      </c>
      <c r="AS193" s="2" t="inlineStr">
        <is>
          <t>anuncio</t>
        </is>
      </c>
      <c r="AT193" s="2" t="n">
        <v>2013</v>
      </c>
      <c r="AU193" s="2" t="inlineStr">
        <is>
          <t>no</t>
        </is>
      </c>
      <c r="AV193" s="2" t="inlineStr">
        <is>
          <t>C</t>
        </is>
      </c>
      <c r="AW193" s="2" t="n"/>
      <c r="AX193" s="2" t="inlineStr">
        <is>
          <t>no</t>
        </is>
      </c>
      <c r="AY193" s="2" t="inlineStr">
        <is>
          <t>no</t>
        </is>
      </c>
      <c r="AZ193" s="2" t="inlineStr">
        <is>
          <t>COMMON.COLOR_WHITE</t>
        </is>
      </c>
      <c r="BA193" s="2" t="inlineStr">
        <is>
          <t>blanco</t>
        </is>
      </c>
      <c r="BB193" s="3" t="n">
        <v>2</v>
      </c>
      <c r="BC193" s="3" t="inlineStr">
        <is>
          <t>(por segmento)</t>
        </is>
      </c>
      <c r="BD193" s="2" t="n"/>
      <c r="BE193" s="2" t="n"/>
      <c r="BF193" s="2" t="n"/>
      <c r="BG193" s="2" t="n"/>
      <c r="BH193" s="2" t="n"/>
      <c r="BI193" s="2" t="n"/>
      <c r="BJ193" s="2" t="n"/>
      <c r="BK193" s="2" t="n"/>
      <c r="BL193" s="2" t="inlineStr">
        <is>
          <t>sí</t>
        </is>
      </c>
      <c r="BM193" s="2" t="n">
        <v>134</v>
      </c>
      <c r="BN193" s="2" t="n">
        <v>0.02563078701496124</v>
      </c>
      <c r="BO193" s="2" t="n">
        <v>4</v>
      </c>
      <c r="BP193" s="2" t="n">
        <v>5825</v>
      </c>
      <c r="BQ193" s="2" t="n">
        <v>12</v>
      </c>
      <c r="BR193" s="2" t="inlineStr">
        <is>
          <t>modelo+año</t>
        </is>
      </c>
      <c r="BS193" s="2" t="n"/>
      <c r="BT193" s="2" t="inlineStr">
        <is>
          <t>año a confirmar: la URL/título dice 2013; por encima del presupuesto: negociar 814 € (coste 5814 €; -16.3 puntos); vendedor profesional: sin ITP (operación con IVA/REBU, confirmar en factura); gastos de gestión del vendedor no indicados: se suma la tasa DGT; preguntar el precio final; Euro NCAP de la generación PENDIENTE (seguridad neutra); revisar: no menciona la ITV; fiabilidad del modelo PENDIENTE de fuente (puntuación neutra)</t>
        </is>
      </c>
      <c r="BU193" s="2" t="inlineStr">
        <is>
          <t>FIAT PUNTO 1.2 70 CV POP – 2014 – 106.000 KM
Fiat Punto Pop del año 2014, equipado con motor gasolina 1.2 de 70 CV y 106.000 km. Vehículo de un solo propietario, práctico, económico y fácil de conducir, ideal para el día a día y para quienes buscan un coche sencillo y de bajo consumo.
DATOS PRINCIPALES
Año: 2014
Combustible: Gasolina
Motor: 1.2
Potencia: 70 CV
Kilómetros: 106.000 km
Propietarios: 1
Acabado: Pop
EQUIPAMIENTO DESTACADO
Aire acondicionado
Radio
Elevalunas eléctricos
Cierre centralizado
Dirección asistida
ABS y control de estabilidad
Interior práctico y funcional
LO MEJOR
Un solo propietario
Motor gasolina 1.2
106.000 km
Coche económico y práctico
Fácil de aparcar y manejar
Ideal para ciudad y desplazamientos diarios
Vehículo en buen estado, cuidado y preparado para su entrega.</t>
        </is>
      </c>
      <c r="BV193" s="2" t="inlineStr">
        <is>
          <t>https://www.coches.net/fiat-punto-12-8v-pop-69-cv-gasolina-ss-3p-gasolina-2013-en-valencia-71863235-covo.aspx (window.__INITIAL_PROPS__.ad) /home/user/Alopecia/buscador-coches/raw/cochesnet/d8c455b1e8016a87.json</t>
        </is>
      </c>
      <c r="BW193" s="3">
        <f>MAX(ANIO_ACTUAL-M193,0)</f>
        <v/>
      </c>
      <c r="BX193" s="4">
        <f>N193/MAX(BW193,0.5)</f>
        <v/>
      </c>
      <c r="BY193" s="4">
        <f>F193</f>
        <v/>
      </c>
      <c r="BZ193" s="3">
        <f>BY193&amp;"|"&amp;INT(M193/SEG_ANIO)*SEG_ANIO</f>
        <v/>
      </c>
      <c r="CA193" s="3">
        <f>BZ193&amp;"|"&amp;INT(N193/SEG_KM)*SEG_KM</f>
        <v/>
      </c>
      <c r="CB193" s="4">
        <f>COUNTIF($BY$2:$BY$209,BY193)</f>
        <v/>
      </c>
      <c r="CC193" s="4">
        <f>COUNTIF($BZ$2:$BZ$209,BZ193)</f>
        <v/>
      </c>
      <c r="CD193" s="4">
        <f>COUNTIF($CA$2:$CA$209,CA193)</f>
        <v/>
      </c>
      <c r="CE193" s="3">
        <f t="array" ref="CE193">IF(N(BQ193)&gt;=MIN_N,BP193,IF(CD193&gt;=MIN_N,MEDIAN(IF($CA$2:$CA$209=CA193,$O$2:$O$209)),IF(CC193&gt;=MIN_N,MEDIAN(IF($BZ$2:$BZ$209=BZ193,$O$2:$O$209)),MEDIAN(IF($BY$2:$BY$209=BY193,$O$2:$O$209)))))</f>
        <v/>
      </c>
      <c r="CF193" s="3">
        <f>IF(N(BQ193)&gt;=MIN_N,"mercado "&amp;BR193,IF(CD193&gt;=MIN_N,"modelo+año+km",IF(CC193&gt;=MIN_N,"modelo+año","modelo")))</f>
        <v/>
      </c>
      <c r="CG193" s="4">
        <f>(CE193-O193)/CE193</f>
        <v/>
      </c>
      <c r="CH193" s="3">
        <f>IF(COUNTIFS(FR_FUEL,K193,FR_YEAR,AP193)&gt;0,1,0)</f>
        <v/>
      </c>
      <c r="CI193" s="3">
        <f>IF(COUNTIFS(FR_FUEL,K193,FR_YEAR,AP193-1)&gt;0,1,0)</f>
        <v/>
      </c>
      <c r="CJ193" s="4">
        <f>IF(N(AQ193)&gt;0,AP193*100+AQ193,IF(AND(CH193=1,CI193=1),(AP193-1)*100+1,AP193*100+1))</f>
        <v/>
      </c>
      <c r="CK193" s="3">
        <f>IF(OR(K193="hibrido",K193="glp",K193="gnc",K193="phev"),"ECO",IF(K193="electrico","CERO",IF(K193="gasolina",IF(CJ193&gt;=GAS_C_YM,"C",IF(CJ193&gt;=GAS_B_YM,"B","A")),IF(K193="diesel",IF(CJ193&gt;=DIE_C_YM,"C",IF(CJ193&gt;=DIE_B_YM,"B","A")),""))))</f>
        <v/>
      </c>
      <c r="CL193" s="2" t="inlineStr">
        <is>
          <t>C</t>
        </is>
      </c>
      <c r="CM193" s="4">
        <f>IF(AU193="sí","sí",IF(AS193="regla",IF(AND(N(AQ193)=0,CH193=1),"sí","no"),"no"))</f>
        <v/>
      </c>
      <c r="CN193" s="3">
        <f>IFERROR(VLOOKUP(F193,MOD_TBL,16,0),IFERROR(VLOOKUP(E193,OCU_TBL,2,0),NEUTRO))</f>
        <v/>
      </c>
      <c r="CO193" s="3">
        <f>SUMIFS(MOT_AJUSTE,MOT_MOTOR,G193,MOT_MARCA,E193,MOT_DESDE,"&lt;="&amp;M193,MOT_HASTA,"&gt;="&amp;M193)+SUMIFS(MOT_AJUSTE,MOT_MOTOR,G193,MOT_MARCA,"(todas)",MOT_DESDE,"&lt;="&amp;M193,MOT_HASTA,"&gt;="&amp;M193)+SUMIFS(MOT_AJUSTE,MOT_MOTOR,"(cualquiera)",MOT_MARCA,E193,MOT_DESDE,"&lt;="&amp;M193,MOT_HASTA,"&gt;="&amp;M193)</f>
        <v/>
      </c>
      <c r="CP193" s="3">
        <f>SUMIFS(COMB_AJUSTE,COMB_COMB,K193)</f>
        <v/>
      </c>
      <c r="CQ193" s="3">
        <f>COUNTIFS(MOT_MOTOR,G193,MOT_MARCA,E193,MOT_DESDE,"&lt;="&amp;M193,MOT_HASTA,"&gt;="&amp;M193)+COUNTIFS(MOT_MOTOR,G193,MOT_MARCA,"(todas)",MOT_DESDE,"&lt;="&amp;M193,MOT_HASTA,"&gt;="&amp;M193)+COUNTIFS(MOT_MOTOR,"(cualquiera)",MOT_MARCA,E193,MOT_DESDE,"&lt;="&amp;M193,MOT_HASTA,"&gt;="&amp;M193)</f>
        <v/>
      </c>
      <c r="CR193" s="3">
        <f>IF(AND(K193="diesel",CQ193=0),MIN(CN193,NEUTRO),CN193)</f>
        <v/>
      </c>
      <c r="CS193" s="3">
        <f>MAX(0,MIN(100,CR193+CO193+CP193-IF(AX193="sí",ROB_PEN,0)))</f>
        <v/>
      </c>
      <c r="CT193" s="3">
        <f>100-MAX(0,N193-KM_TOPE_DESDE)/1000*KM_TOPE_PTS</f>
        <v/>
      </c>
      <c r="CU193" s="3">
        <f>MAX(0,MIN(100,50+CG193*PRECIO_PEND,CT193))</f>
        <v/>
      </c>
      <c r="CV193" s="3">
        <f>MAX(0,100*(1-N193/KM_MAX))</f>
        <v/>
      </c>
      <c r="CW193" s="3">
        <f>IF(BX193&lt;KMA_SOSP,IF(AA193="sí",100,KMA_PEN),IF(BX193&lt;=KMA_IDEAL_MAX,100,MAX(0,100*(KMA_CERO-BX193)/(KMA_CERO-KMA_IDEAL_MAX))))</f>
        <v/>
      </c>
      <c r="CX193" s="3">
        <f>MAX(0,MIN(100,100*(M193-ANIO_MIN)/(ANIO_ACTUAL-ANIO_MIN)))</f>
        <v/>
      </c>
      <c r="CY193" s="3">
        <f>W_KMT*CV193+W_KMA*CW193+W_EDAD*CX193</f>
        <v/>
      </c>
      <c r="CZ193" s="4">
        <f>E193&amp;"|"&amp;G193</f>
        <v/>
      </c>
      <c r="DA193" s="3">
        <f>IFERROR(VLOOKUP(CZ193,DIST_TBL,2,0),"")</f>
        <v/>
      </c>
      <c r="DB193" s="3">
        <f>E_ITV*(V193="sí")+E_LIBRO*(W193="sí")+E_PROP*IF(Y193=1,1,IF(Y193=2,0.5,0))+E_CORREA*IF(OR(DA193="cadena",AND(X193="sí",BH193="sí")),1,IF(X193="sí",0.5,0))+E_FACT*(BI193="sí")</f>
        <v/>
      </c>
      <c r="DC193" s="3">
        <f>MAX(0,MIN(100,IFERROR(VLOOKUP(CL193,ETQ_TBL,2,0),0)-IF(CM193="sí",ETQ_PEN_DUD,IF(AS193="regla",ETQ_PEN_REGLA,0))))</f>
        <v/>
      </c>
      <c r="DD193" s="3">
        <f>IF(K193&lt;&gt;"gasolina","",IFERROR(VLOOKUP(F193,CONS_MOD_TBL,2,0),IFERROR(VLOOKUP(L193,CONS_SEG_TBL,2,0),"")))</f>
        <v/>
      </c>
      <c r="DE193" s="3">
        <f>IF(DD193="",NEUTRO,MAX(0,MIN(100,100*(CONS_REF_MAX-DD193)/(CONS_REF_MAX-CONS_REF_MIN))))</f>
        <v/>
      </c>
      <c r="DF193" s="3">
        <f>IFERROR(VLOOKUP(L193,SEGURO_TBL,3,0),"")</f>
        <v/>
      </c>
      <c r="DG193" s="3">
        <f>IF(DF193="",NEUTRO,MAX(0,MIN(100,100*(SEG_REF_MAX-DF193)/(SEG_REF_MAX-SEG_REF_MIN))))</f>
        <v/>
      </c>
      <c r="DH193" s="3">
        <f>IFERROR(VLOOKUP(E193,MANT_MARCA_TBL,2,0)+0,NEUTRO)</f>
        <v/>
      </c>
      <c r="DI193" s="3">
        <f>IF(DA193="",NEUTRO,IFERROR(VLOOKUP(DA193,DIST_PTS_TBL,2,0)+0,NEUTRO))</f>
        <v/>
      </c>
      <c r="DJ193" s="4">
        <f>(DH193+DI193)/2</f>
        <v/>
      </c>
      <c r="DK193" s="3">
        <f>W_CONS*DE193+W_SEG*DG193+W_MANT*DJ193</f>
        <v/>
      </c>
      <c r="DL193" s="3">
        <f>IF(N(AB193)&gt;0,AB193,IF(AND(R193="profesional",SG_LEGAL_ON=1),GAR_LEGAL,0))</f>
        <v/>
      </c>
      <c r="DM193" s="3">
        <f>MAX(0,MIN(100,SG_GAR*MIN(1,DL193/SG_GAR_FULL)+SG_AMPL*(AC193="sí")+SG_KMC*(AF193="sí")+SG_REV*(N(AE193)&gt;0)+SG_DEV*MIN(1,N(AG193)/SG_DEV_FULL)+SG_HIST*(W193="sí")-IF(AND(R193="particular",DL193=0),SG_PART_PEN,0)))</f>
        <v/>
      </c>
      <c r="DN193" s="3">
        <f>IF(BK193="",NEUTRO,MAX(0,MIN(100,BK193/5*100)))</f>
        <v/>
      </c>
      <c r="DO193" s="3">
        <f>IF(BL193="sí",100,IF(BL193="no",0,NEUTRO))</f>
        <v/>
      </c>
      <c r="DP193" s="3">
        <f>SV_W_NCAP*DN193+SV_W_ESP*DO193</f>
        <v/>
      </c>
      <c r="DQ193" s="3">
        <f>MAX(0,MIN(100,ATR_BASE+ATR_ACAB*(BD193&lt;&gt;"")+IF(BE193="16+",ATR_LL16,IF(BE193="sí",ATR_LL,0))+ATR_FAROS*(BF193="sí")+ATR_TINT*(BG193="sí")-ATR_CHAPA*(BE193="chapa")))</f>
        <v/>
      </c>
      <c r="DR193" s="3">
        <f>EST_W_MOD*(BB193-1)/4*100+EST_W_ATR*DQ193</f>
        <v/>
      </c>
      <c r="DS193" s="3">
        <f>IF(BA193="",NEUTRO,IFERROR(VLOOKUP(BA193,COLOR_TBL,2,0)+0,NEUTRO))</f>
        <v/>
      </c>
      <c r="DT193" s="3">
        <f>MAX(0,MIN(100,100*N(BM193)/RV_N_FULL))</f>
        <v/>
      </c>
      <c r="DU193" s="3">
        <f>IF(OR(BN193="",N(BO193)&lt;RV_DIAS_MIN),NEUTRO,MAX(0,MIN(100,100*(RV_DIAS_CERO-BN193)/(RV_DIAS_CERO-RV_DIAS_FULL))))</f>
        <v/>
      </c>
      <c r="DV193" s="3">
        <f>RV_W_LIQ*DT193+RV_W_DIAS*DU193+RV_W_ETQ*DC193</f>
        <v/>
      </c>
      <c r="DW193" s="3">
        <f>IFERROR(VLOOKUP(L193,CARR_PEN_TBL,2,0),0)</f>
        <v/>
      </c>
      <c r="DX193" s="3">
        <f>W_FIAB*CS193+W_PRECIO*CU193+W_KMEDAD*CY193+W_ESTADO*DB193+W_USO*DK193+W_SEGURIDAD*DM193+W_SEGVIAL*DP193+W_ESTETICA*DR193+W_COLOR*DS193+W_REVENTA*DV193-DW193-EG193</f>
        <v/>
      </c>
      <c r="DY193" s="4">
        <f>IF(N(I193)&gt;0,I193,IFERROR(ROUND(_xlfn.NUMBERVALUE(LEFT(G193,FIND(" ",G193&amp;" ")-1),".")*1000,0),99999))</f>
        <v/>
      </c>
      <c r="DZ193" s="3">
        <f>IF(R193="profesional",0,IF(O193&lt;CUOTA_VALOR_MAX,IF(BW193&gt;ITP_TRAMO_ALTO,SUMIFS(CF_CUOTA,CF_MAS,ITP_TRAMO_ALTO,CF_CCMIN,"&lt;="&amp;DY193,CF_CCMAX,"&gt;="&amp;DY193),IF(BW193&gt;ITP_TRAMO_BAJO,SUMIFS(CF_CUOTA,CF_MAS,ITP_TRAMO_BAJO,CF_CCMIN,"&lt;="&amp;DY193,CF_CCMAX,"&gt;="&amp;DY193),O193*ITP_TIPO)),O193*ITP_TIPO))</f>
        <v/>
      </c>
      <c r="EA193" s="4">
        <f>IF(R193="profesional",N(AK193),0)</f>
        <v/>
      </c>
      <c r="EB193" s="3">
        <f>IF(AND(R193="profesional",ISNUMBER(AK193),AL193="sí"),0,TASA_DGT)</f>
        <v/>
      </c>
      <c r="EC193" s="3">
        <f>INFORME_DGT</f>
        <v/>
      </c>
      <c r="ED193" s="4">
        <f>O193+EA193+DZ193+EB193+EC193</f>
        <v/>
      </c>
      <c r="EE193" s="4">
        <f>ED193+N(DF193)</f>
        <v/>
      </c>
      <c r="EF193" s="3">
        <f>MAX(0,ED193-TOTAL_MAX)</f>
        <v/>
      </c>
      <c r="EG193" s="3">
        <f>EF193/100*PEN_100</f>
        <v/>
      </c>
      <c r="EH193" s="3">
        <f>IF(R193="particular",ED193+IF(AND(DA193&lt;&gt;"cadena",X193&lt;&gt;"sí"),RES_CORREA,0)+IF(AND(BJ193&lt;&gt;"sí",BW193&gt;=RES_NEUM_EDAD),RES_NEUM,0),"")</f>
        <v/>
      </c>
      <c r="EI193" s="3">
        <f>IF(ED193&lt;=TOTAL_MAX,"sí",IF(ED193&lt;=TECHO,"negociar","no"))</f>
        <v/>
      </c>
      <c r="EJ193" s="4">
        <f>ROUND(DX193,9)</f>
        <v/>
      </c>
      <c r="EK193" s="4">
        <f>IF(EI193&lt;&gt;"no",SUMPRODUCT(($EI$2:$EI$209&lt;&gt;"no")*($EJ$2:$EJ$209&gt;EJ193))+SUMPRODUCT(($EI$2:EI193&lt;&gt;"no")*($EJ$2:EJ193=EJ193)),"")</f>
        <v/>
      </c>
    </row>
    <row r="194">
      <c r="A194" s="2" t="inlineStr">
        <is>
          <t>cochesnet:71839140</t>
        </is>
      </c>
      <c r="B194" s="2" t="inlineStr">
        <is>
          <t>cochesnet</t>
        </is>
      </c>
      <c r="C194" s="2" t="inlineStr">
        <is>
          <t>https://www.coches.net/fiat-punto-12-8v-easy-67-cv-gasolina-5p-gasolina-2013-en-valencia-71839140-covo.aspx</t>
        </is>
      </c>
      <c r="D194" s="2" t="inlineStr">
        <is>
          <t>FIAT Punto 1.2 8v Easy 67 CV Gasolina</t>
        </is>
      </c>
      <c r="E194" s="2" t="inlineStr">
        <is>
          <t>Fiat</t>
        </is>
      </c>
      <c r="F194" s="2" t="inlineStr">
        <is>
          <t>Fiat Punto</t>
        </is>
      </c>
      <c r="G194" s="2" t="inlineStr">
        <is>
          <t>1.2</t>
        </is>
      </c>
      <c r="H194" s="2" t="inlineStr">
        <is>
          <t>1.2 8v Easy 67 CV Gasolina</t>
        </is>
      </c>
      <c r="I194" s="2" t="n"/>
      <c r="J194" s="2" t="n">
        <v>67</v>
      </c>
      <c r="K194" s="2" t="inlineStr">
        <is>
          <t>gasolina</t>
        </is>
      </c>
      <c r="L194" s="2" t="inlineStr">
        <is>
          <t>utilitario</t>
        </is>
      </c>
      <c r="M194" s="2" t="n">
        <v>2014</v>
      </c>
      <c r="N194" s="2" t="n">
        <v>150500</v>
      </c>
      <c r="O194" s="2" t="n">
        <v>5400</v>
      </c>
      <c r="P194" s="2" t="inlineStr">
        <is>
          <t>manual</t>
        </is>
      </c>
      <c r="Q194" s="2" t="inlineStr">
        <is>
          <t>no</t>
        </is>
      </c>
      <c r="R194" s="2" t="inlineStr">
        <is>
          <t>profesional</t>
        </is>
      </c>
      <c r="S194" s="2" t="inlineStr">
        <is>
          <t>Bonrepòs i Mirambell</t>
        </is>
      </c>
      <c r="T194" s="2" t="inlineStr">
        <is>
          <t>2026-10-26T21:43:20Z</t>
        </is>
      </c>
      <c r="U194" s="2" t="n">
        <v>17</v>
      </c>
      <c r="V194" s="2" t="n"/>
      <c r="W194" s="2" t="n"/>
      <c r="X194" s="2" t="n"/>
      <c r="Y194" s="2" t="n"/>
      <c r="Z194" s="2" t="inlineStr">
        <is>
          <t>sí</t>
        </is>
      </c>
      <c r="AA194" s="2" t="n"/>
      <c r="AB194" s="2" t="n">
        <v>12</v>
      </c>
      <c r="AC194" s="2" t="n"/>
      <c r="AD194" s="2" t="n"/>
      <c r="AE194" s="2" t="n"/>
      <c r="AF194" s="2" t="n"/>
      <c r="AG194" s="2" t="n"/>
      <c r="AH194" s="2" t="n">
        <v>5400</v>
      </c>
      <c r="AI194" s="2" t="n">
        <v>5100</v>
      </c>
      <c r="AJ194" s="2" t="n"/>
      <c r="AK194" s="2" t="n"/>
      <c r="AL194" s="2" t="n"/>
      <c r="AM194" s="2" t="n">
        <v>5.3</v>
      </c>
      <c r="AN194" s="2" t="n"/>
      <c r="AO194" s="2" t="inlineStr">
        <is>
          <t>2014</t>
        </is>
      </c>
      <c r="AP194" s="2" t="n">
        <v>2014</v>
      </c>
      <c r="AQ194" s="2" t="n"/>
      <c r="AR194" s="2" t="inlineStr">
        <is>
          <t>C</t>
        </is>
      </c>
      <c r="AS194" s="2" t="inlineStr">
        <is>
          <t>anuncio</t>
        </is>
      </c>
      <c r="AT194" s="2" t="n">
        <v>2013</v>
      </c>
      <c r="AU194" s="2" t="inlineStr">
        <is>
          <t>no</t>
        </is>
      </c>
      <c r="AV194" s="2" t="inlineStr">
        <is>
          <t>C</t>
        </is>
      </c>
      <c r="AW194" s="2" t="n"/>
      <c r="AX194" s="2" t="inlineStr">
        <is>
          <t>no</t>
        </is>
      </c>
      <c r="AY194" s="2" t="inlineStr">
        <is>
          <t>no</t>
        </is>
      </c>
      <c r="AZ194" s="2" t="inlineStr">
        <is>
          <t>COMMON.COLOR_RED</t>
        </is>
      </c>
      <c r="BA194" s="2" t="inlineStr">
        <is>
          <t>rojo</t>
        </is>
      </c>
      <c r="BB194" s="3" t="n">
        <v>2</v>
      </c>
      <c r="BC194" s="3" t="inlineStr">
        <is>
          <t>(por segmento)</t>
        </is>
      </c>
      <c r="BD194" s="2" t="n"/>
      <c r="BE194" s="2" t="inlineStr">
        <is>
          <t>sí</t>
        </is>
      </c>
      <c r="BF194" s="2" t="n"/>
      <c r="BG194" s="2" t="inlineStr">
        <is>
          <t>sí</t>
        </is>
      </c>
      <c r="BH194" s="2" t="n"/>
      <c r="BI194" s="2" t="n"/>
      <c r="BJ194" s="2" t="n"/>
      <c r="BK194" s="2" t="n"/>
      <c r="BL194" s="2" t="n"/>
      <c r="BM194" s="2" t="n">
        <v>134</v>
      </c>
      <c r="BN194" s="2" t="n">
        <v>0.02563078701496124</v>
      </c>
      <c r="BO194" s="2" t="n">
        <v>4</v>
      </c>
      <c r="BP194" s="2" t="n">
        <v>5825</v>
      </c>
      <c r="BQ194" s="2" t="n">
        <v>12</v>
      </c>
      <c r="BR194" s="2" t="inlineStr">
        <is>
          <t>modelo+año</t>
        </is>
      </c>
      <c r="BS194" s="2" t="n"/>
      <c r="BT194" s="2" t="inlineStr">
        <is>
          <t>año a confirmar: la URL/título dice 2013; por encima del presupuesto: negociar 464 € (coste 5464 €; -9.3 puntos); vendedor profesional: sin ITP (operación con IVA/REBU, confirmar en factura); gastos de gestión del vendedor no indicados: se suma la tasa DGT; preguntar el precio final; Euro NCAP de la generación PENDIENTE (seguridad neutra); revisar: no menciona la ITV; fiabilidad del modelo PENDIENTE de fuente (puntuación neutra)</t>
        </is>
      </c>
      <c r="BU194" s="2" t="inlineStr">
        <is>
          <t>Este Punto destaca por su equipamiento de confort: aire acondicionado, cierre centralizado con mando a distancia y apertura del maletero por control remoto. Incorpora equipo de audio con lector de CD para MP3, mando de audio en el volante y ordenador de viaje. Su etiqueta medioambiental C facilita el acceso a zonas de bajas emisiones. Equipa llantas de aleación ligera y cristales tintados.</t>
        </is>
      </c>
      <c r="BV194" s="2" t="inlineStr">
        <is>
          <t>https://www.coches.net/fiat-punto-12-8v-easy-67-cv-gasolina-5p-gasolina-2013-en-valencia-71839140-covo.aspx (window.__INITIAL_PROPS__.ad) /home/user/Alopecia/buscador-coches/raw/cochesnet/cdcf16bce9316f9f.json</t>
        </is>
      </c>
      <c r="BW194" s="3">
        <f>MAX(ANIO_ACTUAL-M194,0)</f>
        <v/>
      </c>
      <c r="BX194" s="4">
        <f>N194/MAX(BW194,0.5)</f>
        <v/>
      </c>
      <c r="BY194" s="4">
        <f>F194</f>
        <v/>
      </c>
      <c r="BZ194" s="3">
        <f>BY194&amp;"|"&amp;INT(M194/SEG_ANIO)*SEG_ANIO</f>
        <v/>
      </c>
      <c r="CA194" s="3">
        <f>BZ194&amp;"|"&amp;INT(N194/SEG_KM)*SEG_KM</f>
        <v/>
      </c>
      <c r="CB194" s="4">
        <f>COUNTIF($BY$2:$BY$209,BY194)</f>
        <v/>
      </c>
      <c r="CC194" s="4">
        <f>COUNTIF($BZ$2:$BZ$209,BZ194)</f>
        <v/>
      </c>
      <c r="CD194" s="4">
        <f>COUNTIF($CA$2:$CA$209,CA194)</f>
        <v/>
      </c>
      <c r="CE194" s="3">
        <f t="array" ref="CE194">IF(N(BQ194)&gt;=MIN_N,BP194,IF(CD194&gt;=MIN_N,MEDIAN(IF($CA$2:$CA$209=CA194,$O$2:$O$209)),IF(CC194&gt;=MIN_N,MEDIAN(IF($BZ$2:$BZ$209=BZ194,$O$2:$O$209)),MEDIAN(IF($BY$2:$BY$209=BY194,$O$2:$O$209)))))</f>
        <v/>
      </c>
      <c r="CF194" s="3">
        <f>IF(N(BQ194)&gt;=MIN_N,"mercado "&amp;BR194,IF(CD194&gt;=MIN_N,"modelo+año+km",IF(CC194&gt;=MIN_N,"modelo+año","modelo")))</f>
        <v/>
      </c>
      <c r="CG194" s="4">
        <f>(CE194-O194)/CE194</f>
        <v/>
      </c>
      <c r="CH194" s="3">
        <f>IF(COUNTIFS(FR_FUEL,K194,FR_YEAR,AP194)&gt;0,1,0)</f>
        <v/>
      </c>
      <c r="CI194" s="3">
        <f>IF(COUNTIFS(FR_FUEL,K194,FR_YEAR,AP194-1)&gt;0,1,0)</f>
        <v/>
      </c>
      <c r="CJ194" s="4">
        <f>IF(N(AQ194)&gt;0,AP194*100+AQ194,IF(AND(CH194=1,CI194=1),(AP194-1)*100+1,AP194*100+1))</f>
        <v/>
      </c>
      <c r="CK194" s="3">
        <f>IF(OR(K194="hibrido",K194="glp",K194="gnc",K194="phev"),"ECO",IF(K194="electrico","CERO",IF(K194="gasolina",IF(CJ194&gt;=GAS_C_YM,"C",IF(CJ194&gt;=GAS_B_YM,"B","A")),IF(K194="diesel",IF(CJ194&gt;=DIE_C_YM,"C",IF(CJ194&gt;=DIE_B_YM,"B","A")),""))))</f>
        <v/>
      </c>
      <c r="CL194" s="2" t="inlineStr">
        <is>
          <t>C</t>
        </is>
      </c>
      <c r="CM194" s="4">
        <f>IF(AU194="sí","sí",IF(AS194="regla",IF(AND(N(AQ194)=0,CH194=1),"sí","no"),"no"))</f>
        <v/>
      </c>
      <c r="CN194" s="3">
        <f>IFERROR(VLOOKUP(F194,MOD_TBL,16,0),IFERROR(VLOOKUP(E194,OCU_TBL,2,0),NEUTRO))</f>
        <v/>
      </c>
      <c r="CO194" s="3">
        <f>SUMIFS(MOT_AJUSTE,MOT_MOTOR,G194,MOT_MARCA,E194,MOT_DESDE,"&lt;="&amp;M194,MOT_HASTA,"&gt;="&amp;M194)+SUMIFS(MOT_AJUSTE,MOT_MOTOR,G194,MOT_MARCA,"(todas)",MOT_DESDE,"&lt;="&amp;M194,MOT_HASTA,"&gt;="&amp;M194)+SUMIFS(MOT_AJUSTE,MOT_MOTOR,"(cualquiera)",MOT_MARCA,E194,MOT_DESDE,"&lt;="&amp;M194,MOT_HASTA,"&gt;="&amp;M194)</f>
        <v/>
      </c>
      <c r="CP194" s="3">
        <f>SUMIFS(COMB_AJUSTE,COMB_COMB,K194)</f>
        <v/>
      </c>
      <c r="CQ194" s="3">
        <f>COUNTIFS(MOT_MOTOR,G194,MOT_MARCA,E194,MOT_DESDE,"&lt;="&amp;M194,MOT_HASTA,"&gt;="&amp;M194)+COUNTIFS(MOT_MOTOR,G194,MOT_MARCA,"(todas)",MOT_DESDE,"&lt;="&amp;M194,MOT_HASTA,"&gt;="&amp;M194)+COUNTIFS(MOT_MOTOR,"(cualquiera)",MOT_MARCA,E194,MOT_DESDE,"&lt;="&amp;M194,MOT_HASTA,"&gt;="&amp;M194)</f>
        <v/>
      </c>
      <c r="CR194" s="3">
        <f>IF(AND(K194="diesel",CQ194=0),MIN(CN194,NEUTRO),CN194)</f>
        <v/>
      </c>
      <c r="CS194" s="3">
        <f>MAX(0,MIN(100,CR194+CO194+CP194-IF(AX194="sí",ROB_PEN,0)))</f>
        <v/>
      </c>
      <c r="CT194" s="3">
        <f>100-MAX(0,N194-KM_TOPE_DESDE)/1000*KM_TOPE_PTS</f>
        <v/>
      </c>
      <c r="CU194" s="3">
        <f>MAX(0,MIN(100,50+CG194*PRECIO_PEND,CT194))</f>
        <v/>
      </c>
      <c r="CV194" s="3">
        <f>MAX(0,100*(1-N194/KM_MAX))</f>
        <v/>
      </c>
      <c r="CW194" s="3">
        <f>IF(BX194&lt;KMA_SOSP,IF(AA194="sí",100,KMA_PEN),IF(BX194&lt;=KMA_IDEAL_MAX,100,MAX(0,100*(KMA_CERO-BX194)/(KMA_CERO-KMA_IDEAL_MAX))))</f>
        <v/>
      </c>
      <c r="CX194" s="3">
        <f>MAX(0,MIN(100,100*(M194-ANIO_MIN)/(ANIO_ACTUAL-ANIO_MIN)))</f>
        <v/>
      </c>
      <c r="CY194" s="3">
        <f>W_KMT*CV194+W_KMA*CW194+W_EDAD*CX194</f>
        <v/>
      </c>
      <c r="CZ194" s="4">
        <f>E194&amp;"|"&amp;G194</f>
        <v/>
      </c>
      <c r="DA194" s="3">
        <f>IFERROR(VLOOKUP(CZ194,DIST_TBL,2,0),"")</f>
        <v/>
      </c>
      <c r="DB194" s="3">
        <f>E_ITV*(V194="sí")+E_LIBRO*(W194="sí")+E_PROP*IF(Y194=1,1,IF(Y194=2,0.5,0))+E_CORREA*IF(OR(DA194="cadena",AND(X194="sí",BH194="sí")),1,IF(X194="sí",0.5,0))+E_FACT*(BI194="sí")</f>
        <v/>
      </c>
      <c r="DC194" s="3">
        <f>MAX(0,MIN(100,IFERROR(VLOOKUP(CL194,ETQ_TBL,2,0),0)-IF(CM194="sí",ETQ_PEN_DUD,IF(AS194="regla",ETQ_PEN_REGLA,0))))</f>
        <v/>
      </c>
      <c r="DD194" s="3">
        <f>IF(K194&lt;&gt;"gasolina","",IFERROR(VLOOKUP(F194,CONS_MOD_TBL,2,0),IFERROR(VLOOKUP(L194,CONS_SEG_TBL,2,0),"")))</f>
        <v/>
      </c>
      <c r="DE194" s="3">
        <f>IF(DD194="",NEUTRO,MAX(0,MIN(100,100*(CONS_REF_MAX-DD194)/(CONS_REF_MAX-CONS_REF_MIN))))</f>
        <v/>
      </c>
      <c r="DF194" s="3">
        <f>IFERROR(VLOOKUP(L194,SEGURO_TBL,3,0),"")</f>
        <v/>
      </c>
      <c r="DG194" s="3">
        <f>IF(DF194="",NEUTRO,MAX(0,MIN(100,100*(SEG_REF_MAX-DF194)/(SEG_REF_MAX-SEG_REF_MIN))))</f>
        <v/>
      </c>
      <c r="DH194" s="3">
        <f>IFERROR(VLOOKUP(E194,MANT_MARCA_TBL,2,0)+0,NEUTRO)</f>
        <v/>
      </c>
      <c r="DI194" s="3">
        <f>IF(DA194="",NEUTRO,IFERROR(VLOOKUP(DA194,DIST_PTS_TBL,2,0)+0,NEUTRO))</f>
        <v/>
      </c>
      <c r="DJ194" s="4">
        <f>(DH194+DI194)/2</f>
        <v/>
      </c>
      <c r="DK194" s="3">
        <f>W_CONS*DE194+W_SEG*DG194+W_MANT*DJ194</f>
        <v/>
      </c>
      <c r="DL194" s="3">
        <f>IF(N(AB194)&gt;0,AB194,IF(AND(R194="profesional",SG_LEGAL_ON=1),GAR_LEGAL,0))</f>
        <v/>
      </c>
      <c r="DM194" s="3">
        <f>MAX(0,MIN(100,SG_GAR*MIN(1,DL194/SG_GAR_FULL)+SG_AMPL*(AC194="sí")+SG_KMC*(AF194="sí")+SG_REV*(N(AE194)&gt;0)+SG_DEV*MIN(1,N(AG194)/SG_DEV_FULL)+SG_HIST*(W194="sí")-IF(AND(R194="particular",DL194=0),SG_PART_PEN,0)))</f>
        <v/>
      </c>
      <c r="DN194" s="3">
        <f>IF(BK194="",NEUTRO,MAX(0,MIN(100,BK194/5*100)))</f>
        <v/>
      </c>
      <c r="DO194" s="3">
        <f>IF(BL194="sí",100,IF(BL194="no",0,NEUTRO))</f>
        <v/>
      </c>
      <c r="DP194" s="3">
        <f>SV_W_NCAP*DN194+SV_W_ESP*DO194</f>
        <v/>
      </c>
      <c r="DQ194" s="3">
        <f>MAX(0,MIN(100,ATR_BASE+ATR_ACAB*(BD194&lt;&gt;"")+IF(BE194="16+",ATR_LL16,IF(BE194="sí",ATR_LL,0))+ATR_FAROS*(BF194="sí")+ATR_TINT*(BG194="sí")-ATR_CHAPA*(BE194="chapa")))</f>
        <v/>
      </c>
      <c r="DR194" s="3">
        <f>EST_W_MOD*(BB194-1)/4*100+EST_W_ATR*DQ194</f>
        <v/>
      </c>
      <c r="DS194" s="3">
        <f>IF(BA194="",NEUTRO,IFERROR(VLOOKUP(BA194,COLOR_TBL,2,0)+0,NEUTRO))</f>
        <v/>
      </c>
      <c r="DT194" s="3">
        <f>MAX(0,MIN(100,100*N(BM194)/RV_N_FULL))</f>
        <v/>
      </c>
      <c r="DU194" s="3">
        <f>IF(OR(BN194="",N(BO194)&lt;RV_DIAS_MIN),NEUTRO,MAX(0,MIN(100,100*(RV_DIAS_CERO-BN194)/(RV_DIAS_CERO-RV_DIAS_FULL))))</f>
        <v/>
      </c>
      <c r="DV194" s="3">
        <f>RV_W_LIQ*DT194+RV_W_DIAS*DU194+RV_W_ETQ*DC194</f>
        <v/>
      </c>
      <c r="DW194" s="3">
        <f>IFERROR(VLOOKUP(L194,CARR_PEN_TBL,2,0),0)</f>
        <v/>
      </c>
      <c r="DX194" s="3">
        <f>W_FIAB*CS194+W_PRECIO*CU194+W_KMEDAD*CY194+W_ESTADO*DB194+W_USO*DK194+W_SEGURIDAD*DM194+W_SEGVIAL*DP194+W_ESTETICA*DR194+W_COLOR*DS194+W_REVENTA*DV194-DW194-EG194</f>
        <v/>
      </c>
      <c r="DY194" s="4">
        <f>IF(N(I194)&gt;0,I194,IFERROR(ROUND(_xlfn.NUMBERVALUE(LEFT(G194,FIND(" ",G194&amp;" ")-1),".")*1000,0),99999))</f>
        <v/>
      </c>
      <c r="DZ194" s="3">
        <f>IF(R194="profesional",0,IF(O194&lt;CUOTA_VALOR_MAX,IF(BW194&gt;ITP_TRAMO_ALTO,SUMIFS(CF_CUOTA,CF_MAS,ITP_TRAMO_ALTO,CF_CCMIN,"&lt;="&amp;DY194,CF_CCMAX,"&gt;="&amp;DY194),IF(BW194&gt;ITP_TRAMO_BAJO,SUMIFS(CF_CUOTA,CF_MAS,ITP_TRAMO_BAJO,CF_CCMIN,"&lt;="&amp;DY194,CF_CCMAX,"&gt;="&amp;DY194),O194*ITP_TIPO)),O194*ITP_TIPO))</f>
        <v/>
      </c>
      <c r="EA194" s="4">
        <f>IF(R194="profesional",N(AK194),0)</f>
        <v/>
      </c>
      <c r="EB194" s="3">
        <f>IF(AND(R194="profesional",ISNUMBER(AK194),AL194="sí"),0,TASA_DGT)</f>
        <v/>
      </c>
      <c r="EC194" s="3">
        <f>INFORME_DGT</f>
        <v/>
      </c>
      <c r="ED194" s="4">
        <f>O194+EA194+DZ194+EB194+EC194</f>
        <v/>
      </c>
      <c r="EE194" s="4">
        <f>ED194+N(DF194)</f>
        <v/>
      </c>
      <c r="EF194" s="3">
        <f>MAX(0,ED194-TOTAL_MAX)</f>
        <v/>
      </c>
      <c r="EG194" s="3">
        <f>EF194/100*PEN_100</f>
        <v/>
      </c>
      <c r="EH194" s="3">
        <f>IF(R194="particular",ED194+IF(AND(DA194&lt;&gt;"cadena",X194&lt;&gt;"sí"),RES_CORREA,0)+IF(AND(BJ194&lt;&gt;"sí",BW194&gt;=RES_NEUM_EDAD),RES_NEUM,0),"")</f>
        <v/>
      </c>
      <c r="EI194" s="3">
        <f>IF(ED194&lt;=TOTAL_MAX,"sí",IF(ED194&lt;=TECHO,"negociar","no"))</f>
        <v/>
      </c>
      <c r="EJ194" s="4">
        <f>ROUND(DX194,9)</f>
        <v/>
      </c>
      <c r="EK194" s="4">
        <f>IF(EI194&lt;&gt;"no",SUMPRODUCT(($EI$2:$EI$209&lt;&gt;"no")*($EJ$2:$EJ$209&gt;EJ194))+SUMPRODUCT(($EI$2:EI194&lt;&gt;"no")*($EJ$2:EJ194=EJ194)),"")</f>
        <v/>
      </c>
    </row>
    <row r="195">
      <c r="A195" s="2" t="inlineStr">
        <is>
          <t>cochesnet:71021130</t>
        </is>
      </c>
      <c r="B195" s="2" t="inlineStr">
        <is>
          <t>cochesnet</t>
        </is>
      </c>
      <c r="C195" s="2" t="inlineStr">
        <is>
          <t>https://www.coches.net/suzuki-swift-13-ddis-gl-5p-5p-diesel-2014-en-valencia-71021130-covo.aspx</t>
        </is>
      </c>
      <c r="D195" s="2" t="inlineStr">
        <is>
          <t>SUZUKI Swift 1.3 DDiS GL</t>
        </is>
      </c>
      <c r="E195" s="2" t="inlineStr">
        <is>
          <t>Suzuki</t>
        </is>
      </c>
      <c r="F195" s="2" t="inlineStr">
        <is>
          <t>Suzuki Swift</t>
        </is>
      </c>
      <c r="G195" s="2" t="inlineStr">
        <is>
          <t>1.3</t>
        </is>
      </c>
      <c r="H195" s="2" t="inlineStr">
        <is>
          <t>1.3 DDiS GL 5p</t>
        </is>
      </c>
      <c r="I195" s="2" t="n"/>
      <c r="J195" s="2" t="n"/>
      <c r="K195" s="2" t="inlineStr">
        <is>
          <t>diesel</t>
        </is>
      </c>
      <c r="L195" s="2" t="inlineStr">
        <is>
          <t>utilitario</t>
        </is>
      </c>
      <c r="M195" s="2" t="n">
        <v>2016</v>
      </c>
      <c r="N195" s="2" t="n">
        <v>208000</v>
      </c>
      <c r="O195" s="2" t="n">
        <v>5600</v>
      </c>
      <c r="P195" s="2" t="inlineStr">
        <is>
          <t>manual</t>
        </is>
      </c>
      <c r="Q195" s="2" t="inlineStr">
        <is>
          <t>no</t>
        </is>
      </c>
      <c r="R195" s="2" t="inlineStr">
        <is>
          <t>profesional</t>
        </is>
      </c>
      <c r="S195" s="2" t="inlineStr">
        <is>
          <t>Paiporta</t>
        </is>
      </c>
      <c r="T195" s="2" t="inlineStr">
        <is>
          <t>2026-10-05T11:50:11Z</t>
        </is>
      </c>
      <c r="U195" s="2" t="n">
        <v>22</v>
      </c>
      <c r="V195" s="2" t="n"/>
      <c r="W195" s="2" t="n"/>
      <c r="X195" s="2" t="n"/>
      <c r="Y195" s="2" t="n">
        <v>2</v>
      </c>
      <c r="Z195" s="2" t="inlineStr">
        <is>
          <t>sí</t>
        </is>
      </c>
      <c r="AA195" s="2" t="n"/>
      <c r="AB195" s="2" t="n">
        <v>12</v>
      </c>
      <c r="AC195" s="2" t="n"/>
      <c r="AD195" s="2" t="n"/>
      <c r="AE195" s="2" t="n"/>
      <c r="AF195" s="2" t="n"/>
      <c r="AG195" s="2" t="n"/>
      <c r="AH195" s="2" t="n">
        <v>5600</v>
      </c>
      <c r="AI195" s="2" t="n">
        <v>5500</v>
      </c>
      <c r="AJ195" s="2" t="n"/>
      <c r="AK195" s="2" t="n"/>
      <c r="AL195" s="2" t="n"/>
      <c r="AM195" s="2" t="n">
        <v>5.9</v>
      </c>
      <c r="AN195" s="2" t="n"/>
      <c r="AO195" s="2" t="inlineStr">
        <is>
          <t>2016</t>
        </is>
      </c>
      <c r="AP195" s="2" t="n">
        <v>2016</v>
      </c>
      <c r="AQ195" s="2" t="n"/>
      <c r="AR195" s="2" t="n"/>
      <c r="AS195" s="2" t="inlineStr">
        <is>
          <t>regla</t>
        </is>
      </c>
      <c r="AT195" s="2" t="n">
        <v>2014</v>
      </c>
      <c r="AU195" s="2" t="inlineStr">
        <is>
          <t>sí</t>
        </is>
      </c>
      <c r="AV195" s="2" t="inlineStr">
        <is>
          <t>B/C</t>
        </is>
      </c>
      <c r="AW195" s="2" t="n"/>
      <c r="AX195" s="2" t="inlineStr">
        <is>
          <t>no</t>
        </is>
      </c>
      <c r="AY195" s="2" t="inlineStr">
        <is>
          <t>no</t>
        </is>
      </c>
      <c r="AZ195" s="2" t="inlineStr">
        <is>
          <t>COMMON.COLOR_WHITE</t>
        </is>
      </c>
      <c r="BA195" s="2" t="inlineStr">
        <is>
          <t>blanco</t>
        </is>
      </c>
      <c r="BB195" s="3" t="n">
        <v>2</v>
      </c>
      <c r="BC195" s="3" t="inlineStr">
        <is>
          <t>(por segmento)</t>
        </is>
      </c>
      <c r="BD195" s="2" t="n"/>
      <c r="BE195" s="2" t="n"/>
      <c r="BF195" s="2" t="n"/>
      <c r="BG195" s="2" t="n"/>
      <c r="BH195" s="2" t="n"/>
      <c r="BI195" s="2" t="n"/>
      <c r="BJ195" s="2" t="n"/>
      <c r="BK195" s="2" t="n"/>
      <c r="BL195" s="2" t="inlineStr">
        <is>
          <t>sí</t>
        </is>
      </c>
      <c r="BM195" s="2" t="n">
        <v>35</v>
      </c>
      <c r="BN195" s="2" t="n"/>
      <c r="BO195" s="2" t="n">
        <v>0</v>
      </c>
      <c r="BP195" s="2" t="n"/>
      <c r="BQ195" s="2" t="n"/>
      <c r="BR195" s="2" t="n"/>
      <c r="BS195" s="2" t="n"/>
      <c r="BT195" s="2" t="inlineStr">
        <is>
          <t>etiqueta dudosa (B/C): se puntúa la peor (B); confirmar con la DGT antes de comprar; año a confirmar: la URL/título dice 2014; por encima del presupuesto: negociar 664 € (coste 5664 €; -13.3 puntos); vendedor profesional: sin ITP (operación con IVA/REBU, confirmar en factura); gastos de gestión del vendedor no indicados: se suma la tasa DGT; preguntar el precio final; Euro NCAP de la generación PENDIENTE (seguridad neutra); diésel: motor sin fuente de fiabilidad (fiabilidad limitada a neutra); mediana con solo 1 anuncio(s)</t>
        </is>
      </c>
      <c r="BU195" s="2" t="inlineStr">
        <is>
          <t>Suzuki Swift 1.3 DDiS GL 75CV 2016 – 208.968 km | Diésel Muy Económico | Garantía y Cambio de nombre
En MXCARS te presentamos esta excelente unidad de Suzuki Swift, un compacto urbano reconocido por su agilidad, bajo consumo de combustible y fiabilidad mecánica. Un vehículo perfecto para el día a día, ideal para quien busca un transporte económico, fiable y fácil de aparcar, combinando un motor diésel muy eficiente con un mantenimiento contenido.
Vehículo procedente de 2 propietarios, con mantenimientos al día, listo para circular sin necesidad de inversión adicional.
INFORMACIÓN GENERAL
Año: 2016
Motor: 1.3 DDiS diésel – 75CV
Kilometraje: 208.968 km
Propietarios: 2
Cambio: Manual
Número de plazas: 5
Color: Blanco original
ITV: Vigor hasta 01/2027
Llaves: 2 unidades
Garantía: Incluida
Financiación: Disponible a medida
EXTERIOR
Estéticamente presenta una imagen moderna y cuidada, ideal para el entorno urbano:
Color blanco original, siempre actual y muy limpio
Carrocería de 5 puertas que garantiza un acceso cómodo para todos los ocupantes
Diseño compacto y aerodinámico, perfecto para aparcar en espacios reducidos
Llantas originales en buen estado
Antena de techo y tiradores de puerta en color carrocería
INTERIOR Y CONFORT
Habitáculo diseñado para la funcionalidad y la ergonomía del conductor:
Configuración de 5 plazas amplias para su segmento
Asientos ergonómicos en muy buen estado, con tapicería resistente
Volante multifunción con controles de audio int</t>
        </is>
      </c>
      <c r="BV195" s="2" t="inlineStr">
        <is>
          <t>https://www.coches.net/suzuki-swift-13-ddis-gl-5p-5p-diesel-2014-en-valencia-71021130-covo.aspx (window.__INITIAL_PROPS__.ad) /home/user/Alopecia/buscador-coches/raw/cochesnet/de16cd3a50d1e53f.json</t>
        </is>
      </c>
      <c r="BW195" s="3">
        <f>MAX(ANIO_ACTUAL-M195,0)</f>
        <v/>
      </c>
      <c r="BX195" s="4">
        <f>N195/MAX(BW195,0.5)</f>
        <v/>
      </c>
      <c r="BY195" s="4">
        <f>F195</f>
        <v/>
      </c>
      <c r="BZ195" s="3">
        <f>BY195&amp;"|"&amp;INT(M195/SEG_ANIO)*SEG_ANIO</f>
        <v/>
      </c>
      <c r="CA195" s="3">
        <f>BZ195&amp;"|"&amp;INT(N195/SEG_KM)*SEG_KM</f>
        <v/>
      </c>
      <c r="CB195" s="4">
        <f>COUNTIF($BY$2:$BY$209,BY195)</f>
        <v/>
      </c>
      <c r="CC195" s="4">
        <f>COUNTIF($BZ$2:$BZ$209,BZ195)</f>
        <v/>
      </c>
      <c r="CD195" s="4">
        <f>COUNTIF($CA$2:$CA$209,CA195)</f>
        <v/>
      </c>
      <c r="CE195" s="3">
        <f t="array" ref="CE195">IF(N(BQ195)&gt;=MIN_N,BP195,IF(CD195&gt;=MIN_N,MEDIAN(IF($CA$2:$CA$209=CA195,$O$2:$O$209)),IF(CC195&gt;=MIN_N,MEDIAN(IF($BZ$2:$BZ$209=BZ195,$O$2:$O$209)),MEDIAN(IF($BY$2:$BY$209=BY195,$O$2:$O$209)))))</f>
        <v/>
      </c>
      <c r="CF195" s="3">
        <f>IF(N(BQ195)&gt;=MIN_N,"mercado "&amp;BR195,IF(CD195&gt;=MIN_N,"modelo+año+km",IF(CC195&gt;=MIN_N,"modelo+año","modelo")))</f>
        <v/>
      </c>
      <c r="CG195" s="4">
        <f>(CE195-O195)/CE195</f>
        <v/>
      </c>
      <c r="CH195" s="3">
        <f>IF(COUNTIFS(FR_FUEL,K195,FR_YEAR,AP195)&gt;0,1,0)</f>
        <v/>
      </c>
      <c r="CI195" s="3">
        <f>IF(COUNTIFS(FR_FUEL,K195,FR_YEAR,AP195-1)&gt;0,1,0)</f>
        <v/>
      </c>
      <c r="CJ195" s="4">
        <f>IF(N(AQ195)&gt;0,AP195*100+AQ195,IF(AND(CH195=1,CI195=1),(AP195-1)*100+1,AP195*100+1))</f>
        <v/>
      </c>
      <c r="CK195" s="3">
        <f>IF(OR(K195="hibrido",K195="glp",K195="gnc",K195="phev"),"ECO",IF(K195="electrico","CERO",IF(K195="gasolina",IF(CJ195&gt;=GAS_C_YM,"C",IF(CJ195&gt;=GAS_B_YM,"B","A")),IF(K195="diesel",IF(CJ195&gt;=DIE_C_YM,"C",IF(CJ195&gt;=DIE_B_YM,"B","A")),""))))</f>
        <v/>
      </c>
      <c r="CL195" s="2" t="inlineStr">
        <is>
          <t>B</t>
        </is>
      </c>
      <c r="CM195" s="4">
        <f>IF(AU195="sí","sí",IF(AS195="regla",IF(AND(N(AQ195)=0,CH195=1),"sí","no"),"no"))</f>
        <v/>
      </c>
      <c r="CN195" s="3">
        <f>IFERROR(VLOOKUP(F195,MOD_TBL,16,0),IFERROR(VLOOKUP(E195,OCU_TBL,2,0),NEUTRO))</f>
        <v/>
      </c>
      <c r="CO195" s="3">
        <f>SUMIFS(MOT_AJUSTE,MOT_MOTOR,G195,MOT_MARCA,E195,MOT_DESDE,"&lt;="&amp;M195,MOT_HASTA,"&gt;="&amp;M195)+SUMIFS(MOT_AJUSTE,MOT_MOTOR,G195,MOT_MARCA,"(todas)",MOT_DESDE,"&lt;="&amp;M195,MOT_HASTA,"&gt;="&amp;M195)+SUMIFS(MOT_AJUSTE,MOT_MOTOR,"(cualquiera)",MOT_MARCA,E195,MOT_DESDE,"&lt;="&amp;M195,MOT_HASTA,"&gt;="&amp;M195)</f>
        <v/>
      </c>
      <c r="CP195" s="3">
        <f>SUMIFS(COMB_AJUSTE,COMB_COMB,K195)</f>
        <v/>
      </c>
      <c r="CQ195" s="3">
        <f>COUNTIFS(MOT_MOTOR,G195,MOT_MARCA,E195,MOT_DESDE,"&lt;="&amp;M195,MOT_HASTA,"&gt;="&amp;M195)+COUNTIFS(MOT_MOTOR,G195,MOT_MARCA,"(todas)",MOT_DESDE,"&lt;="&amp;M195,MOT_HASTA,"&gt;="&amp;M195)+COUNTIFS(MOT_MOTOR,"(cualquiera)",MOT_MARCA,E195,MOT_DESDE,"&lt;="&amp;M195,MOT_HASTA,"&gt;="&amp;M195)</f>
        <v/>
      </c>
      <c r="CR195" s="3">
        <f>IF(AND(K195="diesel",CQ195=0),MIN(CN195,NEUTRO),CN195)</f>
        <v/>
      </c>
      <c r="CS195" s="3">
        <f>MAX(0,MIN(100,CR195+CO195+CP195-IF(AX195="sí",ROB_PEN,0)))</f>
        <v/>
      </c>
      <c r="CT195" s="3">
        <f>100-MAX(0,N195-KM_TOPE_DESDE)/1000*KM_TOPE_PTS</f>
        <v/>
      </c>
      <c r="CU195" s="3">
        <f>MAX(0,MIN(100,50+CG195*PRECIO_PEND,CT195))</f>
        <v/>
      </c>
      <c r="CV195" s="3">
        <f>MAX(0,100*(1-N195/KM_MAX))</f>
        <v/>
      </c>
      <c r="CW195" s="3">
        <f>IF(BX195&lt;KMA_SOSP,IF(AA195="sí",100,KMA_PEN),IF(BX195&lt;=KMA_IDEAL_MAX,100,MAX(0,100*(KMA_CERO-BX195)/(KMA_CERO-KMA_IDEAL_MAX))))</f>
        <v/>
      </c>
      <c r="CX195" s="3">
        <f>MAX(0,MIN(100,100*(M195-ANIO_MIN)/(ANIO_ACTUAL-ANIO_MIN)))</f>
        <v/>
      </c>
      <c r="CY195" s="3">
        <f>W_KMT*CV195+W_KMA*CW195+W_EDAD*CX195</f>
        <v/>
      </c>
      <c r="CZ195" s="4">
        <f>E195&amp;"|"&amp;G195</f>
        <v/>
      </c>
      <c r="DA195" s="3">
        <f>IFERROR(VLOOKUP(CZ195,DIST_TBL,2,0),"")</f>
        <v/>
      </c>
      <c r="DB195" s="3">
        <f>E_ITV*(V195="sí")+E_LIBRO*(W195="sí")+E_PROP*IF(Y195=1,1,IF(Y195=2,0.5,0))+E_CORREA*IF(OR(DA195="cadena",AND(X195="sí",BH195="sí")),1,IF(X195="sí",0.5,0))+E_FACT*(BI195="sí")</f>
        <v/>
      </c>
      <c r="DC195" s="3">
        <f>MAX(0,MIN(100,IFERROR(VLOOKUP(CL195,ETQ_TBL,2,0),0)-IF(CM195="sí",ETQ_PEN_DUD,IF(AS195="regla",ETQ_PEN_REGLA,0))))</f>
        <v/>
      </c>
      <c r="DD195" s="3">
        <f>IF(K195&lt;&gt;"gasolina","",IFERROR(VLOOKUP(F195,CONS_MOD_TBL,2,0),IFERROR(VLOOKUP(L195,CONS_SEG_TBL,2,0),"")))</f>
        <v/>
      </c>
      <c r="DE195" s="3">
        <f>IF(DD195="",NEUTRO,MAX(0,MIN(100,100*(CONS_REF_MAX-DD195)/(CONS_REF_MAX-CONS_REF_MIN))))</f>
        <v/>
      </c>
      <c r="DF195" s="3">
        <f>IFERROR(VLOOKUP(L195,SEGURO_TBL,3,0),"")</f>
        <v/>
      </c>
      <c r="DG195" s="3">
        <f>IF(DF195="",NEUTRO,MAX(0,MIN(100,100*(SEG_REF_MAX-DF195)/(SEG_REF_MAX-SEG_REF_MIN))))</f>
        <v/>
      </c>
      <c r="DH195" s="3">
        <f>IFERROR(VLOOKUP(E195,MANT_MARCA_TBL,2,0)+0,NEUTRO)</f>
        <v/>
      </c>
      <c r="DI195" s="3">
        <f>IF(DA195="",NEUTRO,IFERROR(VLOOKUP(DA195,DIST_PTS_TBL,2,0)+0,NEUTRO))</f>
        <v/>
      </c>
      <c r="DJ195" s="4">
        <f>(DH195+DI195)/2</f>
        <v/>
      </c>
      <c r="DK195" s="3">
        <f>W_CONS*DE195+W_SEG*DG195+W_MANT*DJ195</f>
        <v/>
      </c>
      <c r="DL195" s="3">
        <f>IF(N(AB195)&gt;0,AB195,IF(AND(R195="profesional",SG_LEGAL_ON=1),GAR_LEGAL,0))</f>
        <v/>
      </c>
      <c r="DM195" s="3">
        <f>MAX(0,MIN(100,SG_GAR*MIN(1,DL195/SG_GAR_FULL)+SG_AMPL*(AC195="sí")+SG_KMC*(AF195="sí")+SG_REV*(N(AE195)&gt;0)+SG_DEV*MIN(1,N(AG195)/SG_DEV_FULL)+SG_HIST*(W195="sí")-IF(AND(R195="particular",DL195=0),SG_PART_PEN,0)))</f>
        <v/>
      </c>
      <c r="DN195" s="3">
        <f>IF(BK195="",NEUTRO,MAX(0,MIN(100,BK195/5*100)))</f>
        <v/>
      </c>
      <c r="DO195" s="3">
        <f>IF(BL195="sí",100,IF(BL195="no",0,NEUTRO))</f>
        <v/>
      </c>
      <c r="DP195" s="3">
        <f>SV_W_NCAP*DN195+SV_W_ESP*DO195</f>
        <v/>
      </c>
      <c r="DQ195" s="3">
        <f>MAX(0,MIN(100,ATR_BASE+ATR_ACAB*(BD195&lt;&gt;"")+IF(BE195="16+",ATR_LL16,IF(BE195="sí",ATR_LL,0))+ATR_FAROS*(BF195="sí")+ATR_TINT*(BG195="sí")-ATR_CHAPA*(BE195="chapa")))</f>
        <v/>
      </c>
      <c r="DR195" s="3">
        <f>EST_W_MOD*(BB195-1)/4*100+EST_W_ATR*DQ195</f>
        <v/>
      </c>
      <c r="DS195" s="3">
        <f>IF(BA195="",NEUTRO,IFERROR(VLOOKUP(BA195,COLOR_TBL,2,0)+0,NEUTRO))</f>
        <v/>
      </c>
      <c r="DT195" s="3">
        <f>MAX(0,MIN(100,100*N(BM195)/RV_N_FULL))</f>
        <v/>
      </c>
      <c r="DU195" s="3">
        <f>IF(OR(BN195="",N(BO195)&lt;RV_DIAS_MIN),NEUTRO,MAX(0,MIN(100,100*(RV_DIAS_CERO-BN195)/(RV_DIAS_CERO-RV_DIAS_FULL))))</f>
        <v/>
      </c>
      <c r="DV195" s="3">
        <f>RV_W_LIQ*DT195+RV_W_DIAS*DU195+RV_W_ETQ*DC195</f>
        <v/>
      </c>
      <c r="DW195" s="3">
        <f>IFERROR(VLOOKUP(L195,CARR_PEN_TBL,2,0),0)</f>
        <v/>
      </c>
      <c r="DX195" s="3">
        <f>W_FIAB*CS195+W_PRECIO*CU195+W_KMEDAD*CY195+W_ESTADO*DB195+W_USO*DK195+W_SEGURIDAD*DM195+W_SEGVIAL*DP195+W_ESTETICA*DR195+W_COLOR*DS195+W_REVENTA*DV195-DW195-EG195</f>
        <v/>
      </c>
      <c r="DY195" s="4">
        <f>IF(N(I195)&gt;0,I195,IFERROR(ROUND(_xlfn.NUMBERVALUE(LEFT(G195,FIND(" ",G195&amp;" ")-1),".")*1000,0),99999))</f>
        <v/>
      </c>
      <c r="DZ195" s="3">
        <f>IF(R195="profesional",0,IF(O195&lt;CUOTA_VALOR_MAX,IF(BW195&gt;ITP_TRAMO_ALTO,SUMIFS(CF_CUOTA,CF_MAS,ITP_TRAMO_ALTO,CF_CCMIN,"&lt;="&amp;DY195,CF_CCMAX,"&gt;="&amp;DY195),IF(BW195&gt;ITP_TRAMO_BAJO,SUMIFS(CF_CUOTA,CF_MAS,ITP_TRAMO_BAJO,CF_CCMIN,"&lt;="&amp;DY195,CF_CCMAX,"&gt;="&amp;DY195),O195*ITP_TIPO)),O195*ITP_TIPO))</f>
        <v/>
      </c>
      <c r="EA195" s="4">
        <f>IF(R195="profesional",N(AK195),0)</f>
        <v/>
      </c>
      <c r="EB195" s="3">
        <f>IF(AND(R195="profesional",ISNUMBER(AK195),AL195="sí"),0,TASA_DGT)</f>
        <v/>
      </c>
      <c r="EC195" s="3">
        <f>INFORME_DGT</f>
        <v/>
      </c>
      <c r="ED195" s="4">
        <f>O195+EA195+DZ195+EB195+EC195</f>
        <v/>
      </c>
      <c r="EE195" s="4">
        <f>ED195+N(DF195)</f>
        <v/>
      </c>
      <c r="EF195" s="3">
        <f>MAX(0,ED195-TOTAL_MAX)</f>
        <v/>
      </c>
      <c r="EG195" s="3">
        <f>EF195/100*PEN_100</f>
        <v/>
      </c>
      <c r="EH195" s="3">
        <f>IF(R195="particular",ED195+IF(AND(DA195&lt;&gt;"cadena",X195&lt;&gt;"sí"),RES_CORREA,0)+IF(AND(BJ195&lt;&gt;"sí",BW195&gt;=RES_NEUM_EDAD),RES_NEUM,0),"")</f>
        <v/>
      </c>
      <c r="EI195" s="3">
        <f>IF(ED195&lt;=TOTAL_MAX,"sí",IF(ED195&lt;=TECHO,"negociar","no"))</f>
        <v/>
      </c>
      <c r="EJ195" s="4">
        <f>ROUND(DX195,9)</f>
        <v/>
      </c>
      <c r="EK195" s="4">
        <f>IF(EI195&lt;&gt;"no",SUMPRODUCT(($EI$2:$EI$209&lt;&gt;"no")*($EJ$2:$EJ$209&gt;EJ195))+SUMPRODUCT(($EI$2:EI195&lt;&gt;"no")*($EJ$2:EJ195=EJ195)),"")</f>
        <v/>
      </c>
    </row>
    <row r="196">
      <c r="A196" s="2" t="inlineStr">
        <is>
          <t>cochesnet:71834926</t>
        </is>
      </c>
      <c r="B196" s="2" t="inlineStr">
        <is>
          <t>cochesnet</t>
        </is>
      </c>
      <c r="C196" s="2" t="inlineStr">
        <is>
          <t>https://www.coches.net/mini-mini-one-3p-gasolina-2010-en-valencia-71834926-covo.aspx</t>
        </is>
      </c>
      <c r="D196" s="2" t="inlineStr">
        <is>
          <t>MINI MINI One</t>
        </is>
      </c>
      <c r="E196" s="2" t="inlineStr">
        <is>
          <t>MINI</t>
        </is>
      </c>
      <c r="F196" s="2" t="inlineStr">
        <is>
          <t>MINI MINI</t>
        </is>
      </c>
      <c r="G196" s="2" t="n"/>
      <c r="H196" s="2" t="inlineStr">
        <is>
          <t>One</t>
        </is>
      </c>
      <c r="I196" s="2" t="n"/>
      <c r="J196" s="2" t="n"/>
      <c r="K196" s="2" t="inlineStr">
        <is>
          <t>gasolina</t>
        </is>
      </c>
      <c r="L196" s="2" t="inlineStr">
        <is>
          <t>utilitario</t>
        </is>
      </c>
      <c r="M196" s="2" t="n">
        <v>2009</v>
      </c>
      <c r="N196" s="2" t="n">
        <v>136400</v>
      </c>
      <c r="O196" s="2" t="n">
        <v>5600</v>
      </c>
      <c r="P196" s="2" t="inlineStr">
        <is>
          <t>manual</t>
        </is>
      </c>
      <c r="Q196" s="2" t="inlineStr">
        <is>
          <t>no</t>
        </is>
      </c>
      <c r="R196" s="2" t="inlineStr">
        <is>
          <t>profesional</t>
        </is>
      </c>
      <c r="S196" s="2" t="inlineStr">
        <is>
          <t>Bonrepòs i Mirambell</t>
        </is>
      </c>
      <c r="T196" s="2" t="inlineStr">
        <is>
          <t>2026-10-26T14:47:37Z</t>
        </is>
      </c>
      <c r="U196" s="2" t="n">
        <v>12</v>
      </c>
      <c r="V196" s="2" t="n"/>
      <c r="W196" s="2" t="n"/>
      <c r="X196" s="2" t="n"/>
      <c r="Y196" s="2" t="n"/>
      <c r="Z196" s="2" t="inlineStr">
        <is>
          <t>sí</t>
        </is>
      </c>
      <c r="AA196" s="2" t="n"/>
      <c r="AB196" s="2" t="n">
        <v>12</v>
      </c>
      <c r="AC196" s="2" t="n"/>
      <c r="AD196" s="2" t="n"/>
      <c r="AE196" s="2" t="n"/>
      <c r="AF196" s="2" t="n"/>
      <c r="AG196" s="2" t="n"/>
      <c r="AH196" s="2" t="n">
        <v>5600</v>
      </c>
      <c r="AI196" s="2" t="n">
        <v>5100</v>
      </c>
      <c r="AJ196" s="2" t="n"/>
      <c r="AK196" s="2" t="n"/>
      <c r="AL196" s="2" t="n"/>
      <c r="AM196" s="2" t="n">
        <v>5.3</v>
      </c>
      <c r="AN196" s="2" t="n"/>
      <c r="AO196" s="2" t="inlineStr">
        <is>
          <t>2009</t>
        </is>
      </c>
      <c r="AP196" s="2" t="n">
        <v>2009</v>
      </c>
      <c r="AQ196" s="2" t="n"/>
      <c r="AR196" s="2" t="inlineStr">
        <is>
          <t>C</t>
        </is>
      </c>
      <c r="AS196" s="2" t="inlineStr">
        <is>
          <t>anuncio</t>
        </is>
      </c>
      <c r="AT196" s="2" t="n">
        <v>2010</v>
      </c>
      <c r="AU196" s="2" t="inlineStr">
        <is>
          <t>no</t>
        </is>
      </c>
      <c r="AV196" s="2" t="inlineStr">
        <is>
          <t>C</t>
        </is>
      </c>
      <c r="AW196" s="2" t="n"/>
      <c r="AX196" s="2" t="inlineStr">
        <is>
          <t>no</t>
        </is>
      </c>
      <c r="AY196" s="2" t="inlineStr">
        <is>
          <t>no</t>
        </is>
      </c>
      <c r="AZ196" s="2" t="inlineStr">
        <is>
          <t>COMMON.COLOR_BEIGE</t>
        </is>
      </c>
      <c r="BA196" s="2" t="inlineStr">
        <is>
          <t>beige</t>
        </is>
      </c>
      <c r="BB196" s="3" t="n">
        <v>2</v>
      </c>
      <c r="BC196" s="3" t="inlineStr">
        <is>
          <t>(por segmento)</t>
        </is>
      </c>
      <c r="BD196" s="2" t="n"/>
      <c r="BE196" s="2" t="n"/>
      <c r="BF196" s="2" t="n"/>
      <c r="BG196" s="2" t="inlineStr">
        <is>
          <t>sí</t>
        </is>
      </c>
      <c r="BH196" s="2" t="n"/>
      <c r="BI196" s="2" t="n"/>
      <c r="BJ196" s="2" t="n"/>
      <c r="BK196" s="2" t="n"/>
      <c r="BL196" s="2" t="n"/>
      <c r="BM196" s="2" t="n">
        <v>299</v>
      </c>
      <c r="BN196" s="2" t="n">
        <v>0</v>
      </c>
      <c r="BO196" s="2" t="n">
        <v>1</v>
      </c>
      <c r="BP196" s="2" t="n">
        <v>6000</v>
      </c>
      <c r="BQ196" s="2" t="n">
        <v>21</v>
      </c>
      <c r="BR196" s="2" t="inlineStr">
        <is>
          <t>modelo+año+km</t>
        </is>
      </c>
      <c r="BS196" s="2" t="n"/>
      <c r="BT196" s="2" t="inlineStr">
        <is>
          <t>año a confirmar: la URL/título dice 2010; por encima del presupuesto: negociar 664 € (coste 5664 €; -13.3 puntos); vendedor profesional: sin ITP (operación con IVA/REBU, confirmar en factura); gastos de gestión del vendedor no indicados: se suma la tasa DGT; preguntar el precio final; Euro NCAP de la generación PENDIENTE (seguridad neutra); revisar: no menciona la ITV; fiabilidad del modelo PENDIENTE de fuente (puntuación neutra)</t>
        </is>
      </c>
      <c r="BU196" s="2" t="inlineStr">
        <is>
          <t>Este MINI One destaca por su dirección asistida eléctrica con endurecimiento progresivo según la velocidad y por sus cristales tintados para mayor privacidad. Incorpora equipo de audio con radio AM/FM, reproductor de CD y RDS, antena de techo, memoria de posición y apertura a distancia del maletero. Cuenta además con filtro de polen en la ventilación y con etiqueta medioambiental que facilita el acceso a zonas de bajas emisiones.</t>
        </is>
      </c>
      <c r="BV196" s="2" t="inlineStr">
        <is>
          <t>https://www.coches.net/mini-mini-one-3p-gasolina-2010-en-valencia-71834926-covo.aspx (window.__INITIAL_PROPS__.ad) /home/user/Alopecia/buscador-coches/raw/cochesnet/b4fc6e0a8e7125bd.json</t>
        </is>
      </c>
      <c r="BW196" s="3">
        <f>MAX(ANIO_ACTUAL-M196,0)</f>
        <v/>
      </c>
      <c r="BX196" s="4">
        <f>N196/MAX(BW196,0.5)</f>
        <v/>
      </c>
      <c r="BY196" s="4">
        <f>F196</f>
        <v/>
      </c>
      <c r="BZ196" s="3">
        <f>BY196&amp;"|"&amp;INT(M196/SEG_ANIO)*SEG_ANIO</f>
        <v/>
      </c>
      <c r="CA196" s="3">
        <f>BZ196&amp;"|"&amp;INT(N196/SEG_KM)*SEG_KM</f>
        <v/>
      </c>
      <c r="CB196" s="4">
        <f>COUNTIF($BY$2:$BY$209,BY196)</f>
        <v/>
      </c>
      <c r="CC196" s="4">
        <f>COUNTIF($BZ$2:$BZ$209,BZ196)</f>
        <v/>
      </c>
      <c r="CD196" s="4">
        <f>COUNTIF($CA$2:$CA$209,CA196)</f>
        <v/>
      </c>
      <c r="CE196" s="3">
        <f t="array" ref="CE196">IF(N(BQ196)&gt;=MIN_N,BP196,IF(CD196&gt;=MIN_N,MEDIAN(IF($CA$2:$CA$209=CA196,$O$2:$O$209)),IF(CC196&gt;=MIN_N,MEDIAN(IF($BZ$2:$BZ$209=BZ196,$O$2:$O$209)),MEDIAN(IF($BY$2:$BY$209=BY196,$O$2:$O$209)))))</f>
        <v/>
      </c>
      <c r="CF196" s="3">
        <f>IF(N(BQ196)&gt;=MIN_N,"mercado "&amp;BR196,IF(CD196&gt;=MIN_N,"modelo+año+km",IF(CC196&gt;=MIN_N,"modelo+año","modelo")))</f>
        <v/>
      </c>
      <c r="CG196" s="4">
        <f>(CE196-O196)/CE196</f>
        <v/>
      </c>
      <c r="CH196" s="3">
        <f>IF(COUNTIFS(FR_FUEL,K196,FR_YEAR,AP196)&gt;0,1,0)</f>
        <v/>
      </c>
      <c r="CI196" s="3">
        <f>IF(COUNTIFS(FR_FUEL,K196,FR_YEAR,AP196-1)&gt;0,1,0)</f>
        <v/>
      </c>
      <c r="CJ196" s="4">
        <f>IF(N(AQ196)&gt;0,AP196*100+AQ196,IF(AND(CH196=1,CI196=1),(AP196-1)*100+1,AP196*100+1))</f>
        <v/>
      </c>
      <c r="CK196" s="3">
        <f>IF(OR(K196="hibrido",K196="glp",K196="gnc",K196="phev"),"ECO",IF(K196="electrico","CERO",IF(K196="gasolina",IF(CJ196&gt;=GAS_C_YM,"C",IF(CJ196&gt;=GAS_B_YM,"B","A")),IF(K196="diesel",IF(CJ196&gt;=DIE_C_YM,"C",IF(CJ196&gt;=DIE_B_YM,"B","A")),""))))</f>
        <v/>
      </c>
      <c r="CL196" s="2" t="inlineStr">
        <is>
          <t>C</t>
        </is>
      </c>
      <c r="CM196" s="4">
        <f>IF(AU196="sí","sí",IF(AS196="regla",IF(AND(N(AQ196)=0,CH196=1),"sí","no"),"no"))</f>
        <v/>
      </c>
      <c r="CN196" s="3">
        <f>IFERROR(VLOOKUP(F196,MOD_TBL,16,0),IFERROR(VLOOKUP(E196,OCU_TBL,2,0),NEUTRO))</f>
        <v/>
      </c>
      <c r="CO196" s="3">
        <f>SUMIFS(MOT_AJUSTE,MOT_MOTOR,G196,MOT_MARCA,E196,MOT_DESDE,"&lt;="&amp;M196,MOT_HASTA,"&gt;="&amp;M196)+SUMIFS(MOT_AJUSTE,MOT_MOTOR,G196,MOT_MARCA,"(todas)",MOT_DESDE,"&lt;="&amp;M196,MOT_HASTA,"&gt;="&amp;M196)+SUMIFS(MOT_AJUSTE,MOT_MOTOR,"(cualquiera)",MOT_MARCA,E196,MOT_DESDE,"&lt;="&amp;M196,MOT_HASTA,"&gt;="&amp;M196)</f>
        <v/>
      </c>
      <c r="CP196" s="3">
        <f>SUMIFS(COMB_AJUSTE,COMB_COMB,K196)</f>
        <v/>
      </c>
      <c r="CQ196" s="3">
        <f>COUNTIFS(MOT_MOTOR,G196,MOT_MARCA,E196,MOT_DESDE,"&lt;="&amp;M196,MOT_HASTA,"&gt;="&amp;M196)+COUNTIFS(MOT_MOTOR,G196,MOT_MARCA,"(todas)",MOT_DESDE,"&lt;="&amp;M196,MOT_HASTA,"&gt;="&amp;M196)+COUNTIFS(MOT_MOTOR,"(cualquiera)",MOT_MARCA,E196,MOT_DESDE,"&lt;="&amp;M196,MOT_HASTA,"&gt;="&amp;M196)</f>
        <v/>
      </c>
      <c r="CR196" s="3">
        <f>IF(AND(K196="diesel",CQ196=0),MIN(CN196,NEUTRO),CN196)</f>
        <v/>
      </c>
      <c r="CS196" s="3">
        <f>MAX(0,MIN(100,CR196+CO196+CP196-IF(AX196="sí",ROB_PEN,0)))</f>
        <v/>
      </c>
      <c r="CT196" s="3">
        <f>100-MAX(0,N196-KM_TOPE_DESDE)/1000*KM_TOPE_PTS</f>
        <v/>
      </c>
      <c r="CU196" s="3">
        <f>MAX(0,MIN(100,50+CG196*PRECIO_PEND,CT196))</f>
        <v/>
      </c>
      <c r="CV196" s="3">
        <f>MAX(0,100*(1-N196/KM_MAX))</f>
        <v/>
      </c>
      <c r="CW196" s="3">
        <f>IF(BX196&lt;KMA_SOSP,IF(AA196="sí",100,KMA_PEN),IF(BX196&lt;=KMA_IDEAL_MAX,100,MAX(0,100*(KMA_CERO-BX196)/(KMA_CERO-KMA_IDEAL_MAX))))</f>
        <v/>
      </c>
      <c r="CX196" s="3">
        <f>MAX(0,MIN(100,100*(M196-ANIO_MIN)/(ANIO_ACTUAL-ANIO_MIN)))</f>
        <v/>
      </c>
      <c r="CY196" s="3">
        <f>W_KMT*CV196+W_KMA*CW196+W_EDAD*CX196</f>
        <v/>
      </c>
      <c r="CZ196" s="4">
        <f>E196&amp;"|"&amp;G196</f>
        <v/>
      </c>
      <c r="DA196" s="3">
        <f>IFERROR(VLOOKUP(CZ196,DIST_TBL,2,0),"")</f>
        <v/>
      </c>
      <c r="DB196" s="3">
        <f>E_ITV*(V196="sí")+E_LIBRO*(W196="sí")+E_PROP*IF(Y196=1,1,IF(Y196=2,0.5,0))+E_CORREA*IF(OR(DA196="cadena",AND(X196="sí",BH196="sí")),1,IF(X196="sí",0.5,0))+E_FACT*(BI196="sí")</f>
        <v/>
      </c>
      <c r="DC196" s="3">
        <f>MAX(0,MIN(100,IFERROR(VLOOKUP(CL196,ETQ_TBL,2,0),0)-IF(CM196="sí",ETQ_PEN_DUD,IF(AS196="regla",ETQ_PEN_REGLA,0))))</f>
        <v/>
      </c>
      <c r="DD196" s="3">
        <f>IF(K196&lt;&gt;"gasolina","",IFERROR(VLOOKUP(F196,CONS_MOD_TBL,2,0),IFERROR(VLOOKUP(L196,CONS_SEG_TBL,2,0),"")))</f>
        <v/>
      </c>
      <c r="DE196" s="3">
        <f>IF(DD196="",NEUTRO,MAX(0,MIN(100,100*(CONS_REF_MAX-DD196)/(CONS_REF_MAX-CONS_REF_MIN))))</f>
        <v/>
      </c>
      <c r="DF196" s="3">
        <f>IFERROR(VLOOKUP(L196,SEGURO_TBL,3,0),"")</f>
        <v/>
      </c>
      <c r="DG196" s="3">
        <f>IF(DF196="",NEUTRO,MAX(0,MIN(100,100*(SEG_REF_MAX-DF196)/(SEG_REF_MAX-SEG_REF_MIN))))</f>
        <v/>
      </c>
      <c r="DH196" s="3">
        <f>IFERROR(VLOOKUP(E196,MANT_MARCA_TBL,2,0)+0,NEUTRO)</f>
        <v/>
      </c>
      <c r="DI196" s="3">
        <f>IF(DA196="",NEUTRO,IFERROR(VLOOKUP(DA196,DIST_PTS_TBL,2,0)+0,NEUTRO))</f>
        <v/>
      </c>
      <c r="DJ196" s="4">
        <f>(DH196+DI196)/2</f>
        <v/>
      </c>
      <c r="DK196" s="3">
        <f>W_CONS*DE196+W_SEG*DG196+W_MANT*DJ196</f>
        <v/>
      </c>
      <c r="DL196" s="3">
        <f>IF(N(AB196)&gt;0,AB196,IF(AND(R196="profesional",SG_LEGAL_ON=1),GAR_LEGAL,0))</f>
        <v/>
      </c>
      <c r="DM196" s="3">
        <f>MAX(0,MIN(100,SG_GAR*MIN(1,DL196/SG_GAR_FULL)+SG_AMPL*(AC196="sí")+SG_KMC*(AF196="sí")+SG_REV*(N(AE196)&gt;0)+SG_DEV*MIN(1,N(AG196)/SG_DEV_FULL)+SG_HIST*(W196="sí")-IF(AND(R196="particular",DL196=0),SG_PART_PEN,0)))</f>
        <v/>
      </c>
      <c r="DN196" s="3">
        <f>IF(BK196="",NEUTRO,MAX(0,MIN(100,BK196/5*100)))</f>
        <v/>
      </c>
      <c r="DO196" s="3">
        <f>IF(BL196="sí",100,IF(BL196="no",0,NEUTRO))</f>
        <v/>
      </c>
      <c r="DP196" s="3">
        <f>SV_W_NCAP*DN196+SV_W_ESP*DO196</f>
        <v/>
      </c>
      <c r="DQ196" s="3">
        <f>MAX(0,MIN(100,ATR_BASE+ATR_ACAB*(BD196&lt;&gt;"")+IF(BE196="16+",ATR_LL16,IF(BE196="sí",ATR_LL,0))+ATR_FAROS*(BF196="sí")+ATR_TINT*(BG196="sí")-ATR_CHAPA*(BE196="chapa")))</f>
        <v/>
      </c>
      <c r="DR196" s="3">
        <f>EST_W_MOD*(BB196-1)/4*100+EST_W_ATR*DQ196</f>
        <v/>
      </c>
      <c r="DS196" s="3">
        <f>IF(BA196="",NEUTRO,IFERROR(VLOOKUP(BA196,COLOR_TBL,2,0)+0,NEUTRO))</f>
        <v/>
      </c>
      <c r="DT196" s="3">
        <f>MAX(0,MIN(100,100*N(BM196)/RV_N_FULL))</f>
        <v/>
      </c>
      <c r="DU196" s="3">
        <f>IF(OR(BN196="",N(BO196)&lt;RV_DIAS_MIN),NEUTRO,MAX(0,MIN(100,100*(RV_DIAS_CERO-BN196)/(RV_DIAS_CERO-RV_DIAS_FULL))))</f>
        <v/>
      </c>
      <c r="DV196" s="3">
        <f>RV_W_LIQ*DT196+RV_W_DIAS*DU196+RV_W_ETQ*DC196</f>
        <v/>
      </c>
      <c r="DW196" s="3">
        <f>IFERROR(VLOOKUP(L196,CARR_PEN_TBL,2,0),0)</f>
        <v/>
      </c>
      <c r="DX196" s="3">
        <f>W_FIAB*CS196+W_PRECIO*CU196+W_KMEDAD*CY196+W_ESTADO*DB196+W_USO*DK196+W_SEGURIDAD*DM196+W_SEGVIAL*DP196+W_ESTETICA*DR196+W_COLOR*DS196+W_REVENTA*DV196-DW196-EG196</f>
        <v/>
      </c>
      <c r="DY196" s="4">
        <f>IF(N(I196)&gt;0,I196,IFERROR(ROUND(_xlfn.NUMBERVALUE(LEFT(G196,FIND(" ",G196&amp;" ")-1),".")*1000,0),99999))</f>
        <v/>
      </c>
      <c r="DZ196" s="3">
        <f>IF(R196="profesional",0,IF(O196&lt;CUOTA_VALOR_MAX,IF(BW196&gt;ITP_TRAMO_ALTO,SUMIFS(CF_CUOTA,CF_MAS,ITP_TRAMO_ALTO,CF_CCMIN,"&lt;="&amp;DY196,CF_CCMAX,"&gt;="&amp;DY196),IF(BW196&gt;ITP_TRAMO_BAJO,SUMIFS(CF_CUOTA,CF_MAS,ITP_TRAMO_BAJO,CF_CCMIN,"&lt;="&amp;DY196,CF_CCMAX,"&gt;="&amp;DY196),O196*ITP_TIPO)),O196*ITP_TIPO))</f>
        <v/>
      </c>
      <c r="EA196" s="4">
        <f>IF(R196="profesional",N(AK196),0)</f>
        <v/>
      </c>
      <c r="EB196" s="3">
        <f>IF(AND(R196="profesional",ISNUMBER(AK196),AL196="sí"),0,TASA_DGT)</f>
        <v/>
      </c>
      <c r="EC196" s="3">
        <f>INFORME_DGT</f>
        <v/>
      </c>
      <c r="ED196" s="4">
        <f>O196+EA196+DZ196+EB196+EC196</f>
        <v/>
      </c>
      <c r="EE196" s="4">
        <f>ED196+N(DF196)</f>
        <v/>
      </c>
      <c r="EF196" s="3">
        <f>MAX(0,ED196-TOTAL_MAX)</f>
        <v/>
      </c>
      <c r="EG196" s="3">
        <f>EF196/100*PEN_100</f>
        <v/>
      </c>
      <c r="EH196" s="3">
        <f>IF(R196="particular",ED196+IF(AND(DA196&lt;&gt;"cadena",X196&lt;&gt;"sí"),RES_CORREA,0)+IF(AND(BJ196&lt;&gt;"sí",BW196&gt;=RES_NEUM_EDAD),RES_NEUM,0),"")</f>
        <v/>
      </c>
      <c r="EI196" s="3">
        <f>IF(ED196&lt;=TOTAL_MAX,"sí",IF(ED196&lt;=TECHO,"negociar","no"))</f>
        <v/>
      </c>
      <c r="EJ196" s="4">
        <f>ROUND(DX196,9)</f>
        <v/>
      </c>
      <c r="EK196" s="4">
        <f>IF(EI196&lt;&gt;"no",SUMPRODUCT(($EI$2:$EI$209&lt;&gt;"no")*($EJ$2:$EJ$209&gt;EJ196))+SUMPRODUCT(($EI$2:EI196&lt;&gt;"no")*($EJ$2:EJ196=EJ196)),"")</f>
        <v/>
      </c>
    </row>
    <row r="197">
      <c r="A197" s="2" t="inlineStr">
        <is>
          <t>cochesnet:71488883</t>
        </is>
      </c>
      <c r="B197" s="2" t="inlineStr">
        <is>
          <t>cochesnet</t>
        </is>
      </c>
      <c r="C197" s="2" t="inlineStr">
        <is>
          <t>https://www.coches.net/mini-mini-one-3p-gasolina-2009-en-valencia-71488883-covo.aspx</t>
        </is>
      </c>
      <c r="D197" s="2" t="inlineStr">
        <is>
          <t>MINI MINI One</t>
        </is>
      </c>
      <c r="E197" s="2" t="inlineStr">
        <is>
          <t>MINI</t>
        </is>
      </c>
      <c r="F197" s="2" t="inlineStr">
        <is>
          <t>MINI MINI</t>
        </is>
      </c>
      <c r="G197" s="2" t="n"/>
      <c r="H197" s="2" t="inlineStr">
        <is>
          <t>One</t>
        </is>
      </c>
      <c r="I197" s="2" t="n"/>
      <c r="J197" s="2" t="n"/>
      <c r="K197" s="2" t="inlineStr">
        <is>
          <t>gasolina</t>
        </is>
      </c>
      <c r="L197" s="2" t="inlineStr">
        <is>
          <t>utilitario</t>
        </is>
      </c>
      <c r="M197" s="2" t="n">
        <v>2009</v>
      </c>
      <c r="N197" s="2" t="n">
        <v>150000</v>
      </c>
      <c r="O197" s="2" t="n">
        <v>5490</v>
      </c>
      <c r="P197" s="2" t="inlineStr">
        <is>
          <t>manual</t>
        </is>
      </c>
      <c r="Q197" s="2" t="inlineStr">
        <is>
          <t>no</t>
        </is>
      </c>
      <c r="R197" s="2" t="inlineStr">
        <is>
          <t>profesional</t>
        </is>
      </c>
      <c r="S197" s="2" t="inlineStr">
        <is>
          <t>Cullera</t>
        </is>
      </c>
      <c r="T197" s="2" t="inlineStr">
        <is>
          <t>2026-09-10T20:38:03Z</t>
        </is>
      </c>
      <c r="U197" s="2" t="n">
        <v>15</v>
      </c>
      <c r="V197" s="2" t="n"/>
      <c r="W197" s="2" t="n"/>
      <c r="X197" s="2" t="n"/>
      <c r="Y197" s="2" t="n"/>
      <c r="Z197" s="2" t="inlineStr">
        <is>
          <t>sí</t>
        </is>
      </c>
      <c r="AA197" s="2" t="n"/>
      <c r="AB197" s="2" t="n">
        <v>12</v>
      </c>
      <c r="AC197" s="2" t="n"/>
      <c r="AD197" s="2" t="n"/>
      <c r="AE197" s="2" t="n"/>
      <c r="AF197" s="2" t="n"/>
      <c r="AG197" s="2" t="n"/>
      <c r="AH197" s="2" t="n">
        <v>5490</v>
      </c>
      <c r="AI197" s="2" t="n"/>
      <c r="AJ197" s="2" t="n"/>
      <c r="AK197" s="2" t="n"/>
      <c r="AL197" s="2" t="n"/>
      <c r="AM197" s="2" t="n">
        <v>35.4</v>
      </c>
      <c r="AN197" s="2" t="n"/>
      <c r="AO197" s="2" t="inlineStr">
        <is>
          <t>2009</t>
        </is>
      </c>
      <c r="AP197" s="2" t="n">
        <v>2009</v>
      </c>
      <c r="AQ197" s="2" t="n"/>
      <c r="AR197" s="2" t="inlineStr">
        <is>
          <t>C</t>
        </is>
      </c>
      <c r="AS197" s="2" t="inlineStr">
        <is>
          <t>anuncio</t>
        </is>
      </c>
      <c r="AT197" s="2" t="n"/>
      <c r="AU197" s="2" t="inlineStr">
        <is>
          <t>no</t>
        </is>
      </c>
      <c r="AV197" s="2" t="inlineStr">
        <is>
          <t>C</t>
        </is>
      </c>
      <c r="AW197" s="2" t="n"/>
      <c r="AX197" s="2" t="inlineStr">
        <is>
          <t>no</t>
        </is>
      </c>
      <c r="AY197" s="2" t="inlineStr">
        <is>
          <t>no</t>
        </is>
      </c>
      <c r="AZ197" s="2" t="inlineStr">
        <is>
          <t>COMMON.COLOR_BEIGE</t>
        </is>
      </c>
      <c r="BA197" s="2" t="inlineStr">
        <is>
          <t>beige</t>
        </is>
      </c>
      <c r="BB197" s="3" t="n">
        <v>2</v>
      </c>
      <c r="BC197" s="3" t="inlineStr">
        <is>
          <t>(por segmento)</t>
        </is>
      </c>
      <c r="BD197" s="2" t="n"/>
      <c r="BE197" s="2" t="n"/>
      <c r="BF197" s="2" t="n"/>
      <c r="BG197" s="2" t="n"/>
      <c r="BH197" s="2" t="n"/>
      <c r="BI197" s="2" t="n"/>
      <c r="BJ197" s="2" t="n"/>
      <c r="BK197" s="2" t="n"/>
      <c r="BL197" s="2" t="n"/>
      <c r="BM197" s="2" t="n">
        <v>299</v>
      </c>
      <c r="BN197" s="2" t="n">
        <v>0</v>
      </c>
      <c r="BO197" s="2" t="n">
        <v>1</v>
      </c>
      <c r="BP197" s="2" t="n">
        <v>6000</v>
      </c>
      <c r="BQ197" s="2" t="n">
        <v>9</v>
      </c>
      <c r="BR197" s="2" t="inlineStr">
        <is>
          <t>modelo+año+km</t>
        </is>
      </c>
      <c r="BS197" s="2" t="n"/>
      <c r="BT197" s="2" t="inlineStr">
        <is>
          <t>por encima del presupuesto: negociar 554 € (coste 5554 €; -11.1 puntos); vendedor profesional: sin ITP (operación con IVA/REBU, confirmar en factura); gastos de gestión del vendedor no indicados: se suma la tasa DGT; preguntar el precio final; Euro NCAP de la generación PENDIENTE (seguridad neutra); revisar: no menciona la ITV; fiabilidad del modelo PENDIENTE de fuente (puntuación neutra)</t>
        </is>
      </c>
      <c r="BU197" s="2" t="inlineStr">
        <is>
          <t>?VEHÍCULO NACIONAL, PROCEDENTE DE ÚNICA PROPIETARIA, 149.000KMS CERTIFICADOS, LIBRE DE ACCIDENTES ESTRUCTURALES ?1 AÑO DE GARANTÍA INCLUIDO EN EL PRECIO, POSIBILIDAD DE AMPLIAR A 2 AÑOS -ENVÍO A TODA ESPAÑA DESDE 150€, REGALAMOS CAMBIO DE NOMBRE CON LA COMPRA ONLINE, POSIBILIDAD DE COMPRAR DESDE CASAO EN NUESTRA TIENDA EN CORBERA, VALENCIA. ENTREGA INMEDIATA -AL DÍA DE TODO, BUEN ESTADO, LISTO PARA RODAR -AIRE ACONDICIONADO, ELEVALUNAS ELECTRICOS, DIRECCIÓN ASISTIDA etc...</t>
        </is>
      </c>
      <c r="BV197" s="2" t="inlineStr">
        <is>
          <t>https://www.coches.net/mini-mini-one-3p-gasolina-2009-en-valencia-71488883-covo.aspx (window.__INITIAL_PROPS__.ad) /home/user/Alopecia/buscador-coches/raw/cochesnet/5665e0ed03951280.json</t>
        </is>
      </c>
      <c r="BW197" s="3">
        <f>MAX(ANIO_ACTUAL-M197,0)</f>
        <v/>
      </c>
      <c r="BX197" s="4">
        <f>N197/MAX(BW197,0.5)</f>
        <v/>
      </c>
      <c r="BY197" s="4">
        <f>F197</f>
        <v/>
      </c>
      <c r="BZ197" s="3">
        <f>BY197&amp;"|"&amp;INT(M197/SEG_ANIO)*SEG_ANIO</f>
        <v/>
      </c>
      <c r="CA197" s="3">
        <f>BZ197&amp;"|"&amp;INT(N197/SEG_KM)*SEG_KM</f>
        <v/>
      </c>
      <c r="CB197" s="4">
        <f>COUNTIF($BY$2:$BY$209,BY197)</f>
        <v/>
      </c>
      <c r="CC197" s="4">
        <f>COUNTIF($BZ$2:$BZ$209,BZ197)</f>
        <v/>
      </c>
      <c r="CD197" s="4">
        <f>COUNTIF($CA$2:$CA$209,CA197)</f>
        <v/>
      </c>
      <c r="CE197" s="3">
        <f t="array" ref="CE197">IF(N(BQ197)&gt;=MIN_N,BP197,IF(CD197&gt;=MIN_N,MEDIAN(IF($CA$2:$CA$209=CA197,$O$2:$O$209)),IF(CC197&gt;=MIN_N,MEDIAN(IF($BZ$2:$BZ$209=BZ197,$O$2:$O$209)),MEDIAN(IF($BY$2:$BY$209=BY197,$O$2:$O$209)))))</f>
        <v/>
      </c>
      <c r="CF197" s="3">
        <f>IF(N(BQ197)&gt;=MIN_N,"mercado "&amp;BR197,IF(CD197&gt;=MIN_N,"modelo+año+km",IF(CC197&gt;=MIN_N,"modelo+año","modelo")))</f>
        <v/>
      </c>
      <c r="CG197" s="4">
        <f>(CE197-O197)/CE197</f>
        <v/>
      </c>
      <c r="CH197" s="3">
        <f>IF(COUNTIFS(FR_FUEL,K197,FR_YEAR,AP197)&gt;0,1,0)</f>
        <v/>
      </c>
      <c r="CI197" s="3">
        <f>IF(COUNTIFS(FR_FUEL,K197,FR_YEAR,AP197-1)&gt;0,1,0)</f>
        <v/>
      </c>
      <c r="CJ197" s="4">
        <f>IF(N(AQ197)&gt;0,AP197*100+AQ197,IF(AND(CH197=1,CI197=1),(AP197-1)*100+1,AP197*100+1))</f>
        <v/>
      </c>
      <c r="CK197" s="3">
        <f>IF(OR(K197="hibrido",K197="glp",K197="gnc",K197="phev"),"ECO",IF(K197="electrico","CERO",IF(K197="gasolina",IF(CJ197&gt;=GAS_C_YM,"C",IF(CJ197&gt;=GAS_B_YM,"B","A")),IF(K197="diesel",IF(CJ197&gt;=DIE_C_YM,"C",IF(CJ197&gt;=DIE_B_YM,"B","A")),""))))</f>
        <v/>
      </c>
      <c r="CL197" s="2" t="inlineStr">
        <is>
          <t>C</t>
        </is>
      </c>
      <c r="CM197" s="4">
        <f>IF(AU197="sí","sí",IF(AS197="regla",IF(AND(N(AQ197)=0,CH197=1),"sí","no"),"no"))</f>
        <v/>
      </c>
      <c r="CN197" s="3">
        <f>IFERROR(VLOOKUP(F197,MOD_TBL,16,0),IFERROR(VLOOKUP(E197,OCU_TBL,2,0),NEUTRO))</f>
        <v/>
      </c>
      <c r="CO197" s="3">
        <f>SUMIFS(MOT_AJUSTE,MOT_MOTOR,G197,MOT_MARCA,E197,MOT_DESDE,"&lt;="&amp;M197,MOT_HASTA,"&gt;="&amp;M197)+SUMIFS(MOT_AJUSTE,MOT_MOTOR,G197,MOT_MARCA,"(todas)",MOT_DESDE,"&lt;="&amp;M197,MOT_HASTA,"&gt;="&amp;M197)+SUMIFS(MOT_AJUSTE,MOT_MOTOR,"(cualquiera)",MOT_MARCA,E197,MOT_DESDE,"&lt;="&amp;M197,MOT_HASTA,"&gt;="&amp;M197)</f>
        <v/>
      </c>
      <c r="CP197" s="3">
        <f>SUMIFS(COMB_AJUSTE,COMB_COMB,K197)</f>
        <v/>
      </c>
      <c r="CQ197" s="3">
        <f>COUNTIFS(MOT_MOTOR,G197,MOT_MARCA,E197,MOT_DESDE,"&lt;="&amp;M197,MOT_HASTA,"&gt;="&amp;M197)+COUNTIFS(MOT_MOTOR,G197,MOT_MARCA,"(todas)",MOT_DESDE,"&lt;="&amp;M197,MOT_HASTA,"&gt;="&amp;M197)+COUNTIFS(MOT_MOTOR,"(cualquiera)",MOT_MARCA,E197,MOT_DESDE,"&lt;="&amp;M197,MOT_HASTA,"&gt;="&amp;M197)</f>
        <v/>
      </c>
      <c r="CR197" s="3">
        <f>IF(AND(K197="diesel",CQ197=0),MIN(CN197,NEUTRO),CN197)</f>
        <v/>
      </c>
      <c r="CS197" s="3">
        <f>MAX(0,MIN(100,CR197+CO197+CP197-IF(AX197="sí",ROB_PEN,0)))</f>
        <v/>
      </c>
      <c r="CT197" s="3">
        <f>100-MAX(0,N197-KM_TOPE_DESDE)/1000*KM_TOPE_PTS</f>
        <v/>
      </c>
      <c r="CU197" s="3">
        <f>MAX(0,MIN(100,50+CG197*PRECIO_PEND,CT197))</f>
        <v/>
      </c>
      <c r="CV197" s="3">
        <f>MAX(0,100*(1-N197/KM_MAX))</f>
        <v/>
      </c>
      <c r="CW197" s="3">
        <f>IF(BX197&lt;KMA_SOSP,IF(AA197="sí",100,KMA_PEN),IF(BX197&lt;=KMA_IDEAL_MAX,100,MAX(0,100*(KMA_CERO-BX197)/(KMA_CERO-KMA_IDEAL_MAX))))</f>
        <v/>
      </c>
      <c r="CX197" s="3">
        <f>MAX(0,MIN(100,100*(M197-ANIO_MIN)/(ANIO_ACTUAL-ANIO_MIN)))</f>
        <v/>
      </c>
      <c r="CY197" s="3">
        <f>W_KMT*CV197+W_KMA*CW197+W_EDAD*CX197</f>
        <v/>
      </c>
      <c r="CZ197" s="4">
        <f>E197&amp;"|"&amp;G197</f>
        <v/>
      </c>
      <c r="DA197" s="3">
        <f>IFERROR(VLOOKUP(CZ197,DIST_TBL,2,0),"")</f>
        <v/>
      </c>
      <c r="DB197" s="3">
        <f>E_ITV*(V197="sí")+E_LIBRO*(W197="sí")+E_PROP*IF(Y197=1,1,IF(Y197=2,0.5,0))+E_CORREA*IF(OR(DA197="cadena",AND(X197="sí",BH197="sí")),1,IF(X197="sí",0.5,0))+E_FACT*(BI197="sí")</f>
        <v/>
      </c>
      <c r="DC197" s="3">
        <f>MAX(0,MIN(100,IFERROR(VLOOKUP(CL197,ETQ_TBL,2,0),0)-IF(CM197="sí",ETQ_PEN_DUD,IF(AS197="regla",ETQ_PEN_REGLA,0))))</f>
        <v/>
      </c>
      <c r="DD197" s="3">
        <f>IF(K197&lt;&gt;"gasolina","",IFERROR(VLOOKUP(F197,CONS_MOD_TBL,2,0),IFERROR(VLOOKUP(L197,CONS_SEG_TBL,2,0),"")))</f>
        <v/>
      </c>
      <c r="DE197" s="3">
        <f>IF(DD197="",NEUTRO,MAX(0,MIN(100,100*(CONS_REF_MAX-DD197)/(CONS_REF_MAX-CONS_REF_MIN))))</f>
        <v/>
      </c>
      <c r="DF197" s="3">
        <f>IFERROR(VLOOKUP(L197,SEGURO_TBL,3,0),"")</f>
        <v/>
      </c>
      <c r="DG197" s="3">
        <f>IF(DF197="",NEUTRO,MAX(0,MIN(100,100*(SEG_REF_MAX-DF197)/(SEG_REF_MAX-SEG_REF_MIN))))</f>
        <v/>
      </c>
      <c r="DH197" s="3">
        <f>IFERROR(VLOOKUP(E197,MANT_MARCA_TBL,2,0)+0,NEUTRO)</f>
        <v/>
      </c>
      <c r="DI197" s="3">
        <f>IF(DA197="",NEUTRO,IFERROR(VLOOKUP(DA197,DIST_PTS_TBL,2,0)+0,NEUTRO))</f>
        <v/>
      </c>
      <c r="DJ197" s="4">
        <f>(DH197+DI197)/2</f>
        <v/>
      </c>
      <c r="DK197" s="3">
        <f>W_CONS*DE197+W_SEG*DG197+W_MANT*DJ197</f>
        <v/>
      </c>
      <c r="DL197" s="3">
        <f>IF(N(AB197)&gt;0,AB197,IF(AND(R197="profesional",SG_LEGAL_ON=1),GAR_LEGAL,0))</f>
        <v/>
      </c>
      <c r="DM197" s="3">
        <f>MAX(0,MIN(100,SG_GAR*MIN(1,DL197/SG_GAR_FULL)+SG_AMPL*(AC197="sí")+SG_KMC*(AF197="sí")+SG_REV*(N(AE197)&gt;0)+SG_DEV*MIN(1,N(AG197)/SG_DEV_FULL)+SG_HIST*(W197="sí")-IF(AND(R197="particular",DL197=0),SG_PART_PEN,0)))</f>
        <v/>
      </c>
      <c r="DN197" s="3">
        <f>IF(BK197="",NEUTRO,MAX(0,MIN(100,BK197/5*100)))</f>
        <v/>
      </c>
      <c r="DO197" s="3">
        <f>IF(BL197="sí",100,IF(BL197="no",0,NEUTRO))</f>
        <v/>
      </c>
      <c r="DP197" s="3">
        <f>SV_W_NCAP*DN197+SV_W_ESP*DO197</f>
        <v/>
      </c>
      <c r="DQ197" s="3">
        <f>MAX(0,MIN(100,ATR_BASE+ATR_ACAB*(BD197&lt;&gt;"")+IF(BE197="16+",ATR_LL16,IF(BE197="sí",ATR_LL,0))+ATR_FAROS*(BF197="sí")+ATR_TINT*(BG197="sí")-ATR_CHAPA*(BE197="chapa")))</f>
        <v/>
      </c>
      <c r="DR197" s="3">
        <f>EST_W_MOD*(BB197-1)/4*100+EST_W_ATR*DQ197</f>
        <v/>
      </c>
      <c r="DS197" s="3">
        <f>IF(BA197="",NEUTRO,IFERROR(VLOOKUP(BA197,COLOR_TBL,2,0)+0,NEUTRO))</f>
        <v/>
      </c>
      <c r="DT197" s="3">
        <f>MAX(0,MIN(100,100*N(BM197)/RV_N_FULL))</f>
        <v/>
      </c>
      <c r="DU197" s="3">
        <f>IF(OR(BN197="",N(BO197)&lt;RV_DIAS_MIN),NEUTRO,MAX(0,MIN(100,100*(RV_DIAS_CERO-BN197)/(RV_DIAS_CERO-RV_DIAS_FULL))))</f>
        <v/>
      </c>
      <c r="DV197" s="3">
        <f>RV_W_LIQ*DT197+RV_W_DIAS*DU197+RV_W_ETQ*DC197</f>
        <v/>
      </c>
      <c r="DW197" s="3">
        <f>IFERROR(VLOOKUP(L197,CARR_PEN_TBL,2,0),0)</f>
        <v/>
      </c>
      <c r="DX197" s="3">
        <f>W_FIAB*CS197+W_PRECIO*CU197+W_KMEDAD*CY197+W_ESTADO*DB197+W_USO*DK197+W_SEGURIDAD*DM197+W_SEGVIAL*DP197+W_ESTETICA*DR197+W_COLOR*DS197+W_REVENTA*DV197-DW197-EG197</f>
        <v/>
      </c>
      <c r="DY197" s="4">
        <f>IF(N(I197)&gt;0,I197,IFERROR(ROUND(_xlfn.NUMBERVALUE(LEFT(G197,FIND(" ",G197&amp;" ")-1),".")*1000,0),99999))</f>
        <v/>
      </c>
      <c r="DZ197" s="3">
        <f>IF(R197="profesional",0,IF(O197&lt;CUOTA_VALOR_MAX,IF(BW197&gt;ITP_TRAMO_ALTO,SUMIFS(CF_CUOTA,CF_MAS,ITP_TRAMO_ALTO,CF_CCMIN,"&lt;="&amp;DY197,CF_CCMAX,"&gt;="&amp;DY197),IF(BW197&gt;ITP_TRAMO_BAJO,SUMIFS(CF_CUOTA,CF_MAS,ITP_TRAMO_BAJO,CF_CCMIN,"&lt;="&amp;DY197,CF_CCMAX,"&gt;="&amp;DY197),O197*ITP_TIPO)),O197*ITP_TIPO))</f>
        <v/>
      </c>
      <c r="EA197" s="4">
        <f>IF(R197="profesional",N(AK197),0)</f>
        <v/>
      </c>
      <c r="EB197" s="3">
        <f>IF(AND(R197="profesional",ISNUMBER(AK197),AL197="sí"),0,TASA_DGT)</f>
        <v/>
      </c>
      <c r="EC197" s="3">
        <f>INFORME_DGT</f>
        <v/>
      </c>
      <c r="ED197" s="4">
        <f>O197+EA197+DZ197+EB197+EC197</f>
        <v/>
      </c>
      <c r="EE197" s="4">
        <f>ED197+N(DF197)</f>
        <v/>
      </c>
      <c r="EF197" s="3">
        <f>MAX(0,ED197-TOTAL_MAX)</f>
        <v/>
      </c>
      <c r="EG197" s="3">
        <f>EF197/100*PEN_100</f>
        <v/>
      </c>
      <c r="EH197" s="3">
        <f>IF(R197="particular",ED197+IF(AND(DA197&lt;&gt;"cadena",X197&lt;&gt;"sí"),RES_CORREA,0)+IF(AND(BJ197&lt;&gt;"sí",BW197&gt;=RES_NEUM_EDAD),RES_NEUM,0),"")</f>
        <v/>
      </c>
      <c r="EI197" s="3">
        <f>IF(ED197&lt;=TOTAL_MAX,"sí",IF(ED197&lt;=TECHO,"negociar","no"))</f>
        <v/>
      </c>
      <c r="EJ197" s="4">
        <f>ROUND(DX197,9)</f>
        <v/>
      </c>
      <c r="EK197" s="4">
        <f>IF(EI197&lt;&gt;"no",SUMPRODUCT(($EI$2:$EI$209&lt;&gt;"no")*($EJ$2:$EJ$209&gt;EJ197))+SUMPRODUCT(($EI$2:EI197&lt;&gt;"no")*($EJ$2:EJ197=EJ197)),"")</f>
        <v/>
      </c>
    </row>
    <row r="198">
      <c r="A198" s="2" t="inlineStr">
        <is>
          <t>cochesnet:71596642</t>
        </is>
      </c>
      <c r="B198" s="2" t="inlineStr">
        <is>
          <t>cochesnet</t>
        </is>
      </c>
      <c r="C198" s="2" t="inlineStr">
        <is>
          <t>https://www.coches.net/citroen-c-elysee-bluehdi-100cv-exclusive-4p-diesel-2015-en-castellon-71596642-covo.aspx</t>
        </is>
      </c>
      <c r="D198" s="2" t="inlineStr">
        <is>
          <t>CITROEN C-Elysée BlueHDi Exclusive</t>
        </is>
      </c>
      <c r="E198" s="2" t="inlineStr">
        <is>
          <t>Citroën</t>
        </is>
      </c>
      <c r="F198" s="2" t="inlineStr">
        <is>
          <t>Citroën C-Elysée</t>
        </is>
      </c>
      <c r="G198" s="2" t="inlineStr">
        <is>
          <t>? HDi</t>
        </is>
      </c>
      <c r="H198" s="2" t="inlineStr">
        <is>
          <t>BlueHDi 100cv Exclusive</t>
        </is>
      </c>
      <c r="I198" s="2" t="n"/>
      <c r="J198" s="2" t="n">
        <v>100</v>
      </c>
      <c r="K198" s="2" t="inlineStr">
        <is>
          <t>diesel</t>
        </is>
      </c>
      <c r="L198" s="2" t="inlineStr">
        <is>
          <t>berlina</t>
        </is>
      </c>
      <c r="M198" s="2" t="n">
        <v>2015</v>
      </c>
      <c r="N198" s="2" t="n">
        <v>145000</v>
      </c>
      <c r="O198" s="2" t="n">
        <v>5600</v>
      </c>
      <c r="P198" s="2" t="inlineStr">
        <is>
          <t>manual</t>
        </is>
      </c>
      <c r="Q198" s="2" t="inlineStr">
        <is>
          <t>no</t>
        </is>
      </c>
      <c r="R198" s="2" t="inlineStr">
        <is>
          <t>profesional</t>
        </is>
      </c>
      <c r="S198" s="2" t="inlineStr">
        <is>
          <t>Automoviles Gual Castellón de la Plana / Castelló de la Plana</t>
        </is>
      </c>
      <c r="T198" s="2" t="inlineStr">
        <is>
          <t>2026-09-25T11:42:40Z</t>
        </is>
      </c>
      <c r="U198" s="2" t="n">
        <v>16</v>
      </c>
      <c r="V198" s="2" t="n"/>
      <c r="W198" s="2" t="n"/>
      <c r="X198" s="2" t="inlineStr">
        <is>
          <t>sí</t>
        </is>
      </c>
      <c r="Y198" s="2" t="n">
        <v>1</v>
      </c>
      <c r="Z198" s="2" t="inlineStr">
        <is>
          <t>sí</t>
        </is>
      </c>
      <c r="AA198" s="2" t="n"/>
      <c r="AB198" s="2" t="n">
        <v>12</v>
      </c>
      <c r="AC198" s="2" t="n"/>
      <c r="AD198" s="2" t="n"/>
      <c r="AE198" s="2" t="n"/>
      <c r="AF198" s="2" t="n"/>
      <c r="AG198" s="2" t="n"/>
      <c r="AH198" s="2" t="n">
        <v>5600</v>
      </c>
      <c r="AI198" s="2" t="n">
        <v>5600</v>
      </c>
      <c r="AJ198" s="2" t="n"/>
      <c r="AK198" s="2" t="n"/>
      <c r="AL198" s="2" t="n"/>
      <c r="AM198" s="2" t="n"/>
      <c r="AN198" s="2" t="n"/>
      <c r="AO198" s="2" t="inlineStr">
        <is>
          <t>2015</t>
        </is>
      </c>
      <c r="AP198" s="2" t="n">
        <v>2015</v>
      </c>
      <c r="AQ198" s="2" t="n"/>
      <c r="AR198" s="2" t="inlineStr">
        <is>
          <t>C</t>
        </is>
      </c>
      <c r="AS198" s="2" t="inlineStr">
        <is>
          <t>anuncio</t>
        </is>
      </c>
      <c r="AT198" s="2" t="n"/>
      <c r="AU198" s="2" t="inlineStr">
        <is>
          <t>no</t>
        </is>
      </c>
      <c r="AV198" s="2" t="inlineStr">
        <is>
          <t>C</t>
        </is>
      </c>
      <c r="AW198" s="2" t="n"/>
      <c r="AX198" s="2" t="inlineStr">
        <is>
          <t>no</t>
        </is>
      </c>
      <c r="AY198" s="2" t="inlineStr">
        <is>
          <t>no</t>
        </is>
      </c>
      <c r="AZ198" s="2" t="inlineStr">
        <is>
          <t>COMMON.COLOR_BLUE</t>
        </is>
      </c>
      <c r="BA198" s="2" t="inlineStr">
        <is>
          <t>azul</t>
        </is>
      </c>
      <c r="BB198" s="3" t="n">
        <v>3</v>
      </c>
      <c r="BC198" s="3" t="inlineStr">
        <is>
          <t>(por segmento)</t>
        </is>
      </c>
      <c r="BD198" s="2" t="inlineStr">
        <is>
          <t>exclusive</t>
        </is>
      </c>
      <c r="BE198" s="2" t="n"/>
      <c r="BF198" s="2" t="n"/>
      <c r="BG198" s="2" t="n"/>
      <c r="BH198" s="2" t="inlineStr">
        <is>
          <t>sí</t>
        </is>
      </c>
      <c r="BI198" s="2" t="n"/>
      <c r="BJ198" s="2" t="n"/>
      <c r="BK198" s="2" t="n"/>
      <c r="BL198" s="2" t="inlineStr">
        <is>
          <t>sí</t>
        </is>
      </c>
      <c r="BM198" s="2" t="n">
        <v>48</v>
      </c>
      <c r="BN198" s="2" t="n"/>
      <c r="BO198" s="2" t="n">
        <v>0</v>
      </c>
      <c r="BP198" s="2" t="n">
        <v>5149.5</v>
      </c>
      <c r="BQ198" s="2" t="n">
        <v>4</v>
      </c>
      <c r="BR198" s="2" t="inlineStr">
        <is>
          <t>modelo+año</t>
        </is>
      </c>
      <c r="BS198" s="2" t="n"/>
      <c r="BT198" s="2" t="inlineStr">
        <is>
          <t>por encima del presupuesto: negociar 664 € (coste 5664 €; -13.3 puntos); vendedor profesional: sin ITP (operación con IVA/REBU, confirmar en factura); gastos de gestión del vendedor no indicados: se suma la tasa DGT; preguntar el precio final; Euro NCAP de la generación PENDIENTE (seguridad neutra); diésel: motor sin fuente de fiabilidad (fiabilidad limitada a neutra); revisar: arañazos «algunos aranazos», no menciona la ITV; distancia no verificable (el anuncio solo indica la provincia): confirmar que está a &lt;= 70 km; fiabilidad del modelo PENDIENTE de fuente (puntuación neutra)</t>
        </is>
      </c>
      <c r="BU198" s="2" t="inlineStr">
        <is>
          <t xml:space="preserve">Vehículo de un propietario , con la correa de distribución hecha a los 115.000 km .
De chapa tiene algunos arañazos , con posibilidad de pintarlo entero por 800 euros más .
Se entrega con 12 meses de garantía .
Cambio de nombre incluido en el precio.
CONFIRMAR DISPONIBILIDAD AL 615329751 </t>
        </is>
      </c>
      <c r="BV198" s="2" t="inlineStr">
        <is>
          <t>https://www.coches.net/citroen-c-elysee-bluehdi-100cv-exclusive-4p-diesel-2015-en-castellon-71596642-covo.aspx (window.__INITIAL_PROPS__.ad) /home/user/Alopecia/buscador-coches/raw/cochesnet/26b2b0d371d30ff7.json</t>
        </is>
      </c>
      <c r="BW198" s="3">
        <f>MAX(ANIO_ACTUAL-M198,0)</f>
        <v/>
      </c>
      <c r="BX198" s="4">
        <f>N198/MAX(BW198,0.5)</f>
        <v/>
      </c>
      <c r="BY198" s="4">
        <f>F198</f>
        <v/>
      </c>
      <c r="BZ198" s="3">
        <f>BY198&amp;"|"&amp;INT(M198/SEG_ANIO)*SEG_ANIO</f>
        <v/>
      </c>
      <c r="CA198" s="3">
        <f>BZ198&amp;"|"&amp;INT(N198/SEG_KM)*SEG_KM</f>
        <v/>
      </c>
      <c r="CB198" s="4">
        <f>COUNTIF($BY$2:$BY$209,BY198)</f>
        <v/>
      </c>
      <c r="CC198" s="4">
        <f>COUNTIF($BZ$2:$BZ$209,BZ198)</f>
        <v/>
      </c>
      <c r="CD198" s="4">
        <f>COUNTIF($CA$2:$CA$209,CA198)</f>
        <v/>
      </c>
      <c r="CE198" s="3">
        <f t="array" ref="CE198">IF(N(BQ198)&gt;=MIN_N,BP198,IF(CD198&gt;=MIN_N,MEDIAN(IF($CA$2:$CA$209=CA198,$O$2:$O$209)),IF(CC198&gt;=MIN_N,MEDIAN(IF($BZ$2:$BZ$209=BZ198,$O$2:$O$209)),MEDIAN(IF($BY$2:$BY$209=BY198,$O$2:$O$209)))))</f>
        <v/>
      </c>
      <c r="CF198" s="3">
        <f>IF(N(BQ198)&gt;=MIN_N,"mercado "&amp;BR198,IF(CD198&gt;=MIN_N,"modelo+año+km",IF(CC198&gt;=MIN_N,"modelo+año","modelo")))</f>
        <v/>
      </c>
      <c r="CG198" s="4">
        <f>(CE198-O198)/CE198</f>
        <v/>
      </c>
      <c r="CH198" s="3">
        <f>IF(COUNTIFS(FR_FUEL,K198,FR_YEAR,AP198)&gt;0,1,0)</f>
        <v/>
      </c>
      <c r="CI198" s="3">
        <f>IF(COUNTIFS(FR_FUEL,K198,FR_YEAR,AP198-1)&gt;0,1,0)</f>
        <v/>
      </c>
      <c r="CJ198" s="4">
        <f>IF(N(AQ198)&gt;0,AP198*100+AQ198,IF(AND(CH198=1,CI198=1),(AP198-1)*100+1,AP198*100+1))</f>
        <v/>
      </c>
      <c r="CK198" s="3">
        <f>IF(OR(K198="hibrido",K198="glp",K198="gnc",K198="phev"),"ECO",IF(K198="electrico","CERO",IF(K198="gasolina",IF(CJ198&gt;=GAS_C_YM,"C",IF(CJ198&gt;=GAS_B_YM,"B","A")),IF(K198="diesel",IF(CJ198&gt;=DIE_C_YM,"C",IF(CJ198&gt;=DIE_B_YM,"B","A")),""))))</f>
        <v/>
      </c>
      <c r="CL198" s="2" t="inlineStr">
        <is>
          <t>C</t>
        </is>
      </c>
      <c r="CM198" s="4">
        <f>IF(AU198="sí","sí",IF(AS198="regla",IF(AND(N(AQ198)=0,CH198=1),"sí","no"),"no"))</f>
        <v/>
      </c>
      <c r="CN198" s="3">
        <f>IFERROR(VLOOKUP(F198,MOD_TBL,16,0),IFERROR(VLOOKUP(E198,OCU_TBL,2,0),NEUTRO))</f>
        <v/>
      </c>
      <c r="CO198" s="3">
        <f>SUMIFS(MOT_AJUSTE,MOT_MOTOR,G198,MOT_MARCA,E198,MOT_DESDE,"&lt;="&amp;M198,MOT_HASTA,"&gt;="&amp;M198)+SUMIFS(MOT_AJUSTE,MOT_MOTOR,G198,MOT_MARCA,"(todas)",MOT_DESDE,"&lt;="&amp;M198,MOT_HASTA,"&gt;="&amp;M198)+SUMIFS(MOT_AJUSTE,MOT_MOTOR,"(cualquiera)",MOT_MARCA,E198,MOT_DESDE,"&lt;="&amp;M198,MOT_HASTA,"&gt;="&amp;M198)</f>
        <v/>
      </c>
      <c r="CP198" s="3">
        <f>SUMIFS(COMB_AJUSTE,COMB_COMB,K198)</f>
        <v/>
      </c>
      <c r="CQ198" s="3">
        <f>COUNTIFS(MOT_MOTOR,G198,MOT_MARCA,E198,MOT_DESDE,"&lt;="&amp;M198,MOT_HASTA,"&gt;="&amp;M198)+COUNTIFS(MOT_MOTOR,G198,MOT_MARCA,"(todas)",MOT_DESDE,"&lt;="&amp;M198,MOT_HASTA,"&gt;="&amp;M198)+COUNTIFS(MOT_MOTOR,"(cualquiera)",MOT_MARCA,E198,MOT_DESDE,"&lt;="&amp;M198,MOT_HASTA,"&gt;="&amp;M198)</f>
        <v/>
      </c>
      <c r="CR198" s="3">
        <f>IF(AND(K198="diesel",CQ198=0),MIN(CN198,NEUTRO),CN198)</f>
        <v/>
      </c>
      <c r="CS198" s="3">
        <f>MAX(0,MIN(100,CR198+CO198+CP198-IF(AX198="sí",ROB_PEN,0)))</f>
        <v/>
      </c>
      <c r="CT198" s="3">
        <f>100-MAX(0,N198-KM_TOPE_DESDE)/1000*KM_TOPE_PTS</f>
        <v/>
      </c>
      <c r="CU198" s="3">
        <f>MAX(0,MIN(100,50+CG198*PRECIO_PEND,CT198))</f>
        <v/>
      </c>
      <c r="CV198" s="3">
        <f>MAX(0,100*(1-N198/KM_MAX))</f>
        <v/>
      </c>
      <c r="CW198" s="3">
        <f>IF(BX198&lt;KMA_SOSP,IF(AA198="sí",100,KMA_PEN),IF(BX198&lt;=KMA_IDEAL_MAX,100,MAX(0,100*(KMA_CERO-BX198)/(KMA_CERO-KMA_IDEAL_MAX))))</f>
        <v/>
      </c>
      <c r="CX198" s="3">
        <f>MAX(0,MIN(100,100*(M198-ANIO_MIN)/(ANIO_ACTUAL-ANIO_MIN)))</f>
        <v/>
      </c>
      <c r="CY198" s="3">
        <f>W_KMT*CV198+W_KMA*CW198+W_EDAD*CX198</f>
        <v/>
      </c>
      <c r="CZ198" s="4">
        <f>E198&amp;"|"&amp;G198</f>
        <v/>
      </c>
      <c r="DA198" s="3">
        <f>IFERROR(VLOOKUP(CZ198,DIST_TBL,2,0),"")</f>
        <v/>
      </c>
      <c r="DB198" s="3">
        <f>E_ITV*(V198="sí")+E_LIBRO*(W198="sí")+E_PROP*IF(Y198=1,1,IF(Y198=2,0.5,0))+E_CORREA*IF(OR(DA198="cadena",AND(X198="sí",BH198="sí")),1,IF(X198="sí",0.5,0))+E_FACT*(BI198="sí")</f>
        <v/>
      </c>
      <c r="DC198" s="3">
        <f>MAX(0,MIN(100,IFERROR(VLOOKUP(CL198,ETQ_TBL,2,0),0)-IF(CM198="sí",ETQ_PEN_DUD,IF(AS198="regla",ETQ_PEN_REGLA,0))))</f>
        <v/>
      </c>
      <c r="DD198" s="3">
        <f>IF(K198&lt;&gt;"gasolina","",IFERROR(VLOOKUP(F198,CONS_MOD_TBL,2,0),IFERROR(VLOOKUP(L198,CONS_SEG_TBL,2,0),"")))</f>
        <v/>
      </c>
      <c r="DE198" s="3">
        <f>IF(DD198="",NEUTRO,MAX(0,MIN(100,100*(CONS_REF_MAX-DD198)/(CONS_REF_MAX-CONS_REF_MIN))))</f>
        <v/>
      </c>
      <c r="DF198" s="3">
        <f>IFERROR(VLOOKUP(L198,SEGURO_TBL,3,0),"")</f>
        <v/>
      </c>
      <c r="DG198" s="3">
        <f>IF(DF198="",NEUTRO,MAX(0,MIN(100,100*(SEG_REF_MAX-DF198)/(SEG_REF_MAX-SEG_REF_MIN))))</f>
        <v/>
      </c>
      <c r="DH198" s="3">
        <f>IFERROR(VLOOKUP(E198,MANT_MARCA_TBL,2,0)+0,NEUTRO)</f>
        <v/>
      </c>
      <c r="DI198" s="3">
        <f>IF(DA198="",NEUTRO,IFERROR(VLOOKUP(DA198,DIST_PTS_TBL,2,0)+0,NEUTRO))</f>
        <v/>
      </c>
      <c r="DJ198" s="4">
        <f>(DH198+DI198)/2</f>
        <v/>
      </c>
      <c r="DK198" s="3">
        <f>W_CONS*DE198+W_SEG*DG198+W_MANT*DJ198</f>
        <v/>
      </c>
      <c r="DL198" s="3">
        <f>IF(N(AB198)&gt;0,AB198,IF(AND(R198="profesional",SG_LEGAL_ON=1),GAR_LEGAL,0))</f>
        <v/>
      </c>
      <c r="DM198" s="3">
        <f>MAX(0,MIN(100,SG_GAR*MIN(1,DL198/SG_GAR_FULL)+SG_AMPL*(AC198="sí")+SG_KMC*(AF198="sí")+SG_REV*(N(AE198)&gt;0)+SG_DEV*MIN(1,N(AG198)/SG_DEV_FULL)+SG_HIST*(W198="sí")-IF(AND(R198="particular",DL198=0),SG_PART_PEN,0)))</f>
        <v/>
      </c>
      <c r="DN198" s="3">
        <f>IF(BK198="",NEUTRO,MAX(0,MIN(100,BK198/5*100)))</f>
        <v/>
      </c>
      <c r="DO198" s="3">
        <f>IF(BL198="sí",100,IF(BL198="no",0,NEUTRO))</f>
        <v/>
      </c>
      <c r="DP198" s="3">
        <f>SV_W_NCAP*DN198+SV_W_ESP*DO198</f>
        <v/>
      </c>
      <c r="DQ198" s="3">
        <f>MAX(0,MIN(100,ATR_BASE+ATR_ACAB*(BD198&lt;&gt;"")+IF(BE198="16+",ATR_LL16,IF(BE198="sí",ATR_LL,0))+ATR_FAROS*(BF198="sí")+ATR_TINT*(BG198="sí")-ATR_CHAPA*(BE198="chapa")))</f>
        <v/>
      </c>
      <c r="DR198" s="3">
        <f>EST_W_MOD*(BB198-1)/4*100+EST_W_ATR*DQ198</f>
        <v/>
      </c>
      <c r="DS198" s="3">
        <f>IF(BA198="",NEUTRO,IFERROR(VLOOKUP(BA198,COLOR_TBL,2,0)+0,NEUTRO))</f>
        <v/>
      </c>
      <c r="DT198" s="3">
        <f>MAX(0,MIN(100,100*N(BM198)/RV_N_FULL))</f>
        <v/>
      </c>
      <c r="DU198" s="3">
        <f>IF(OR(BN198="",N(BO198)&lt;RV_DIAS_MIN),NEUTRO,MAX(0,MIN(100,100*(RV_DIAS_CERO-BN198)/(RV_DIAS_CERO-RV_DIAS_FULL))))</f>
        <v/>
      </c>
      <c r="DV198" s="3">
        <f>RV_W_LIQ*DT198+RV_W_DIAS*DU198+RV_W_ETQ*DC198</f>
        <v/>
      </c>
      <c r="DW198" s="3">
        <f>IFERROR(VLOOKUP(L198,CARR_PEN_TBL,2,0),0)</f>
        <v/>
      </c>
      <c r="DX198" s="3">
        <f>W_FIAB*CS198+W_PRECIO*CU198+W_KMEDAD*CY198+W_ESTADO*DB198+W_USO*DK198+W_SEGURIDAD*DM198+W_SEGVIAL*DP198+W_ESTETICA*DR198+W_COLOR*DS198+W_REVENTA*DV198-DW198-EG198</f>
        <v/>
      </c>
      <c r="DY198" s="4">
        <f>IF(N(I198)&gt;0,I198,IFERROR(ROUND(_xlfn.NUMBERVALUE(LEFT(G198,FIND(" ",G198&amp;" ")-1),".")*1000,0),99999))</f>
        <v/>
      </c>
      <c r="DZ198" s="3">
        <f>IF(R198="profesional",0,IF(O198&lt;CUOTA_VALOR_MAX,IF(BW198&gt;ITP_TRAMO_ALTO,SUMIFS(CF_CUOTA,CF_MAS,ITP_TRAMO_ALTO,CF_CCMIN,"&lt;="&amp;DY198,CF_CCMAX,"&gt;="&amp;DY198),IF(BW198&gt;ITP_TRAMO_BAJO,SUMIFS(CF_CUOTA,CF_MAS,ITP_TRAMO_BAJO,CF_CCMIN,"&lt;="&amp;DY198,CF_CCMAX,"&gt;="&amp;DY198),O198*ITP_TIPO)),O198*ITP_TIPO))</f>
        <v/>
      </c>
      <c r="EA198" s="4">
        <f>IF(R198="profesional",N(AK198),0)</f>
        <v/>
      </c>
      <c r="EB198" s="3">
        <f>IF(AND(R198="profesional",ISNUMBER(AK198),AL198="sí"),0,TASA_DGT)</f>
        <v/>
      </c>
      <c r="EC198" s="3">
        <f>INFORME_DGT</f>
        <v/>
      </c>
      <c r="ED198" s="4">
        <f>O198+EA198+DZ198+EB198+EC198</f>
        <v/>
      </c>
      <c r="EE198" s="4">
        <f>ED198+N(DF198)</f>
        <v/>
      </c>
      <c r="EF198" s="3">
        <f>MAX(0,ED198-TOTAL_MAX)</f>
        <v/>
      </c>
      <c r="EG198" s="3">
        <f>EF198/100*PEN_100</f>
        <v/>
      </c>
      <c r="EH198" s="3">
        <f>IF(R198="particular",ED198+IF(AND(DA198&lt;&gt;"cadena",X198&lt;&gt;"sí"),RES_CORREA,0)+IF(AND(BJ198&lt;&gt;"sí",BW198&gt;=RES_NEUM_EDAD),RES_NEUM,0),"")</f>
        <v/>
      </c>
      <c r="EI198" s="3">
        <f>IF(ED198&lt;=TOTAL_MAX,"sí",IF(ED198&lt;=TECHO,"negociar","no"))</f>
        <v/>
      </c>
      <c r="EJ198" s="4">
        <f>ROUND(DX198,9)</f>
        <v/>
      </c>
      <c r="EK198" s="4">
        <f>IF(EI198&lt;&gt;"no",SUMPRODUCT(($EI$2:$EI$209&lt;&gt;"no")*($EJ$2:$EJ$209&gt;EJ198))+SUMPRODUCT(($EI$2:EI198&lt;&gt;"no")*($EJ$2:EJ198=EJ198)),"")</f>
        <v/>
      </c>
    </row>
    <row r="199">
      <c r="A199" s="2" t="inlineStr">
        <is>
          <t>wallapop:1300218822</t>
        </is>
      </c>
      <c r="B199" s="2" t="inlineStr">
        <is>
          <t>wallapop</t>
        </is>
      </c>
      <c r="C199" s="2" t="inlineStr">
        <is>
          <t>https://es.wallapop.com/item/toyota-yaris-2008-1300218822</t>
        </is>
      </c>
      <c r="D199" s="2" t="inlineStr">
        <is>
          <t>Toyota Yaris 2008</t>
        </is>
      </c>
      <c r="E199" s="2" t="inlineStr">
        <is>
          <t>Toyota</t>
        </is>
      </c>
      <c r="F199" s="2" t="inlineStr">
        <is>
          <t>Toyota Yaris</t>
        </is>
      </c>
      <c r="G199" s="2" t="inlineStr">
        <is>
          <t>1.3 VVT-i</t>
        </is>
      </c>
      <c r="H199" s="2" t="inlineStr">
        <is>
          <t>1.3 VVT-i 87 Yaris 5p</t>
        </is>
      </c>
      <c r="I199" s="2" t="n"/>
      <c r="J199" s="2" t="n">
        <v>87</v>
      </c>
      <c r="K199" s="2" t="inlineStr">
        <is>
          <t>gasolina</t>
        </is>
      </c>
      <c r="L199" s="2" t="inlineStr">
        <is>
          <t>utilitario</t>
        </is>
      </c>
      <c r="M199" s="2" t="n">
        <v>2008</v>
      </c>
      <c r="N199" s="2" t="n">
        <v>134000</v>
      </c>
      <c r="O199" s="2" t="n">
        <v>5500</v>
      </c>
      <c r="P199" s="2" t="inlineStr">
        <is>
          <t>manual</t>
        </is>
      </c>
      <c r="Q199" s="2" t="inlineStr">
        <is>
          <t>no</t>
        </is>
      </c>
      <c r="R199" s="2" t="inlineStr">
        <is>
          <t>profesional</t>
        </is>
      </c>
      <c r="S199" s="2" t="inlineStr">
        <is>
          <t>Torrent (46900)</t>
        </is>
      </c>
      <c r="T199" s="2" t="inlineStr">
        <is>
          <t>2026-10-29T00:15:27</t>
        </is>
      </c>
      <c r="U199" s="2" t="n">
        <v>14</v>
      </c>
      <c r="V199" s="2" t="inlineStr">
        <is>
          <t>sí</t>
        </is>
      </c>
      <c r="W199" s="2" t="n"/>
      <c r="X199" s="2" t="n"/>
      <c r="Y199" s="2" t="n"/>
      <c r="Z199" s="2" t="n"/>
      <c r="AA199" s="2" t="n"/>
      <c r="AB199" s="2" t="n"/>
      <c r="AC199" s="2" t="n"/>
      <c r="AD199" s="2" t="n"/>
      <c r="AE199" s="2" t="n"/>
      <c r="AF199" s="2" t="n"/>
      <c r="AG199" s="2" t="n"/>
      <c r="AH199" s="2" t="n"/>
      <c r="AI199" s="2" t="n"/>
      <c r="AJ199" s="2" t="n"/>
      <c r="AK199" s="2" t="n"/>
      <c r="AL199" s="2" t="n"/>
      <c r="AM199" s="2" t="n">
        <v>10.2</v>
      </c>
      <c r="AN199" s="2" t="n"/>
      <c r="AO199" s="2" t="n"/>
      <c r="AP199" s="2" t="n">
        <v>2008</v>
      </c>
      <c r="AQ199" s="2" t="n"/>
      <c r="AR199" s="2" t="n"/>
      <c r="AS199" s="2" t="inlineStr">
        <is>
          <t>regla</t>
        </is>
      </c>
      <c r="AT199" s="2" t="n"/>
      <c r="AU199" s="2" t="inlineStr">
        <is>
          <t>no</t>
        </is>
      </c>
      <c r="AV199" s="2" t="inlineStr">
        <is>
          <t>C</t>
        </is>
      </c>
      <c r="AW199" s="2" t="n"/>
      <c r="AX199" s="2" t="inlineStr">
        <is>
          <t>no</t>
        </is>
      </c>
      <c r="AY199" s="2" t="inlineStr">
        <is>
          <t>no</t>
        </is>
      </c>
      <c r="AZ199" s="2" t="n"/>
      <c r="BA199" s="2" t="n"/>
      <c r="BB199" s="3" t="n">
        <v>2</v>
      </c>
      <c r="BC199" s="3" t="inlineStr">
        <is>
          <t>(por segmento)</t>
        </is>
      </c>
      <c r="BD199" s="2" t="n"/>
      <c r="BE199" s="2" t="n"/>
      <c r="BF199" s="2" t="n"/>
      <c r="BG199" s="2" t="n"/>
      <c r="BH199" s="2" t="n"/>
      <c r="BI199" s="2" t="n"/>
      <c r="BJ199" s="2" t="n"/>
      <c r="BK199" s="2" t="n">
        <v>5</v>
      </c>
      <c r="BL199" s="2" t="n"/>
      <c r="BM199" s="2" t="n">
        <v>224</v>
      </c>
      <c r="BN199" s="2" t="n">
        <v>0.05126157402992249</v>
      </c>
      <c r="BO199" s="2" t="n">
        <v>8</v>
      </c>
      <c r="BP199" s="2" t="n">
        <v>3900</v>
      </c>
      <c r="BQ199" s="2" t="n">
        <v>5</v>
      </c>
      <c r="BR199" s="2" t="inlineStr">
        <is>
          <t>modelo+año</t>
        </is>
      </c>
      <c r="BS199" s="2" t="n"/>
      <c r="BT199" s="2" t="inlineStr">
        <is>
          <t>por encima del presupuesto: negociar 564 € (coste 5564 €; -11.3 puntos); vendedor profesional: sin ITP (operación con IVA/REBU, confirmar en factura); gastos de gestión del vendedor no indicados: se suma la tasa DGT; preguntar el precio final; etiqueta C deducida por fecha (sin matrícula ni dato del anuncio)</t>
        </is>
      </c>
      <c r="BU199" s="2" t="inlineStr">
        <is>
          <t xml:space="preserve">Precio incluye cambio de nombre. ITV en vigor hasta 2027.
Incluye:
Elevalunas electrico
Cierre centralizado
Sistema de audio
</t>
        </is>
      </c>
      <c r="BV199" s="2" t="inlineStr">
        <is>
          <t>https://es.wallapop.com/item/toyota-yaris-2008-1300218822 (__NEXT_DATA__ item) /home/user/Alopecia/buscador-coches/raw/wallapop/5f992cc2bbc4309d.json</t>
        </is>
      </c>
      <c r="BW199" s="3">
        <f>MAX(ANIO_ACTUAL-M199,0)</f>
        <v/>
      </c>
      <c r="BX199" s="4">
        <f>N199/MAX(BW199,0.5)</f>
        <v/>
      </c>
      <c r="BY199" s="4">
        <f>F199</f>
        <v/>
      </c>
      <c r="BZ199" s="3">
        <f>BY199&amp;"|"&amp;INT(M199/SEG_ANIO)*SEG_ANIO</f>
        <v/>
      </c>
      <c r="CA199" s="3">
        <f>BZ199&amp;"|"&amp;INT(N199/SEG_KM)*SEG_KM</f>
        <v/>
      </c>
      <c r="CB199" s="4">
        <f>COUNTIF($BY$2:$BY$209,BY199)</f>
        <v/>
      </c>
      <c r="CC199" s="4">
        <f>COUNTIF($BZ$2:$BZ$209,BZ199)</f>
        <v/>
      </c>
      <c r="CD199" s="4">
        <f>COUNTIF($CA$2:$CA$209,CA199)</f>
        <v/>
      </c>
      <c r="CE199" s="3">
        <f t="array" ref="CE199">IF(N(BQ199)&gt;=MIN_N,BP199,IF(CD199&gt;=MIN_N,MEDIAN(IF($CA$2:$CA$209=CA199,$O$2:$O$209)),IF(CC199&gt;=MIN_N,MEDIAN(IF($BZ$2:$BZ$209=BZ199,$O$2:$O$209)),MEDIAN(IF($BY$2:$BY$209=BY199,$O$2:$O$209)))))</f>
        <v/>
      </c>
      <c r="CF199" s="3">
        <f>IF(N(BQ199)&gt;=MIN_N,"mercado "&amp;BR199,IF(CD199&gt;=MIN_N,"modelo+año+km",IF(CC199&gt;=MIN_N,"modelo+año","modelo")))</f>
        <v/>
      </c>
      <c r="CG199" s="4">
        <f>(CE199-O199)/CE199</f>
        <v/>
      </c>
      <c r="CH199" s="3">
        <f>IF(COUNTIFS(FR_FUEL,K199,FR_YEAR,AP199)&gt;0,1,0)</f>
        <v/>
      </c>
      <c r="CI199" s="3">
        <f>IF(COUNTIFS(FR_FUEL,K199,FR_YEAR,AP199-1)&gt;0,1,0)</f>
        <v/>
      </c>
      <c r="CJ199" s="4">
        <f>IF(N(AQ199)&gt;0,AP199*100+AQ199,IF(AND(CH199=1,CI199=1),(AP199-1)*100+1,AP199*100+1))</f>
        <v/>
      </c>
      <c r="CK199" s="3">
        <f>IF(OR(K199="hibrido",K199="glp",K199="gnc",K199="phev"),"ECO",IF(K199="electrico","CERO",IF(K199="gasolina",IF(CJ199&gt;=GAS_C_YM,"C",IF(CJ199&gt;=GAS_B_YM,"B","A")),IF(K199="diesel",IF(CJ199&gt;=DIE_C_YM,"C",IF(CJ199&gt;=DIE_B_YM,"B","A")),""))))</f>
        <v/>
      </c>
      <c r="CL199" s="4">
        <f>CK199</f>
        <v/>
      </c>
      <c r="CM199" s="4">
        <f>IF(AU199="sí","sí",IF(AS199="regla",IF(AND(N(AQ199)=0,CH199=1),"sí","no"),"no"))</f>
        <v/>
      </c>
      <c r="CN199" s="3">
        <f>IFERROR(VLOOKUP(F199,MOD_TBL,16,0),IFERROR(VLOOKUP(E199,OCU_TBL,2,0),NEUTRO))</f>
        <v/>
      </c>
      <c r="CO199" s="3">
        <f>SUMIFS(MOT_AJUSTE,MOT_MOTOR,G199,MOT_MARCA,E199,MOT_DESDE,"&lt;="&amp;M199,MOT_HASTA,"&gt;="&amp;M199)+SUMIFS(MOT_AJUSTE,MOT_MOTOR,G199,MOT_MARCA,"(todas)",MOT_DESDE,"&lt;="&amp;M199,MOT_HASTA,"&gt;="&amp;M199)+SUMIFS(MOT_AJUSTE,MOT_MOTOR,"(cualquiera)",MOT_MARCA,E199,MOT_DESDE,"&lt;="&amp;M199,MOT_HASTA,"&gt;="&amp;M199)</f>
        <v/>
      </c>
      <c r="CP199" s="3">
        <f>SUMIFS(COMB_AJUSTE,COMB_COMB,K199)</f>
        <v/>
      </c>
      <c r="CQ199" s="3">
        <f>COUNTIFS(MOT_MOTOR,G199,MOT_MARCA,E199,MOT_DESDE,"&lt;="&amp;M199,MOT_HASTA,"&gt;="&amp;M199)+COUNTIFS(MOT_MOTOR,G199,MOT_MARCA,"(todas)",MOT_DESDE,"&lt;="&amp;M199,MOT_HASTA,"&gt;="&amp;M199)+COUNTIFS(MOT_MOTOR,"(cualquiera)",MOT_MARCA,E199,MOT_DESDE,"&lt;="&amp;M199,MOT_HASTA,"&gt;="&amp;M199)</f>
        <v/>
      </c>
      <c r="CR199" s="3">
        <f>IF(AND(K199="diesel",CQ199=0),MIN(CN199,NEUTRO),CN199)</f>
        <v/>
      </c>
      <c r="CS199" s="3">
        <f>MAX(0,MIN(100,CR199+CO199+CP199-IF(AX199="sí",ROB_PEN,0)))</f>
        <v/>
      </c>
      <c r="CT199" s="3">
        <f>100-MAX(0,N199-KM_TOPE_DESDE)/1000*KM_TOPE_PTS</f>
        <v/>
      </c>
      <c r="CU199" s="3">
        <f>MAX(0,MIN(100,50+CG199*PRECIO_PEND,CT199))</f>
        <v/>
      </c>
      <c r="CV199" s="3">
        <f>MAX(0,100*(1-N199/KM_MAX))</f>
        <v/>
      </c>
      <c r="CW199" s="3">
        <f>IF(BX199&lt;KMA_SOSP,IF(AA199="sí",100,KMA_PEN),IF(BX199&lt;=KMA_IDEAL_MAX,100,MAX(0,100*(KMA_CERO-BX199)/(KMA_CERO-KMA_IDEAL_MAX))))</f>
        <v/>
      </c>
      <c r="CX199" s="3">
        <f>MAX(0,MIN(100,100*(M199-ANIO_MIN)/(ANIO_ACTUAL-ANIO_MIN)))</f>
        <v/>
      </c>
      <c r="CY199" s="3">
        <f>W_KMT*CV199+W_KMA*CW199+W_EDAD*CX199</f>
        <v/>
      </c>
      <c r="CZ199" s="4">
        <f>E199&amp;"|"&amp;G199</f>
        <v/>
      </c>
      <c r="DA199" s="3">
        <f>IFERROR(VLOOKUP(CZ199,DIST_TBL,2,0),"")</f>
        <v/>
      </c>
      <c r="DB199" s="3">
        <f>E_ITV*(V199="sí")+E_LIBRO*(W199="sí")+E_PROP*IF(Y199=1,1,IF(Y199=2,0.5,0))+E_CORREA*IF(OR(DA199="cadena",AND(X199="sí",BH199="sí")),1,IF(X199="sí",0.5,0))+E_FACT*(BI199="sí")</f>
        <v/>
      </c>
      <c r="DC199" s="3">
        <f>MAX(0,MIN(100,IFERROR(VLOOKUP(CL199,ETQ_TBL,2,0),0)-IF(CM199="sí",ETQ_PEN_DUD,IF(AS199="regla",ETQ_PEN_REGLA,0))))</f>
        <v/>
      </c>
      <c r="DD199" s="3">
        <f>IF(K199&lt;&gt;"gasolina","",IFERROR(VLOOKUP(F199,CONS_MOD_TBL,2,0),IFERROR(VLOOKUP(L199,CONS_SEG_TBL,2,0),"")))</f>
        <v/>
      </c>
      <c r="DE199" s="3">
        <f>IF(DD199="",NEUTRO,MAX(0,MIN(100,100*(CONS_REF_MAX-DD199)/(CONS_REF_MAX-CONS_REF_MIN))))</f>
        <v/>
      </c>
      <c r="DF199" s="3">
        <f>IFERROR(VLOOKUP(L199,SEGURO_TBL,3,0),"")</f>
        <v/>
      </c>
      <c r="DG199" s="3">
        <f>IF(DF199="",NEUTRO,MAX(0,MIN(100,100*(SEG_REF_MAX-DF199)/(SEG_REF_MAX-SEG_REF_MIN))))</f>
        <v/>
      </c>
      <c r="DH199" s="3">
        <f>IFERROR(VLOOKUP(E199,MANT_MARCA_TBL,2,0)+0,NEUTRO)</f>
        <v/>
      </c>
      <c r="DI199" s="3">
        <f>IF(DA199="",NEUTRO,IFERROR(VLOOKUP(DA199,DIST_PTS_TBL,2,0)+0,NEUTRO))</f>
        <v/>
      </c>
      <c r="DJ199" s="4">
        <f>(DH199+DI199)/2</f>
        <v/>
      </c>
      <c r="DK199" s="3">
        <f>W_CONS*DE199+W_SEG*DG199+W_MANT*DJ199</f>
        <v/>
      </c>
      <c r="DL199" s="3">
        <f>IF(N(AB199)&gt;0,AB199,IF(AND(R199="profesional",SG_LEGAL_ON=1),GAR_LEGAL,0))</f>
        <v/>
      </c>
      <c r="DM199" s="3">
        <f>MAX(0,MIN(100,SG_GAR*MIN(1,DL199/SG_GAR_FULL)+SG_AMPL*(AC199="sí")+SG_KMC*(AF199="sí")+SG_REV*(N(AE199)&gt;0)+SG_DEV*MIN(1,N(AG199)/SG_DEV_FULL)+SG_HIST*(W199="sí")-IF(AND(R199="particular",DL199=0),SG_PART_PEN,0)))</f>
        <v/>
      </c>
      <c r="DN199" s="3">
        <f>IF(BK199="",NEUTRO,MAX(0,MIN(100,BK199/5*100)))</f>
        <v/>
      </c>
      <c r="DO199" s="3">
        <f>IF(BL199="sí",100,IF(BL199="no",0,NEUTRO))</f>
        <v/>
      </c>
      <c r="DP199" s="3">
        <f>SV_W_NCAP*DN199+SV_W_ESP*DO199</f>
        <v/>
      </c>
      <c r="DQ199" s="3">
        <f>MAX(0,MIN(100,ATR_BASE+ATR_ACAB*(BD199&lt;&gt;"")+IF(BE199="16+",ATR_LL16,IF(BE199="sí",ATR_LL,0))+ATR_FAROS*(BF199="sí")+ATR_TINT*(BG199="sí")-ATR_CHAPA*(BE199="chapa")))</f>
        <v/>
      </c>
      <c r="DR199" s="3">
        <f>EST_W_MOD*(BB199-1)/4*100+EST_W_ATR*DQ199</f>
        <v/>
      </c>
      <c r="DS199" s="3">
        <f>IF(BA199="",NEUTRO,IFERROR(VLOOKUP(BA199,COLOR_TBL,2,0)+0,NEUTRO))</f>
        <v/>
      </c>
      <c r="DT199" s="3">
        <f>MAX(0,MIN(100,100*N(BM199)/RV_N_FULL))</f>
        <v/>
      </c>
      <c r="DU199" s="3">
        <f>IF(OR(BN199="",N(BO199)&lt;RV_DIAS_MIN),NEUTRO,MAX(0,MIN(100,100*(RV_DIAS_CERO-BN199)/(RV_DIAS_CERO-RV_DIAS_FULL))))</f>
        <v/>
      </c>
      <c r="DV199" s="3">
        <f>RV_W_LIQ*DT199+RV_W_DIAS*DU199+RV_W_ETQ*DC199</f>
        <v/>
      </c>
      <c r="DW199" s="3">
        <f>IFERROR(VLOOKUP(L199,CARR_PEN_TBL,2,0),0)</f>
        <v/>
      </c>
      <c r="DX199" s="3">
        <f>W_FIAB*CS199+W_PRECIO*CU199+W_KMEDAD*CY199+W_ESTADO*DB199+W_USO*DK199+W_SEGURIDAD*DM199+W_SEGVIAL*DP199+W_ESTETICA*DR199+W_COLOR*DS199+W_REVENTA*DV199-DW199-EG199</f>
        <v/>
      </c>
      <c r="DY199" s="4">
        <f>IF(N(I199)&gt;0,I199,IFERROR(ROUND(_xlfn.NUMBERVALUE(LEFT(G199,FIND(" ",G199&amp;" ")-1),".")*1000,0),99999))</f>
        <v/>
      </c>
      <c r="DZ199" s="3">
        <f>IF(R199="profesional",0,IF(O199&lt;CUOTA_VALOR_MAX,IF(BW199&gt;ITP_TRAMO_ALTO,SUMIFS(CF_CUOTA,CF_MAS,ITP_TRAMO_ALTO,CF_CCMIN,"&lt;="&amp;DY199,CF_CCMAX,"&gt;="&amp;DY199),IF(BW199&gt;ITP_TRAMO_BAJO,SUMIFS(CF_CUOTA,CF_MAS,ITP_TRAMO_BAJO,CF_CCMIN,"&lt;="&amp;DY199,CF_CCMAX,"&gt;="&amp;DY199),O199*ITP_TIPO)),O199*ITP_TIPO))</f>
        <v/>
      </c>
      <c r="EA199" s="4">
        <f>IF(R199="profesional",N(AK199),0)</f>
        <v/>
      </c>
      <c r="EB199" s="3">
        <f>IF(AND(R199="profesional",ISNUMBER(AK199),AL199="sí"),0,TASA_DGT)</f>
        <v/>
      </c>
      <c r="EC199" s="3">
        <f>INFORME_DGT</f>
        <v/>
      </c>
      <c r="ED199" s="4">
        <f>O199+EA199+DZ199+EB199+EC199</f>
        <v/>
      </c>
      <c r="EE199" s="4">
        <f>ED199+N(DF199)</f>
        <v/>
      </c>
      <c r="EF199" s="3">
        <f>MAX(0,ED199-TOTAL_MAX)</f>
        <v/>
      </c>
      <c r="EG199" s="3">
        <f>EF199/100*PEN_100</f>
        <v/>
      </c>
      <c r="EH199" s="3">
        <f>IF(R199="particular",ED199+IF(AND(DA199&lt;&gt;"cadena",X199&lt;&gt;"sí"),RES_CORREA,0)+IF(AND(BJ199&lt;&gt;"sí",BW199&gt;=RES_NEUM_EDAD),RES_NEUM,0),"")</f>
        <v/>
      </c>
      <c r="EI199" s="3">
        <f>IF(ED199&lt;=TOTAL_MAX,"sí",IF(ED199&lt;=TECHO,"negociar","no"))</f>
        <v/>
      </c>
      <c r="EJ199" s="4">
        <f>ROUND(DX199,9)</f>
        <v/>
      </c>
      <c r="EK199" s="4">
        <f>IF(EI199&lt;&gt;"no",SUMPRODUCT(($EI$2:$EI$209&lt;&gt;"no")*($EJ$2:$EJ$209&gt;EJ199))+SUMPRODUCT(($EI$2:EI199&lt;&gt;"no")*($EJ$2:EJ199=EJ199)),"")</f>
        <v/>
      </c>
    </row>
    <row r="200">
      <c r="A200" s="2" t="inlineStr">
        <is>
          <t>wallapop:1310368200</t>
        </is>
      </c>
      <c r="B200" s="2" t="inlineStr">
        <is>
          <t>wallapop</t>
        </is>
      </c>
      <c r="C200" s="2" t="inlineStr">
        <is>
          <t>https://es.wallapop.com/item/honda-civic-1-8-i-vtec-140cv-gasolina-2009-1310368200</t>
        </is>
      </c>
      <c r="D200" s="2" t="inlineStr">
        <is>
          <t>Honda Civic 1.8 i-VTEC 140CV Gasolina 2009</t>
        </is>
      </c>
      <c r="E200" s="2" t="inlineStr">
        <is>
          <t>Honda</t>
        </is>
      </c>
      <c r="F200" s="2" t="inlineStr">
        <is>
          <t>Honda Civic</t>
        </is>
      </c>
      <c r="G200" s="2" t="inlineStr">
        <is>
          <t>1.8 i-VTEC</t>
        </is>
      </c>
      <c r="H200" s="2" t="inlineStr">
        <is>
          <t>1.8 i-VTEC 140 Comfort 5p</t>
        </is>
      </c>
      <c r="I200" s="2" t="n"/>
      <c r="J200" s="2" t="n">
        <v>140</v>
      </c>
      <c r="K200" s="2" t="inlineStr">
        <is>
          <t>gasolina</t>
        </is>
      </c>
      <c r="L200" s="2" t="inlineStr">
        <is>
          <t>compacto</t>
        </is>
      </c>
      <c r="M200" s="2" t="n">
        <v>2009</v>
      </c>
      <c r="N200" s="2" t="n">
        <v>218000</v>
      </c>
      <c r="O200" s="2" t="n">
        <v>5800</v>
      </c>
      <c r="P200" s="2" t="inlineStr">
        <is>
          <t>manual</t>
        </is>
      </c>
      <c r="Q200" s="2" t="inlineStr">
        <is>
          <t>no</t>
        </is>
      </c>
      <c r="R200" s="2" t="inlineStr">
        <is>
          <t>particular</t>
        </is>
      </c>
      <c r="S200" s="2" t="inlineStr">
        <is>
          <t>Valencia (46002)</t>
        </is>
      </c>
      <c r="T200" s="2" t="inlineStr">
        <is>
          <t>2026-10-07T12:31:01</t>
        </is>
      </c>
      <c r="U200" s="2" t="n">
        <v>7</v>
      </c>
      <c r="V200" s="2" t="n"/>
      <c r="W200" s="2" t="n"/>
      <c r="X200" s="2" t="n"/>
      <c r="Y200" s="2" t="n"/>
      <c r="Z200" s="2" t="n"/>
      <c r="AA200" s="2" t="n"/>
      <c r="AB200" s="2" t="n"/>
      <c r="AC200" s="2" t="n"/>
      <c r="AD200" s="2" t="n"/>
      <c r="AE200" s="2" t="n"/>
      <c r="AF200" s="2" t="n"/>
      <c r="AG200" s="2" t="n"/>
      <c r="AH200" s="2" t="n"/>
      <c r="AI200" s="2" t="n"/>
      <c r="AJ200" s="2" t="n"/>
      <c r="AK200" s="2" t="n"/>
      <c r="AL200" s="2" t="n"/>
      <c r="AM200" s="2" t="n">
        <v>0.4</v>
      </c>
      <c r="AN200" s="2" t="n"/>
      <c r="AO200" s="2" t="n"/>
      <c r="AP200" s="2" t="n">
        <v>2009</v>
      </c>
      <c r="AQ200" s="2" t="n"/>
      <c r="AR200" s="2" t="n"/>
      <c r="AS200" s="2" t="inlineStr">
        <is>
          <t>regla</t>
        </is>
      </c>
      <c r="AT200" s="2" t="n"/>
      <c r="AU200" s="2" t="inlineStr">
        <is>
          <t>no</t>
        </is>
      </c>
      <c r="AV200" s="2" t="inlineStr">
        <is>
          <t>C</t>
        </is>
      </c>
      <c r="AW200" s="2" t="n"/>
      <c r="AX200" s="2" t="inlineStr">
        <is>
          <t>no</t>
        </is>
      </c>
      <c r="AY200" s="2" t="inlineStr">
        <is>
          <t>sí</t>
        </is>
      </c>
      <c r="AZ200" s="2" t="n"/>
      <c r="BA200" s="2" t="n"/>
      <c r="BB200" s="3" t="n">
        <v>5</v>
      </c>
      <c r="BC200" s="3" t="inlineStr">
        <is>
          <t>Honda Civic 8.ª gen 1.8 2006-2011</t>
        </is>
      </c>
      <c r="BD200" s="2" t="n"/>
      <c r="BE200" s="2" t="inlineStr">
        <is>
          <t>sí</t>
        </is>
      </c>
      <c r="BF200" s="2" t="n"/>
      <c r="BG200" s="2" t="n"/>
      <c r="BH200" s="2" t="n"/>
      <c r="BI200" s="2" t="n"/>
      <c r="BJ200" s="2" t="n"/>
      <c r="BK200" s="2" t="n">
        <v>4</v>
      </c>
      <c r="BL200" s="2" t="inlineStr">
        <is>
          <t>sí</t>
        </is>
      </c>
      <c r="BM200" s="2" t="n">
        <v>102</v>
      </c>
      <c r="BN200" s="2" t="n">
        <v>0.05126157402992249</v>
      </c>
      <c r="BO200" s="2" t="n">
        <v>2</v>
      </c>
      <c r="BP200" s="2" t="n">
        <v>6350</v>
      </c>
      <c r="BQ200" s="2" t="n">
        <v>4</v>
      </c>
      <c r="BR200" s="2" t="inlineStr">
        <is>
          <t>modelo+año+km</t>
        </is>
      </c>
      <c r="BS200" s="2" t="n"/>
      <c r="BT200" s="2" t="inlineStr">
        <is>
          <t>particular sin garantía: pedir informe DGT, historial ITV y revisión precompra; por encima del presupuesto: negociar 924 € (coste 5924 €; -18.5 puntos); cuota fija ITP: &gt;12 años, 1.501-2.000 cc; etiqueta C deducida por fecha (sin matrícula ni dato del anuncio); revisar: no menciona la ITV; fiabilidad del modelo PENDIENTE de fuente (puntuación neutra)</t>
        </is>
      </c>
      <c r="BU200" s="2" t="inlineStr">
        <is>
          <t>Honda Civic 1.8 i-VTEC Gasolina 140 CV – 2009  
Honda Civic en muy buen estado general, tanto mecánico como estético. Vehículo fiable, práctico y con un motor gasolina 1.8 i-VTEC de 140 CV.  
✅ 218.000 km
✅ Motor 1.8 gasolina – 140 CV
✅ Cambio manual
✅ 5 puertas / 5 plazas
✅ Climatizador
✅ Volante multifunción
✅ Arranque por botón
✅ Llantas de aleación
✅ Elevalunas eléctricos
✅ Cierre centralizado  
🔧 Vehículo completamente revisado y mantenido. Mecánicamente funciona perfectamente y se encuentra en muy buen estado visual. Listo para circular.  
Se puede ver y probar en Valencia. Posibilidad de revisión en nuestro propio taller.  
📍 MAKANAUTO — C/ Pintor Sorolla, 8
📲 WhatsApp: +34 643 729 918  
💰 Precio: 5.800 €</t>
        </is>
      </c>
      <c r="BV200" s="2" t="inlineStr">
        <is>
          <t>https://es.wallapop.com/item/honda-civic-1-8-i-vtec-140cv-gasolina-2009-1310368200 (__NEXT_DATA__ item) /home/user/Alopecia/buscador-coches/raw/wallapop/94497d8f065a9309.json</t>
        </is>
      </c>
      <c r="BW200" s="3">
        <f>MAX(ANIO_ACTUAL-M200,0)</f>
        <v/>
      </c>
      <c r="BX200" s="4">
        <f>N200/MAX(BW200,0.5)</f>
        <v/>
      </c>
      <c r="BY200" s="4">
        <f>F200</f>
        <v/>
      </c>
      <c r="BZ200" s="3">
        <f>BY200&amp;"|"&amp;INT(M200/SEG_ANIO)*SEG_ANIO</f>
        <v/>
      </c>
      <c r="CA200" s="3">
        <f>BZ200&amp;"|"&amp;INT(N200/SEG_KM)*SEG_KM</f>
        <v/>
      </c>
      <c r="CB200" s="4">
        <f>COUNTIF($BY$2:$BY$209,BY200)</f>
        <v/>
      </c>
      <c r="CC200" s="4">
        <f>COUNTIF($BZ$2:$BZ$209,BZ200)</f>
        <v/>
      </c>
      <c r="CD200" s="4">
        <f>COUNTIF($CA$2:$CA$209,CA200)</f>
        <v/>
      </c>
      <c r="CE200" s="3">
        <f t="array" ref="CE200">IF(N(BQ200)&gt;=MIN_N,BP200,IF(CD200&gt;=MIN_N,MEDIAN(IF($CA$2:$CA$209=CA200,$O$2:$O$209)),IF(CC200&gt;=MIN_N,MEDIAN(IF($BZ$2:$BZ$209=BZ200,$O$2:$O$209)),MEDIAN(IF($BY$2:$BY$209=BY200,$O$2:$O$209)))))</f>
        <v/>
      </c>
      <c r="CF200" s="3">
        <f>IF(N(BQ200)&gt;=MIN_N,"mercado "&amp;BR200,IF(CD200&gt;=MIN_N,"modelo+año+km",IF(CC200&gt;=MIN_N,"modelo+año","modelo")))</f>
        <v/>
      </c>
      <c r="CG200" s="4">
        <f>(CE200-O200)/CE200</f>
        <v/>
      </c>
      <c r="CH200" s="3">
        <f>IF(COUNTIFS(FR_FUEL,K200,FR_YEAR,AP200)&gt;0,1,0)</f>
        <v/>
      </c>
      <c r="CI200" s="3">
        <f>IF(COUNTIFS(FR_FUEL,K200,FR_YEAR,AP200-1)&gt;0,1,0)</f>
        <v/>
      </c>
      <c r="CJ200" s="4">
        <f>IF(N(AQ200)&gt;0,AP200*100+AQ200,IF(AND(CH200=1,CI200=1),(AP200-1)*100+1,AP200*100+1))</f>
        <v/>
      </c>
      <c r="CK200" s="3">
        <f>IF(OR(K200="hibrido",K200="glp",K200="gnc",K200="phev"),"ECO",IF(K200="electrico","CERO",IF(K200="gasolina",IF(CJ200&gt;=GAS_C_YM,"C",IF(CJ200&gt;=GAS_B_YM,"B","A")),IF(K200="diesel",IF(CJ200&gt;=DIE_C_YM,"C",IF(CJ200&gt;=DIE_B_YM,"B","A")),""))))</f>
        <v/>
      </c>
      <c r="CL200" s="4">
        <f>CK200</f>
        <v/>
      </c>
      <c r="CM200" s="4">
        <f>IF(AU200="sí","sí",IF(AS200="regla",IF(AND(N(AQ200)=0,CH200=1),"sí","no"),"no"))</f>
        <v/>
      </c>
      <c r="CN200" s="3">
        <f>IFERROR(VLOOKUP(F200,MOD_TBL,16,0),IFERROR(VLOOKUP(E200,OCU_TBL,2,0),NEUTRO))</f>
        <v/>
      </c>
      <c r="CO200" s="3">
        <f>SUMIFS(MOT_AJUSTE,MOT_MOTOR,G200,MOT_MARCA,E200,MOT_DESDE,"&lt;="&amp;M200,MOT_HASTA,"&gt;="&amp;M200)+SUMIFS(MOT_AJUSTE,MOT_MOTOR,G200,MOT_MARCA,"(todas)",MOT_DESDE,"&lt;="&amp;M200,MOT_HASTA,"&gt;="&amp;M200)+SUMIFS(MOT_AJUSTE,MOT_MOTOR,"(cualquiera)",MOT_MARCA,E200,MOT_DESDE,"&lt;="&amp;M200,MOT_HASTA,"&gt;="&amp;M200)</f>
        <v/>
      </c>
      <c r="CP200" s="3">
        <f>SUMIFS(COMB_AJUSTE,COMB_COMB,K200)</f>
        <v/>
      </c>
      <c r="CQ200" s="3">
        <f>COUNTIFS(MOT_MOTOR,G200,MOT_MARCA,E200,MOT_DESDE,"&lt;="&amp;M200,MOT_HASTA,"&gt;="&amp;M200)+COUNTIFS(MOT_MOTOR,G200,MOT_MARCA,"(todas)",MOT_DESDE,"&lt;="&amp;M200,MOT_HASTA,"&gt;="&amp;M200)+COUNTIFS(MOT_MOTOR,"(cualquiera)",MOT_MARCA,E200,MOT_DESDE,"&lt;="&amp;M200,MOT_HASTA,"&gt;="&amp;M200)</f>
        <v/>
      </c>
      <c r="CR200" s="3">
        <f>IF(AND(K200="diesel",CQ200=0),MIN(CN200,NEUTRO),CN200)</f>
        <v/>
      </c>
      <c r="CS200" s="3">
        <f>MAX(0,MIN(100,CR200+CO200+CP200-IF(AX200="sí",ROB_PEN,0)))</f>
        <v/>
      </c>
      <c r="CT200" s="3">
        <f>100-MAX(0,N200-KM_TOPE_DESDE)/1000*KM_TOPE_PTS</f>
        <v/>
      </c>
      <c r="CU200" s="3">
        <f>MAX(0,MIN(100,50+CG200*PRECIO_PEND,CT200))</f>
        <v/>
      </c>
      <c r="CV200" s="3">
        <f>MAX(0,100*(1-N200/KM_MAX))</f>
        <v/>
      </c>
      <c r="CW200" s="3">
        <f>IF(BX200&lt;KMA_SOSP,IF(AA200="sí",100,KMA_PEN),IF(BX200&lt;=KMA_IDEAL_MAX,100,MAX(0,100*(KMA_CERO-BX200)/(KMA_CERO-KMA_IDEAL_MAX))))</f>
        <v/>
      </c>
      <c r="CX200" s="3">
        <f>MAX(0,MIN(100,100*(M200-ANIO_MIN)/(ANIO_ACTUAL-ANIO_MIN)))</f>
        <v/>
      </c>
      <c r="CY200" s="3">
        <f>W_KMT*CV200+W_KMA*CW200+W_EDAD*CX200</f>
        <v/>
      </c>
      <c r="CZ200" s="4">
        <f>E200&amp;"|"&amp;G200</f>
        <v/>
      </c>
      <c r="DA200" s="3">
        <f>IFERROR(VLOOKUP(CZ200,DIST_TBL,2,0),"")</f>
        <v/>
      </c>
      <c r="DB200" s="3">
        <f>E_ITV*(V200="sí")+E_LIBRO*(W200="sí")+E_PROP*IF(Y200=1,1,IF(Y200=2,0.5,0))+E_CORREA*IF(OR(DA200="cadena",AND(X200="sí",BH200="sí")),1,IF(X200="sí",0.5,0))+E_FACT*(BI200="sí")</f>
        <v/>
      </c>
      <c r="DC200" s="3">
        <f>MAX(0,MIN(100,IFERROR(VLOOKUP(CL200,ETQ_TBL,2,0),0)-IF(CM200="sí",ETQ_PEN_DUD,IF(AS200="regla",ETQ_PEN_REGLA,0))))</f>
        <v/>
      </c>
      <c r="DD200" s="3">
        <f>IF(K200&lt;&gt;"gasolina","",IFERROR(VLOOKUP(F200,CONS_MOD_TBL,2,0),IFERROR(VLOOKUP(L200,CONS_SEG_TBL,2,0),"")))</f>
        <v/>
      </c>
      <c r="DE200" s="3">
        <f>IF(DD200="",NEUTRO,MAX(0,MIN(100,100*(CONS_REF_MAX-DD200)/(CONS_REF_MAX-CONS_REF_MIN))))</f>
        <v/>
      </c>
      <c r="DF200" s="3">
        <f>IFERROR(VLOOKUP(L200,SEGURO_TBL,3,0),"")</f>
        <v/>
      </c>
      <c r="DG200" s="3">
        <f>IF(DF200="",NEUTRO,MAX(0,MIN(100,100*(SEG_REF_MAX-DF200)/(SEG_REF_MAX-SEG_REF_MIN))))</f>
        <v/>
      </c>
      <c r="DH200" s="3">
        <f>IFERROR(VLOOKUP(E200,MANT_MARCA_TBL,2,0)+0,NEUTRO)</f>
        <v/>
      </c>
      <c r="DI200" s="3">
        <f>IF(DA200="",NEUTRO,IFERROR(VLOOKUP(DA200,DIST_PTS_TBL,2,0)+0,NEUTRO))</f>
        <v/>
      </c>
      <c r="DJ200" s="4">
        <f>(DH200+DI200)/2</f>
        <v/>
      </c>
      <c r="DK200" s="3">
        <f>W_CONS*DE200+W_SEG*DG200+W_MANT*DJ200</f>
        <v/>
      </c>
      <c r="DL200" s="3">
        <f>IF(N(AB200)&gt;0,AB200,IF(AND(R200="profesional",SG_LEGAL_ON=1),GAR_LEGAL,0))</f>
        <v/>
      </c>
      <c r="DM200" s="3">
        <f>MAX(0,MIN(100,SG_GAR*MIN(1,DL200/SG_GAR_FULL)+SG_AMPL*(AC200="sí")+SG_KMC*(AF200="sí")+SG_REV*(N(AE200)&gt;0)+SG_DEV*MIN(1,N(AG200)/SG_DEV_FULL)+SG_HIST*(W200="sí")-IF(AND(R200="particular",DL200=0),SG_PART_PEN,0)))</f>
        <v/>
      </c>
      <c r="DN200" s="3">
        <f>IF(BK200="",NEUTRO,MAX(0,MIN(100,BK200/5*100)))</f>
        <v/>
      </c>
      <c r="DO200" s="3">
        <f>IF(BL200="sí",100,IF(BL200="no",0,NEUTRO))</f>
        <v/>
      </c>
      <c r="DP200" s="3">
        <f>SV_W_NCAP*DN200+SV_W_ESP*DO200</f>
        <v/>
      </c>
      <c r="DQ200" s="3">
        <f>MAX(0,MIN(100,ATR_BASE+ATR_ACAB*(BD200&lt;&gt;"")+IF(BE200="16+",ATR_LL16,IF(BE200="sí",ATR_LL,0))+ATR_FAROS*(BF200="sí")+ATR_TINT*(BG200="sí")-ATR_CHAPA*(BE200="chapa")))</f>
        <v/>
      </c>
      <c r="DR200" s="3">
        <f>EST_W_MOD*(BB200-1)/4*100+EST_W_ATR*DQ200</f>
        <v/>
      </c>
      <c r="DS200" s="3">
        <f>IF(BA200="",NEUTRO,IFERROR(VLOOKUP(BA200,COLOR_TBL,2,0)+0,NEUTRO))</f>
        <v/>
      </c>
      <c r="DT200" s="3">
        <f>MAX(0,MIN(100,100*N(BM200)/RV_N_FULL))</f>
        <v/>
      </c>
      <c r="DU200" s="3">
        <f>IF(OR(BN200="",N(BO200)&lt;RV_DIAS_MIN),NEUTRO,MAX(0,MIN(100,100*(RV_DIAS_CERO-BN200)/(RV_DIAS_CERO-RV_DIAS_FULL))))</f>
        <v/>
      </c>
      <c r="DV200" s="3">
        <f>RV_W_LIQ*DT200+RV_W_DIAS*DU200+RV_W_ETQ*DC200</f>
        <v/>
      </c>
      <c r="DW200" s="3">
        <f>IFERROR(VLOOKUP(L200,CARR_PEN_TBL,2,0),0)</f>
        <v/>
      </c>
      <c r="DX200" s="3">
        <f>W_FIAB*CS200+W_PRECIO*CU200+W_KMEDAD*CY200+W_ESTADO*DB200+W_USO*DK200+W_SEGURIDAD*DM200+W_SEGVIAL*DP200+W_ESTETICA*DR200+W_COLOR*DS200+W_REVENTA*DV200-DW200-EG200</f>
        <v/>
      </c>
      <c r="DY200" s="4">
        <f>IF(N(I200)&gt;0,I200,IFERROR(ROUND(_xlfn.NUMBERVALUE(LEFT(G200,FIND(" ",G200&amp;" ")-1),".")*1000,0),99999))</f>
        <v/>
      </c>
      <c r="DZ200" s="3">
        <f>IF(R200="profesional",0,IF(O200&lt;CUOTA_VALOR_MAX,IF(BW200&gt;ITP_TRAMO_ALTO,SUMIFS(CF_CUOTA,CF_MAS,ITP_TRAMO_ALTO,CF_CCMIN,"&lt;="&amp;DY200,CF_CCMAX,"&gt;="&amp;DY200),IF(BW200&gt;ITP_TRAMO_BAJO,SUMIFS(CF_CUOTA,CF_MAS,ITP_TRAMO_BAJO,CF_CCMIN,"&lt;="&amp;DY200,CF_CCMAX,"&gt;="&amp;DY200),O200*ITP_TIPO)),O200*ITP_TIPO))</f>
        <v/>
      </c>
      <c r="EA200" s="4">
        <f>IF(R200="profesional",N(AK200),0)</f>
        <v/>
      </c>
      <c r="EB200" s="3">
        <f>IF(AND(R200="profesional",ISNUMBER(AK200),AL200="sí"),0,TASA_DGT)</f>
        <v/>
      </c>
      <c r="EC200" s="3">
        <f>INFORME_DGT</f>
        <v/>
      </c>
      <c r="ED200" s="4">
        <f>O200+EA200+DZ200+EB200+EC200</f>
        <v/>
      </c>
      <c r="EE200" s="4">
        <f>ED200+N(DF200)</f>
        <v/>
      </c>
      <c r="EF200" s="3">
        <f>MAX(0,ED200-TOTAL_MAX)</f>
        <v/>
      </c>
      <c r="EG200" s="3">
        <f>EF200/100*PEN_100</f>
        <v/>
      </c>
      <c r="EH200" s="3">
        <f>IF(R200="particular",ED200+IF(AND(DA200&lt;&gt;"cadena",X200&lt;&gt;"sí"),RES_CORREA,0)+IF(AND(BJ200&lt;&gt;"sí",BW200&gt;=RES_NEUM_EDAD),RES_NEUM,0),"")</f>
        <v/>
      </c>
      <c r="EI200" s="3">
        <f>IF(ED200&lt;=TOTAL_MAX,"sí",IF(ED200&lt;=TECHO,"negociar","no"))</f>
        <v/>
      </c>
      <c r="EJ200" s="4">
        <f>ROUND(DX200,9)</f>
        <v/>
      </c>
      <c r="EK200" s="4">
        <f>IF(EI200&lt;&gt;"no",SUMPRODUCT(($EI$2:$EI$209&lt;&gt;"no")*($EJ$2:$EJ$209&gt;EJ200))+SUMPRODUCT(($EI$2:EI200&lt;&gt;"no")*($EJ$2:EJ200=EJ200)),"")</f>
        <v/>
      </c>
    </row>
    <row r="201">
      <c r="A201" s="2" t="inlineStr">
        <is>
          <t>wallapop:1316404490</t>
        </is>
      </c>
      <c r="B201" s="2" t="inlineStr">
        <is>
          <t>wallapop</t>
        </is>
      </c>
      <c r="C201" s="2" t="inlineStr">
        <is>
          <t>https://es.wallapop.com/item/mazda-3-unico-propietario-solo-105-000km-1316404490</t>
        </is>
      </c>
      <c r="D201" s="2" t="inlineStr">
        <is>
          <t>Mazda 3 Unico Propietario solo 105.000km</t>
        </is>
      </c>
      <c r="E201" s="2" t="inlineStr">
        <is>
          <t>Mazda</t>
        </is>
      </c>
      <c r="F201" s="2" t="inlineStr">
        <is>
          <t>Mazda 3</t>
        </is>
      </c>
      <c r="G201" s="2" t="inlineStr">
        <is>
          <t>1.6</t>
        </is>
      </c>
      <c r="H201" s="2" t="inlineStr">
        <is>
          <t>1.6 CRTD 109 Active+ 5p</t>
        </is>
      </c>
      <c r="I201" s="2" t="n"/>
      <c r="J201" s="2" t="n">
        <v>109</v>
      </c>
      <c r="K201" s="2" t="inlineStr">
        <is>
          <t>diesel</t>
        </is>
      </c>
      <c r="L201" s="2" t="inlineStr">
        <is>
          <t>compacto</t>
        </is>
      </c>
      <c r="M201" s="2" t="n">
        <v>2007</v>
      </c>
      <c r="N201" s="2" t="n">
        <v>105000</v>
      </c>
      <c r="O201" s="2" t="n">
        <v>5500</v>
      </c>
      <c r="P201" s="2" t="inlineStr">
        <is>
          <t>manual</t>
        </is>
      </c>
      <c r="Q201" s="2" t="inlineStr">
        <is>
          <t>no</t>
        </is>
      </c>
      <c r="R201" s="2" t="inlineStr">
        <is>
          <t>profesional</t>
        </is>
      </c>
      <c r="S201" s="2" t="inlineStr">
        <is>
          <t>Valencia (46026)</t>
        </is>
      </c>
      <c r="T201" s="2" t="inlineStr">
        <is>
          <t>2026-10-30T11:36:07</t>
        </is>
      </c>
      <c r="U201" s="2" t="n">
        <v>31</v>
      </c>
      <c r="V201" s="2" t="n"/>
      <c r="W201" s="2" t="n"/>
      <c r="X201" s="2" t="n"/>
      <c r="Y201" s="2" t="n">
        <v>1</v>
      </c>
      <c r="Z201" s="2" t="n"/>
      <c r="AA201" s="2" t="n"/>
      <c r="AB201" s="2" t="n"/>
      <c r="AC201" s="2" t="n"/>
      <c r="AD201" s="2" t="n"/>
      <c r="AE201" s="2" t="n"/>
      <c r="AF201" s="2" t="n"/>
      <c r="AG201" s="2" t="n"/>
      <c r="AH201" s="2" t="n"/>
      <c r="AI201" s="2" t="n"/>
      <c r="AJ201" s="2" t="n"/>
      <c r="AK201" s="2" t="n"/>
      <c r="AL201" s="2" t="n"/>
      <c r="AM201" s="2" t="n">
        <v>2.4</v>
      </c>
      <c r="AN201" s="2" t="n"/>
      <c r="AO201" s="2" t="n"/>
      <c r="AP201" s="2" t="n">
        <v>2007</v>
      </c>
      <c r="AQ201" s="2" t="n"/>
      <c r="AR201" s="2" t="n"/>
      <c r="AS201" s="2" t="inlineStr">
        <is>
          <t>regla</t>
        </is>
      </c>
      <c r="AT201" s="2" t="n"/>
      <c r="AU201" s="2" t="inlineStr">
        <is>
          <t>no</t>
        </is>
      </c>
      <c r="AV201" s="2" t="inlineStr">
        <is>
          <t>B</t>
        </is>
      </c>
      <c r="AW201" s="2" t="n"/>
      <c r="AX201" s="2" t="inlineStr">
        <is>
          <t>no</t>
        </is>
      </c>
      <c r="AY201" s="2" t="inlineStr">
        <is>
          <t>no</t>
        </is>
      </c>
      <c r="AZ201" s="2" t="n"/>
      <c r="BA201" s="2" t="n"/>
      <c r="BB201" s="3" t="n">
        <v>3</v>
      </c>
      <c r="BC201" s="3" t="inlineStr">
        <is>
          <t>(por segmento)</t>
        </is>
      </c>
      <c r="BD201" s="2" t="n"/>
      <c r="BE201" s="2" t="inlineStr">
        <is>
          <t>16+</t>
        </is>
      </c>
      <c r="BF201" s="2" t="n"/>
      <c r="BG201" s="2" t="n"/>
      <c r="BH201" s="2" t="n"/>
      <c r="BI201" s="2" t="n"/>
      <c r="BJ201" s="2" t="n"/>
      <c r="BK201" s="2" t="n">
        <v>4</v>
      </c>
      <c r="BL201" s="2" t="n"/>
      <c r="BM201" s="2" t="n">
        <v>132</v>
      </c>
      <c r="BN201" s="2" t="n">
        <v>0.05126157402992249</v>
      </c>
      <c r="BO201" s="2" t="n">
        <v>3</v>
      </c>
      <c r="BP201" s="2" t="n">
        <v>5250</v>
      </c>
      <c r="BQ201" s="2" t="n">
        <v>14</v>
      </c>
      <c r="BR201" s="2" t="inlineStr">
        <is>
          <t>modelo+año</t>
        </is>
      </c>
      <c r="BS201" s="2" t="n"/>
      <c r="BT201" s="2" t="inlineStr">
        <is>
          <t>por encima del presupuesto: negociar 564 € (coste 5564 €; -11.3 puntos); vendedor profesional: sin ITP (operación con IVA/REBU, confirmar en factura); gastos de gestión del vendedor no indicados: se suma la tasa DGT; preguntar el precio final; diésel: motor sin fuente de fiabilidad (fiabilidad limitada a neutra); etiqueta B deducida por fecha (sin matrícula ni dato del anuncio)</t>
        </is>
      </c>
      <c r="BU201" s="2" t="inlineStr">
        <is>
          <t>Impecable Mazda 3 de Único Propietario solo 106.000km, ITV vigente, mantenimiento realizado, aire acondicionado, elevalunas electrónicos en las 4 ventanas, control de stereo al volante, ordenador a bordo, faros antinieblas, llantas 16 de fábrica, rueda de repuesto y herramientas sin uso, 2 juegos de llaves.. Excelente Estado!!!
WhatsApp 685435844</t>
        </is>
      </c>
      <c r="BV201" s="2" t="inlineStr">
        <is>
          <t>https://es.wallapop.com/item/mazda-3-unico-propietario-solo-105-000km-1316404490 (__NEXT_DATA__ item) /home/user/Alopecia/buscador-coches/raw/wallapop/12aed3e9f725ddf9.json</t>
        </is>
      </c>
      <c r="BW201" s="3">
        <f>MAX(ANIO_ACTUAL-M201,0)</f>
        <v/>
      </c>
      <c r="BX201" s="4">
        <f>N201/MAX(BW201,0.5)</f>
        <v/>
      </c>
      <c r="BY201" s="4">
        <f>F201</f>
        <v/>
      </c>
      <c r="BZ201" s="3">
        <f>BY201&amp;"|"&amp;INT(M201/SEG_ANIO)*SEG_ANIO</f>
        <v/>
      </c>
      <c r="CA201" s="3">
        <f>BZ201&amp;"|"&amp;INT(N201/SEG_KM)*SEG_KM</f>
        <v/>
      </c>
      <c r="CB201" s="4">
        <f>COUNTIF($BY$2:$BY$209,BY201)</f>
        <v/>
      </c>
      <c r="CC201" s="4">
        <f>COUNTIF($BZ$2:$BZ$209,BZ201)</f>
        <v/>
      </c>
      <c r="CD201" s="4">
        <f>COUNTIF($CA$2:$CA$209,CA201)</f>
        <v/>
      </c>
      <c r="CE201" s="3">
        <f t="array" ref="CE201">IF(N(BQ201)&gt;=MIN_N,BP201,IF(CD201&gt;=MIN_N,MEDIAN(IF($CA$2:$CA$209=CA201,$O$2:$O$209)),IF(CC201&gt;=MIN_N,MEDIAN(IF($BZ$2:$BZ$209=BZ201,$O$2:$O$209)),MEDIAN(IF($BY$2:$BY$209=BY201,$O$2:$O$209)))))</f>
        <v/>
      </c>
      <c r="CF201" s="3">
        <f>IF(N(BQ201)&gt;=MIN_N,"mercado "&amp;BR201,IF(CD201&gt;=MIN_N,"modelo+año+km",IF(CC201&gt;=MIN_N,"modelo+año","modelo")))</f>
        <v/>
      </c>
      <c r="CG201" s="4">
        <f>(CE201-O201)/CE201</f>
        <v/>
      </c>
      <c r="CH201" s="3">
        <f>IF(COUNTIFS(FR_FUEL,K201,FR_YEAR,AP201)&gt;0,1,0)</f>
        <v/>
      </c>
      <c r="CI201" s="3">
        <f>IF(COUNTIFS(FR_FUEL,K201,FR_YEAR,AP201-1)&gt;0,1,0)</f>
        <v/>
      </c>
      <c r="CJ201" s="4">
        <f>IF(N(AQ201)&gt;0,AP201*100+AQ201,IF(AND(CH201=1,CI201=1),(AP201-1)*100+1,AP201*100+1))</f>
        <v/>
      </c>
      <c r="CK201" s="3">
        <f>IF(OR(K201="hibrido",K201="glp",K201="gnc",K201="phev"),"ECO",IF(K201="electrico","CERO",IF(K201="gasolina",IF(CJ201&gt;=GAS_C_YM,"C",IF(CJ201&gt;=GAS_B_YM,"B","A")),IF(K201="diesel",IF(CJ201&gt;=DIE_C_YM,"C",IF(CJ201&gt;=DIE_B_YM,"B","A")),""))))</f>
        <v/>
      </c>
      <c r="CL201" s="4">
        <f>CK201</f>
        <v/>
      </c>
      <c r="CM201" s="4">
        <f>IF(AU201="sí","sí",IF(AS201="regla",IF(AND(N(AQ201)=0,CH201=1),"sí","no"),"no"))</f>
        <v/>
      </c>
      <c r="CN201" s="3">
        <f>IFERROR(VLOOKUP(F201,MOD_TBL,16,0),IFERROR(VLOOKUP(E201,OCU_TBL,2,0),NEUTRO))</f>
        <v/>
      </c>
      <c r="CO201" s="3">
        <f>SUMIFS(MOT_AJUSTE,MOT_MOTOR,G201,MOT_MARCA,E201,MOT_DESDE,"&lt;="&amp;M201,MOT_HASTA,"&gt;="&amp;M201)+SUMIFS(MOT_AJUSTE,MOT_MOTOR,G201,MOT_MARCA,"(todas)",MOT_DESDE,"&lt;="&amp;M201,MOT_HASTA,"&gt;="&amp;M201)+SUMIFS(MOT_AJUSTE,MOT_MOTOR,"(cualquiera)",MOT_MARCA,E201,MOT_DESDE,"&lt;="&amp;M201,MOT_HASTA,"&gt;="&amp;M201)</f>
        <v/>
      </c>
      <c r="CP201" s="3">
        <f>SUMIFS(COMB_AJUSTE,COMB_COMB,K201)</f>
        <v/>
      </c>
      <c r="CQ201" s="3">
        <f>COUNTIFS(MOT_MOTOR,G201,MOT_MARCA,E201,MOT_DESDE,"&lt;="&amp;M201,MOT_HASTA,"&gt;="&amp;M201)+COUNTIFS(MOT_MOTOR,G201,MOT_MARCA,"(todas)",MOT_DESDE,"&lt;="&amp;M201,MOT_HASTA,"&gt;="&amp;M201)+COUNTIFS(MOT_MOTOR,"(cualquiera)",MOT_MARCA,E201,MOT_DESDE,"&lt;="&amp;M201,MOT_HASTA,"&gt;="&amp;M201)</f>
        <v/>
      </c>
      <c r="CR201" s="3">
        <f>IF(AND(K201="diesel",CQ201=0),MIN(CN201,NEUTRO),CN201)</f>
        <v/>
      </c>
      <c r="CS201" s="3">
        <f>MAX(0,MIN(100,CR201+CO201+CP201-IF(AX201="sí",ROB_PEN,0)))</f>
        <v/>
      </c>
      <c r="CT201" s="3">
        <f>100-MAX(0,N201-KM_TOPE_DESDE)/1000*KM_TOPE_PTS</f>
        <v/>
      </c>
      <c r="CU201" s="3">
        <f>MAX(0,MIN(100,50+CG201*PRECIO_PEND,CT201))</f>
        <v/>
      </c>
      <c r="CV201" s="3">
        <f>MAX(0,100*(1-N201/KM_MAX))</f>
        <v/>
      </c>
      <c r="CW201" s="3">
        <f>IF(BX201&lt;KMA_SOSP,IF(AA201="sí",100,KMA_PEN),IF(BX201&lt;=KMA_IDEAL_MAX,100,MAX(0,100*(KMA_CERO-BX201)/(KMA_CERO-KMA_IDEAL_MAX))))</f>
        <v/>
      </c>
      <c r="CX201" s="3">
        <f>MAX(0,MIN(100,100*(M201-ANIO_MIN)/(ANIO_ACTUAL-ANIO_MIN)))</f>
        <v/>
      </c>
      <c r="CY201" s="3">
        <f>W_KMT*CV201+W_KMA*CW201+W_EDAD*CX201</f>
        <v/>
      </c>
      <c r="CZ201" s="4">
        <f>E201&amp;"|"&amp;G201</f>
        <v/>
      </c>
      <c r="DA201" s="3">
        <f>IFERROR(VLOOKUP(CZ201,DIST_TBL,2,0),"")</f>
        <v/>
      </c>
      <c r="DB201" s="3">
        <f>E_ITV*(V201="sí")+E_LIBRO*(W201="sí")+E_PROP*IF(Y201=1,1,IF(Y201=2,0.5,0))+E_CORREA*IF(OR(DA201="cadena",AND(X201="sí",BH201="sí")),1,IF(X201="sí",0.5,0))+E_FACT*(BI201="sí")</f>
        <v/>
      </c>
      <c r="DC201" s="3">
        <f>MAX(0,MIN(100,IFERROR(VLOOKUP(CL201,ETQ_TBL,2,0),0)-IF(CM201="sí",ETQ_PEN_DUD,IF(AS201="regla",ETQ_PEN_REGLA,0))))</f>
        <v/>
      </c>
      <c r="DD201" s="3">
        <f>IF(K201&lt;&gt;"gasolina","",IFERROR(VLOOKUP(F201,CONS_MOD_TBL,2,0),IFERROR(VLOOKUP(L201,CONS_SEG_TBL,2,0),"")))</f>
        <v/>
      </c>
      <c r="DE201" s="3">
        <f>IF(DD201="",NEUTRO,MAX(0,MIN(100,100*(CONS_REF_MAX-DD201)/(CONS_REF_MAX-CONS_REF_MIN))))</f>
        <v/>
      </c>
      <c r="DF201" s="3">
        <f>IFERROR(VLOOKUP(L201,SEGURO_TBL,3,0),"")</f>
        <v/>
      </c>
      <c r="DG201" s="3">
        <f>IF(DF201="",NEUTRO,MAX(0,MIN(100,100*(SEG_REF_MAX-DF201)/(SEG_REF_MAX-SEG_REF_MIN))))</f>
        <v/>
      </c>
      <c r="DH201" s="3">
        <f>IFERROR(VLOOKUP(E201,MANT_MARCA_TBL,2,0)+0,NEUTRO)</f>
        <v/>
      </c>
      <c r="DI201" s="3">
        <f>IF(DA201="",NEUTRO,IFERROR(VLOOKUP(DA201,DIST_PTS_TBL,2,0)+0,NEUTRO))</f>
        <v/>
      </c>
      <c r="DJ201" s="4">
        <f>(DH201+DI201)/2</f>
        <v/>
      </c>
      <c r="DK201" s="3">
        <f>W_CONS*DE201+W_SEG*DG201+W_MANT*DJ201</f>
        <v/>
      </c>
      <c r="DL201" s="3">
        <f>IF(N(AB201)&gt;0,AB201,IF(AND(R201="profesional",SG_LEGAL_ON=1),GAR_LEGAL,0))</f>
        <v/>
      </c>
      <c r="DM201" s="3">
        <f>MAX(0,MIN(100,SG_GAR*MIN(1,DL201/SG_GAR_FULL)+SG_AMPL*(AC201="sí")+SG_KMC*(AF201="sí")+SG_REV*(N(AE201)&gt;0)+SG_DEV*MIN(1,N(AG201)/SG_DEV_FULL)+SG_HIST*(W201="sí")-IF(AND(R201="particular",DL201=0),SG_PART_PEN,0)))</f>
        <v/>
      </c>
      <c r="DN201" s="3">
        <f>IF(BK201="",NEUTRO,MAX(0,MIN(100,BK201/5*100)))</f>
        <v/>
      </c>
      <c r="DO201" s="3">
        <f>IF(BL201="sí",100,IF(BL201="no",0,NEUTRO))</f>
        <v/>
      </c>
      <c r="DP201" s="3">
        <f>SV_W_NCAP*DN201+SV_W_ESP*DO201</f>
        <v/>
      </c>
      <c r="DQ201" s="3">
        <f>MAX(0,MIN(100,ATR_BASE+ATR_ACAB*(BD201&lt;&gt;"")+IF(BE201="16+",ATR_LL16,IF(BE201="sí",ATR_LL,0))+ATR_FAROS*(BF201="sí")+ATR_TINT*(BG201="sí")-ATR_CHAPA*(BE201="chapa")))</f>
        <v/>
      </c>
      <c r="DR201" s="3">
        <f>EST_W_MOD*(BB201-1)/4*100+EST_W_ATR*DQ201</f>
        <v/>
      </c>
      <c r="DS201" s="3">
        <f>IF(BA201="",NEUTRO,IFERROR(VLOOKUP(BA201,COLOR_TBL,2,0)+0,NEUTRO))</f>
        <v/>
      </c>
      <c r="DT201" s="3">
        <f>MAX(0,MIN(100,100*N(BM201)/RV_N_FULL))</f>
        <v/>
      </c>
      <c r="DU201" s="3">
        <f>IF(OR(BN201="",N(BO201)&lt;RV_DIAS_MIN),NEUTRO,MAX(0,MIN(100,100*(RV_DIAS_CERO-BN201)/(RV_DIAS_CERO-RV_DIAS_FULL))))</f>
        <v/>
      </c>
      <c r="DV201" s="3">
        <f>RV_W_LIQ*DT201+RV_W_DIAS*DU201+RV_W_ETQ*DC201</f>
        <v/>
      </c>
      <c r="DW201" s="3">
        <f>IFERROR(VLOOKUP(L201,CARR_PEN_TBL,2,0),0)</f>
        <v/>
      </c>
      <c r="DX201" s="3">
        <f>W_FIAB*CS201+W_PRECIO*CU201+W_KMEDAD*CY201+W_ESTADO*DB201+W_USO*DK201+W_SEGURIDAD*DM201+W_SEGVIAL*DP201+W_ESTETICA*DR201+W_COLOR*DS201+W_REVENTA*DV201-DW201-EG201</f>
        <v/>
      </c>
      <c r="DY201" s="4">
        <f>IF(N(I201)&gt;0,I201,IFERROR(ROUND(_xlfn.NUMBERVALUE(LEFT(G201,FIND(" ",G201&amp;" ")-1),".")*1000,0),99999))</f>
        <v/>
      </c>
      <c r="DZ201" s="3">
        <f>IF(R201="profesional",0,IF(O201&lt;CUOTA_VALOR_MAX,IF(BW201&gt;ITP_TRAMO_ALTO,SUMIFS(CF_CUOTA,CF_MAS,ITP_TRAMO_ALTO,CF_CCMIN,"&lt;="&amp;DY201,CF_CCMAX,"&gt;="&amp;DY201),IF(BW201&gt;ITP_TRAMO_BAJO,SUMIFS(CF_CUOTA,CF_MAS,ITP_TRAMO_BAJO,CF_CCMIN,"&lt;="&amp;DY201,CF_CCMAX,"&gt;="&amp;DY201),O201*ITP_TIPO)),O201*ITP_TIPO))</f>
        <v/>
      </c>
      <c r="EA201" s="4">
        <f>IF(R201="profesional",N(AK201),0)</f>
        <v/>
      </c>
      <c r="EB201" s="3">
        <f>IF(AND(R201="profesional",ISNUMBER(AK201),AL201="sí"),0,TASA_DGT)</f>
        <v/>
      </c>
      <c r="EC201" s="3">
        <f>INFORME_DGT</f>
        <v/>
      </c>
      <c r="ED201" s="4">
        <f>O201+EA201+DZ201+EB201+EC201</f>
        <v/>
      </c>
      <c r="EE201" s="4">
        <f>ED201+N(DF201)</f>
        <v/>
      </c>
      <c r="EF201" s="3">
        <f>MAX(0,ED201-TOTAL_MAX)</f>
        <v/>
      </c>
      <c r="EG201" s="3">
        <f>EF201/100*PEN_100</f>
        <v/>
      </c>
      <c r="EH201" s="3">
        <f>IF(R201="particular",ED201+IF(AND(DA201&lt;&gt;"cadena",X201&lt;&gt;"sí"),RES_CORREA,0)+IF(AND(BJ201&lt;&gt;"sí",BW201&gt;=RES_NEUM_EDAD),RES_NEUM,0),"")</f>
        <v/>
      </c>
      <c r="EI201" s="3">
        <f>IF(ED201&lt;=TOTAL_MAX,"sí",IF(ED201&lt;=TECHO,"negociar","no"))</f>
        <v/>
      </c>
      <c r="EJ201" s="4">
        <f>ROUND(DX201,9)</f>
        <v/>
      </c>
      <c r="EK201" s="4">
        <f>IF(EI201&lt;&gt;"no",SUMPRODUCT(($EI$2:$EI$209&lt;&gt;"no")*($EJ$2:$EJ$209&gt;EJ201))+SUMPRODUCT(($EI$2:EI201&lt;&gt;"no")*($EJ$2:EJ201=EJ201)),"")</f>
        <v/>
      </c>
    </row>
    <row r="202">
      <c r="A202" s="2" t="inlineStr">
        <is>
          <t>wallapop:1318828864</t>
        </is>
      </c>
      <c r="B202" s="2" t="inlineStr">
        <is>
          <t>wallapop</t>
        </is>
      </c>
      <c r="C202" s="2" t="inlineStr">
        <is>
          <t>https://es.wallapop.com/item/seat-leon-2009-1318828864</t>
        </is>
      </c>
      <c r="D202" s="2" t="inlineStr">
        <is>
          <t>SEAT Leon 2009</t>
        </is>
      </c>
      <c r="E202" s="2" t="inlineStr">
        <is>
          <t>Seat</t>
        </is>
      </c>
      <c r="F202" s="2" t="inlineStr">
        <is>
          <t>Seat León</t>
        </is>
      </c>
      <c r="G202" s="2" t="inlineStr">
        <is>
          <t>2.0 FSI</t>
        </is>
      </c>
      <c r="H202" s="2" t="inlineStr">
        <is>
          <t>2.0 FSi 150 Style 5p Tip</t>
        </is>
      </c>
      <c r="I202" s="2" t="n"/>
      <c r="J202" s="2" t="n">
        <v>150</v>
      </c>
      <c r="K202" s="2" t="inlineStr">
        <is>
          <t>gasolina</t>
        </is>
      </c>
      <c r="L202" s="2" t="inlineStr">
        <is>
          <t>compacto</t>
        </is>
      </c>
      <c r="M202" s="2" t="n">
        <v>2009</v>
      </c>
      <c r="N202" s="2" t="n">
        <v>160000</v>
      </c>
      <c r="O202" s="2" t="n">
        <v>5490</v>
      </c>
      <c r="P202" s="2" t="inlineStr">
        <is>
          <t>manual</t>
        </is>
      </c>
      <c r="Q202" s="2" t="inlineStr">
        <is>
          <t>no</t>
        </is>
      </c>
      <c r="R202" s="2" t="inlineStr">
        <is>
          <t>profesional</t>
        </is>
      </c>
      <c r="S202" s="2" t="inlineStr">
        <is>
          <t>Paterna (46980)</t>
        </is>
      </c>
      <c r="T202" s="2" t="inlineStr">
        <is>
          <t>2026-10-31T12:44:27</t>
        </is>
      </c>
      <c r="U202" s="2" t="n">
        <v>10</v>
      </c>
      <c r="V202" s="2" t="inlineStr">
        <is>
          <t>sí</t>
        </is>
      </c>
      <c r="W202" s="2" t="inlineStr">
        <is>
          <t>sí</t>
        </is>
      </c>
      <c r="X202" s="2" t="n"/>
      <c r="Y202" s="2" t="n"/>
      <c r="Z202" s="2" t="n"/>
      <c r="AA202" s="2" t="n"/>
      <c r="AB202" s="2" t="n"/>
      <c r="AC202" s="2" t="n"/>
      <c r="AD202" s="2" t="n"/>
      <c r="AE202" s="2" t="n"/>
      <c r="AF202" s="2" t="n"/>
      <c r="AG202" s="2" t="n"/>
      <c r="AH202" s="2" t="n"/>
      <c r="AI202" s="2" t="n"/>
      <c r="AJ202" s="2" t="n"/>
      <c r="AK202" s="2" t="n"/>
      <c r="AL202" s="2" t="n"/>
      <c r="AM202" s="2" t="n">
        <v>6.6</v>
      </c>
      <c r="AN202" s="2" t="n"/>
      <c r="AO202" s="2" t="n"/>
      <c r="AP202" s="2" t="n">
        <v>2009</v>
      </c>
      <c r="AQ202" s="2" t="n"/>
      <c r="AR202" s="2" t="n"/>
      <c r="AS202" s="2" t="inlineStr">
        <is>
          <t>regla</t>
        </is>
      </c>
      <c r="AT202" s="2" t="n"/>
      <c r="AU202" s="2" t="inlineStr">
        <is>
          <t>no</t>
        </is>
      </c>
      <c r="AV202" s="2" t="inlineStr">
        <is>
          <t>C</t>
        </is>
      </c>
      <c r="AW202" s="2" t="n"/>
      <c r="AX202" s="2" t="inlineStr">
        <is>
          <t>no</t>
        </is>
      </c>
      <c r="AY202" s="2" t="inlineStr">
        <is>
          <t>no</t>
        </is>
      </c>
      <c r="AZ202" s="2" t="n"/>
      <c r="BA202" s="2" t="n"/>
      <c r="BB202" s="3" t="n">
        <v>3</v>
      </c>
      <c r="BC202" s="3" t="inlineStr">
        <is>
          <t>(por segmento)</t>
        </is>
      </c>
      <c r="BD202" s="2" t="n"/>
      <c r="BE202" s="2" t="n"/>
      <c r="BF202" s="2" t="n"/>
      <c r="BG202" s="2" t="n"/>
      <c r="BH202" s="2" t="n"/>
      <c r="BI202" s="2" t="n"/>
      <c r="BJ202" s="2" t="n"/>
      <c r="BK202" s="2" t="n">
        <v>4</v>
      </c>
      <c r="BL202" s="2" t="n"/>
      <c r="BM202" s="2" t="n">
        <v>409</v>
      </c>
      <c r="BN202" s="2" t="n">
        <v>0.06280092592351139</v>
      </c>
      <c r="BO202" s="2" t="n">
        <v>8</v>
      </c>
      <c r="BP202" s="2" t="n">
        <v>5345</v>
      </c>
      <c r="BQ202" s="2" t="n">
        <v>4</v>
      </c>
      <c r="BR202" s="2" t="inlineStr">
        <is>
          <t>modelo+año+km</t>
        </is>
      </c>
      <c r="BS202" s="2" t="n"/>
      <c r="BT202" s="2" t="inlineStr">
        <is>
          <t>por encima del presupuesto: negociar 554 € (coste 5554 €; -11.1 puntos); vendedor profesional: sin ITP (operación con IVA/REBU, confirmar en factura); gastos de gestión del vendedor no indicados: se suma la tasa DGT; preguntar el precio final; etiqueta C deducida por fecha (sin matrícula ni dato del anuncio)</t>
        </is>
      </c>
      <c r="BU202" s="2" t="inlineStr">
        <is>
          <t>SE vende seat leon año 2009 con 160.000 km. aceite y filtros cambiadas, libro de revisiónes. itv en vigor. neumáticos 80%. 4 ventanillas y retrevisores electricos. velocidad de crucero, sensor de aparcamiento. volante de cuero multifuncional. rueda de repuesta. climatizador auto 2 zoas.  salida de aux manos libres.2 juegos de llaves con mando de distancia. en el precio incluido cambio de nombre</t>
        </is>
      </c>
      <c r="BV202" s="2" t="inlineStr">
        <is>
          <t>https://es.wallapop.com/item/seat-leon-2009-1318828864 (__NEXT_DATA__ item) /home/user/Alopecia/buscador-coches/raw/wallapop/7ab09b83c0caa6bd.json</t>
        </is>
      </c>
      <c r="BW202" s="3">
        <f>MAX(ANIO_ACTUAL-M202,0)</f>
        <v/>
      </c>
      <c r="BX202" s="4">
        <f>N202/MAX(BW202,0.5)</f>
        <v/>
      </c>
      <c r="BY202" s="4">
        <f>F202</f>
        <v/>
      </c>
      <c r="BZ202" s="3">
        <f>BY202&amp;"|"&amp;INT(M202/SEG_ANIO)*SEG_ANIO</f>
        <v/>
      </c>
      <c r="CA202" s="3">
        <f>BZ202&amp;"|"&amp;INT(N202/SEG_KM)*SEG_KM</f>
        <v/>
      </c>
      <c r="CB202" s="4">
        <f>COUNTIF($BY$2:$BY$209,BY202)</f>
        <v/>
      </c>
      <c r="CC202" s="4">
        <f>COUNTIF($BZ$2:$BZ$209,BZ202)</f>
        <v/>
      </c>
      <c r="CD202" s="4">
        <f>COUNTIF($CA$2:$CA$209,CA202)</f>
        <v/>
      </c>
      <c r="CE202" s="3">
        <f t="array" ref="CE202">IF(N(BQ202)&gt;=MIN_N,BP202,IF(CD202&gt;=MIN_N,MEDIAN(IF($CA$2:$CA$209=CA202,$O$2:$O$209)),IF(CC202&gt;=MIN_N,MEDIAN(IF($BZ$2:$BZ$209=BZ202,$O$2:$O$209)),MEDIAN(IF($BY$2:$BY$209=BY202,$O$2:$O$209)))))</f>
        <v/>
      </c>
      <c r="CF202" s="3">
        <f>IF(N(BQ202)&gt;=MIN_N,"mercado "&amp;BR202,IF(CD202&gt;=MIN_N,"modelo+año+km",IF(CC202&gt;=MIN_N,"modelo+año","modelo")))</f>
        <v/>
      </c>
      <c r="CG202" s="4">
        <f>(CE202-O202)/CE202</f>
        <v/>
      </c>
      <c r="CH202" s="3">
        <f>IF(COUNTIFS(FR_FUEL,K202,FR_YEAR,AP202)&gt;0,1,0)</f>
        <v/>
      </c>
      <c r="CI202" s="3">
        <f>IF(COUNTIFS(FR_FUEL,K202,FR_YEAR,AP202-1)&gt;0,1,0)</f>
        <v/>
      </c>
      <c r="CJ202" s="4">
        <f>IF(N(AQ202)&gt;0,AP202*100+AQ202,IF(AND(CH202=1,CI202=1),(AP202-1)*100+1,AP202*100+1))</f>
        <v/>
      </c>
      <c r="CK202" s="3">
        <f>IF(OR(K202="hibrido",K202="glp",K202="gnc",K202="phev"),"ECO",IF(K202="electrico","CERO",IF(K202="gasolina",IF(CJ202&gt;=GAS_C_YM,"C",IF(CJ202&gt;=GAS_B_YM,"B","A")),IF(K202="diesel",IF(CJ202&gt;=DIE_C_YM,"C",IF(CJ202&gt;=DIE_B_YM,"B","A")),""))))</f>
        <v/>
      </c>
      <c r="CL202" s="4">
        <f>CK202</f>
        <v/>
      </c>
      <c r="CM202" s="4">
        <f>IF(AU202="sí","sí",IF(AS202="regla",IF(AND(N(AQ202)=0,CH202=1),"sí","no"),"no"))</f>
        <v/>
      </c>
      <c r="CN202" s="3">
        <f>IFERROR(VLOOKUP(F202,MOD_TBL,16,0),IFERROR(VLOOKUP(E202,OCU_TBL,2,0),NEUTRO))</f>
        <v/>
      </c>
      <c r="CO202" s="3">
        <f>SUMIFS(MOT_AJUSTE,MOT_MOTOR,G202,MOT_MARCA,E202,MOT_DESDE,"&lt;="&amp;M202,MOT_HASTA,"&gt;="&amp;M202)+SUMIFS(MOT_AJUSTE,MOT_MOTOR,G202,MOT_MARCA,"(todas)",MOT_DESDE,"&lt;="&amp;M202,MOT_HASTA,"&gt;="&amp;M202)+SUMIFS(MOT_AJUSTE,MOT_MOTOR,"(cualquiera)",MOT_MARCA,E202,MOT_DESDE,"&lt;="&amp;M202,MOT_HASTA,"&gt;="&amp;M202)</f>
        <v/>
      </c>
      <c r="CP202" s="3">
        <f>SUMIFS(COMB_AJUSTE,COMB_COMB,K202)</f>
        <v/>
      </c>
      <c r="CQ202" s="3">
        <f>COUNTIFS(MOT_MOTOR,G202,MOT_MARCA,E202,MOT_DESDE,"&lt;="&amp;M202,MOT_HASTA,"&gt;="&amp;M202)+COUNTIFS(MOT_MOTOR,G202,MOT_MARCA,"(todas)",MOT_DESDE,"&lt;="&amp;M202,MOT_HASTA,"&gt;="&amp;M202)+COUNTIFS(MOT_MOTOR,"(cualquiera)",MOT_MARCA,E202,MOT_DESDE,"&lt;="&amp;M202,MOT_HASTA,"&gt;="&amp;M202)</f>
        <v/>
      </c>
      <c r="CR202" s="3">
        <f>IF(AND(K202="diesel",CQ202=0),MIN(CN202,NEUTRO),CN202)</f>
        <v/>
      </c>
      <c r="CS202" s="3">
        <f>MAX(0,MIN(100,CR202+CO202+CP202-IF(AX202="sí",ROB_PEN,0)))</f>
        <v/>
      </c>
      <c r="CT202" s="3">
        <f>100-MAX(0,N202-KM_TOPE_DESDE)/1000*KM_TOPE_PTS</f>
        <v/>
      </c>
      <c r="CU202" s="3">
        <f>MAX(0,MIN(100,50+CG202*PRECIO_PEND,CT202))</f>
        <v/>
      </c>
      <c r="CV202" s="3">
        <f>MAX(0,100*(1-N202/KM_MAX))</f>
        <v/>
      </c>
      <c r="CW202" s="3">
        <f>IF(BX202&lt;KMA_SOSP,IF(AA202="sí",100,KMA_PEN),IF(BX202&lt;=KMA_IDEAL_MAX,100,MAX(0,100*(KMA_CERO-BX202)/(KMA_CERO-KMA_IDEAL_MAX))))</f>
        <v/>
      </c>
      <c r="CX202" s="3">
        <f>MAX(0,MIN(100,100*(M202-ANIO_MIN)/(ANIO_ACTUAL-ANIO_MIN)))</f>
        <v/>
      </c>
      <c r="CY202" s="3">
        <f>W_KMT*CV202+W_KMA*CW202+W_EDAD*CX202</f>
        <v/>
      </c>
      <c r="CZ202" s="4">
        <f>E202&amp;"|"&amp;G202</f>
        <v/>
      </c>
      <c r="DA202" s="3">
        <f>IFERROR(VLOOKUP(CZ202,DIST_TBL,2,0),"")</f>
        <v/>
      </c>
      <c r="DB202" s="3">
        <f>E_ITV*(V202="sí")+E_LIBRO*(W202="sí")+E_PROP*IF(Y202=1,1,IF(Y202=2,0.5,0))+E_CORREA*IF(OR(DA202="cadena",AND(X202="sí",BH202="sí")),1,IF(X202="sí",0.5,0))+E_FACT*(BI202="sí")</f>
        <v/>
      </c>
      <c r="DC202" s="3">
        <f>MAX(0,MIN(100,IFERROR(VLOOKUP(CL202,ETQ_TBL,2,0),0)-IF(CM202="sí",ETQ_PEN_DUD,IF(AS202="regla",ETQ_PEN_REGLA,0))))</f>
        <v/>
      </c>
      <c r="DD202" s="3">
        <f>IF(K202&lt;&gt;"gasolina","",IFERROR(VLOOKUP(F202,CONS_MOD_TBL,2,0),IFERROR(VLOOKUP(L202,CONS_SEG_TBL,2,0),"")))</f>
        <v/>
      </c>
      <c r="DE202" s="3">
        <f>IF(DD202="",NEUTRO,MAX(0,MIN(100,100*(CONS_REF_MAX-DD202)/(CONS_REF_MAX-CONS_REF_MIN))))</f>
        <v/>
      </c>
      <c r="DF202" s="3">
        <f>IFERROR(VLOOKUP(L202,SEGURO_TBL,3,0),"")</f>
        <v/>
      </c>
      <c r="DG202" s="3">
        <f>IF(DF202="",NEUTRO,MAX(0,MIN(100,100*(SEG_REF_MAX-DF202)/(SEG_REF_MAX-SEG_REF_MIN))))</f>
        <v/>
      </c>
      <c r="DH202" s="3">
        <f>IFERROR(VLOOKUP(E202,MANT_MARCA_TBL,2,0)+0,NEUTRO)</f>
        <v/>
      </c>
      <c r="DI202" s="3">
        <f>IF(DA202="",NEUTRO,IFERROR(VLOOKUP(DA202,DIST_PTS_TBL,2,0)+0,NEUTRO))</f>
        <v/>
      </c>
      <c r="DJ202" s="4">
        <f>(DH202+DI202)/2</f>
        <v/>
      </c>
      <c r="DK202" s="3">
        <f>W_CONS*DE202+W_SEG*DG202+W_MANT*DJ202</f>
        <v/>
      </c>
      <c r="DL202" s="3">
        <f>IF(N(AB202)&gt;0,AB202,IF(AND(R202="profesional",SG_LEGAL_ON=1),GAR_LEGAL,0))</f>
        <v/>
      </c>
      <c r="DM202" s="3">
        <f>MAX(0,MIN(100,SG_GAR*MIN(1,DL202/SG_GAR_FULL)+SG_AMPL*(AC202="sí")+SG_KMC*(AF202="sí")+SG_REV*(N(AE202)&gt;0)+SG_DEV*MIN(1,N(AG202)/SG_DEV_FULL)+SG_HIST*(W202="sí")-IF(AND(R202="particular",DL202=0),SG_PART_PEN,0)))</f>
        <v/>
      </c>
      <c r="DN202" s="3">
        <f>IF(BK202="",NEUTRO,MAX(0,MIN(100,BK202/5*100)))</f>
        <v/>
      </c>
      <c r="DO202" s="3">
        <f>IF(BL202="sí",100,IF(BL202="no",0,NEUTRO))</f>
        <v/>
      </c>
      <c r="DP202" s="3">
        <f>SV_W_NCAP*DN202+SV_W_ESP*DO202</f>
        <v/>
      </c>
      <c r="DQ202" s="3">
        <f>MAX(0,MIN(100,ATR_BASE+ATR_ACAB*(BD202&lt;&gt;"")+IF(BE202="16+",ATR_LL16,IF(BE202="sí",ATR_LL,0))+ATR_FAROS*(BF202="sí")+ATR_TINT*(BG202="sí")-ATR_CHAPA*(BE202="chapa")))</f>
        <v/>
      </c>
      <c r="DR202" s="3">
        <f>EST_W_MOD*(BB202-1)/4*100+EST_W_ATR*DQ202</f>
        <v/>
      </c>
      <c r="DS202" s="3">
        <f>IF(BA202="",NEUTRO,IFERROR(VLOOKUP(BA202,COLOR_TBL,2,0)+0,NEUTRO))</f>
        <v/>
      </c>
      <c r="DT202" s="3">
        <f>MAX(0,MIN(100,100*N(BM202)/RV_N_FULL))</f>
        <v/>
      </c>
      <c r="DU202" s="3">
        <f>IF(OR(BN202="",N(BO202)&lt;RV_DIAS_MIN),NEUTRO,MAX(0,MIN(100,100*(RV_DIAS_CERO-BN202)/(RV_DIAS_CERO-RV_DIAS_FULL))))</f>
        <v/>
      </c>
      <c r="DV202" s="3">
        <f>RV_W_LIQ*DT202+RV_W_DIAS*DU202+RV_W_ETQ*DC202</f>
        <v/>
      </c>
      <c r="DW202" s="3">
        <f>IFERROR(VLOOKUP(L202,CARR_PEN_TBL,2,0),0)</f>
        <v/>
      </c>
      <c r="DX202" s="3">
        <f>W_FIAB*CS202+W_PRECIO*CU202+W_KMEDAD*CY202+W_ESTADO*DB202+W_USO*DK202+W_SEGURIDAD*DM202+W_SEGVIAL*DP202+W_ESTETICA*DR202+W_COLOR*DS202+W_REVENTA*DV202-DW202-EG202</f>
        <v/>
      </c>
      <c r="DY202" s="4">
        <f>IF(N(I202)&gt;0,I202,IFERROR(ROUND(_xlfn.NUMBERVALUE(LEFT(G202,FIND(" ",G202&amp;" ")-1),".")*1000,0),99999))</f>
        <v/>
      </c>
      <c r="DZ202" s="3">
        <f>IF(R202="profesional",0,IF(O202&lt;CUOTA_VALOR_MAX,IF(BW202&gt;ITP_TRAMO_ALTO,SUMIFS(CF_CUOTA,CF_MAS,ITP_TRAMO_ALTO,CF_CCMIN,"&lt;="&amp;DY202,CF_CCMAX,"&gt;="&amp;DY202),IF(BW202&gt;ITP_TRAMO_BAJO,SUMIFS(CF_CUOTA,CF_MAS,ITP_TRAMO_BAJO,CF_CCMIN,"&lt;="&amp;DY202,CF_CCMAX,"&gt;="&amp;DY202),O202*ITP_TIPO)),O202*ITP_TIPO))</f>
        <v/>
      </c>
      <c r="EA202" s="4">
        <f>IF(R202="profesional",N(AK202),0)</f>
        <v/>
      </c>
      <c r="EB202" s="3">
        <f>IF(AND(R202="profesional",ISNUMBER(AK202),AL202="sí"),0,TASA_DGT)</f>
        <v/>
      </c>
      <c r="EC202" s="3">
        <f>INFORME_DGT</f>
        <v/>
      </c>
      <c r="ED202" s="4">
        <f>O202+EA202+DZ202+EB202+EC202</f>
        <v/>
      </c>
      <c r="EE202" s="4">
        <f>ED202+N(DF202)</f>
        <v/>
      </c>
      <c r="EF202" s="3">
        <f>MAX(0,ED202-TOTAL_MAX)</f>
        <v/>
      </c>
      <c r="EG202" s="3">
        <f>EF202/100*PEN_100</f>
        <v/>
      </c>
      <c r="EH202" s="3">
        <f>IF(R202="particular",ED202+IF(AND(DA202&lt;&gt;"cadena",X202&lt;&gt;"sí"),RES_CORREA,0)+IF(AND(BJ202&lt;&gt;"sí",BW202&gt;=RES_NEUM_EDAD),RES_NEUM,0),"")</f>
        <v/>
      </c>
      <c r="EI202" s="3">
        <f>IF(ED202&lt;=TOTAL_MAX,"sí",IF(ED202&lt;=TECHO,"negociar","no"))</f>
        <v/>
      </c>
      <c r="EJ202" s="4">
        <f>ROUND(DX202,9)</f>
        <v/>
      </c>
      <c r="EK202" s="4">
        <f>IF(EI202&lt;&gt;"no",SUMPRODUCT(($EI$2:$EI$209&lt;&gt;"no")*($EJ$2:$EJ$209&gt;EJ202))+SUMPRODUCT(($EI$2:EI202&lt;&gt;"no")*($EJ$2:EJ202=EJ202)),"")</f>
        <v/>
      </c>
    </row>
    <row r="203">
      <c r="A203" s="2" t="inlineStr">
        <is>
          <t>wallapop:1241960515</t>
        </is>
      </c>
      <c r="B203" s="2" t="inlineStr">
        <is>
          <t>wallapop</t>
        </is>
      </c>
      <c r="C203" s="2" t="inlineStr">
        <is>
          <t>https://es.wallapop.com/item/seat-toledo-1-9-tdi-sport-up-2007-xenon-1241960515</t>
        </is>
      </c>
      <c r="D203" s="2" t="inlineStr">
        <is>
          <t>SEAT Toledo 1.9 TDI sport up 2007 xenon</t>
        </is>
      </c>
      <c r="E203" s="2" t="inlineStr">
        <is>
          <t>Seat</t>
        </is>
      </c>
      <c r="F203" s="2" t="inlineStr">
        <is>
          <t>Seat Toledo</t>
        </is>
      </c>
      <c r="G203" s="2" t="inlineStr">
        <is>
          <t>1.9 TDI</t>
        </is>
      </c>
      <c r="H203" s="2" t="inlineStr">
        <is>
          <t>1.9 TDI 105 Sport-up 5p</t>
        </is>
      </c>
      <c r="I203" s="2" t="n"/>
      <c r="J203" s="2" t="n">
        <v>105</v>
      </c>
      <c r="K203" s="2" t="inlineStr">
        <is>
          <t>diesel</t>
        </is>
      </c>
      <c r="L203" s="2" t="inlineStr">
        <is>
          <t>berlina</t>
        </is>
      </c>
      <c r="M203" s="2" t="n">
        <v>2007</v>
      </c>
      <c r="N203" s="2" t="n">
        <v>130000</v>
      </c>
      <c r="O203" s="2" t="n">
        <v>5500</v>
      </c>
      <c r="P203" s="2" t="inlineStr">
        <is>
          <t>manual</t>
        </is>
      </c>
      <c r="Q203" s="2" t="inlineStr">
        <is>
          <t>no</t>
        </is>
      </c>
      <c r="R203" s="2" t="inlineStr">
        <is>
          <t>profesional</t>
        </is>
      </c>
      <c r="S203" s="2" t="inlineStr">
        <is>
          <t>Valencia (46026)</t>
        </is>
      </c>
      <c r="T203" s="2" t="inlineStr">
        <is>
          <t>2026-10-22T12:43:15</t>
        </is>
      </c>
      <c r="U203" s="2" t="n">
        <v>13</v>
      </c>
      <c r="V203" s="2" t="n"/>
      <c r="W203" s="2" t="n"/>
      <c r="X203" s="2" t="n"/>
      <c r="Y203" s="2" t="n"/>
      <c r="Z203" s="2" t="inlineStr">
        <is>
          <t>sí</t>
        </is>
      </c>
      <c r="AA203" s="2" t="n"/>
      <c r="AB203" s="2" t="n">
        <v>12</v>
      </c>
      <c r="AC203" s="2" t="n"/>
      <c r="AD203" s="2" t="n"/>
      <c r="AE203" s="2" t="n"/>
      <c r="AF203" s="2" t="n"/>
      <c r="AG203" s="2" t="n"/>
      <c r="AH203" s="2" t="n"/>
      <c r="AI203" s="2" t="n"/>
      <c r="AJ203" s="2" t="n"/>
      <c r="AK203" s="2" t="n"/>
      <c r="AL203" s="2" t="n"/>
      <c r="AM203" s="2" t="n">
        <v>2.4</v>
      </c>
      <c r="AN203" s="2" t="n"/>
      <c r="AO203" s="2" t="n"/>
      <c r="AP203" s="2" t="n">
        <v>2007</v>
      </c>
      <c r="AQ203" s="2" t="n"/>
      <c r="AR203" s="2" t="n"/>
      <c r="AS203" s="2" t="inlineStr">
        <is>
          <t>regla</t>
        </is>
      </c>
      <c r="AT203" s="2" t="n"/>
      <c r="AU203" s="2" t="inlineStr">
        <is>
          <t>no</t>
        </is>
      </c>
      <c r="AV203" s="2" t="inlineStr">
        <is>
          <t>B</t>
        </is>
      </c>
      <c r="AW203" s="2" t="n"/>
      <c r="AX203" s="2" t="inlineStr">
        <is>
          <t>no</t>
        </is>
      </c>
      <c r="AY203" s="2" t="inlineStr">
        <is>
          <t>no</t>
        </is>
      </c>
      <c r="AZ203" s="2" t="n"/>
      <c r="BA203" s="2" t="n"/>
      <c r="BB203" s="3" t="n">
        <v>3</v>
      </c>
      <c r="BC203" s="3" t="inlineStr">
        <is>
          <t>(por segmento)</t>
        </is>
      </c>
      <c r="BD203" s="2" t="inlineStr">
        <is>
          <t>sport</t>
        </is>
      </c>
      <c r="BE203" s="2" t="n"/>
      <c r="BF203" s="2" t="inlineStr">
        <is>
          <t>sí</t>
        </is>
      </c>
      <c r="BG203" s="2" t="n"/>
      <c r="BH203" s="2" t="n"/>
      <c r="BI203" s="2" t="n"/>
      <c r="BJ203" s="2" t="n"/>
      <c r="BK203" s="2" t="n"/>
      <c r="BL203" s="2" t="n"/>
      <c r="BM203" s="2" t="n">
        <v>130</v>
      </c>
      <c r="BN203" s="2" t="n">
        <v>0</v>
      </c>
      <c r="BO203" s="2" t="n">
        <v>2</v>
      </c>
      <c r="BP203" s="2" t="n">
        <v>3150</v>
      </c>
      <c r="BQ203" s="2" t="n">
        <v>4</v>
      </c>
      <c r="BR203" s="2" t="inlineStr">
        <is>
          <t>modelo+año</t>
        </is>
      </c>
      <c r="BS203" s="2" t="n"/>
      <c r="BT203" s="2" t="inlineStr">
        <is>
          <t>por encima del presupuesto: negociar 564 € (coste 5564 €; -11.3 puntos); vendedor profesional: sin ITP (operación con IVA/REBU, confirmar en factura); gastos de gestión del vendedor no indicados: se suma la tasa DGT; preguntar el precio final; Euro NCAP de la generación PENDIENTE (seguridad neutra); diésel: motor sin fuente de fiabilidad (fiabilidad limitada a neutra); etiqueta B deducida por fecha (sin matrícula ni dato del anuncio); revisar: no menciona la ITV; fiabilidad del modelo PENDIENTE de fuente (puntuación neutra)</t>
        </is>
      </c>
      <c r="BU203" s="2" t="inlineStr">
        <is>
          <t>Vehículo con mucho extra, xenon, elevalunas, muy poco consumo. 
- Garantia de 12 meses
- Cambio de nombre incluido 
- Aceptamos cripto</t>
        </is>
      </c>
      <c r="BV203" s="2" t="inlineStr">
        <is>
          <t>https://es.wallapop.com/item/seat-toledo-1-9-tdi-sport-up-2007-xenon-1241960515 (__NEXT_DATA__ item) /home/user/Alopecia/buscador-coches/raw/wallapop/6be947e7f75f4a0c.json</t>
        </is>
      </c>
      <c r="BW203" s="3">
        <f>MAX(ANIO_ACTUAL-M203,0)</f>
        <v/>
      </c>
      <c r="BX203" s="4">
        <f>N203/MAX(BW203,0.5)</f>
        <v/>
      </c>
      <c r="BY203" s="4">
        <f>F203</f>
        <v/>
      </c>
      <c r="BZ203" s="3">
        <f>BY203&amp;"|"&amp;INT(M203/SEG_ANIO)*SEG_ANIO</f>
        <v/>
      </c>
      <c r="CA203" s="3">
        <f>BZ203&amp;"|"&amp;INT(N203/SEG_KM)*SEG_KM</f>
        <v/>
      </c>
      <c r="CB203" s="4">
        <f>COUNTIF($BY$2:$BY$209,BY203)</f>
        <v/>
      </c>
      <c r="CC203" s="4">
        <f>COUNTIF($BZ$2:$BZ$209,BZ203)</f>
        <v/>
      </c>
      <c r="CD203" s="4">
        <f>COUNTIF($CA$2:$CA$209,CA203)</f>
        <v/>
      </c>
      <c r="CE203" s="3">
        <f t="array" ref="CE203">IF(N(BQ203)&gt;=MIN_N,BP203,IF(CD203&gt;=MIN_N,MEDIAN(IF($CA$2:$CA$209=CA203,$O$2:$O$209)),IF(CC203&gt;=MIN_N,MEDIAN(IF($BZ$2:$BZ$209=BZ203,$O$2:$O$209)),MEDIAN(IF($BY$2:$BY$209=BY203,$O$2:$O$209)))))</f>
        <v/>
      </c>
      <c r="CF203" s="3">
        <f>IF(N(BQ203)&gt;=MIN_N,"mercado "&amp;BR203,IF(CD203&gt;=MIN_N,"modelo+año+km",IF(CC203&gt;=MIN_N,"modelo+año","modelo")))</f>
        <v/>
      </c>
      <c r="CG203" s="4">
        <f>(CE203-O203)/CE203</f>
        <v/>
      </c>
      <c r="CH203" s="3">
        <f>IF(COUNTIFS(FR_FUEL,K203,FR_YEAR,AP203)&gt;0,1,0)</f>
        <v/>
      </c>
      <c r="CI203" s="3">
        <f>IF(COUNTIFS(FR_FUEL,K203,FR_YEAR,AP203-1)&gt;0,1,0)</f>
        <v/>
      </c>
      <c r="CJ203" s="4">
        <f>IF(N(AQ203)&gt;0,AP203*100+AQ203,IF(AND(CH203=1,CI203=1),(AP203-1)*100+1,AP203*100+1))</f>
        <v/>
      </c>
      <c r="CK203" s="3">
        <f>IF(OR(K203="hibrido",K203="glp",K203="gnc",K203="phev"),"ECO",IF(K203="electrico","CERO",IF(K203="gasolina",IF(CJ203&gt;=GAS_C_YM,"C",IF(CJ203&gt;=GAS_B_YM,"B","A")),IF(K203="diesel",IF(CJ203&gt;=DIE_C_YM,"C",IF(CJ203&gt;=DIE_B_YM,"B","A")),""))))</f>
        <v/>
      </c>
      <c r="CL203" s="4">
        <f>CK203</f>
        <v/>
      </c>
      <c r="CM203" s="4">
        <f>IF(AU203="sí","sí",IF(AS203="regla",IF(AND(N(AQ203)=0,CH203=1),"sí","no"),"no"))</f>
        <v/>
      </c>
      <c r="CN203" s="3">
        <f>IFERROR(VLOOKUP(F203,MOD_TBL,16,0),IFERROR(VLOOKUP(E203,OCU_TBL,2,0),NEUTRO))</f>
        <v/>
      </c>
      <c r="CO203" s="3">
        <f>SUMIFS(MOT_AJUSTE,MOT_MOTOR,G203,MOT_MARCA,E203,MOT_DESDE,"&lt;="&amp;M203,MOT_HASTA,"&gt;="&amp;M203)+SUMIFS(MOT_AJUSTE,MOT_MOTOR,G203,MOT_MARCA,"(todas)",MOT_DESDE,"&lt;="&amp;M203,MOT_HASTA,"&gt;="&amp;M203)+SUMIFS(MOT_AJUSTE,MOT_MOTOR,"(cualquiera)",MOT_MARCA,E203,MOT_DESDE,"&lt;="&amp;M203,MOT_HASTA,"&gt;="&amp;M203)</f>
        <v/>
      </c>
      <c r="CP203" s="3">
        <f>SUMIFS(COMB_AJUSTE,COMB_COMB,K203)</f>
        <v/>
      </c>
      <c r="CQ203" s="3">
        <f>COUNTIFS(MOT_MOTOR,G203,MOT_MARCA,E203,MOT_DESDE,"&lt;="&amp;M203,MOT_HASTA,"&gt;="&amp;M203)+COUNTIFS(MOT_MOTOR,G203,MOT_MARCA,"(todas)",MOT_DESDE,"&lt;="&amp;M203,MOT_HASTA,"&gt;="&amp;M203)+COUNTIFS(MOT_MOTOR,"(cualquiera)",MOT_MARCA,E203,MOT_DESDE,"&lt;="&amp;M203,MOT_HASTA,"&gt;="&amp;M203)</f>
        <v/>
      </c>
      <c r="CR203" s="3">
        <f>IF(AND(K203="diesel",CQ203=0),MIN(CN203,NEUTRO),CN203)</f>
        <v/>
      </c>
      <c r="CS203" s="3">
        <f>MAX(0,MIN(100,CR203+CO203+CP203-IF(AX203="sí",ROB_PEN,0)))</f>
        <v/>
      </c>
      <c r="CT203" s="3">
        <f>100-MAX(0,N203-KM_TOPE_DESDE)/1000*KM_TOPE_PTS</f>
        <v/>
      </c>
      <c r="CU203" s="3">
        <f>MAX(0,MIN(100,50+CG203*PRECIO_PEND,CT203))</f>
        <v/>
      </c>
      <c r="CV203" s="3">
        <f>MAX(0,100*(1-N203/KM_MAX))</f>
        <v/>
      </c>
      <c r="CW203" s="3">
        <f>IF(BX203&lt;KMA_SOSP,IF(AA203="sí",100,KMA_PEN),IF(BX203&lt;=KMA_IDEAL_MAX,100,MAX(0,100*(KMA_CERO-BX203)/(KMA_CERO-KMA_IDEAL_MAX))))</f>
        <v/>
      </c>
      <c r="CX203" s="3">
        <f>MAX(0,MIN(100,100*(M203-ANIO_MIN)/(ANIO_ACTUAL-ANIO_MIN)))</f>
        <v/>
      </c>
      <c r="CY203" s="3">
        <f>W_KMT*CV203+W_KMA*CW203+W_EDAD*CX203</f>
        <v/>
      </c>
      <c r="CZ203" s="4">
        <f>E203&amp;"|"&amp;G203</f>
        <v/>
      </c>
      <c r="DA203" s="3">
        <f>IFERROR(VLOOKUP(CZ203,DIST_TBL,2,0),"")</f>
        <v/>
      </c>
      <c r="DB203" s="3">
        <f>E_ITV*(V203="sí")+E_LIBRO*(W203="sí")+E_PROP*IF(Y203=1,1,IF(Y203=2,0.5,0))+E_CORREA*IF(OR(DA203="cadena",AND(X203="sí",BH203="sí")),1,IF(X203="sí",0.5,0))+E_FACT*(BI203="sí")</f>
        <v/>
      </c>
      <c r="DC203" s="3">
        <f>MAX(0,MIN(100,IFERROR(VLOOKUP(CL203,ETQ_TBL,2,0),0)-IF(CM203="sí",ETQ_PEN_DUD,IF(AS203="regla",ETQ_PEN_REGLA,0))))</f>
        <v/>
      </c>
      <c r="DD203" s="3">
        <f>IF(K203&lt;&gt;"gasolina","",IFERROR(VLOOKUP(F203,CONS_MOD_TBL,2,0),IFERROR(VLOOKUP(L203,CONS_SEG_TBL,2,0),"")))</f>
        <v/>
      </c>
      <c r="DE203" s="3">
        <f>IF(DD203="",NEUTRO,MAX(0,MIN(100,100*(CONS_REF_MAX-DD203)/(CONS_REF_MAX-CONS_REF_MIN))))</f>
        <v/>
      </c>
      <c r="DF203" s="3">
        <f>IFERROR(VLOOKUP(L203,SEGURO_TBL,3,0),"")</f>
        <v/>
      </c>
      <c r="DG203" s="3">
        <f>IF(DF203="",NEUTRO,MAX(0,MIN(100,100*(SEG_REF_MAX-DF203)/(SEG_REF_MAX-SEG_REF_MIN))))</f>
        <v/>
      </c>
      <c r="DH203" s="3">
        <f>IFERROR(VLOOKUP(E203,MANT_MARCA_TBL,2,0)+0,NEUTRO)</f>
        <v/>
      </c>
      <c r="DI203" s="3">
        <f>IF(DA203="",NEUTRO,IFERROR(VLOOKUP(DA203,DIST_PTS_TBL,2,0)+0,NEUTRO))</f>
        <v/>
      </c>
      <c r="DJ203" s="4">
        <f>(DH203+DI203)/2</f>
        <v/>
      </c>
      <c r="DK203" s="3">
        <f>W_CONS*DE203+W_SEG*DG203+W_MANT*DJ203</f>
        <v/>
      </c>
      <c r="DL203" s="3">
        <f>IF(N(AB203)&gt;0,AB203,IF(AND(R203="profesional",SG_LEGAL_ON=1),GAR_LEGAL,0))</f>
        <v/>
      </c>
      <c r="DM203" s="3">
        <f>MAX(0,MIN(100,SG_GAR*MIN(1,DL203/SG_GAR_FULL)+SG_AMPL*(AC203="sí")+SG_KMC*(AF203="sí")+SG_REV*(N(AE203)&gt;0)+SG_DEV*MIN(1,N(AG203)/SG_DEV_FULL)+SG_HIST*(W203="sí")-IF(AND(R203="particular",DL203=0),SG_PART_PEN,0)))</f>
        <v/>
      </c>
      <c r="DN203" s="3">
        <f>IF(BK203="",NEUTRO,MAX(0,MIN(100,BK203/5*100)))</f>
        <v/>
      </c>
      <c r="DO203" s="3">
        <f>IF(BL203="sí",100,IF(BL203="no",0,NEUTRO))</f>
        <v/>
      </c>
      <c r="DP203" s="3">
        <f>SV_W_NCAP*DN203+SV_W_ESP*DO203</f>
        <v/>
      </c>
      <c r="DQ203" s="3">
        <f>MAX(0,MIN(100,ATR_BASE+ATR_ACAB*(BD203&lt;&gt;"")+IF(BE203="16+",ATR_LL16,IF(BE203="sí",ATR_LL,0))+ATR_FAROS*(BF203="sí")+ATR_TINT*(BG203="sí")-ATR_CHAPA*(BE203="chapa")))</f>
        <v/>
      </c>
      <c r="DR203" s="3">
        <f>EST_W_MOD*(BB203-1)/4*100+EST_W_ATR*DQ203</f>
        <v/>
      </c>
      <c r="DS203" s="3">
        <f>IF(BA203="",NEUTRO,IFERROR(VLOOKUP(BA203,COLOR_TBL,2,0)+0,NEUTRO))</f>
        <v/>
      </c>
      <c r="DT203" s="3">
        <f>MAX(0,MIN(100,100*N(BM203)/RV_N_FULL))</f>
        <v/>
      </c>
      <c r="DU203" s="3">
        <f>IF(OR(BN203="",N(BO203)&lt;RV_DIAS_MIN),NEUTRO,MAX(0,MIN(100,100*(RV_DIAS_CERO-BN203)/(RV_DIAS_CERO-RV_DIAS_FULL))))</f>
        <v/>
      </c>
      <c r="DV203" s="3">
        <f>RV_W_LIQ*DT203+RV_W_DIAS*DU203+RV_W_ETQ*DC203</f>
        <v/>
      </c>
      <c r="DW203" s="3">
        <f>IFERROR(VLOOKUP(L203,CARR_PEN_TBL,2,0),0)</f>
        <v/>
      </c>
      <c r="DX203" s="3">
        <f>W_FIAB*CS203+W_PRECIO*CU203+W_KMEDAD*CY203+W_ESTADO*DB203+W_USO*DK203+W_SEGURIDAD*DM203+W_SEGVIAL*DP203+W_ESTETICA*DR203+W_COLOR*DS203+W_REVENTA*DV203-DW203-EG203</f>
        <v/>
      </c>
      <c r="DY203" s="4">
        <f>IF(N(I203)&gt;0,I203,IFERROR(ROUND(_xlfn.NUMBERVALUE(LEFT(G203,FIND(" ",G203&amp;" ")-1),".")*1000,0),99999))</f>
        <v/>
      </c>
      <c r="DZ203" s="3">
        <f>IF(R203="profesional",0,IF(O203&lt;CUOTA_VALOR_MAX,IF(BW203&gt;ITP_TRAMO_ALTO,SUMIFS(CF_CUOTA,CF_MAS,ITP_TRAMO_ALTO,CF_CCMIN,"&lt;="&amp;DY203,CF_CCMAX,"&gt;="&amp;DY203),IF(BW203&gt;ITP_TRAMO_BAJO,SUMIFS(CF_CUOTA,CF_MAS,ITP_TRAMO_BAJO,CF_CCMIN,"&lt;="&amp;DY203,CF_CCMAX,"&gt;="&amp;DY203),O203*ITP_TIPO)),O203*ITP_TIPO))</f>
        <v/>
      </c>
      <c r="EA203" s="4">
        <f>IF(R203="profesional",N(AK203),0)</f>
        <v/>
      </c>
      <c r="EB203" s="3">
        <f>IF(AND(R203="profesional",ISNUMBER(AK203),AL203="sí"),0,TASA_DGT)</f>
        <v/>
      </c>
      <c r="EC203" s="3">
        <f>INFORME_DGT</f>
        <v/>
      </c>
      <c r="ED203" s="4">
        <f>O203+EA203+DZ203+EB203+EC203</f>
        <v/>
      </c>
      <c r="EE203" s="4">
        <f>ED203+N(DF203)</f>
        <v/>
      </c>
      <c r="EF203" s="3">
        <f>MAX(0,ED203-TOTAL_MAX)</f>
        <v/>
      </c>
      <c r="EG203" s="3">
        <f>EF203/100*PEN_100</f>
        <v/>
      </c>
      <c r="EH203" s="3">
        <f>IF(R203="particular",ED203+IF(AND(DA203&lt;&gt;"cadena",X203&lt;&gt;"sí"),RES_CORREA,0)+IF(AND(BJ203&lt;&gt;"sí",BW203&gt;=RES_NEUM_EDAD),RES_NEUM,0),"")</f>
        <v/>
      </c>
      <c r="EI203" s="3">
        <f>IF(ED203&lt;=TOTAL_MAX,"sí",IF(ED203&lt;=TECHO,"negociar","no"))</f>
        <v/>
      </c>
      <c r="EJ203" s="4">
        <f>ROUND(DX203,9)</f>
        <v/>
      </c>
      <c r="EK203" s="4">
        <f>IF(EI203&lt;&gt;"no",SUMPRODUCT(($EI$2:$EI$209&lt;&gt;"no")*($EJ$2:$EJ$209&gt;EJ203))+SUMPRODUCT(($EI$2:EI203&lt;&gt;"no")*($EJ$2:EJ203=EJ203)),"")</f>
        <v/>
      </c>
    </row>
    <row r="204">
      <c r="A204" s="2" t="inlineStr">
        <is>
          <t>wallapop:1318406567</t>
        </is>
      </c>
      <c r="B204" s="2" t="inlineStr">
        <is>
          <t>wallapop</t>
        </is>
      </c>
      <c r="C204" s="2" t="inlineStr">
        <is>
          <t>https://es.wallapop.com/item/opel-corsa-1-3-ecoflex-75-cv-expression-1318406567</t>
        </is>
      </c>
      <c r="D204" s="2" t="inlineStr">
        <is>
          <t>OPEL Corsa 1.3 ecoFLEX 75 CV Expression</t>
        </is>
      </c>
      <c r="E204" s="2" t="inlineStr">
        <is>
          <t>Opel</t>
        </is>
      </c>
      <c r="F204" s="2" t="inlineStr">
        <is>
          <t>Opel Corsa</t>
        </is>
      </c>
      <c r="G204" s="2" t="inlineStr">
        <is>
          <t>1.3</t>
        </is>
      </c>
      <c r="H204" s="2" t="inlineStr">
        <is>
          <t>1.3 ecoFLEX 75 CV Expression</t>
        </is>
      </c>
      <c r="I204" s="2" t="n"/>
      <c r="J204" s="2" t="n">
        <v>75</v>
      </c>
      <c r="K204" s="2" t="inlineStr">
        <is>
          <t>diesel</t>
        </is>
      </c>
      <c r="L204" s="2" t="inlineStr">
        <is>
          <t>utilitario</t>
        </is>
      </c>
      <c r="M204" s="2" t="n">
        <v>2013</v>
      </c>
      <c r="N204" s="2" t="n">
        <v>139000</v>
      </c>
      <c r="O204" s="2" t="n">
        <v>5800</v>
      </c>
      <c r="P204" s="2" t="inlineStr">
        <is>
          <t>manual</t>
        </is>
      </c>
      <c r="Q204" s="2" t="inlineStr">
        <is>
          <t>no</t>
        </is>
      </c>
      <c r="R204" s="2" t="inlineStr">
        <is>
          <t>profesional</t>
        </is>
      </c>
      <c r="S204" s="2" t="inlineStr">
        <is>
          <t>Valencia (46020)</t>
        </is>
      </c>
      <c r="T204" s="2" t="inlineStr">
        <is>
          <t>2026-10-31T00:05:57</t>
        </is>
      </c>
      <c r="U204" s="2" t="n">
        <v>12</v>
      </c>
      <c r="V204" s="2" t="n"/>
      <c r="W204" s="2" t="n"/>
      <c r="X204" s="2" t="n"/>
      <c r="Y204" s="2" t="n"/>
      <c r="Z204" s="2" t="inlineStr">
        <is>
          <t>sí</t>
        </is>
      </c>
      <c r="AA204" s="2" t="n"/>
      <c r="AB204" s="2" t="n"/>
      <c r="AC204" s="2" t="n"/>
      <c r="AD204" s="2" t="n"/>
      <c r="AE204" s="2" t="n">
        <v>120</v>
      </c>
      <c r="AF204" s="2" t="n"/>
      <c r="AG204" s="2" t="n"/>
      <c r="AH204" s="2" t="n"/>
      <c r="AI204" s="2" t="n"/>
      <c r="AJ204" s="2" t="n"/>
      <c r="AK204" s="2" t="n"/>
      <c r="AL204" s="2" t="n"/>
      <c r="AM204" s="2" t="n">
        <v>3.5</v>
      </c>
      <c r="AN204" s="2" t="n"/>
      <c r="AO204" s="2" t="n"/>
      <c r="AP204" s="2" t="n">
        <v>2013</v>
      </c>
      <c r="AQ204" s="2" t="n"/>
      <c r="AR204" s="2" t="n"/>
      <c r="AS204" s="2" t="inlineStr">
        <is>
          <t>regla</t>
        </is>
      </c>
      <c r="AT204" s="2" t="n"/>
      <c r="AU204" s="2" t="inlineStr">
        <is>
          <t>no</t>
        </is>
      </c>
      <c r="AV204" s="2" t="inlineStr">
        <is>
          <t>B</t>
        </is>
      </c>
      <c r="AW204" s="2" t="n"/>
      <c r="AX204" s="2" t="inlineStr">
        <is>
          <t>no</t>
        </is>
      </c>
      <c r="AY204" s="2" t="inlineStr">
        <is>
          <t>no</t>
        </is>
      </c>
      <c r="AZ204" s="2" t="n"/>
      <c r="BA204" s="2" t="n"/>
      <c r="BB204" s="3" t="n">
        <v>2</v>
      </c>
      <c r="BC204" s="3" t="inlineStr">
        <is>
          <t>(por segmento)</t>
        </is>
      </c>
      <c r="BD204" s="2" t="n"/>
      <c r="BE204" s="2" t="n"/>
      <c r="BF204" s="2" t="n"/>
      <c r="BG204" s="2" t="n"/>
      <c r="BH204" s="2" t="n"/>
      <c r="BI204" s="2" t="n"/>
      <c r="BJ204" s="2" t="n"/>
      <c r="BK204" s="2" t="n">
        <v>5</v>
      </c>
      <c r="BL204" s="2" t="n"/>
      <c r="BM204" s="2" t="n">
        <v>456</v>
      </c>
      <c r="BN204" s="2" t="n">
        <v>0.05126157402992249</v>
      </c>
      <c r="BO204" s="2" t="n">
        <v>11</v>
      </c>
      <c r="BP204" s="2" t="n">
        <v>5490</v>
      </c>
      <c r="BQ204" s="2" t="n">
        <v>9</v>
      </c>
      <c r="BR204" s="2" t="inlineStr">
        <is>
          <t>modelo+año+km</t>
        </is>
      </c>
      <c r="BS204" s="2" t="n"/>
      <c r="BT204" s="2" t="inlineStr">
        <is>
          <t>por encima del presupuesto: negociar 864 € (coste 5864 €; -17.3 puntos); vendedor profesional: sin ITP (operación con IVA/REBU, confirmar en factura); gastos de gestión del vendedor no indicados: se suma la tasa DGT; preguntar el precio final; diésel: motor sin fuente de fiabilidad (fiabilidad limitada a neutra); etiqueta B deducida por fecha (sin matrícula ni dato del anuncio); revisar: no menciona la ITV</t>
        </is>
      </c>
      <c r="BU204" s="2" t="inlineStr">
        <is>
          <t>?? ¿TE INTERESA ESTE VEHÍCULO? ¡ESTAMOS PARA AYUDARTE!
En ALBOCARS queremos que comprar tu próximo vehículo sea fácil, cómodo, seguro y con total confianza.
? Garantía incluida, con posibilidad de ampliación hasta 3 años.
? Revisión de 120 puntos de control en nuestros vehículos.
? Vehículos revisados y preparados antes de su entrega.
? Financiación a tu medida, adaptada a tus necesidades.
? Aceptamos tu coche como parte de pago.
? Posibilidad de entrega en toda España.
? Atención personalizada durante todo el proceso de compra.
?? ¿Quieres recibir más información o una propuesta personalizada?
Déjanos tu número de teléfono y uno de nuestros asesores se pondrá en contacto contigo lo antes posible para resolver todas tus dudas y ayudarte a encontrar la mejor opción, sin compromiso.
ALBOCARS | Tu próximo coche empieza aquí.</t>
        </is>
      </c>
      <c r="BV204" s="2" t="inlineStr">
        <is>
          <t>https://es.wallapop.com/item/opel-corsa-1-3-ecoflex-75-cv-expression-1318406567 (__NEXT_DATA__ item) /home/user/Alopecia/buscador-coches/raw/wallapop/99d60b897962a4b6.json</t>
        </is>
      </c>
      <c r="BW204" s="3">
        <f>MAX(ANIO_ACTUAL-M204,0)</f>
        <v/>
      </c>
      <c r="BX204" s="4">
        <f>N204/MAX(BW204,0.5)</f>
        <v/>
      </c>
      <c r="BY204" s="4">
        <f>F204</f>
        <v/>
      </c>
      <c r="BZ204" s="3">
        <f>BY204&amp;"|"&amp;INT(M204/SEG_ANIO)*SEG_ANIO</f>
        <v/>
      </c>
      <c r="CA204" s="3">
        <f>BZ204&amp;"|"&amp;INT(N204/SEG_KM)*SEG_KM</f>
        <v/>
      </c>
      <c r="CB204" s="4">
        <f>COUNTIF($BY$2:$BY$209,BY204)</f>
        <v/>
      </c>
      <c r="CC204" s="4">
        <f>COUNTIF($BZ$2:$BZ$209,BZ204)</f>
        <v/>
      </c>
      <c r="CD204" s="4">
        <f>COUNTIF($CA$2:$CA$209,CA204)</f>
        <v/>
      </c>
      <c r="CE204" s="3">
        <f t="array" ref="CE204">IF(N(BQ204)&gt;=MIN_N,BP204,IF(CD204&gt;=MIN_N,MEDIAN(IF($CA$2:$CA$209=CA204,$O$2:$O$209)),IF(CC204&gt;=MIN_N,MEDIAN(IF($BZ$2:$BZ$209=BZ204,$O$2:$O$209)),MEDIAN(IF($BY$2:$BY$209=BY204,$O$2:$O$209)))))</f>
        <v/>
      </c>
      <c r="CF204" s="3">
        <f>IF(N(BQ204)&gt;=MIN_N,"mercado "&amp;BR204,IF(CD204&gt;=MIN_N,"modelo+año+km",IF(CC204&gt;=MIN_N,"modelo+año","modelo")))</f>
        <v/>
      </c>
      <c r="CG204" s="4">
        <f>(CE204-O204)/CE204</f>
        <v/>
      </c>
      <c r="CH204" s="3">
        <f>IF(COUNTIFS(FR_FUEL,K204,FR_YEAR,AP204)&gt;0,1,0)</f>
        <v/>
      </c>
      <c r="CI204" s="3">
        <f>IF(COUNTIFS(FR_FUEL,K204,FR_YEAR,AP204-1)&gt;0,1,0)</f>
        <v/>
      </c>
      <c r="CJ204" s="4">
        <f>IF(N(AQ204)&gt;0,AP204*100+AQ204,IF(AND(CH204=1,CI204=1),(AP204-1)*100+1,AP204*100+1))</f>
        <v/>
      </c>
      <c r="CK204" s="3">
        <f>IF(OR(K204="hibrido",K204="glp",K204="gnc",K204="phev"),"ECO",IF(K204="electrico","CERO",IF(K204="gasolina",IF(CJ204&gt;=GAS_C_YM,"C",IF(CJ204&gt;=GAS_B_YM,"B","A")),IF(K204="diesel",IF(CJ204&gt;=DIE_C_YM,"C",IF(CJ204&gt;=DIE_B_YM,"B","A")),""))))</f>
        <v/>
      </c>
      <c r="CL204" s="4">
        <f>CK204</f>
        <v/>
      </c>
      <c r="CM204" s="4">
        <f>IF(AU204="sí","sí",IF(AS204="regla",IF(AND(N(AQ204)=0,CH204=1),"sí","no"),"no"))</f>
        <v/>
      </c>
      <c r="CN204" s="3">
        <f>IFERROR(VLOOKUP(F204,MOD_TBL,16,0),IFERROR(VLOOKUP(E204,OCU_TBL,2,0),NEUTRO))</f>
        <v/>
      </c>
      <c r="CO204" s="3">
        <f>SUMIFS(MOT_AJUSTE,MOT_MOTOR,G204,MOT_MARCA,E204,MOT_DESDE,"&lt;="&amp;M204,MOT_HASTA,"&gt;="&amp;M204)+SUMIFS(MOT_AJUSTE,MOT_MOTOR,G204,MOT_MARCA,"(todas)",MOT_DESDE,"&lt;="&amp;M204,MOT_HASTA,"&gt;="&amp;M204)+SUMIFS(MOT_AJUSTE,MOT_MOTOR,"(cualquiera)",MOT_MARCA,E204,MOT_DESDE,"&lt;="&amp;M204,MOT_HASTA,"&gt;="&amp;M204)</f>
        <v/>
      </c>
      <c r="CP204" s="3">
        <f>SUMIFS(COMB_AJUSTE,COMB_COMB,K204)</f>
        <v/>
      </c>
      <c r="CQ204" s="3">
        <f>COUNTIFS(MOT_MOTOR,G204,MOT_MARCA,E204,MOT_DESDE,"&lt;="&amp;M204,MOT_HASTA,"&gt;="&amp;M204)+COUNTIFS(MOT_MOTOR,G204,MOT_MARCA,"(todas)",MOT_DESDE,"&lt;="&amp;M204,MOT_HASTA,"&gt;="&amp;M204)+COUNTIFS(MOT_MOTOR,"(cualquiera)",MOT_MARCA,E204,MOT_DESDE,"&lt;="&amp;M204,MOT_HASTA,"&gt;="&amp;M204)</f>
        <v/>
      </c>
      <c r="CR204" s="3">
        <f>IF(AND(K204="diesel",CQ204=0),MIN(CN204,NEUTRO),CN204)</f>
        <v/>
      </c>
      <c r="CS204" s="3">
        <f>MAX(0,MIN(100,CR204+CO204+CP204-IF(AX204="sí",ROB_PEN,0)))</f>
        <v/>
      </c>
      <c r="CT204" s="3">
        <f>100-MAX(0,N204-KM_TOPE_DESDE)/1000*KM_TOPE_PTS</f>
        <v/>
      </c>
      <c r="CU204" s="3">
        <f>MAX(0,MIN(100,50+CG204*PRECIO_PEND,CT204))</f>
        <v/>
      </c>
      <c r="CV204" s="3">
        <f>MAX(0,100*(1-N204/KM_MAX))</f>
        <v/>
      </c>
      <c r="CW204" s="3">
        <f>IF(BX204&lt;KMA_SOSP,IF(AA204="sí",100,KMA_PEN),IF(BX204&lt;=KMA_IDEAL_MAX,100,MAX(0,100*(KMA_CERO-BX204)/(KMA_CERO-KMA_IDEAL_MAX))))</f>
        <v/>
      </c>
      <c r="CX204" s="3">
        <f>MAX(0,MIN(100,100*(M204-ANIO_MIN)/(ANIO_ACTUAL-ANIO_MIN)))</f>
        <v/>
      </c>
      <c r="CY204" s="3">
        <f>W_KMT*CV204+W_KMA*CW204+W_EDAD*CX204</f>
        <v/>
      </c>
      <c r="CZ204" s="4">
        <f>E204&amp;"|"&amp;G204</f>
        <v/>
      </c>
      <c r="DA204" s="3">
        <f>IFERROR(VLOOKUP(CZ204,DIST_TBL,2,0),"")</f>
        <v/>
      </c>
      <c r="DB204" s="3">
        <f>E_ITV*(V204="sí")+E_LIBRO*(W204="sí")+E_PROP*IF(Y204=1,1,IF(Y204=2,0.5,0))+E_CORREA*IF(OR(DA204="cadena",AND(X204="sí",BH204="sí")),1,IF(X204="sí",0.5,0))+E_FACT*(BI204="sí")</f>
        <v/>
      </c>
      <c r="DC204" s="3">
        <f>MAX(0,MIN(100,IFERROR(VLOOKUP(CL204,ETQ_TBL,2,0),0)-IF(CM204="sí",ETQ_PEN_DUD,IF(AS204="regla",ETQ_PEN_REGLA,0))))</f>
        <v/>
      </c>
      <c r="DD204" s="3">
        <f>IF(K204&lt;&gt;"gasolina","",IFERROR(VLOOKUP(F204,CONS_MOD_TBL,2,0),IFERROR(VLOOKUP(L204,CONS_SEG_TBL,2,0),"")))</f>
        <v/>
      </c>
      <c r="DE204" s="3">
        <f>IF(DD204="",NEUTRO,MAX(0,MIN(100,100*(CONS_REF_MAX-DD204)/(CONS_REF_MAX-CONS_REF_MIN))))</f>
        <v/>
      </c>
      <c r="DF204" s="3">
        <f>IFERROR(VLOOKUP(L204,SEGURO_TBL,3,0),"")</f>
        <v/>
      </c>
      <c r="DG204" s="3">
        <f>IF(DF204="",NEUTRO,MAX(0,MIN(100,100*(SEG_REF_MAX-DF204)/(SEG_REF_MAX-SEG_REF_MIN))))</f>
        <v/>
      </c>
      <c r="DH204" s="3">
        <f>IFERROR(VLOOKUP(E204,MANT_MARCA_TBL,2,0)+0,NEUTRO)</f>
        <v/>
      </c>
      <c r="DI204" s="3">
        <f>IF(DA204="",NEUTRO,IFERROR(VLOOKUP(DA204,DIST_PTS_TBL,2,0)+0,NEUTRO))</f>
        <v/>
      </c>
      <c r="DJ204" s="4">
        <f>(DH204+DI204)/2</f>
        <v/>
      </c>
      <c r="DK204" s="3">
        <f>W_CONS*DE204+W_SEG*DG204+W_MANT*DJ204</f>
        <v/>
      </c>
      <c r="DL204" s="3">
        <f>IF(N(AB204)&gt;0,AB204,IF(AND(R204="profesional",SG_LEGAL_ON=1),GAR_LEGAL,0))</f>
        <v/>
      </c>
      <c r="DM204" s="3">
        <f>MAX(0,MIN(100,SG_GAR*MIN(1,DL204/SG_GAR_FULL)+SG_AMPL*(AC204="sí")+SG_KMC*(AF204="sí")+SG_REV*(N(AE204)&gt;0)+SG_DEV*MIN(1,N(AG204)/SG_DEV_FULL)+SG_HIST*(W204="sí")-IF(AND(R204="particular",DL204=0),SG_PART_PEN,0)))</f>
        <v/>
      </c>
      <c r="DN204" s="3">
        <f>IF(BK204="",NEUTRO,MAX(0,MIN(100,BK204/5*100)))</f>
        <v/>
      </c>
      <c r="DO204" s="3">
        <f>IF(BL204="sí",100,IF(BL204="no",0,NEUTRO))</f>
        <v/>
      </c>
      <c r="DP204" s="3">
        <f>SV_W_NCAP*DN204+SV_W_ESP*DO204</f>
        <v/>
      </c>
      <c r="DQ204" s="3">
        <f>MAX(0,MIN(100,ATR_BASE+ATR_ACAB*(BD204&lt;&gt;"")+IF(BE204="16+",ATR_LL16,IF(BE204="sí",ATR_LL,0))+ATR_FAROS*(BF204="sí")+ATR_TINT*(BG204="sí")-ATR_CHAPA*(BE204="chapa")))</f>
        <v/>
      </c>
      <c r="DR204" s="3">
        <f>EST_W_MOD*(BB204-1)/4*100+EST_W_ATR*DQ204</f>
        <v/>
      </c>
      <c r="DS204" s="3">
        <f>IF(BA204="",NEUTRO,IFERROR(VLOOKUP(BA204,COLOR_TBL,2,0)+0,NEUTRO))</f>
        <v/>
      </c>
      <c r="DT204" s="3">
        <f>MAX(0,MIN(100,100*N(BM204)/RV_N_FULL))</f>
        <v/>
      </c>
      <c r="DU204" s="3">
        <f>IF(OR(BN204="",N(BO204)&lt;RV_DIAS_MIN),NEUTRO,MAX(0,MIN(100,100*(RV_DIAS_CERO-BN204)/(RV_DIAS_CERO-RV_DIAS_FULL))))</f>
        <v/>
      </c>
      <c r="DV204" s="3">
        <f>RV_W_LIQ*DT204+RV_W_DIAS*DU204+RV_W_ETQ*DC204</f>
        <v/>
      </c>
      <c r="DW204" s="3">
        <f>IFERROR(VLOOKUP(L204,CARR_PEN_TBL,2,0),0)</f>
        <v/>
      </c>
      <c r="DX204" s="3">
        <f>W_FIAB*CS204+W_PRECIO*CU204+W_KMEDAD*CY204+W_ESTADO*DB204+W_USO*DK204+W_SEGURIDAD*DM204+W_SEGVIAL*DP204+W_ESTETICA*DR204+W_COLOR*DS204+W_REVENTA*DV204-DW204-EG204</f>
        <v/>
      </c>
      <c r="DY204" s="4">
        <f>IF(N(I204)&gt;0,I204,IFERROR(ROUND(_xlfn.NUMBERVALUE(LEFT(G204,FIND(" ",G204&amp;" ")-1),".")*1000,0),99999))</f>
        <v/>
      </c>
      <c r="DZ204" s="3">
        <f>IF(R204="profesional",0,IF(O204&lt;CUOTA_VALOR_MAX,IF(BW204&gt;ITP_TRAMO_ALTO,SUMIFS(CF_CUOTA,CF_MAS,ITP_TRAMO_ALTO,CF_CCMIN,"&lt;="&amp;DY204,CF_CCMAX,"&gt;="&amp;DY204),IF(BW204&gt;ITP_TRAMO_BAJO,SUMIFS(CF_CUOTA,CF_MAS,ITP_TRAMO_BAJO,CF_CCMIN,"&lt;="&amp;DY204,CF_CCMAX,"&gt;="&amp;DY204),O204*ITP_TIPO)),O204*ITP_TIPO))</f>
        <v/>
      </c>
      <c r="EA204" s="4">
        <f>IF(R204="profesional",N(AK204),0)</f>
        <v/>
      </c>
      <c r="EB204" s="3">
        <f>IF(AND(R204="profesional",ISNUMBER(AK204),AL204="sí"),0,TASA_DGT)</f>
        <v/>
      </c>
      <c r="EC204" s="3">
        <f>INFORME_DGT</f>
        <v/>
      </c>
      <c r="ED204" s="4">
        <f>O204+EA204+DZ204+EB204+EC204</f>
        <v/>
      </c>
      <c r="EE204" s="4">
        <f>ED204+N(DF204)</f>
        <v/>
      </c>
      <c r="EF204" s="3">
        <f>MAX(0,ED204-TOTAL_MAX)</f>
        <v/>
      </c>
      <c r="EG204" s="3">
        <f>EF204/100*PEN_100</f>
        <v/>
      </c>
      <c r="EH204" s="3">
        <f>IF(R204="particular",ED204+IF(AND(DA204&lt;&gt;"cadena",X204&lt;&gt;"sí"),RES_CORREA,0)+IF(AND(BJ204&lt;&gt;"sí",BW204&gt;=RES_NEUM_EDAD),RES_NEUM,0),"")</f>
        <v/>
      </c>
      <c r="EI204" s="3">
        <f>IF(ED204&lt;=TOTAL_MAX,"sí",IF(ED204&lt;=TECHO,"negociar","no"))</f>
        <v/>
      </c>
      <c r="EJ204" s="4">
        <f>ROUND(DX204,9)</f>
        <v/>
      </c>
      <c r="EK204" s="4">
        <f>IF(EI204&lt;&gt;"no",SUMPRODUCT(($EI$2:$EI$209&lt;&gt;"no")*($EJ$2:$EJ$209&gt;EJ204))+SUMPRODUCT(($EI$2:EI204&lt;&gt;"no")*($EJ$2:EJ204=EJ204)),"")</f>
        <v/>
      </c>
    </row>
    <row r="205">
      <c r="A205" s="2" t="inlineStr">
        <is>
          <t>wallapop:1283611345</t>
        </is>
      </c>
      <c r="B205" s="2" t="inlineStr">
        <is>
          <t>wallapop</t>
        </is>
      </c>
      <c r="C205" s="2" t="inlineStr">
        <is>
          <t>https://es.wallapop.com/item/peugeot-207-1-4-vti-16v-sport-70-kw-95-cv-1283611345</t>
        </is>
      </c>
      <c r="D205" s="2" t="inlineStr">
        <is>
          <t>Peugeot 207 1.4 VTi 16v Sport 70 kW (95 CV)</t>
        </is>
      </c>
      <c r="E205" s="2" t="inlineStr">
        <is>
          <t>Peugeot</t>
        </is>
      </c>
      <c r="F205" s="2" t="inlineStr">
        <is>
          <t>Peugeot 207</t>
        </is>
      </c>
      <c r="G205" s="2" t="inlineStr">
        <is>
          <t>1.4 VTi</t>
        </is>
      </c>
      <c r="H205" s="2" t="inlineStr">
        <is>
          <t>1.4 VTi 16v Sport 70 kW (95 CV)</t>
        </is>
      </c>
      <c r="I205" s="2" t="n"/>
      <c r="J205" s="2" t="n">
        <v>95</v>
      </c>
      <c r="K205" s="2" t="inlineStr">
        <is>
          <t>gasolina</t>
        </is>
      </c>
      <c r="L205" s="2" t="inlineStr">
        <is>
          <t>utilitario</t>
        </is>
      </c>
      <c r="M205" s="2" t="n">
        <v>2009</v>
      </c>
      <c r="N205" s="2" t="n">
        <v>133231</v>
      </c>
      <c r="O205" s="2" t="n">
        <v>5490</v>
      </c>
      <c r="P205" s="2" t="inlineStr">
        <is>
          <t>manual</t>
        </is>
      </c>
      <c r="Q205" s="2" t="inlineStr">
        <is>
          <t>no</t>
        </is>
      </c>
      <c r="R205" s="2" t="inlineStr">
        <is>
          <t>profesional</t>
        </is>
      </c>
      <c r="S205" s="2" t="inlineStr">
        <is>
          <t>Valencia (46002)</t>
        </is>
      </c>
      <c r="T205" s="2" t="inlineStr">
        <is>
          <t>2026-10-28T09:09:24</t>
        </is>
      </c>
      <c r="U205" s="2" t="n">
        <v>11</v>
      </c>
      <c r="V205" s="2" t="n"/>
      <c r="W205" s="2" t="n"/>
      <c r="X205" s="2" t="n"/>
      <c r="Y205" s="2" t="n"/>
      <c r="Z205" s="2" t="inlineStr">
        <is>
          <t>sí</t>
        </is>
      </c>
      <c r="AA205" s="2" t="n"/>
      <c r="AB205" s="2" t="n"/>
      <c r="AC205" s="2" t="n"/>
      <c r="AD205" s="2" t="n"/>
      <c r="AE205" s="2" t="n"/>
      <c r="AF205" s="2" t="n"/>
      <c r="AG205" s="2" t="n"/>
      <c r="AH205" s="2" t="n">
        <v>5490</v>
      </c>
      <c r="AI205" s="2" t="n">
        <v>4890</v>
      </c>
      <c r="AJ205" s="2" t="n"/>
      <c r="AK205" s="2" t="n"/>
      <c r="AL205" s="2" t="n"/>
      <c r="AM205" s="2" t="n">
        <v>0.1</v>
      </c>
      <c r="AN205" s="2" t="n"/>
      <c r="AO205" s="2" t="n"/>
      <c r="AP205" s="2" t="n">
        <v>2009</v>
      </c>
      <c r="AQ205" s="2" t="n"/>
      <c r="AR205" s="2" t="n"/>
      <c r="AS205" s="2" t="inlineStr">
        <is>
          <t>regla</t>
        </is>
      </c>
      <c r="AT205" s="2" t="n"/>
      <c r="AU205" s="2" t="inlineStr">
        <is>
          <t>no</t>
        </is>
      </c>
      <c r="AV205" s="2" t="inlineStr">
        <is>
          <t>C</t>
        </is>
      </c>
      <c r="AW205" s="2" t="n"/>
      <c r="AX205" s="2" t="inlineStr">
        <is>
          <t>no</t>
        </is>
      </c>
      <c r="AY205" s="2" t="inlineStr">
        <is>
          <t>no</t>
        </is>
      </c>
      <c r="AZ205" s="2" t="n"/>
      <c r="BA205" s="2" t="n"/>
      <c r="BB205" s="3" t="n">
        <v>2</v>
      </c>
      <c r="BC205" s="3" t="inlineStr">
        <is>
          <t>(por segmento)</t>
        </is>
      </c>
      <c r="BD205" s="2" t="inlineStr">
        <is>
          <t>sport</t>
        </is>
      </c>
      <c r="BE205" s="2" t="inlineStr">
        <is>
          <t>chapa</t>
        </is>
      </c>
      <c r="BF205" s="2" t="n"/>
      <c r="BG205" s="2" t="n"/>
      <c r="BH205" s="2" t="n"/>
      <c r="BI205" s="2" t="n"/>
      <c r="BJ205" s="2" t="n"/>
      <c r="BK205" s="2" t="n">
        <v>5</v>
      </c>
      <c r="BL205" s="2" t="n"/>
      <c r="BM205" s="2" t="n">
        <v>125</v>
      </c>
      <c r="BN205" s="2" t="n"/>
      <c r="BO205" s="2" t="n">
        <v>0</v>
      </c>
      <c r="BP205" s="2" t="n">
        <v>3650</v>
      </c>
      <c r="BQ205" s="2" t="n">
        <v>28</v>
      </c>
      <c r="BR205" s="2" t="inlineStr">
        <is>
          <t>modelo+año+km</t>
        </is>
      </c>
      <c r="BS205" s="2" t="n"/>
      <c r="BT205" s="2" t="inlineStr">
        <is>
          <t>por encima del presupuesto: negociar 554 € (coste 5554 €; -11.1 puntos); vendedor profesional: sin ITP (operación con IVA/REBU, confirmar en factura); gastos de gestión del vendedor no indicados: se suma la tasa DGT; preguntar el precio final; etiqueta C deducida por fecha (sin matrícula ni dato del anuncio); revisar: no menciona la ITV; fiabilidad del modelo PENDIENTE de fuente (puntuación neutra)</t>
        </is>
      </c>
      <c r="BU205" s="2" t="inlineStr">
        <is>
          <t>Ref.91396001
Este Peugeot 207 1.4 VTi 16v Sport 70 kW (95 CV) se encuentra en nuestra delegación de HR Motor Collado Villalba.
En HRmotor tenemos un coche como nuevo para ti esperándote. Disfrútalo con total tranquilidad, con hasta 2 años de garantía.
Contamos con un stock de +3.000 coches de segunda mano para que puedas comprar un coche de ocasión que se adapte a todas tus necesidades y preferencias en nuestros más de 30 concesionarios repartidos en toda España. De esta manera nos encontramos en Madrid con 4 centros (Rivas-Vaciamadrid, Torrejón de Ardoz, Alcobendas, Collado Villalba); en Barcelona con 4 centros (Sant Boi de Llobregat, Lliça de Vall, Badalona, Manresa); en Valencia con 3 centros (Quart de Poblet, Paterna, Sedaví); en Sevilla con 2 centros (Sevilla, Alcalá de Guadaíra); en Málaga con 2 centros (Churriana, Cruz de Humilladero). Además, nos podrás encontrar también en Lleida, Girona, Castellón, Alicante, Alcoy, Elche, Vila-Real, Bilbao, Gijón, Mallorca, Murcia, Pamplona, San Sebastián, Tudela, A Coruña, Valladolid y Zaragoza.
Precio al contado de 5.490 €.
Precio financiado de 4.890 € (sujeto a oferta especial de financiación consulte condiciones).
***EQUIPAMIENTO EXTRA:***
Airbag acompañante desconectable, Airbag lateral delante y detras, Anclajes isofix para asiento para niños, Dirección asistida, Llantas de acero 6x15 pulgadas
***EQUIPAMIENTO SERIE:***
Llantas de aleación, 15", Ordenador, Faros antiniebla, Aire Acondicionado, Airbag, Airbag acompañante, Ai</t>
        </is>
      </c>
      <c r="BV205" s="2" t="inlineStr">
        <is>
          <t>https://es.wallapop.com/item/peugeot-207-1-4-vti-16v-sport-70-kw-95-cv-1283611345 (__NEXT_DATA__ item) /home/user/Alopecia/buscador-coches/raw/wallapop/4f1c8945bf842b09.json</t>
        </is>
      </c>
      <c r="BW205" s="3">
        <f>MAX(ANIO_ACTUAL-M205,0)</f>
        <v/>
      </c>
      <c r="BX205" s="4">
        <f>N205/MAX(BW205,0.5)</f>
        <v/>
      </c>
      <c r="BY205" s="4">
        <f>F205</f>
        <v/>
      </c>
      <c r="BZ205" s="3">
        <f>BY205&amp;"|"&amp;INT(M205/SEG_ANIO)*SEG_ANIO</f>
        <v/>
      </c>
      <c r="CA205" s="3">
        <f>BZ205&amp;"|"&amp;INT(N205/SEG_KM)*SEG_KM</f>
        <v/>
      </c>
      <c r="CB205" s="4">
        <f>COUNTIF($BY$2:$BY$209,BY205)</f>
        <v/>
      </c>
      <c r="CC205" s="4">
        <f>COUNTIF($BZ$2:$BZ$209,BZ205)</f>
        <v/>
      </c>
      <c r="CD205" s="4">
        <f>COUNTIF($CA$2:$CA$209,CA205)</f>
        <v/>
      </c>
      <c r="CE205" s="3">
        <f t="array" ref="CE205">IF(N(BQ205)&gt;=MIN_N,BP205,IF(CD205&gt;=MIN_N,MEDIAN(IF($CA$2:$CA$209=CA205,$O$2:$O$209)),IF(CC205&gt;=MIN_N,MEDIAN(IF($BZ$2:$BZ$209=BZ205,$O$2:$O$209)),MEDIAN(IF($BY$2:$BY$209=BY205,$O$2:$O$209)))))</f>
        <v/>
      </c>
      <c r="CF205" s="3">
        <f>IF(N(BQ205)&gt;=MIN_N,"mercado "&amp;BR205,IF(CD205&gt;=MIN_N,"modelo+año+km",IF(CC205&gt;=MIN_N,"modelo+año","modelo")))</f>
        <v/>
      </c>
      <c r="CG205" s="4">
        <f>(CE205-O205)/CE205</f>
        <v/>
      </c>
      <c r="CH205" s="3">
        <f>IF(COUNTIFS(FR_FUEL,K205,FR_YEAR,AP205)&gt;0,1,0)</f>
        <v/>
      </c>
      <c r="CI205" s="3">
        <f>IF(COUNTIFS(FR_FUEL,K205,FR_YEAR,AP205-1)&gt;0,1,0)</f>
        <v/>
      </c>
      <c r="CJ205" s="4">
        <f>IF(N(AQ205)&gt;0,AP205*100+AQ205,IF(AND(CH205=1,CI205=1),(AP205-1)*100+1,AP205*100+1))</f>
        <v/>
      </c>
      <c r="CK205" s="3">
        <f>IF(OR(K205="hibrido",K205="glp",K205="gnc",K205="phev"),"ECO",IF(K205="electrico","CERO",IF(K205="gasolina",IF(CJ205&gt;=GAS_C_YM,"C",IF(CJ205&gt;=GAS_B_YM,"B","A")),IF(K205="diesel",IF(CJ205&gt;=DIE_C_YM,"C",IF(CJ205&gt;=DIE_B_YM,"B","A")),""))))</f>
        <v/>
      </c>
      <c r="CL205" s="4">
        <f>CK205</f>
        <v/>
      </c>
      <c r="CM205" s="4">
        <f>IF(AU205="sí","sí",IF(AS205="regla",IF(AND(N(AQ205)=0,CH205=1),"sí","no"),"no"))</f>
        <v/>
      </c>
      <c r="CN205" s="3">
        <f>IFERROR(VLOOKUP(F205,MOD_TBL,16,0),IFERROR(VLOOKUP(E205,OCU_TBL,2,0),NEUTRO))</f>
        <v/>
      </c>
      <c r="CO205" s="3">
        <f>SUMIFS(MOT_AJUSTE,MOT_MOTOR,G205,MOT_MARCA,E205,MOT_DESDE,"&lt;="&amp;M205,MOT_HASTA,"&gt;="&amp;M205)+SUMIFS(MOT_AJUSTE,MOT_MOTOR,G205,MOT_MARCA,"(todas)",MOT_DESDE,"&lt;="&amp;M205,MOT_HASTA,"&gt;="&amp;M205)+SUMIFS(MOT_AJUSTE,MOT_MOTOR,"(cualquiera)",MOT_MARCA,E205,MOT_DESDE,"&lt;="&amp;M205,MOT_HASTA,"&gt;="&amp;M205)</f>
        <v/>
      </c>
      <c r="CP205" s="3">
        <f>SUMIFS(COMB_AJUSTE,COMB_COMB,K205)</f>
        <v/>
      </c>
      <c r="CQ205" s="3">
        <f>COUNTIFS(MOT_MOTOR,G205,MOT_MARCA,E205,MOT_DESDE,"&lt;="&amp;M205,MOT_HASTA,"&gt;="&amp;M205)+COUNTIFS(MOT_MOTOR,G205,MOT_MARCA,"(todas)",MOT_DESDE,"&lt;="&amp;M205,MOT_HASTA,"&gt;="&amp;M205)+COUNTIFS(MOT_MOTOR,"(cualquiera)",MOT_MARCA,E205,MOT_DESDE,"&lt;="&amp;M205,MOT_HASTA,"&gt;="&amp;M205)</f>
        <v/>
      </c>
      <c r="CR205" s="3">
        <f>IF(AND(K205="diesel",CQ205=0),MIN(CN205,NEUTRO),CN205)</f>
        <v/>
      </c>
      <c r="CS205" s="3">
        <f>MAX(0,MIN(100,CR205+CO205+CP205-IF(AX205="sí",ROB_PEN,0)))</f>
        <v/>
      </c>
      <c r="CT205" s="3">
        <f>100-MAX(0,N205-KM_TOPE_DESDE)/1000*KM_TOPE_PTS</f>
        <v/>
      </c>
      <c r="CU205" s="3">
        <f>MAX(0,MIN(100,50+CG205*PRECIO_PEND,CT205))</f>
        <v/>
      </c>
      <c r="CV205" s="3">
        <f>MAX(0,100*(1-N205/KM_MAX))</f>
        <v/>
      </c>
      <c r="CW205" s="3">
        <f>IF(BX205&lt;KMA_SOSP,IF(AA205="sí",100,KMA_PEN),IF(BX205&lt;=KMA_IDEAL_MAX,100,MAX(0,100*(KMA_CERO-BX205)/(KMA_CERO-KMA_IDEAL_MAX))))</f>
        <v/>
      </c>
      <c r="CX205" s="3">
        <f>MAX(0,MIN(100,100*(M205-ANIO_MIN)/(ANIO_ACTUAL-ANIO_MIN)))</f>
        <v/>
      </c>
      <c r="CY205" s="3">
        <f>W_KMT*CV205+W_KMA*CW205+W_EDAD*CX205</f>
        <v/>
      </c>
      <c r="CZ205" s="4">
        <f>E205&amp;"|"&amp;G205</f>
        <v/>
      </c>
      <c r="DA205" s="3">
        <f>IFERROR(VLOOKUP(CZ205,DIST_TBL,2,0),"")</f>
        <v/>
      </c>
      <c r="DB205" s="3">
        <f>E_ITV*(V205="sí")+E_LIBRO*(W205="sí")+E_PROP*IF(Y205=1,1,IF(Y205=2,0.5,0))+E_CORREA*IF(OR(DA205="cadena",AND(X205="sí",BH205="sí")),1,IF(X205="sí",0.5,0))+E_FACT*(BI205="sí")</f>
        <v/>
      </c>
      <c r="DC205" s="3">
        <f>MAX(0,MIN(100,IFERROR(VLOOKUP(CL205,ETQ_TBL,2,0),0)-IF(CM205="sí",ETQ_PEN_DUD,IF(AS205="regla",ETQ_PEN_REGLA,0))))</f>
        <v/>
      </c>
      <c r="DD205" s="3">
        <f>IF(K205&lt;&gt;"gasolina","",IFERROR(VLOOKUP(F205,CONS_MOD_TBL,2,0),IFERROR(VLOOKUP(L205,CONS_SEG_TBL,2,0),"")))</f>
        <v/>
      </c>
      <c r="DE205" s="3">
        <f>IF(DD205="",NEUTRO,MAX(0,MIN(100,100*(CONS_REF_MAX-DD205)/(CONS_REF_MAX-CONS_REF_MIN))))</f>
        <v/>
      </c>
      <c r="DF205" s="3">
        <f>IFERROR(VLOOKUP(L205,SEGURO_TBL,3,0),"")</f>
        <v/>
      </c>
      <c r="DG205" s="3">
        <f>IF(DF205="",NEUTRO,MAX(0,MIN(100,100*(SEG_REF_MAX-DF205)/(SEG_REF_MAX-SEG_REF_MIN))))</f>
        <v/>
      </c>
      <c r="DH205" s="3">
        <f>IFERROR(VLOOKUP(E205,MANT_MARCA_TBL,2,0)+0,NEUTRO)</f>
        <v/>
      </c>
      <c r="DI205" s="3">
        <f>IF(DA205="",NEUTRO,IFERROR(VLOOKUP(DA205,DIST_PTS_TBL,2,0)+0,NEUTRO))</f>
        <v/>
      </c>
      <c r="DJ205" s="4">
        <f>(DH205+DI205)/2</f>
        <v/>
      </c>
      <c r="DK205" s="3">
        <f>W_CONS*DE205+W_SEG*DG205+W_MANT*DJ205</f>
        <v/>
      </c>
      <c r="DL205" s="3">
        <f>IF(N(AB205)&gt;0,AB205,IF(AND(R205="profesional",SG_LEGAL_ON=1),GAR_LEGAL,0))</f>
        <v/>
      </c>
      <c r="DM205" s="3">
        <f>MAX(0,MIN(100,SG_GAR*MIN(1,DL205/SG_GAR_FULL)+SG_AMPL*(AC205="sí")+SG_KMC*(AF205="sí")+SG_REV*(N(AE205)&gt;0)+SG_DEV*MIN(1,N(AG205)/SG_DEV_FULL)+SG_HIST*(W205="sí")-IF(AND(R205="particular",DL205=0),SG_PART_PEN,0)))</f>
        <v/>
      </c>
      <c r="DN205" s="3">
        <f>IF(BK205="",NEUTRO,MAX(0,MIN(100,BK205/5*100)))</f>
        <v/>
      </c>
      <c r="DO205" s="3">
        <f>IF(BL205="sí",100,IF(BL205="no",0,NEUTRO))</f>
        <v/>
      </c>
      <c r="DP205" s="3">
        <f>SV_W_NCAP*DN205+SV_W_ESP*DO205</f>
        <v/>
      </c>
      <c r="DQ205" s="3">
        <f>MAX(0,MIN(100,ATR_BASE+ATR_ACAB*(BD205&lt;&gt;"")+IF(BE205="16+",ATR_LL16,IF(BE205="sí",ATR_LL,0))+ATR_FAROS*(BF205="sí")+ATR_TINT*(BG205="sí")-ATR_CHAPA*(BE205="chapa")))</f>
        <v/>
      </c>
      <c r="DR205" s="3">
        <f>EST_W_MOD*(BB205-1)/4*100+EST_W_ATR*DQ205</f>
        <v/>
      </c>
      <c r="DS205" s="3">
        <f>IF(BA205="",NEUTRO,IFERROR(VLOOKUP(BA205,COLOR_TBL,2,0)+0,NEUTRO))</f>
        <v/>
      </c>
      <c r="DT205" s="3">
        <f>MAX(0,MIN(100,100*N(BM205)/RV_N_FULL))</f>
        <v/>
      </c>
      <c r="DU205" s="3">
        <f>IF(OR(BN205="",N(BO205)&lt;RV_DIAS_MIN),NEUTRO,MAX(0,MIN(100,100*(RV_DIAS_CERO-BN205)/(RV_DIAS_CERO-RV_DIAS_FULL))))</f>
        <v/>
      </c>
      <c r="DV205" s="3">
        <f>RV_W_LIQ*DT205+RV_W_DIAS*DU205+RV_W_ETQ*DC205</f>
        <v/>
      </c>
      <c r="DW205" s="3">
        <f>IFERROR(VLOOKUP(L205,CARR_PEN_TBL,2,0),0)</f>
        <v/>
      </c>
      <c r="DX205" s="3">
        <f>W_FIAB*CS205+W_PRECIO*CU205+W_KMEDAD*CY205+W_ESTADO*DB205+W_USO*DK205+W_SEGURIDAD*DM205+W_SEGVIAL*DP205+W_ESTETICA*DR205+W_COLOR*DS205+W_REVENTA*DV205-DW205-EG205</f>
        <v/>
      </c>
      <c r="DY205" s="4">
        <f>IF(N(I205)&gt;0,I205,IFERROR(ROUND(_xlfn.NUMBERVALUE(LEFT(G205,FIND(" ",G205&amp;" ")-1),".")*1000,0),99999))</f>
        <v/>
      </c>
      <c r="DZ205" s="3">
        <f>IF(R205="profesional",0,IF(O205&lt;CUOTA_VALOR_MAX,IF(BW205&gt;ITP_TRAMO_ALTO,SUMIFS(CF_CUOTA,CF_MAS,ITP_TRAMO_ALTO,CF_CCMIN,"&lt;="&amp;DY205,CF_CCMAX,"&gt;="&amp;DY205),IF(BW205&gt;ITP_TRAMO_BAJO,SUMIFS(CF_CUOTA,CF_MAS,ITP_TRAMO_BAJO,CF_CCMIN,"&lt;="&amp;DY205,CF_CCMAX,"&gt;="&amp;DY205),O205*ITP_TIPO)),O205*ITP_TIPO))</f>
        <v/>
      </c>
      <c r="EA205" s="4">
        <f>IF(R205="profesional",N(AK205),0)</f>
        <v/>
      </c>
      <c r="EB205" s="3">
        <f>IF(AND(R205="profesional",ISNUMBER(AK205),AL205="sí"),0,TASA_DGT)</f>
        <v/>
      </c>
      <c r="EC205" s="3">
        <f>INFORME_DGT</f>
        <v/>
      </c>
      <c r="ED205" s="4">
        <f>O205+EA205+DZ205+EB205+EC205</f>
        <v/>
      </c>
      <c r="EE205" s="4">
        <f>ED205+N(DF205)</f>
        <v/>
      </c>
      <c r="EF205" s="3">
        <f>MAX(0,ED205-TOTAL_MAX)</f>
        <v/>
      </c>
      <c r="EG205" s="3">
        <f>EF205/100*PEN_100</f>
        <v/>
      </c>
      <c r="EH205" s="3">
        <f>IF(R205="particular",ED205+IF(AND(DA205&lt;&gt;"cadena",X205&lt;&gt;"sí"),RES_CORREA,0)+IF(AND(BJ205&lt;&gt;"sí",BW205&gt;=RES_NEUM_EDAD),RES_NEUM,0),"")</f>
        <v/>
      </c>
      <c r="EI205" s="3">
        <f>IF(ED205&lt;=TOTAL_MAX,"sí",IF(ED205&lt;=TECHO,"negociar","no"))</f>
        <v/>
      </c>
      <c r="EJ205" s="4">
        <f>ROUND(DX205,9)</f>
        <v/>
      </c>
      <c r="EK205" s="4">
        <f>IF(EI205&lt;&gt;"no",SUMPRODUCT(($EI$2:$EI$209&lt;&gt;"no")*($EJ$2:$EJ$209&gt;EJ205))+SUMPRODUCT(($EI$2:EI205&lt;&gt;"no")*($EJ$2:EJ205=EJ205)),"")</f>
        <v/>
      </c>
    </row>
    <row r="206">
      <c r="A206" s="2" t="inlineStr">
        <is>
          <t>wallapop:1316092128</t>
        </is>
      </c>
      <c r="B206" s="2" t="inlineStr">
        <is>
          <t>wallapop</t>
        </is>
      </c>
      <c r="C206" s="2" t="inlineStr">
        <is>
          <t>https://es.wallapop.com/item/citroen-c3-hdi-70-tonic-50-kw-68-cv-1316092128</t>
        </is>
      </c>
      <c r="D206" s="2" t="inlineStr">
        <is>
          <t>Citroen C3 HDi 70 Tonic 50 kW (68 CV)</t>
        </is>
      </c>
      <c r="E206" s="2" t="inlineStr">
        <is>
          <t>Citroën</t>
        </is>
      </c>
      <c r="F206" s="2" t="inlineStr">
        <is>
          <t>Citroën C3</t>
        </is>
      </c>
      <c r="G206" s="2" t="inlineStr">
        <is>
          <t>? HDi</t>
        </is>
      </c>
      <c r="H206" s="2" t="inlineStr">
        <is>
          <t>HDi 70 Tonic 50 kW (68 CV)</t>
        </is>
      </c>
      <c r="I206" s="2" t="n"/>
      <c r="J206" s="2" t="n">
        <v>68</v>
      </c>
      <c r="K206" s="2" t="inlineStr">
        <is>
          <t>diesel</t>
        </is>
      </c>
      <c r="L206" s="2" t="inlineStr">
        <is>
          <t>utilitario</t>
        </is>
      </c>
      <c r="M206" s="2" t="n">
        <v>2013</v>
      </c>
      <c r="N206" s="2" t="n">
        <v>118275</v>
      </c>
      <c r="O206" s="2" t="n">
        <v>5900</v>
      </c>
      <c r="P206" s="2" t="inlineStr">
        <is>
          <t>manual</t>
        </is>
      </c>
      <c r="Q206" s="2" t="inlineStr">
        <is>
          <t>no</t>
        </is>
      </c>
      <c r="R206" s="2" t="inlineStr">
        <is>
          <t>profesional</t>
        </is>
      </c>
      <c r="S206" s="2" t="inlineStr">
        <is>
          <t>Paterna (46980)</t>
        </is>
      </c>
      <c r="T206" s="2" t="inlineStr">
        <is>
          <t>2026-10-29T18:14:38</t>
        </is>
      </c>
      <c r="U206" s="2" t="n">
        <v>11</v>
      </c>
      <c r="V206" s="2" t="n"/>
      <c r="W206" s="2" t="inlineStr">
        <is>
          <t>sí</t>
        </is>
      </c>
      <c r="X206" s="2" t="n"/>
      <c r="Y206" s="2" t="n"/>
      <c r="Z206" s="2" t="inlineStr">
        <is>
          <t>sí</t>
        </is>
      </c>
      <c r="AA206" s="2" t="n"/>
      <c r="AB206" s="2" t="n"/>
      <c r="AC206" s="2" t="n"/>
      <c r="AD206" s="2" t="n"/>
      <c r="AE206" s="2" t="n"/>
      <c r="AF206" s="2" t="inlineStr">
        <is>
          <t>sí</t>
        </is>
      </c>
      <c r="AG206" s="2" t="n"/>
      <c r="AH206" s="2" t="n"/>
      <c r="AI206" s="2" t="n"/>
      <c r="AJ206" s="2" t="n"/>
      <c r="AK206" s="2" t="n"/>
      <c r="AL206" s="2" t="n"/>
      <c r="AM206" s="2" t="n">
        <v>6.4</v>
      </c>
      <c r="AN206" s="2" t="inlineStr">
        <is>
          <t>1000KMS</t>
        </is>
      </c>
      <c r="AO206" s="2" t="n"/>
      <c r="AP206" s="2" t="n">
        <v>2013</v>
      </c>
      <c r="AQ206" s="2" t="n"/>
      <c r="AR206" s="2" t="inlineStr">
        <is>
          <t>B</t>
        </is>
      </c>
      <c r="AS206" s="2" t="inlineStr">
        <is>
          <t>DGT</t>
        </is>
      </c>
      <c r="AT206" s="2" t="n"/>
      <c r="AU206" s="2" t="inlineStr">
        <is>
          <t>no</t>
        </is>
      </c>
      <c r="AV206" s="2" t="inlineStr">
        <is>
          <t>B</t>
        </is>
      </c>
      <c r="AW206" s="2" t="n"/>
      <c r="AX206" s="2" t="inlineStr">
        <is>
          <t>no</t>
        </is>
      </c>
      <c r="AY206" s="2" t="inlineStr">
        <is>
          <t>no</t>
        </is>
      </c>
      <c r="AZ206" s="2" t="n"/>
      <c r="BA206" s="2" t="n"/>
      <c r="BB206" s="3" t="n">
        <v>2</v>
      </c>
      <c r="BC206" s="3" t="inlineStr">
        <is>
          <t>(por segmento)</t>
        </is>
      </c>
      <c r="BD206" s="2" t="n"/>
      <c r="BE206" s="2" t="n"/>
      <c r="BF206" s="2" t="n"/>
      <c r="BG206" s="2" t="n"/>
      <c r="BH206" s="2" t="n"/>
      <c r="BI206" s="2" t="n"/>
      <c r="BJ206" s="2" t="n"/>
      <c r="BK206" s="2" t="n">
        <v>4</v>
      </c>
      <c r="BL206" s="2" t="n"/>
      <c r="BM206" s="2" t="n">
        <v>405</v>
      </c>
      <c r="BN206" s="2" t="n">
        <v>0</v>
      </c>
      <c r="BO206" s="2" t="n">
        <v>3</v>
      </c>
      <c r="BP206" s="2" t="n">
        <v>5990</v>
      </c>
      <c r="BQ206" s="2" t="n">
        <v>9</v>
      </c>
      <c r="BR206" s="2" t="inlineStr">
        <is>
          <t>modelo+año+km</t>
        </is>
      </c>
      <c r="BS206" s="2" t="n"/>
      <c r="BT206" s="2" t="inlineStr">
        <is>
          <t>por encima del presupuesto: negociar 964 € (coste 5964 €; -19.3 puntos); vendedor profesional: sin ITP (operación con IVA/REBU, confirmar en factura); gastos de gestión del vendedor no indicados: se suma la tasa DGT; preguntar el precio final; diésel: motor sin fuente de fiabilidad (fiabilidad limitada a neutra); revisar: no menciona la ITV</t>
        </is>
      </c>
      <c r="BU206" s="2" t="inlineStr">
        <is>
          <t>Ref.197709967
¡VILLA TAMBIÉN FICHA POR OCASIONPLUS!
VEN A GANAR. ¡VEN A OCASIONPLUS!
OCASIONPLUS - 20.000 COCHES  - 120 CENTROS
OCASIONPLUS Nº1 CALIDAD - PRECIO
Elige el coche que te guste y te lo llevamos a tu ciudad sólo con reservarlo
15 DÍAS / 1000 KMS DE PRUEBA
Hasta 300€ de descuento en este coche
ADEMÁS, HACEMOS LAS MEJORES FINANCIACIONES DEL MERCADO, PREGÚNTANOS!!
            Equipamiento destacado: Aire Acondicionado, Bluetooth, CD, Isofix.
                - Coche Nacional, Historial Mantenimiento.
                - Garantía total 1 año, con cobertura nacional, ampliable a 24 meses.
                - Certificado de Kilómetros y ausencia de golpes estructurales.
            - Sobrevaloramos tu coche en operaciones de cambio. Tásalo ahora en ocasionplus.com
            - Entregamos cualquier coche en cualquier centro
            - Abierto Domingo y Festivos.</t>
        </is>
      </c>
      <c r="BV206" s="2" t="inlineStr">
        <is>
          <t>https://es.wallapop.com/item/citroen-c3-hdi-70-tonic-50-kw-68-cv-1316092128 (__NEXT_DATA__ item) /home/user/Alopecia/buscador-coches/raw/wallapop/e9aba7ca56e87ace.json</t>
        </is>
      </c>
      <c r="BW206" s="3">
        <f>MAX(ANIO_ACTUAL-M206,0)</f>
        <v/>
      </c>
      <c r="BX206" s="4">
        <f>N206/MAX(BW206,0.5)</f>
        <v/>
      </c>
      <c r="BY206" s="4">
        <f>F206</f>
        <v/>
      </c>
      <c r="BZ206" s="3">
        <f>BY206&amp;"|"&amp;INT(M206/SEG_ANIO)*SEG_ANIO</f>
        <v/>
      </c>
      <c r="CA206" s="3">
        <f>BZ206&amp;"|"&amp;INT(N206/SEG_KM)*SEG_KM</f>
        <v/>
      </c>
      <c r="CB206" s="4">
        <f>COUNTIF($BY$2:$BY$209,BY206)</f>
        <v/>
      </c>
      <c r="CC206" s="4">
        <f>COUNTIF($BZ$2:$BZ$209,BZ206)</f>
        <v/>
      </c>
      <c r="CD206" s="4">
        <f>COUNTIF($CA$2:$CA$209,CA206)</f>
        <v/>
      </c>
      <c r="CE206" s="3">
        <f t="array" ref="CE206">IF(N(BQ206)&gt;=MIN_N,BP206,IF(CD206&gt;=MIN_N,MEDIAN(IF($CA$2:$CA$209=CA206,$O$2:$O$209)),IF(CC206&gt;=MIN_N,MEDIAN(IF($BZ$2:$BZ$209=BZ206,$O$2:$O$209)),MEDIAN(IF($BY$2:$BY$209=BY206,$O$2:$O$209)))))</f>
        <v/>
      </c>
      <c r="CF206" s="3">
        <f>IF(N(BQ206)&gt;=MIN_N,"mercado "&amp;BR206,IF(CD206&gt;=MIN_N,"modelo+año+km",IF(CC206&gt;=MIN_N,"modelo+año","modelo")))</f>
        <v/>
      </c>
      <c r="CG206" s="4">
        <f>(CE206-O206)/CE206</f>
        <v/>
      </c>
      <c r="CH206" s="3">
        <f>IF(COUNTIFS(FR_FUEL,K206,FR_YEAR,AP206)&gt;0,1,0)</f>
        <v/>
      </c>
      <c r="CI206" s="3">
        <f>IF(COUNTIFS(FR_FUEL,K206,FR_YEAR,AP206-1)&gt;0,1,0)</f>
        <v/>
      </c>
      <c r="CJ206" s="4">
        <f>IF(N(AQ206)&gt;0,AP206*100+AQ206,IF(AND(CH206=1,CI206=1),(AP206-1)*100+1,AP206*100+1))</f>
        <v/>
      </c>
      <c r="CK206" s="3">
        <f>IF(OR(K206="hibrido",K206="glp",K206="gnc",K206="phev"),"ECO",IF(K206="electrico","CERO",IF(K206="gasolina",IF(CJ206&gt;=GAS_C_YM,"C",IF(CJ206&gt;=GAS_B_YM,"B","A")),IF(K206="diesel",IF(CJ206&gt;=DIE_C_YM,"C",IF(CJ206&gt;=DIE_B_YM,"B","A")),""))))</f>
        <v/>
      </c>
      <c r="CL206" s="2" t="inlineStr">
        <is>
          <t>B</t>
        </is>
      </c>
      <c r="CM206" s="4">
        <f>IF(AU206="sí","sí",IF(AS206="regla",IF(AND(N(AQ206)=0,CH206=1),"sí","no"),"no"))</f>
        <v/>
      </c>
      <c r="CN206" s="3">
        <f>IFERROR(VLOOKUP(F206,MOD_TBL,16,0),IFERROR(VLOOKUP(E206,OCU_TBL,2,0),NEUTRO))</f>
        <v/>
      </c>
      <c r="CO206" s="3">
        <f>SUMIFS(MOT_AJUSTE,MOT_MOTOR,G206,MOT_MARCA,E206,MOT_DESDE,"&lt;="&amp;M206,MOT_HASTA,"&gt;="&amp;M206)+SUMIFS(MOT_AJUSTE,MOT_MOTOR,G206,MOT_MARCA,"(todas)",MOT_DESDE,"&lt;="&amp;M206,MOT_HASTA,"&gt;="&amp;M206)+SUMIFS(MOT_AJUSTE,MOT_MOTOR,"(cualquiera)",MOT_MARCA,E206,MOT_DESDE,"&lt;="&amp;M206,MOT_HASTA,"&gt;="&amp;M206)</f>
        <v/>
      </c>
      <c r="CP206" s="3">
        <f>SUMIFS(COMB_AJUSTE,COMB_COMB,K206)</f>
        <v/>
      </c>
      <c r="CQ206" s="3">
        <f>COUNTIFS(MOT_MOTOR,G206,MOT_MARCA,E206,MOT_DESDE,"&lt;="&amp;M206,MOT_HASTA,"&gt;="&amp;M206)+COUNTIFS(MOT_MOTOR,G206,MOT_MARCA,"(todas)",MOT_DESDE,"&lt;="&amp;M206,MOT_HASTA,"&gt;="&amp;M206)+COUNTIFS(MOT_MOTOR,"(cualquiera)",MOT_MARCA,E206,MOT_DESDE,"&lt;="&amp;M206,MOT_HASTA,"&gt;="&amp;M206)</f>
        <v/>
      </c>
      <c r="CR206" s="3">
        <f>IF(AND(K206="diesel",CQ206=0),MIN(CN206,NEUTRO),CN206)</f>
        <v/>
      </c>
      <c r="CS206" s="3">
        <f>MAX(0,MIN(100,CR206+CO206+CP206-IF(AX206="sí",ROB_PEN,0)))</f>
        <v/>
      </c>
      <c r="CT206" s="3">
        <f>100-MAX(0,N206-KM_TOPE_DESDE)/1000*KM_TOPE_PTS</f>
        <v/>
      </c>
      <c r="CU206" s="3">
        <f>MAX(0,MIN(100,50+CG206*PRECIO_PEND,CT206))</f>
        <v/>
      </c>
      <c r="CV206" s="3">
        <f>MAX(0,100*(1-N206/KM_MAX))</f>
        <v/>
      </c>
      <c r="CW206" s="3">
        <f>IF(BX206&lt;KMA_SOSP,IF(AA206="sí",100,KMA_PEN),IF(BX206&lt;=KMA_IDEAL_MAX,100,MAX(0,100*(KMA_CERO-BX206)/(KMA_CERO-KMA_IDEAL_MAX))))</f>
        <v/>
      </c>
      <c r="CX206" s="3">
        <f>MAX(0,MIN(100,100*(M206-ANIO_MIN)/(ANIO_ACTUAL-ANIO_MIN)))</f>
        <v/>
      </c>
      <c r="CY206" s="3">
        <f>W_KMT*CV206+W_KMA*CW206+W_EDAD*CX206</f>
        <v/>
      </c>
      <c r="CZ206" s="4">
        <f>E206&amp;"|"&amp;G206</f>
        <v/>
      </c>
      <c r="DA206" s="3">
        <f>IFERROR(VLOOKUP(CZ206,DIST_TBL,2,0),"")</f>
        <v/>
      </c>
      <c r="DB206" s="3">
        <f>E_ITV*(V206="sí")+E_LIBRO*(W206="sí")+E_PROP*IF(Y206=1,1,IF(Y206=2,0.5,0))+E_CORREA*IF(OR(DA206="cadena",AND(X206="sí",BH206="sí")),1,IF(X206="sí",0.5,0))+E_FACT*(BI206="sí")</f>
        <v/>
      </c>
      <c r="DC206" s="3">
        <f>MAX(0,MIN(100,IFERROR(VLOOKUP(CL206,ETQ_TBL,2,0),0)-IF(CM206="sí",ETQ_PEN_DUD,IF(AS206="regla",ETQ_PEN_REGLA,0))))</f>
        <v/>
      </c>
      <c r="DD206" s="3">
        <f>IF(K206&lt;&gt;"gasolina","",IFERROR(VLOOKUP(F206,CONS_MOD_TBL,2,0),IFERROR(VLOOKUP(L206,CONS_SEG_TBL,2,0),"")))</f>
        <v/>
      </c>
      <c r="DE206" s="3">
        <f>IF(DD206="",NEUTRO,MAX(0,MIN(100,100*(CONS_REF_MAX-DD206)/(CONS_REF_MAX-CONS_REF_MIN))))</f>
        <v/>
      </c>
      <c r="DF206" s="3">
        <f>IFERROR(VLOOKUP(L206,SEGURO_TBL,3,0),"")</f>
        <v/>
      </c>
      <c r="DG206" s="3">
        <f>IF(DF206="",NEUTRO,MAX(0,MIN(100,100*(SEG_REF_MAX-DF206)/(SEG_REF_MAX-SEG_REF_MIN))))</f>
        <v/>
      </c>
      <c r="DH206" s="3">
        <f>IFERROR(VLOOKUP(E206,MANT_MARCA_TBL,2,0)+0,NEUTRO)</f>
        <v/>
      </c>
      <c r="DI206" s="3">
        <f>IF(DA206="",NEUTRO,IFERROR(VLOOKUP(DA206,DIST_PTS_TBL,2,0)+0,NEUTRO))</f>
        <v/>
      </c>
      <c r="DJ206" s="4">
        <f>(DH206+DI206)/2</f>
        <v/>
      </c>
      <c r="DK206" s="3">
        <f>W_CONS*DE206+W_SEG*DG206+W_MANT*DJ206</f>
        <v/>
      </c>
      <c r="DL206" s="3">
        <f>IF(N(AB206)&gt;0,AB206,IF(AND(R206="profesional",SG_LEGAL_ON=1),GAR_LEGAL,0))</f>
        <v/>
      </c>
      <c r="DM206" s="3">
        <f>MAX(0,MIN(100,SG_GAR*MIN(1,DL206/SG_GAR_FULL)+SG_AMPL*(AC206="sí")+SG_KMC*(AF206="sí")+SG_REV*(N(AE206)&gt;0)+SG_DEV*MIN(1,N(AG206)/SG_DEV_FULL)+SG_HIST*(W206="sí")-IF(AND(R206="particular",DL206=0),SG_PART_PEN,0)))</f>
        <v/>
      </c>
      <c r="DN206" s="3">
        <f>IF(BK206="",NEUTRO,MAX(0,MIN(100,BK206/5*100)))</f>
        <v/>
      </c>
      <c r="DO206" s="3">
        <f>IF(BL206="sí",100,IF(BL206="no",0,NEUTRO))</f>
        <v/>
      </c>
      <c r="DP206" s="3">
        <f>SV_W_NCAP*DN206+SV_W_ESP*DO206</f>
        <v/>
      </c>
      <c r="DQ206" s="3">
        <f>MAX(0,MIN(100,ATR_BASE+ATR_ACAB*(BD206&lt;&gt;"")+IF(BE206="16+",ATR_LL16,IF(BE206="sí",ATR_LL,0))+ATR_FAROS*(BF206="sí")+ATR_TINT*(BG206="sí")-ATR_CHAPA*(BE206="chapa")))</f>
        <v/>
      </c>
      <c r="DR206" s="3">
        <f>EST_W_MOD*(BB206-1)/4*100+EST_W_ATR*DQ206</f>
        <v/>
      </c>
      <c r="DS206" s="3">
        <f>IF(BA206="",NEUTRO,IFERROR(VLOOKUP(BA206,COLOR_TBL,2,0)+0,NEUTRO))</f>
        <v/>
      </c>
      <c r="DT206" s="3">
        <f>MAX(0,MIN(100,100*N(BM206)/RV_N_FULL))</f>
        <v/>
      </c>
      <c r="DU206" s="3">
        <f>IF(OR(BN206="",N(BO206)&lt;RV_DIAS_MIN),NEUTRO,MAX(0,MIN(100,100*(RV_DIAS_CERO-BN206)/(RV_DIAS_CERO-RV_DIAS_FULL))))</f>
        <v/>
      </c>
      <c r="DV206" s="3">
        <f>RV_W_LIQ*DT206+RV_W_DIAS*DU206+RV_W_ETQ*DC206</f>
        <v/>
      </c>
      <c r="DW206" s="3">
        <f>IFERROR(VLOOKUP(L206,CARR_PEN_TBL,2,0),0)</f>
        <v/>
      </c>
      <c r="DX206" s="3">
        <f>W_FIAB*CS206+W_PRECIO*CU206+W_KMEDAD*CY206+W_ESTADO*DB206+W_USO*DK206+W_SEGURIDAD*DM206+W_SEGVIAL*DP206+W_ESTETICA*DR206+W_COLOR*DS206+W_REVENTA*DV206-DW206-EG206</f>
        <v/>
      </c>
      <c r="DY206" s="4">
        <f>IF(N(I206)&gt;0,I206,IFERROR(ROUND(_xlfn.NUMBERVALUE(LEFT(G206,FIND(" ",G206&amp;" ")-1),".")*1000,0),99999))</f>
        <v/>
      </c>
      <c r="DZ206" s="3">
        <f>IF(R206="profesional",0,IF(O206&lt;CUOTA_VALOR_MAX,IF(BW206&gt;ITP_TRAMO_ALTO,SUMIFS(CF_CUOTA,CF_MAS,ITP_TRAMO_ALTO,CF_CCMIN,"&lt;="&amp;DY206,CF_CCMAX,"&gt;="&amp;DY206),IF(BW206&gt;ITP_TRAMO_BAJO,SUMIFS(CF_CUOTA,CF_MAS,ITP_TRAMO_BAJO,CF_CCMIN,"&lt;="&amp;DY206,CF_CCMAX,"&gt;="&amp;DY206),O206*ITP_TIPO)),O206*ITP_TIPO))</f>
        <v/>
      </c>
      <c r="EA206" s="4">
        <f>IF(R206="profesional",N(AK206),0)</f>
        <v/>
      </c>
      <c r="EB206" s="3">
        <f>IF(AND(R206="profesional",ISNUMBER(AK206),AL206="sí"),0,TASA_DGT)</f>
        <v/>
      </c>
      <c r="EC206" s="3">
        <f>INFORME_DGT</f>
        <v/>
      </c>
      <c r="ED206" s="4">
        <f>O206+EA206+DZ206+EB206+EC206</f>
        <v/>
      </c>
      <c r="EE206" s="4">
        <f>ED206+N(DF206)</f>
        <v/>
      </c>
      <c r="EF206" s="3">
        <f>MAX(0,ED206-TOTAL_MAX)</f>
        <v/>
      </c>
      <c r="EG206" s="3">
        <f>EF206/100*PEN_100</f>
        <v/>
      </c>
      <c r="EH206" s="3">
        <f>IF(R206="particular",ED206+IF(AND(DA206&lt;&gt;"cadena",X206&lt;&gt;"sí"),RES_CORREA,0)+IF(AND(BJ206&lt;&gt;"sí",BW206&gt;=RES_NEUM_EDAD),RES_NEUM,0),"")</f>
        <v/>
      </c>
      <c r="EI206" s="3">
        <f>IF(ED206&lt;=TOTAL_MAX,"sí",IF(ED206&lt;=TECHO,"negociar","no"))</f>
        <v/>
      </c>
      <c r="EJ206" s="4">
        <f>ROUND(DX206,9)</f>
        <v/>
      </c>
      <c r="EK206" s="4">
        <f>IF(EI206&lt;&gt;"no",SUMPRODUCT(($EI$2:$EI$209&lt;&gt;"no")*($EJ$2:$EJ$209&gt;EJ206))+SUMPRODUCT(($EI$2:EI206&lt;&gt;"no")*($EJ$2:EJ206=EJ206)),"")</f>
        <v/>
      </c>
    </row>
    <row r="207">
      <c r="A207" s="2" t="inlineStr">
        <is>
          <t>wallapop:1280027924</t>
        </is>
      </c>
      <c r="B207" s="2" t="inlineStr">
        <is>
          <t>wallapop</t>
        </is>
      </c>
      <c r="C207" s="2" t="inlineStr">
        <is>
          <t>https://es.wallapop.com/item/citroen-c3-1-1i-attraction-44-kw-60-cv-1280027924</t>
        </is>
      </c>
      <c r="D207" s="2" t="inlineStr">
        <is>
          <t>Citroen C3 1.1i Attraction 44 kW (60 CV)</t>
        </is>
      </c>
      <c r="E207" s="2" t="inlineStr">
        <is>
          <t>Citroën</t>
        </is>
      </c>
      <c r="F207" s="2" t="inlineStr">
        <is>
          <t>Citroën C3</t>
        </is>
      </c>
      <c r="G207" s="2" t="inlineStr">
        <is>
          <t>1.1</t>
        </is>
      </c>
      <c r="H207" s="2" t="inlineStr">
        <is>
          <t>1.1i Attraction 44 kW (60 CV)</t>
        </is>
      </c>
      <c r="I207" s="2" t="n"/>
      <c r="J207" s="2" t="n">
        <v>60</v>
      </c>
      <c r="K207" s="2" t="inlineStr">
        <is>
          <t>gasolina</t>
        </is>
      </c>
      <c r="L207" s="2" t="inlineStr">
        <is>
          <t>utilitario</t>
        </is>
      </c>
      <c r="M207" s="2" t="n">
        <v>2011</v>
      </c>
      <c r="N207" s="2" t="n">
        <v>155655</v>
      </c>
      <c r="O207" s="2" t="n">
        <v>5900</v>
      </c>
      <c r="P207" s="2" t="inlineStr">
        <is>
          <t>manual</t>
        </is>
      </c>
      <c r="Q207" s="2" t="inlineStr">
        <is>
          <t>no</t>
        </is>
      </c>
      <c r="R207" s="2" t="inlineStr">
        <is>
          <t>profesional</t>
        </is>
      </c>
      <c r="S207" s="2" t="inlineStr">
        <is>
          <t>Paterna (46980)</t>
        </is>
      </c>
      <c r="T207" s="2" t="inlineStr">
        <is>
          <t>2026-10-26T15:11:49</t>
        </is>
      </c>
      <c r="U207" s="2" t="n">
        <v>11</v>
      </c>
      <c r="V207" s="2" t="n"/>
      <c r="W207" s="2" t="n"/>
      <c r="X207" s="2" t="n"/>
      <c r="Y207" s="2" t="n"/>
      <c r="Z207" s="2" t="inlineStr">
        <is>
          <t>sí</t>
        </is>
      </c>
      <c r="AA207" s="2" t="n"/>
      <c r="AB207" s="2" t="n"/>
      <c r="AC207" s="2" t="n"/>
      <c r="AD207" s="2" t="n"/>
      <c r="AE207" s="2" t="n"/>
      <c r="AF207" s="2" t="inlineStr">
        <is>
          <t>sí</t>
        </is>
      </c>
      <c r="AG207" s="2" t="n"/>
      <c r="AH207" s="2" t="n"/>
      <c r="AI207" s="2" t="n"/>
      <c r="AJ207" s="2" t="n"/>
      <c r="AK207" s="2" t="n"/>
      <c r="AL207" s="2" t="n"/>
      <c r="AM207" s="2" t="n">
        <v>6.4</v>
      </c>
      <c r="AN207" s="2" t="inlineStr">
        <is>
          <t>1000KMS</t>
        </is>
      </c>
      <c r="AO207" s="2" t="n"/>
      <c r="AP207" s="2" t="n">
        <v>2011</v>
      </c>
      <c r="AQ207" s="2" t="n"/>
      <c r="AR207" s="2" t="inlineStr">
        <is>
          <t>B</t>
        </is>
      </c>
      <c r="AS207" s="2" t="inlineStr">
        <is>
          <t>DGT</t>
        </is>
      </c>
      <c r="AT207" s="2" t="n"/>
      <c r="AU207" s="2" t="inlineStr">
        <is>
          <t>no</t>
        </is>
      </c>
      <c r="AV207" s="2" t="inlineStr">
        <is>
          <t>B</t>
        </is>
      </c>
      <c r="AW207" s="2" t="n"/>
      <c r="AX207" s="2" t="inlineStr">
        <is>
          <t>no</t>
        </is>
      </c>
      <c r="AY207" s="2" t="inlineStr">
        <is>
          <t>no</t>
        </is>
      </c>
      <c r="AZ207" s="2" t="n"/>
      <c r="BA207" s="2" t="n"/>
      <c r="BB207" s="3" t="n">
        <v>2</v>
      </c>
      <c r="BC207" s="3" t="inlineStr">
        <is>
          <t>(por segmento)</t>
        </is>
      </c>
      <c r="BD207" s="2" t="n"/>
      <c r="BE207" s="2" t="n"/>
      <c r="BF207" s="2" t="n"/>
      <c r="BG207" s="2" t="n"/>
      <c r="BH207" s="2" t="n"/>
      <c r="BI207" s="2" t="n"/>
      <c r="BJ207" s="2" t="n"/>
      <c r="BK207" s="2" t="n">
        <v>4</v>
      </c>
      <c r="BL207" s="2" t="n"/>
      <c r="BM207" s="2" t="n">
        <v>405</v>
      </c>
      <c r="BN207" s="2" t="n">
        <v>0</v>
      </c>
      <c r="BO207" s="2" t="n">
        <v>3</v>
      </c>
      <c r="BP207" s="2" t="n">
        <v>5600</v>
      </c>
      <c r="BQ207" s="2" t="n">
        <v>4</v>
      </c>
      <c r="BR207" s="2" t="inlineStr">
        <is>
          <t>modelo+año+km</t>
        </is>
      </c>
      <c r="BS207" s="2" t="n"/>
      <c r="BT207" s="2" t="inlineStr">
        <is>
          <t>por encima del presupuesto: negociar 964 € (coste 5964 €; -19.3 puntos); vendedor profesional: sin ITP (operación con IVA/REBU, confirmar en factura); gastos de gestión del vendedor no indicados: se suma la tasa DGT; preguntar el precio final; revisar: no menciona la ITV</t>
        </is>
      </c>
      <c r="BU207" s="2" t="inlineStr">
        <is>
          <t>Ref.166131940
¡VILLA TAMBIÉN FICHA POR OCASIONPLUS!
VEN A GANAR. ¡VEN A OCASIONPLUS!
OCASIONPLUS - 20.000 COCHES  - 120 CENTROS
OCASIONPLUS Nº1 CALIDAD - PRECIO
Elige el coche que te guste y te lo llevamos a tu ciudad sólo con reservarlo
15 DÍAS / 1000 KMS DE PRUEBA
ADEMÁS, HACEMOS LAS MEJORES FINANCIACIONES DEL MERCADO, PREGÚNTANOS!!
            Equipamiento destacado: Aire Acondicionado, Isofix.
                - Coche Nacional.
                - Garantía total 1 año, con cobertura nacional, ampliable a 24 meses.
                - Certificado de Kilómetros y ausencia de golpes estructurales.
            - Sobrevaloramos tu coche en operaciones de cambio. Tásalo ahora en ocasionplus.com
            - Entregamos cualquier coche en cualquier centro
            - Abierto Domingo y Festivos.</t>
        </is>
      </c>
      <c r="BV207" s="2" t="inlineStr">
        <is>
          <t>https://es.wallapop.com/item/citroen-c3-1-1i-attraction-44-kw-60-cv-1280027924 (__NEXT_DATA__ item) /home/user/Alopecia/buscador-coches/raw/wallapop/d43c7aed75114a55.json</t>
        </is>
      </c>
      <c r="BW207" s="3">
        <f>MAX(ANIO_ACTUAL-M207,0)</f>
        <v/>
      </c>
      <c r="BX207" s="4">
        <f>N207/MAX(BW207,0.5)</f>
        <v/>
      </c>
      <c r="BY207" s="4">
        <f>F207</f>
        <v/>
      </c>
      <c r="BZ207" s="3">
        <f>BY207&amp;"|"&amp;INT(M207/SEG_ANIO)*SEG_ANIO</f>
        <v/>
      </c>
      <c r="CA207" s="3">
        <f>BZ207&amp;"|"&amp;INT(N207/SEG_KM)*SEG_KM</f>
        <v/>
      </c>
      <c r="CB207" s="4">
        <f>COUNTIF($BY$2:$BY$209,BY207)</f>
        <v/>
      </c>
      <c r="CC207" s="4">
        <f>COUNTIF($BZ$2:$BZ$209,BZ207)</f>
        <v/>
      </c>
      <c r="CD207" s="4">
        <f>COUNTIF($CA$2:$CA$209,CA207)</f>
        <v/>
      </c>
      <c r="CE207" s="3">
        <f t="array" ref="CE207">IF(N(BQ207)&gt;=MIN_N,BP207,IF(CD207&gt;=MIN_N,MEDIAN(IF($CA$2:$CA$209=CA207,$O$2:$O$209)),IF(CC207&gt;=MIN_N,MEDIAN(IF($BZ$2:$BZ$209=BZ207,$O$2:$O$209)),MEDIAN(IF($BY$2:$BY$209=BY207,$O$2:$O$209)))))</f>
        <v/>
      </c>
      <c r="CF207" s="3">
        <f>IF(N(BQ207)&gt;=MIN_N,"mercado "&amp;BR207,IF(CD207&gt;=MIN_N,"modelo+año+km",IF(CC207&gt;=MIN_N,"modelo+año","modelo")))</f>
        <v/>
      </c>
      <c r="CG207" s="4">
        <f>(CE207-O207)/CE207</f>
        <v/>
      </c>
      <c r="CH207" s="3">
        <f>IF(COUNTIFS(FR_FUEL,K207,FR_YEAR,AP207)&gt;0,1,0)</f>
        <v/>
      </c>
      <c r="CI207" s="3">
        <f>IF(COUNTIFS(FR_FUEL,K207,FR_YEAR,AP207-1)&gt;0,1,0)</f>
        <v/>
      </c>
      <c r="CJ207" s="4">
        <f>IF(N(AQ207)&gt;0,AP207*100+AQ207,IF(AND(CH207=1,CI207=1),(AP207-1)*100+1,AP207*100+1))</f>
        <v/>
      </c>
      <c r="CK207" s="3">
        <f>IF(OR(K207="hibrido",K207="glp",K207="gnc",K207="phev"),"ECO",IF(K207="electrico","CERO",IF(K207="gasolina",IF(CJ207&gt;=GAS_C_YM,"C",IF(CJ207&gt;=GAS_B_YM,"B","A")),IF(K207="diesel",IF(CJ207&gt;=DIE_C_YM,"C",IF(CJ207&gt;=DIE_B_YM,"B","A")),""))))</f>
        <v/>
      </c>
      <c r="CL207" s="2" t="inlineStr">
        <is>
          <t>B</t>
        </is>
      </c>
      <c r="CM207" s="4">
        <f>IF(AU207="sí","sí",IF(AS207="regla",IF(AND(N(AQ207)=0,CH207=1),"sí","no"),"no"))</f>
        <v/>
      </c>
      <c r="CN207" s="3">
        <f>IFERROR(VLOOKUP(F207,MOD_TBL,16,0),IFERROR(VLOOKUP(E207,OCU_TBL,2,0),NEUTRO))</f>
        <v/>
      </c>
      <c r="CO207" s="3">
        <f>SUMIFS(MOT_AJUSTE,MOT_MOTOR,G207,MOT_MARCA,E207,MOT_DESDE,"&lt;="&amp;M207,MOT_HASTA,"&gt;="&amp;M207)+SUMIFS(MOT_AJUSTE,MOT_MOTOR,G207,MOT_MARCA,"(todas)",MOT_DESDE,"&lt;="&amp;M207,MOT_HASTA,"&gt;="&amp;M207)+SUMIFS(MOT_AJUSTE,MOT_MOTOR,"(cualquiera)",MOT_MARCA,E207,MOT_DESDE,"&lt;="&amp;M207,MOT_HASTA,"&gt;="&amp;M207)</f>
        <v/>
      </c>
      <c r="CP207" s="3">
        <f>SUMIFS(COMB_AJUSTE,COMB_COMB,K207)</f>
        <v/>
      </c>
      <c r="CQ207" s="3">
        <f>COUNTIFS(MOT_MOTOR,G207,MOT_MARCA,E207,MOT_DESDE,"&lt;="&amp;M207,MOT_HASTA,"&gt;="&amp;M207)+COUNTIFS(MOT_MOTOR,G207,MOT_MARCA,"(todas)",MOT_DESDE,"&lt;="&amp;M207,MOT_HASTA,"&gt;="&amp;M207)+COUNTIFS(MOT_MOTOR,"(cualquiera)",MOT_MARCA,E207,MOT_DESDE,"&lt;="&amp;M207,MOT_HASTA,"&gt;="&amp;M207)</f>
        <v/>
      </c>
      <c r="CR207" s="3">
        <f>IF(AND(K207="diesel",CQ207=0),MIN(CN207,NEUTRO),CN207)</f>
        <v/>
      </c>
      <c r="CS207" s="3">
        <f>MAX(0,MIN(100,CR207+CO207+CP207-IF(AX207="sí",ROB_PEN,0)))</f>
        <v/>
      </c>
      <c r="CT207" s="3">
        <f>100-MAX(0,N207-KM_TOPE_DESDE)/1000*KM_TOPE_PTS</f>
        <v/>
      </c>
      <c r="CU207" s="3">
        <f>MAX(0,MIN(100,50+CG207*PRECIO_PEND,CT207))</f>
        <v/>
      </c>
      <c r="CV207" s="3">
        <f>MAX(0,100*(1-N207/KM_MAX))</f>
        <v/>
      </c>
      <c r="CW207" s="3">
        <f>IF(BX207&lt;KMA_SOSP,IF(AA207="sí",100,KMA_PEN),IF(BX207&lt;=KMA_IDEAL_MAX,100,MAX(0,100*(KMA_CERO-BX207)/(KMA_CERO-KMA_IDEAL_MAX))))</f>
        <v/>
      </c>
      <c r="CX207" s="3">
        <f>MAX(0,MIN(100,100*(M207-ANIO_MIN)/(ANIO_ACTUAL-ANIO_MIN)))</f>
        <v/>
      </c>
      <c r="CY207" s="3">
        <f>W_KMT*CV207+W_KMA*CW207+W_EDAD*CX207</f>
        <v/>
      </c>
      <c r="CZ207" s="4">
        <f>E207&amp;"|"&amp;G207</f>
        <v/>
      </c>
      <c r="DA207" s="3">
        <f>IFERROR(VLOOKUP(CZ207,DIST_TBL,2,0),"")</f>
        <v/>
      </c>
      <c r="DB207" s="3">
        <f>E_ITV*(V207="sí")+E_LIBRO*(W207="sí")+E_PROP*IF(Y207=1,1,IF(Y207=2,0.5,0))+E_CORREA*IF(OR(DA207="cadena",AND(X207="sí",BH207="sí")),1,IF(X207="sí",0.5,0))+E_FACT*(BI207="sí")</f>
        <v/>
      </c>
      <c r="DC207" s="3">
        <f>MAX(0,MIN(100,IFERROR(VLOOKUP(CL207,ETQ_TBL,2,0),0)-IF(CM207="sí",ETQ_PEN_DUD,IF(AS207="regla",ETQ_PEN_REGLA,0))))</f>
        <v/>
      </c>
      <c r="DD207" s="3">
        <f>IF(K207&lt;&gt;"gasolina","",IFERROR(VLOOKUP(F207,CONS_MOD_TBL,2,0),IFERROR(VLOOKUP(L207,CONS_SEG_TBL,2,0),"")))</f>
        <v/>
      </c>
      <c r="DE207" s="3">
        <f>IF(DD207="",NEUTRO,MAX(0,MIN(100,100*(CONS_REF_MAX-DD207)/(CONS_REF_MAX-CONS_REF_MIN))))</f>
        <v/>
      </c>
      <c r="DF207" s="3">
        <f>IFERROR(VLOOKUP(L207,SEGURO_TBL,3,0),"")</f>
        <v/>
      </c>
      <c r="DG207" s="3">
        <f>IF(DF207="",NEUTRO,MAX(0,MIN(100,100*(SEG_REF_MAX-DF207)/(SEG_REF_MAX-SEG_REF_MIN))))</f>
        <v/>
      </c>
      <c r="DH207" s="3">
        <f>IFERROR(VLOOKUP(E207,MANT_MARCA_TBL,2,0)+0,NEUTRO)</f>
        <v/>
      </c>
      <c r="DI207" s="3">
        <f>IF(DA207="",NEUTRO,IFERROR(VLOOKUP(DA207,DIST_PTS_TBL,2,0)+0,NEUTRO))</f>
        <v/>
      </c>
      <c r="DJ207" s="4">
        <f>(DH207+DI207)/2</f>
        <v/>
      </c>
      <c r="DK207" s="3">
        <f>W_CONS*DE207+W_SEG*DG207+W_MANT*DJ207</f>
        <v/>
      </c>
      <c r="DL207" s="3">
        <f>IF(N(AB207)&gt;0,AB207,IF(AND(R207="profesional",SG_LEGAL_ON=1),GAR_LEGAL,0))</f>
        <v/>
      </c>
      <c r="DM207" s="3">
        <f>MAX(0,MIN(100,SG_GAR*MIN(1,DL207/SG_GAR_FULL)+SG_AMPL*(AC207="sí")+SG_KMC*(AF207="sí")+SG_REV*(N(AE207)&gt;0)+SG_DEV*MIN(1,N(AG207)/SG_DEV_FULL)+SG_HIST*(W207="sí")-IF(AND(R207="particular",DL207=0),SG_PART_PEN,0)))</f>
        <v/>
      </c>
      <c r="DN207" s="3">
        <f>IF(BK207="",NEUTRO,MAX(0,MIN(100,BK207/5*100)))</f>
        <v/>
      </c>
      <c r="DO207" s="3">
        <f>IF(BL207="sí",100,IF(BL207="no",0,NEUTRO))</f>
        <v/>
      </c>
      <c r="DP207" s="3">
        <f>SV_W_NCAP*DN207+SV_W_ESP*DO207</f>
        <v/>
      </c>
      <c r="DQ207" s="3">
        <f>MAX(0,MIN(100,ATR_BASE+ATR_ACAB*(BD207&lt;&gt;"")+IF(BE207="16+",ATR_LL16,IF(BE207="sí",ATR_LL,0))+ATR_FAROS*(BF207="sí")+ATR_TINT*(BG207="sí")-ATR_CHAPA*(BE207="chapa")))</f>
        <v/>
      </c>
      <c r="DR207" s="3">
        <f>EST_W_MOD*(BB207-1)/4*100+EST_W_ATR*DQ207</f>
        <v/>
      </c>
      <c r="DS207" s="3">
        <f>IF(BA207="",NEUTRO,IFERROR(VLOOKUP(BA207,COLOR_TBL,2,0)+0,NEUTRO))</f>
        <v/>
      </c>
      <c r="DT207" s="3">
        <f>MAX(0,MIN(100,100*N(BM207)/RV_N_FULL))</f>
        <v/>
      </c>
      <c r="DU207" s="3">
        <f>IF(OR(BN207="",N(BO207)&lt;RV_DIAS_MIN),NEUTRO,MAX(0,MIN(100,100*(RV_DIAS_CERO-BN207)/(RV_DIAS_CERO-RV_DIAS_FULL))))</f>
        <v/>
      </c>
      <c r="DV207" s="3">
        <f>RV_W_LIQ*DT207+RV_W_DIAS*DU207+RV_W_ETQ*DC207</f>
        <v/>
      </c>
      <c r="DW207" s="3">
        <f>IFERROR(VLOOKUP(L207,CARR_PEN_TBL,2,0),0)</f>
        <v/>
      </c>
      <c r="DX207" s="3">
        <f>W_FIAB*CS207+W_PRECIO*CU207+W_KMEDAD*CY207+W_ESTADO*DB207+W_USO*DK207+W_SEGURIDAD*DM207+W_SEGVIAL*DP207+W_ESTETICA*DR207+W_COLOR*DS207+W_REVENTA*DV207-DW207-EG207</f>
        <v/>
      </c>
      <c r="DY207" s="4">
        <f>IF(N(I207)&gt;0,I207,IFERROR(ROUND(_xlfn.NUMBERVALUE(LEFT(G207,FIND(" ",G207&amp;" ")-1),".")*1000,0),99999))</f>
        <v/>
      </c>
      <c r="DZ207" s="3">
        <f>IF(R207="profesional",0,IF(O207&lt;CUOTA_VALOR_MAX,IF(BW207&gt;ITP_TRAMO_ALTO,SUMIFS(CF_CUOTA,CF_MAS,ITP_TRAMO_ALTO,CF_CCMIN,"&lt;="&amp;DY207,CF_CCMAX,"&gt;="&amp;DY207),IF(BW207&gt;ITP_TRAMO_BAJO,SUMIFS(CF_CUOTA,CF_MAS,ITP_TRAMO_BAJO,CF_CCMIN,"&lt;="&amp;DY207,CF_CCMAX,"&gt;="&amp;DY207),O207*ITP_TIPO)),O207*ITP_TIPO))</f>
        <v/>
      </c>
      <c r="EA207" s="4">
        <f>IF(R207="profesional",N(AK207),0)</f>
        <v/>
      </c>
      <c r="EB207" s="3">
        <f>IF(AND(R207="profesional",ISNUMBER(AK207),AL207="sí"),0,TASA_DGT)</f>
        <v/>
      </c>
      <c r="EC207" s="3">
        <f>INFORME_DGT</f>
        <v/>
      </c>
      <c r="ED207" s="4">
        <f>O207+EA207+DZ207+EB207+EC207</f>
        <v/>
      </c>
      <c r="EE207" s="4">
        <f>ED207+N(DF207)</f>
        <v/>
      </c>
      <c r="EF207" s="3">
        <f>MAX(0,ED207-TOTAL_MAX)</f>
        <v/>
      </c>
      <c r="EG207" s="3">
        <f>EF207/100*PEN_100</f>
        <v/>
      </c>
      <c r="EH207" s="3">
        <f>IF(R207="particular",ED207+IF(AND(DA207&lt;&gt;"cadena",X207&lt;&gt;"sí"),RES_CORREA,0)+IF(AND(BJ207&lt;&gt;"sí",BW207&gt;=RES_NEUM_EDAD),RES_NEUM,0),"")</f>
        <v/>
      </c>
      <c r="EI207" s="3">
        <f>IF(ED207&lt;=TOTAL_MAX,"sí",IF(ED207&lt;=TECHO,"negociar","no"))</f>
        <v/>
      </c>
      <c r="EJ207" s="4">
        <f>ROUND(DX207,9)</f>
        <v/>
      </c>
      <c r="EK207" s="4">
        <f>IF(EI207&lt;&gt;"no",SUMPRODUCT(($EI$2:$EI$209&lt;&gt;"no")*($EJ$2:$EJ$209&gt;EJ207))+SUMPRODUCT(($EI$2:EI207&lt;&gt;"no")*($EJ$2:EJ207=EJ207)),"")</f>
        <v/>
      </c>
    </row>
    <row r="208">
      <c r="A208" s="2" t="inlineStr">
        <is>
          <t>wallapop:1307578646</t>
        </is>
      </c>
      <c r="B208" s="2" t="inlineStr">
        <is>
          <t>wallapop</t>
        </is>
      </c>
      <c r="C208" s="2" t="inlineStr">
        <is>
          <t>https://es.wallapop.com/item/alfa-romeo-147-2006-1307578646</t>
        </is>
      </c>
      <c r="D208" s="2" t="inlineStr">
        <is>
          <t>Alfa Romeo 147 2006</t>
        </is>
      </c>
      <c r="E208" s="2" t="inlineStr">
        <is>
          <t>Alfa Romeo</t>
        </is>
      </c>
      <c r="F208" s="2" t="inlineStr">
        <is>
          <t>Alfa Romeo 147</t>
        </is>
      </c>
      <c r="G208" s="2" t="inlineStr">
        <is>
          <t>2.0</t>
        </is>
      </c>
      <c r="H208" s="2" t="inlineStr">
        <is>
          <t>2.0 TS 150 Sport 5p</t>
        </is>
      </c>
      <c r="I208" s="2" t="n"/>
      <c r="J208" s="2" t="n">
        <v>150</v>
      </c>
      <c r="K208" s="2" t="inlineStr">
        <is>
          <t>gasolina</t>
        </is>
      </c>
      <c r="L208" s="2" t="inlineStr">
        <is>
          <t>compacto</t>
        </is>
      </c>
      <c r="M208" s="2" t="n">
        <v>2006</v>
      </c>
      <c r="N208" s="2" t="n">
        <v>150000</v>
      </c>
      <c r="O208" s="2" t="n">
        <v>4499</v>
      </c>
      <c r="P208" s="2" t="inlineStr">
        <is>
          <t>manual</t>
        </is>
      </c>
      <c r="Q208" s="2" t="inlineStr">
        <is>
          <t>no</t>
        </is>
      </c>
      <c r="R208" s="2" t="inlineStr">
        <is>
          <t>particular</t>
        </is>
      </c>
      <c r="S208" s="2" t="inlineStr">
        <is>
          <t>Valencia (46020)</t>
        </is>
      </c>
      <c r="T208" s="2" t="inlineStr">
        <is>
          <t>2026-10-16T13:00:30</t>
        </is>
      </c>
      <c r="U208" s="2" t="n">
        <v>5</v>
      </c>
      <c r="V208" s="2" t="n"/>
      <c r="W208" s="2" t="n"/>
      <c r="X208" s="2" t="n"/>
      <c r="Y208" s="2" t="n"/>
      <c r="Z208" s="2" t="n"/>
      <c r="AA208" s="2" t="n"/>
      <c r="AB208" s="2" t="n"/>
      <c r="AC208" s="2" t="n"/>
      <c r="AD208" s="2" t="n"/>
      <c r="AE208" s="2" t="n"/>
      <c r="AF208" s="2" t="n"/>
      <c r="AG208" s="2" t="n"/>
      <c r="AH208" s="2" t="n"/>
      <c r="AI208" s="2" t="n"/>
      <c r="AJ208" s="2" t="n"/>
      <c r="AK208" s="2" t="n"/>
      <c r="AL208" s="2" t="n"/>
      <c r="AM208" s="2" t="n">
        <v>1.1</v>
      </c>
      <c r="AN208" s="2" t="n"/>
      <c r="AO208" s="2" t="n"/>
      <c r="AP208" s="2" t="n">
        <v>2006</v>
      </c>
      <c r="AQ208" s="2" t="n"/>
      <c r="AR208" s="2" t="n"/>
      <c r="AS208" s="2" t="inlineStr">
        <is>
          <t>regla</t>
        </is>
      </c>
      <c r="AT208" s="2" t="n"/>
      <c r="AU208" s="2" t="inlineStr">
        <is>
          <t>no</t>
        </is>
      </c>
      <c r="AV208" s="2" t="inlineStr">
        <is>
          <t>C</t>
        </is>
      </c>
      <c r="AW208" s="2" t="n"/>
      <c r="AX208" s="2" t="inlineStr">
        <is>
          <t>no</t>
        </is>
      </c>
      <c r="AY208" s="2" t="inlineStr">
        <is>
          <t>sí</t>
        </is>
      </c>
      <c r="AZ208" s="2" t="n"/>
      <c r="BA208" s="2" t="n"/>
      <c r="BB208" s="3" t="n">
        <v>4</v>
      </c>
      <c r="BC208" s="3" t="inlineStr">
        <is>
          <t>Alfa Romeo 147 937 todos 2000-2010</t>
        </is>
      </c>
      <c r="BD208" s="2" t="inlineStr">
        <is>
          <t>sport</t>
        </is>
      </c>
      <c r="BE208" s="2" t="n"/>
      <c r="BF208" s="2" t="n"/>
      <c r="BG208" s="2" t="n"/>
      <c r="BH208" s="2" t="n"/>
      <c r="BI208" s="2" t="n"/>
      <c r="BJ208" s="2" t="n"/>
      <c r="BK208" s="2" t="n">
        <v>3</v>
      </c>
      <c r="BL208" s="2" t="n"/>
      <c r="BM208" s="2" t="n">
        <v>20</v>
      </c>
      <c r="BN208" s="2" t="n"/>
      <c r="BO208" s="2" t="n">
        <v>0</v>
      </c>
      <c r="BP208" s="2" t="n"/>
      <c r="BQ208" s="2" t="n"/>
      <c r="BR208" s="2" t="n"/>
      <c r="BS208" s="2" t="n"/>
      <c r="BT208" s="2" t="inlineStr">
        <is>
          <t>particular sin garantía: pedir informe DGT, historial ITV y revisión precompra; cuota fija ITP: &gt;12 años, 1.501-2.000 cc; etiqueta C deducida por fecha (sin matrícula ni dato del anuncio); revisar: no menciona la ITV; mediana con solo 1 anuncio(s)</t>
        </is>
      </c>
      <c r="BU208" s="2" t="inlineStr">
        <is>
          <t>Alfa Romeo, muy cuidado, cualquier duda pregunta
#AlfaRomeo #AlfaRomeo147 #Alfa147 #AlfaRomeo1473P #AlfaRomeo1475P #Alfa #147 #AlfaRomeoUsado #CocheUsado #CocheSegundaMano #CocheVenta #CocheEnVenta #VentaCoche #Coches #Automovil #Motor #CochesEspaña #CochesValencia #Valencia #Castellon #Wallapop #WallapopEspaña #Oportunidad #Oferta #CocheBarato #Coche #CocheDiesel #CocheGasolina #ItalianCar #ItalianCars #CochesItalianos #MotorItalia #AlfaFans #Alfisti #Alfista #AlfaRomeoFans #AlfaRomeoLovers #HotHatch #Compacto #CocheCompacto #CocheDeportivo #SegundaMano #Ocasion #BuenaCompra #VendoCoche #Venta #Vehiculo #VehiculoUsado #CocheValencia #Alfa147Valencia
.</t>
        </is>
      </c>
      <c r="BV208" s="2" t="inlineStr">
        <is>
          <t>https://es.wallapop.com/item/alfa-romeo-147-2006-1307578646 (__NEXT_DATA__ item) /home/user/Alopecia/buscador-coches/raw/wallapop/40fbd1082e8c3e1b.json</t>
        </is>
      </c>
      <c r="BW208" s="3">
        <f>MAX(ANIO_ACTUAL-M208,0)</f>
        <v/>
      </c>
      <c r="BX208" s="4">
        <f>N208/MAX(BW208,0.5)</f>
        <v/>
      </c>
      <c r="BY208" s="4">
        <f>F208</f>
        <v/>
      </c>
      <c r="BZ208" s="3">
        <f>BY208&amp;"|"&amp;INT(M208/SEG_ANIO)*SEG_ANIO</f>
        <v/>
      </c>
      <c r="CA208" s="3">
        <f>BZ208&amp;"|"&amp;INT(N208/SEG_KM)*SEG_KM</f>
        <v/>
      </c>
      <c r="CB208" s="4">
        <f>COUNTIF($BY$2:$BY$209,BY208)</f>
        <v/>
      </c>
      <c r="CC208" s="4">
        <f>COUNTIF($BZ$2:$BZ$209,BZ208)</f>
        <v/>
      </c>
      <c r="CD208" s="4">
        <f>COUNTIF($CA$2:$CA$209,CA208)</f>
        <v/>
      </c>
      <c r="CE208" s="3">
        <f t="array" ref="CE208">IF(N(BQ208)&gt;=MIN_N,BP208,IF(CD208&gt;=MIN_N,MEDIAN(IF($CA$2:$CA$209=CA208,$O$2:$O$209)),IF(CC208&gt;=MIN_N,MEDIAN(IF($BZ$2:$BZ$209=BZ208,$O$2:$O$209)),MEDIAN(IF($BY$2:$BY$209=BY208,$O$2:$O$209)))))</f>
        <v/>
      </c>
      <c r="CF208" s="3">
        <f>IF(N(BQ208)&gt;=MIN_N,"mercado "&amp;BR208,IF(CD208&gt;=MIN_N,"modelo+año+km",IF(CC208&gt;=MIN_N,"modelo+año","modelo")))</f>
        <v/>
      </c>
      <c r="CG208" s="4">
        <f>(CE208-O208)/CE208</f>
        <v/>
      </c>
      <c r="CH208" s="3">
        <f>IF(COUNTIFS(FR_FUEL,K208,FR_YEAR,AP208)&gt;0,1,0)</f>
        <v/>
      </c>
      <c r="CI208" s="3">
        <f>IF(COUNTIFS(FR_FUEL,K208,FR_YEAR,AP208-1)&gt;0,1,0)</f>
        <v/>
      </c>
      <c r="CJ208" s="4">
        <f>IF(N(AQ208)&gt;0,AP208*100+AQ208,IF(AND(CH208=1,CI208=1),(AP208-1)*100+1,AP208*100+1))</f>
        <v/>
      </c>
      <c r="CK208" s="3">
        <f>IF(OR(K208="hibrido",K208="glp",K208="gnc",K208="phev"),"ECO",IF(K208="electrico","CERO",IF(K208="gasolina",IF(CJ208&gt;=GAS_C_YM,"C",IF(CJ208&gt;=GAS_B_YM,"B","A")),IF(K208="diesel",IF(CJ208&gt;=DIE_C_YM,"C",IF(CJ208&gt;=DIE_B_YM,"B","A")),""))))</f>
        <v/>
      </c>
      <c r="CL208" s="4">
        <f>CK208</f>
        <v/>
      </c>
      <c r="CM208" s="4">
        <f>IF(AU208="sí","sí",IF(AS208="regla",IF(AND(N(AQ208)=0,CH208=1),"sí","no"),"no"))</f>
        <v/>
      </c>
      <c r="CN208" s="3">
        <f>IFERROR(VLOOKUP(F208,MOD_TBL,16,0),IFERROR(VLOOKUP(E208,OCU_TBL,2,0),NEUTRO))</f>
        <v/>
      </c>
      <c r="CO208" s="3">
        <f>SUMIFS(MOT_AJUSTE,MOT_MOTOR,G208,MOT_MARCA,E208,MOT_DESDE,"&lt;="&amp;M208,MOT_HASTA,"&gt;="&amp;M208)+SUMIFS(MOT_AJUSTE,MOT_MOTOR,G208,MOT_MARCA,"(todas)",MOT_DESDE,"&lt;="&amp;M208,MOT_HASTA,"&gt;="&amp;M208)+SUMIFS(MOT_AJUSTE,MOT_MOTOR,"(cualquiera)",MOT_MARCA,E208,MOT_DESDE,"&lt;="&amp;M208,MOT_HASTA,"&gt;="&amp;M208)</f>
        <v/>
      </c>
      <c r="CP208" s="3">
        <f>SUMIFS(COMB_AJUSTE,COMB_COMB,K208)</f>
        <v/>
      </c>
      <c r="CQ208" s="3">
        <f>COUNTIFS(MOT_MOTOR,G208,MOT_MARCA,E208,MOT_DESDE,"&lt;="&amp;M208,MOT_HASTA,"&gt;="&amp;M208)+COUNTIFS(MOT_MOTOR,G208,MOT_MARCA,"(todas)",MOT_DESDE,"&lt;="&amp;M208,MOT_HASTA,"&gt;="&amp;M208)+COUNTIFS(MOT_MOTOR,"(cualquiera)",MOT_MARCA,E208,MOT_DESDE,"&lt;="&amp;M208,MOT_HASTA,"&gt;="&amp;M208)</f>
        <v/>
      </c>
      <c r="CR208" s="3">
        <f>IF(AND(K208="diesel",CQ208=0),MIN(CN208,NEUTRO),CN208)</f>
        <v/>
      </c>
      <c r="CS208" s="3">
        <f>MAX(0,MIN(100,CR208+CO208+CP208-IF(AX208="sí",ROB_PEN,0)))</f>
        <v/>
      </c>
      <c r="CT208" s="3">
        <f>100-MAX(0,N208-KM_TOPE_DESDE)/1000*KM_TOPE_PTS</f>
        <v/>
      </c>
      <c r="CU208" s="3">
        <f>MAX(0,MIN(100,50+CG208*PRECIO_PEND,CT208))</f>
        <v/>
      </c>
      <c r="CV208" s="3">
        <f>MAX(0,100*(1-N208/KM_MAX))</f>
        <v/>
      </c>
      <c r="CW208" s="3">
        <f>IF(BX208&lt;KMA_SOSP,IF(AA208="sí",100,KMA_PEN),IF(BX208&lt;=KMA_IDEAL_MAX,100,MAX(0,100*(KMA_CERO-BX208)/(KMA_CERO-KMA_IDEAL_MAX))))</f>
        <v/>
      </c>
      <c r="CX208" s="3">
        <f>MAX(0,MIN(100,100*(M208-ANIO_MIN)/(ANIO_ACTUAL-ANIO_MIN)))</f>
        <v/>
      </c>
      <c r="CY208" s="3">
        <f>W_KMT*CV208+W_KMA*CW208+W_EDAD*CX208</f>
        <v/>
      </c>
      <c r="CZ208" s="4">
        <f>E208&amp;"|"&amp;G208</f>
        <v/>
      </c>
      <c r="DA208" s="3">
        <f>IFERROR(VLOOKUP(CZ208,DIST_TBL,2,0),"")</f>
        <v/>
      </c>
      <c r="DB208" s="3">
        <f>E_ITV*(V208="sí")+E_LIBRO*(W208="sí")+E_PROP*IF(Y208=1,1,IF(Y208=2,0.5,0))+E_CORREA*IF(OR(DA208="cadena",AND(X208="sí",BH208="sí")),1,IF(X208="sí",0.5,0))+E_FACT*(BI208="sí")</f>
        <v/>
      </c>
      <c r="DC208" s="3">
        <f>MAX(0,MIN(100,IFERROR(VLOOKUP(CL208,ETQ_TBL,2,0),0)-IF(CM208="sí",ETQ_PEN_DUD,IF(AS208="regla",ETQ_PEN_REGLA,0))))</f>
        <v/>
      </c>
      <c r="DD208" s="3">
        <f>IF(K208&lt;&gt;"gasolina","",IFERROR(VLOOKUP(F208,CONS_MOD_TBL,2,0),IFERROR(VLOOKUP(L208,CONS_SEG_TBL,2,0),"")))</f>
        <v/>
      </c>
      <c r="DE208" s="3">
        <f>IF(DD208="",NEUTRO,MAX(0,MIN(100,100*(CONS_REF_MAX-DD208)/(CONS_REF_MAX-CONS_REF_MIN))))</f>
        <v/>
      </c>
      <c r="DF208" s="3">
        <f>IFERROR(VLOOKUP(L208,SEGURO_TBL,3,0),"")</f>
        <v/>
      </c>
      <c r="DG208" s="3">
        <f>IF(DF208="",NEUTRO,MAX(0,MIN(100,100*(SEG_REF_MAX-DF208)/(SEG_REF_MAX-SEG_REF_MIN))))</f>
        <v/>
      </c>
      <c r="DH208" s="3">
        <f>IFERROR(VLOOKUP(E208,MANT_MARCA_TBL,2,0)+0,NEUTRO)</f>
        <v/>
      </c>
      <c r="DI208" s="3">
        <f>IF(DA208="",NEUTRO,IFERROR(VLOOKUP(DA208,DIST_PTS_TBL,2,0)+0,NEUTRO))</f>
        <v/>
      </c>
      <c r="DJ208" s="4">
        <f>(DH208+DI208)/2</f>
        <v/>
      </c>
      <c r="DK208" s="3">
        <f>W_CONS*DE208+W_SEG*DG208+W_MANT*DJ208</f>
        <v/>
      </c>
      <c r="DL208" s="3">
        <f>IF(N(AB208)&gt;0,AB208,IF(AND(R208="profesional",SG_LEGAL_ON=1),GAR_LEGAL,0))</f>
        <v/>
      </c>
      <c r="DM208" s="3">
        <f>MAX(0,MIN(100,SG_GAR*MIN(1,DL208/SG_GAR_FULL)+SG_AMPL*(AC208="sí")+SG_KMC*(AF208="sí")+SG_REV*(N(AE208)&gt;0)+SG_DEV*MIN(1,N(AG208)/SG_DEV_FULL)+SG_HIST*(W208="sí")-IF(AND(R208="particular",DL208=0),SG_PART_PEN,0)))</f>
        <v/>
      </c>
      <c r="DN208" s="3">
        <f>IF(BK208="",NEUTRO,MAX(0,MIN(100,BK208/5*100)))</f>
        <v/>
      </c>
      <c r="DO208" s="3">
        <f>IF(BL208="sí",100,IF(BL208="no",0,NEUTRO))</f>
        <v/>
      </c>
      <c r="DP208" s="3">
        <f>SV_W_NCAP*DN208+SV_W_ESP*DO208</f>
        <v/>
      </c>
      <c r="DQ208" s="3">
        <f>MAX(0,MIN(100,ATR_BASE+ATR_ACAB*(BD208&lt;&gt;"")+IF(BE208="16+",ATR_LL16,IF(BE208="sí",ATR_LL,0))+ATR_FAROS*(BF208="sí")+ATR_TINT*(BG208="sí")-ATR_CHAPA*(BE208="chapa")))</f>
        <v/>
      </c>
      <c r="DR208" s="3">
        <f>EST_W_MOD*(BB208-1)/4*100+EST_W_ATR*DQ208</f>
        <v/>
      </c>
      <c r="DS208" s="3">
        <f>IF(BA208="",NEUTRO,IFERROR(VLOOKUP(BA208,COLOR_TBL,2,0)+0,NEUTRO))</f>
        <v/>
      </c>
      <c r="DT208" s="3">
        <f>MAX(0,MIN(100,100*N(BM208)/RV_N_FULL))</f>
        <v/>
      </c>
      <c r="DU208" s="3">
        <f>IF(OR(BN208="",N(BO208)&lt;RV_DIAS_MIN),NEUTRO,MAX(0,MIN(100,100*(RV_DIAS_CERO-BN208)/(RV_DIAS_CERO-RV_DIAS_FULL))))</f>
        <v/>
      </c>
      <c r="DV208" s="3">
        <f>RV_W_LIQ*DT208+RV_W_DIAS*DU208+RV_W_ETQ*DC208</f>
        <v/>
      </c>
      <c r="DW208" s="3">
        <f>IFERROR(VLOOKUP(L208,CARR_PEN_TBL,2,0),0)</f>
        <v/>
      </c>
      <c r="DX208" s="3">
        <f>W_FIAB*CS208+W_PRECIO*CU208+W_KMEDAD*CY208+W_ESTADO*DB208+W_USO*DK208+W_SEGURIDAD*DM208+W_SEGVIAL*DP208+W_ESTETICA*DR208+W_COLOR*DS208+W_REVENTA*DV208-DW208-EG208</f>
        <v/>
      </c>
      <c r="DY208" s="4">
        <f>IF(N(I208)&gt;0,I208,IFERROR(ROUND(_xlfn.NUMBERVALUE(LEFT(G208,FIND(" ",G208&amp;" ")-1),".")*1000,0),99999))</f>
        <v/>
      </c>
      <c r="DZ208" s="3">
        <f>IF(R208="profesional",0,IF(O208&lt;CUOTA_VALOR_MAX,IF(BW208&gt;ITP_TRAMO_ALTO,SUMIFS(CF_CUOTA,CF_MAS,ITP_TRAMO_ALTO,CF_CCMIN,"&lt;="&amp;DY208,CF_CCMAX,"&gt;="&amp;DY208),IF(BW208&gt;ITP_TRAMO_BAJO,SUMIFS(CF_CUOTA,CF_MAS,ITP_TRAMO_BAJO,CF_CCMIN,"&lt;="&amp;DY208,CF_CCMAX,"&gt;="&amp;DY208),O208*ITP_TIPO)),O208*ITP_TIPO))</f>
        <v/>
      </c>
      <c r="EA208" s="4">
        <f>IF(R208="profesional",N(AK208),0)</f>
        <v/>
      </c>
      <c r="EB208" s="3">
        <f>IF(AND(R208="profesional",ISNUMBER(AK208),AL208="sí"),0,TASA_DGT)</f>
        <v/>
      </c>
      <c r="EC208" s="3">
        <f>INFORME_DGT</f>
        <v/>
      </c>
      <c r="ED208" s="4">
        <f>O208+EA208+DZ208+EB208+EC208</f>
        <v/>
      </c>
      <c r="EE208" s="4">
        <f>ED208+N(DF208)</f>
        <v/>
      </c>
      <c r="EF208" s="3">
        <f>MAX(0,ED208-TOTAL_MAX)</f>
        <v/>
      </c>
      <c r="EG208" s="3">
        <f>EF208/100*PEN_100</f>
        <v/>
      </c>
      <c r="EH208" s="3">
        <f>IF(R208="particular",ED208+IF(AND(DA208&lt;&gt;"cadena",X208&lt;&gt;"sí"),RES_CORREA,0)+IF(AND(BJ208&lt;&gt;"sí",BW208&gt;=RES_NEUM_EDAD),RES_NEUM,0),"")</f>
        <v/>
      </c>
      <c r="EI208" s="3">
        <f>IF(ED208&lt;=TOTAL_MAX,"sí",IF(ED208&lt;=TECHO,"negociar","no"))</f>
        <v/>
      </c>
      <c r="EJ208" s="4">
        <f>ROUND(DX208,9)</f>
        <v/>
      </c>
      <c r="EK208" s="4">
        <f>IF(EI208&lt;&gt;"no",SUMPRODUCT(($EI$2:$EI$209&lt;&gt;"no")*($EJ$2:$EJ$209&gt;EJ208))+SUMPRODUCT(($EI$2:EI208&lt;&gt;"no")*($EJ$2:EJ208=EJ208)),"")</f>
        <v/>
      </c>
    </row>
    <row r="209">
      <c r="A209" s="2" t="inlineStr">
        <is>
          <t>wallapop:1318617797</t>
        </is>
      </c>
      <c r="B209" s="2" t="inlineStr">
        <is>
          <t>wallapop</t>
        </is>
      </c>
      <c r="C209" s="2" t="inlineStr">
        <is>
          <t>https://es.wallapop.com/item/alfa-romeo-159-jtd-2009-1318617797</t>
        </is>
      </c>
      <c r="D209" s="2" t="inlineStr">
        <is>
          <t>Alfa Romeo 159 jtd 2009</t>
        </is>
      </c>
      <c r="E209" s="2" t="inlineStr">
        <is>
          <t>Alfa Romeo</t>
        </is>
      </c>
      <c r="F209" s="2" t="inlineStr">
        <is>
          <t>Alfa Romeo 159</t>
        </is>
      </c>
      <c r="G209" s="2" t="inlineStr">
        <is>
          <t>1.9 Multijet</t>
        </is>
      </c>
      <c r="H209" s="2" t="inlineStr">
        <is>
          <t>1.9</t>
        </is>
      </c>
      <c r="I209" s="2" t="n"/>
      <c r="J209" s="2" t="n">
        <v>150</v>
      </c>
      <c r="K209" s="2" t="inlineStr">
        <is>
          <t>diesel</t>
        </is>
      </c>
      <c r="L209" s="2" t="inlineStr">
        <is>
          <t>berlina_d</t>
        </is>
      </c>
      <c r="M209" s="2" t="n">
        <v>2009</v>
      </c>
      <c r="N209" s="2" t="n">
        <v>95000</v>
      </c>
      <c r="O209" s="2" t="n">
        <v>2800</v>
      </c>
      <c r="P209" s="2" t="inlineStr">
        <is>
          <t>manual</t>
        </is>
      </c>
      <c r="Q209" s="2" t="inlineStr">
        <is>
          <t>no</t>
        </is>
      </c>
      <c r="R209" s="2" t="inlineStr">
        <is>
          <t>particular</t>
        </is>
      </c>
      <c r="S209" s="2" t="inlineStr">
        <is>
          <t>Valencia (46002)</t>
        </is>
      </c>
      <c r="T209" s="2" t="inlineStr">
        <is>
          <t>2026-10-29T22:17:29</t>
        </is>
      </c>
      <c r="U209" s="2" t="n">
        <v>4</v>
      </c>
      <c r="V209" s="2" t="n"/>
      <c r="W209" s="2" t="n"/>
      <c r="X209" s="2" t="n"/>
      <c r="Y209" s="2" t="n">
        <v>1</v>
      </c>
      <c r="Z209" s="2" t="n"/>
      <c r="AA209" s="2" t="n"/>
      <c r="AB209" s="2" t="n"/>
      <c r="AC209" s="2" t="n"/>
      <c r="AD209" s="2" t="n"/>
      <c r="AE209" s="2" t="n"/>
      <c r="AF209" s="2" t="n"/>
      <c r="AG209" s="2" t="n"/>
      <c r="AH209" s="2" t="n"/>
      <c r="AI209" s="2" t="n"/>
      <c r="AJ209" s="2" t="n"/>
      <c r="AK209" s="2" t="n"/>
      <c r="AL209" s="2" t="n"/>
      <c r="AM209" s="2" t="n">
        <v>0</v>
      </c>
      <c r="AN209" s="2" t="n"/>
      <c r="AO209" s="2" t="n"/>
      <c r="AP209" s="2" t="n">
        <v>2009</v>
      </c>
      <c r="AQ209" s="2" t="n"/>
      <c r="AR209" s="2" t="n"/>
      <c r="AS209" s="2" t="inlineStr">
        <is>
          <t>regla</t>
        </is>
      </c>
      <c r="AT209" s="2" t="n"/>
      <c r="AU209" s="2" t="inlineStr">
        <is>
          <t>no</t>
        </is>
      </c>
      <c r="AV209" s="2" t="inlineStr">
        <is>
          <t>B</t>
        </is>
      </c>
      <c r="AW209" s="2" t="n"/>
      <c r="AX209" s="2" t="inlineStr">
        <is>
          <t>no</t>
        </is>
      </c>
      <c r="AY209" s="2" t="inlineStr">
        <is>
          <t>sí</t>
        </is>
      </c>
      <c r="AZ209" s="2" t="n"/>
      <c r="BA209" s="2" t="n"/>
      <c r="BB209" s="3" t="n">
        <v>4</v>
      </c>
      <c r="BC209" s="3" t="inlineStr">
        <is>
          <t>Alfa Romeo 159 939 todos 2005-2011</t>
        </is>
      </c>
      <c r="BD209" s="2" t="n"/>
      <c r="BE209" s="2" t="n"/>
      <c r="BF209" s="2" t="n"/>
      <c r="BG209" s="2" t="n"/>
      <c r="BH209" s="2" t="n"/>
      <c r="BI209" s="2" t="n"/>
      <c r="BJ209" s="2" t="n"/>
      <c r="BK209" s="2" t="n">
        <v>5</v>
      </c>
      <c r="BL209" s="2" t="inlineStr">
        <is>
          <t>sí</t>
        </is>
      </c>
      <c r="BM209" s="2" t="n">
        <v>5</v>
      </c>
      <c r="BN209" s="2" t="n"/>
      <c r="BO209" s="2" t="n">
        <v>0</v>
      </c>
      <c r="BP209" s="2" t="n">
        <v>3395</v>
      </c>
      <c r="BQ209" s="2" t="n">
        <v>4</v>
      </c>
      <c r="BR209" s="2" t="inlineStr">
        <is>
          <t>modelo+año</t>
        </is>
      </c>
      <c r="BS209" s="2" t="n"/>
      <c r="BT209" s="2" t="inlineStr">
        <is>
          <t>particular sin garantía: pedir informe DGT, historial ITV y revisión precompra; cuota fija ITP: &gt;12 años, 1.501-2.000 cc; diésel: motor sin fuente de fiabilidad (fiabilidad limitada a neutra); etiqueta B deducida por fecha (sin matrícula ni dato del anuncio); revisar: no menciona la ITV</t>
        </is>
      </c>
      <c r="BU209" s="2" t="inlineStr">
        <is>
          <t>Falta de pintura y Problema sonido motor ( no se ha inspeccionado por necesidad de uso )
El coche arranca pero produce un sonido proveniente del motor, o sistema de los inyectores. 
Utilizado de casa al trabajo y del trabajo a casa como 3r coche
UNICO PROPIETARIO 95.000km
Interior en PERFECTAS CONDICIONES</t>
        </is>
      </c>
      <c r="BV209" s="2" t="inlineStr">
        <is>
          <t>https://es.wallapop.com/item/alfa-romeo-159-jtd-2009-1318617797 (__NEXT_DATA__ item) /home/user/Alopecia/buscador-coches/raw/wallapop/74bf42d9100ada39.json</t>
        </is>
      </c>
      <c r="BW209" s="3">
        <f>MAX(ANIO_ACTUAL-M209,0)</f>
        <v/>
      </c>
      <c r="BX209" s="4">
        <f>N209/MAX(BW209,0.5)</f>
        <v/>
      </c>
      <c r="BY209" s="4">
        <f>F209</f>
        <v/>
      </c>
      <c r="BZ209" s="3">
        <f>BY209&amp;"|"&amp;INT(M209/SEG_ANIO)*SEG_ANIO</f>
        <v/>
      </c>
      <c r="CA209" s="3">
        <f>BZ209&amp;"|"&amp;INT(N209/SEG_KM)*SEG_KM</f>
        <v/>
      </c>
      <c r="CB209" s="4">
        <f>COUNTIF($BY$2:$BY$209,BY209)</f>
        <v/>
      </c>
      <c r="CC209" s="4">
        <f>COUNTIF($BZ$2:$BZ$209,BZ209)</f>
        <v/>
      </c>
      <c r="CD209" s="4">
        <f>COUNTIF($CA$2:$CA$209,CA209)</f>
        <v/>
      </c>
      <c r="CE209" s="3">
        <f t="array" ref="CE209">IF(N(BQ209)&gt;=MIN_N,BP209,IF(CD209&gt;=MIN_N,MEDIAN(IF($CA$2:$CA$209=CA209,$O$2:$O$209)),IF(CC209&gt;=MIN_N,MEDIAN(IF($BZ$2:$BZ$209=BZ209,$O$2:$O$209)),MEDIAN(IF($BY$2:$BY$209=BY209,$O$2:$O$209)))))</f>
        <v/>
      </c>
      <c r="CF209" s="3">
        <f>IF(N(BQ209)&gt;=MIN_N,"mercado "&amp;BR209,IF(CD209&gt;=MIN_N,"modelo+año+km",IF(CC209&gt;=MIN_N,"modelo+año","modelo")))</f>
        <v/>
      </c>
      <c r="CG209" s="4">
        <f>(CE209-O209)/CE209</f>
        <v/>
      </c>
      <c r="CH209" s="3">
        <f>IF(COUNTIFS(FR_FUEL,K209,FR_YEAR,AP209)&gt;0,1,0)</f>
        <v/>
      </c>
      <c r="CI209" s="3">
        <f>IF(COUNTIFS(FR_FUEL,K209,FR_YEAR,AP209-1)&gt;0,1,0)</f>
        <v/>
      </c>
      <c r="CJ209" s="4">
        <f>IF(N(AQ209)&gt;0,AP209*100+AQ209,IF(AND(CH209=1,CI209=1),(AP209-1)*100+1,AP209*100+1))</f>
        <v/>
      </c>
      <c r="CK209" s="3">
        <f>IF(OR(K209="hibrido",K209="glp",K209="gnc",K209="phev"),"ECO",IF(K209="electrico","CERO",IF(K209="gasolina",IF(CJ209&gt;=GAS_C_YM,"C",IF(CJ209&gt;=GAS_B_YM,"B","A")),IF(K209="diesel",IF(CJ209&gt;=DIE_C_YM,"C",IF(CJ209&gt;=DIE_B_YM,"B","A")),""))))</f>
        <v/>
      </c>
      <c r="CL209" s="4">
        <f>CK209</f>
        <v/>
      </c>
      <c r="CM209" s="4">
        <f>IF(AU209="sí","sí",IF(AS209="regla",IF(AND(N(AQ209)=0,CH209=1),"sí","no"),"no"))</f>
        <v/>
      </c>
      <c r="CN209" s="3">
        <f>IFERROR(VLOOKUP(F209,MOD_TBL,16,0),IFERROR(VLOOKUP(E209,OCU_TBL,2,0),NEUTRO))</f>
        <v/>
      </c>
      <c r="CO209" s="3">
        <f>SUMIFS(MOT_AJUSTE,MOT_MOTOR,G209,MOT_MARCA,E209,MOT_DESDE,"&lt;="&amp;M209,MOT_HASTA,"&gt;="&amp;M209)+SUMIFS(MOT_AJUSTE,MOT_MOTOR,G209,MOT_MARCA,"(todas)",MOT_DESDE,"&lt;="&amp;M209,MOT_HASTA,"&gt;="&amp;M209)+SUMIFS(MOT_AJUSTE,MOT_MOTOR,"(cualquiera)",MOT_MARCA,E209,MOT_DESDE,"&lt;="&amp;M209,MOT_HASTA,"&gt;="&amp;M209)</f>
        <v/>
      </c>
      <c r="CP209" s="3">
        <f>SUMIFS(COMB_AJUSTE,COMB_COMB,K209)</f>
        <v/>
      </c>
      <c r="CQ209" s="3">
        <f>COUNTIFS(MOT_MOTOR,G209,MOT_MARCA,E209,MOT_DESDE,"&lt;="&amp;M209,MOT_HASTA,"&gt;="&amp;M209)+COUNTIFS(MOT_MOTOR,G209,MOT_MARCA,"(todas)",MOT_DESDE,"&lt;="&amp;M209,MOT_HASTA,"&gt;="&amp;M209)+COUNTIFS(MOT_MOTOR,"(cualquiera)",MOT_MARCA,E209,MOT_DESDE,"&lt;="&amp;M209,MOT_HASTA,"&gt;="&amp;M209)</f>
        <v/>
      </c>
      <c r="CR209" s="3">
        <f>IF(AND(K209="diesel",CQ209=0),MIN(CN209,NEUTRO),CN209)</f>
        <v/>
      </c>
      <c r="CS209" s="3">
        <f>MAX(0,MIN(100,CR209+CO209+CP209-IF(AX209="sí",ROB_PEN,0)))</f>
        <v/>
      </c>
      <c r="CT209" s="3">
        <f>100-MAX(0,N209-KM_TOPE_DESDE)/1000*KM_TOPE_PTS</f>
        <v/>
      </c>
      <c r="CU209" s="3">
        <f>MAX(0,MIN(100,50+CG209*PRECIO_PEND,CT209))</f>
        <v/>
      </c>
      <c r="CV209" s="3">
        <f>MAX(0,100*(1-N209/KM_MAX))</f>
        <v/>
      </c>
      <c r="CW209" s="3">
        <f>IF(BX209&lt;KMA_SOSP,IF(AA209="sí",100,KMA_PEN),IF(BX209&lt;=KMA_IDEAL_MAX,100,MAX(0,100*(KMA_CERO-BX209)/(KMA_CERO-KMA_IDEAL_MAX))))</f>
        <v/>
      </c>
      <c r="CX209" s="3">
        <f>MAX(0,MIN(100,100*(M209-ANIO_MIN)/(ANIO_ACTUAL-ANIO_MIN)))</f>
        <v/>
      </c>
      <c r="CY209" s="3">
        <f>W_KMT*CV209+W_KMA*CW209+W_EDAD*CX209</f>
        <v/>
      </c>
      <c r="CZ209" s="4">
        <f>E209&amp;"|"&amp;G209</f>
        <v/>
      </c>
      <c r="DA209" s="3">
        <f>IFERROR(VLOOKUP(CZ209,DIST_TBL,2,0),"")</f>
        <v/>
      </c>
      <c r="DB209" s="3">
        <f>E_ITV*(V209="sí")+E_LIBRO*(W209="sí")+E_PROP*IF(Y209=1,1,IF(Y209=2,0.5,0))+E_CORREA*IF(OR(DA209="cadena",AND(X209="sí",BH209="sí")),1,IF(X209="sí",0.5,0))+E_FACT*(BI209="sí")</f>
        <v/>
      </c>
      <c r="DC209" s="3">
        <f>MAX(0,MIN(100,IFERROR(VLOOKUP(CL209,ETQ_TBL,2,0),0)-IF(CM209="sí",ETQ_PEN_DUD,IF(AS209="regla",ETQ_PEN_REGLA,0))))</f>
        <v/>
      </c>
      <c r="DD209" s="3">
        <f>IF(K209&lt;&gt;"gasolina","",IFERROR(VLOOKUP(F209,CONS_MOD_TBL,2,0),IFERROR(VLOOKUP(L209,CONS_SEG_TBL,2,0),"")))</f>
        <v/>
      </c>
      <c r="DE209" s="3">
        <f>IF(DD209="",NEUTRO,MAX(0,MIN(100,100*(CONS_REF_MAX-DD209)/(CONS_REF_MAX-CONS_REF_MIN))))</f>
        <v/>
      </c>
      <c r="DF209" s="3">
        <f>IFERROR(VLOOKUP(L209,SEGURO_TBL,3,0),"")</f>
        <v/>
      </c>
      <c r="DG209" s="3">
        <f>IF(DF209="",NEUTRO,MAX(0,MIN(100,100*(SEG_REF_MAX-DF209)/(SEG_REF_MAX-SEG_REF_MIN))))</f>
        <v/>
      </c>
      <c r="DH209" s="3">
        <f>IFERROR(VLOOKUP(E209,MANT_MARCA_TBL,2,0)+0,NEUTRO)</f>
        <v/>
      </c>
      <c r="DI209" s="3">
        <f>IF(DA209="",NEUTRO,IFERROR(VLOOKUP(DA209,DIST_PTS_TBL,2,0)+0,NEUTRO))</f>
        <v/>
      </c>
      <c r="DJ209" s="4">
        <f>(DH209+DI209)/2</f>
        <v/>
      </c>
      <c r="DK209" s="3">
        <f>W_CONS*DE209+W_SEG*DG209+W_MANT*DJ209</f>
        <v/>
      </c>
      <c r="DL209" s="3">
        <f>IF(N(AB209)&gt;0,AB209,IF(AND(R209="profesional",SG_LEGAL_ON=1),GAR_LEGAL,0))</f>
        <v/>
      </c>
      <c r="DM209" s="3">
        <f>MAX(0,MIN(100,SG_GAR*MIN(1,DL209/SG_GAR_FULL)+SG_AMPL*(AC209="sí")+SG_KMC*(AF209="sí")+SG_REV*(N(AE209)&gt;0)+SG_DEV*MIN(1,N(AG209)/SG_DEV_FULL)+SG_HIST*(W209="sí")-IF(AND(R209="particular",DL209=0),SG_PART_PEN,0)))</f>
        <v/>
      </c>
      <c r="DN209" s="3">
        <f>IF(BK209="",NEUTRO,MAX(0,MIN(100,BK209/5*100)))</f>
        <v/>
      </c>
      <c r="DO209" s="3">
        <f>IF(BL209="sí",100,IF(BL209="no",0,NEUTRO))</f>
        <v/>
      </c>
      <c r="DP209" s="3">
        <f>SV_W_NCAP*DN209+SV_W_ESP*DO209</f>
        <v/>
      </c>
      <c r="DQ209" s="3">
        <f>MAX(0,MIN(100,ATR_BASE+ATR_ACAB*(BD209&lt;&gt;"")+IF(BE209="16+",ATR_LL16,IF(BE209="sí",ATR_LL,0))+ATR_FAROS*(BF209="sí")+ATR_TINT*(BG209="sí")-ATR_CHAPA*(BE209="chapa")))</f>
        <v/>
      </c>
      <c r="DR209" s="3">
        <f>EST_W_MOD*(BB209-1)/4*100+EST_W_ATR*DQ209</f>
        <v/>
      </c>
      <c r="DS209" s="3">
        <f>IF(BA209="",NEUTRO,IFERROR(VLOOKUP(BA209,COLOR_TBL,2,0)+0,NEUTRO))</f>
        <v/>
      </c>
      <c r="DT209" s="3">
        <f>MAX(0,MIN(100,100*N(BM209)/RV_N_FULL))</f>
        <v/>
      </c>
      <c r="DU209" s="3">
        <f>IF(OR(BN209="",N(BO209)&lt;RV_DIAS_MIN),NEUTRO,MAX(0,MIN(100,100*(RV_DIAS_CERO-BN209)/(RV_DIAS_CERO-RV_DIAS_FULL))))</f>
        <v/>
      </c>
      <c r="DV209" s="3">
        <f>RV_W_LIQ*DT209+RV_W_DIAS*DU209+RV_W_ETQ*DC209</f>
        <v/>
      </c>
      <c r="DW209" s="3">
        <f>IFERROR(VLOOKUP(L209,CARR_PEN_TBL,2,0),0)</f>
        <v/>
      </c>
      <c r="DX209" s="3">
        <f>W_FIAB*CS209+W_PRECIO*CU209+W_KMEDAD*CY209+W_ESTADO*DB209+W_USO*DK209+W_SEGURIDAD*DM209+W_SEGVIAL*DP209+W_ESTETICA*DR209+W_COLOR*DS209+W_REVENTA*DV209-DW209-EG209</f>
        <v/>
      </c>
      <c r="DY209" s="4">
        <f>IF(N(I209)&gt;0,I209,IFERROR(ROUND(_xlfn.NUMBERVALUE(LEFT(G209,FIND(" ",G209&amp;" ")-1),".")*1000,0),99999))</f>
        <v/>
      </c>
      <c r="DZ209" s="3">
        <f>IF(R209="profesional",0,IF(O209&lt;CUOTA_VALOR_MAX,IF(BW209&gt;ITP_TRAMO_ALTO,SUMIFS(CF_CUOTA,CF_MAS,ITP_TRAMO_ALTO,CF_CCMIN,"&lt;="&amp;DY209,CF_CCMAX,"&gt;="&amp;DY209),IF(BW209&gt;ITP_TRAMO_BAJO,SUMIFS(CF_CUOTA,CF_MAS,ITP_TRAMO_BAJO,CF_CCMIN,"&lt;="&amp;DY209,CF_CCMAX,"&gt;="&amp;DY209),O209*ITP_TIPO)),O209*ITP_TIPO))</f>
        <v/>
      </c>
      <c r="EA209" s="4">
        <f>IF(R209="profesional",N(AK209),0)</f>
        <v/>
      </c>
      <c r="EB209" s="3">
        <f>IF(AND(R209="profesional",ISNUMBER(AK209),AL209="sí"),0,TASA_DGT)</f>
        <v/>
      </c>
      <c r="EC209" s="3">
        <f>INFORME_DGT</f>
        <v/>
      </c>
      <c r="ED209" s="4">
        <f>O209+EA209+DZ209+EB209+EC209</f>
        <v/>
      </c>
      <c r="EE209" s="4">
        <f>ED209+N(DF209)</f>
        <v/>
      </c>
      <c r="EF209" s="3">
        <f>MAX(0,ED209-TOTAL_MAX)</f>
        <v/>
      </c>
      <c r="EG209" s="3">
        <f>EF209/100*PEN_100</f>
        <v/>
      </c>
      <c r="EH209" s="3">
        <f>IF(R209="particular",ED209+IF(AND(DA209&lt;&gt;"cadena",X209&lt;&gt;"sí"),RES_CORREA,0)+IF(AND(BJ209&lt;&gt;"sí",BW209&gt;=RES_NEUM_EDAD),RES_NEUM,0),"")</f>
        <v/>
      </c>
      <c r="EI209" s="3">
        <f>IF(ED209&lt;=TOTAL_MAX,"sí",IF(ED209&lt;=TECHO,"negociar","no"))</f>
        <v/>
      </c>
      <c r="EJ209" s="4">
        <f>ROUND(DX209,9)</f>
        <v/>
      </c>
      <c r="EK209" s="4">
        <f>IF(EI209&lt;&gt;"no",SUMPRODUCT(($EI$2:$EI$209&lt;&gt;"no")*($EJ$2:$EJ$209&gt;EJ209))+SUMPRODUCT(($EI$2:EI209&lt;&gt;"no")*($EJ$2:EJ209=EJ209)),"")</f>
        <v/>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B23"/>
  <sheetViews>
    <sheetView workbookViewId="0">
      <selection activeCell="A1" sqref="A1"/>
    </sheetView>
  </sheetViews>
  <sheetFormatPr baseColWidth="8" defaultRowHeight="15"/>
  <cols>
    <col width="14" customWidth="1" min="1" max="1"/>
    <col width="14" customWidth="1" min="2" max="2"/>
    <col width="14" customWidth="1" min="3" max="3"/>
    <col width="40"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s>
  <sheetData>
    <row r="1">
      <c r="A1" s="1" t="inlineStr">
        <is>
          <t>Puesto</t>
        </is>
      </c>
      <c r="B1" s="1" t="inlineStr">
        <is>
          <t>Fila en Anuncios</t>
        </is>
      </c>
      <c r="C1" s="1" t="inlineStr">
        <is>
          <t>Enlace</t>
        </is>
      </c>
      <c r="D1" s="1" t="inlineStr">
        <is>
          <t>Título</t>
        </is>
      </c>
      <c r="E1" s="1" t="inlineStr">
        <is>
          <t>Plataforma</t>
        </is>
      </c>
      <c r="F1" s="1" t="inlineStr">
        <is>
          <t>Marca</t>
        </is>
      </c>
      <c r="G1" s="1" t="inlineStr">
        <is>
          <t>Modelo</t>
        </is>
      </c>
      <c r="H1" s="1" t="inlineStr">
        <is>
          <t>Motor</t>
        </is>
      </c>
      <c r="I1" s="1" t="inlineStr">
        <is>
          <t>Combustible</t>
        </is>
      </c>
      <c r="J1" s="1" t="inlineStr">
        <is>
          <t>Año</t>
        </is>
      </c>
      <c r="K1" s="1" t="inlineStr">
        <is>
          <t>Km</t>
        </is>
      </c>
      <c r="L1" s="1" t="inlineStr">
        <is>
          <t>Automático</t>
        </is>
      </c>
      <c r="M1" s="1" t="inlineStr">
        <is>
          <t>Vendedor</t>
        </is>
      </c>
      <c r="N1" s="1" t="inlineStr">
        <is>
          <t>Precio contado (€)</t>
        </is>
      </c>
      <c r="O1" s="1" t="inlineStr">
        <is>
          <t>Solo financiando</t>
        </is>
      </c>
      <c r="P1" s="1" t="inlineStr">
        <is>
          <t>Garantía efectiva (meses)</t>
        </is>
      </c>
      <c r="Q1" s="1" t="inlineStr">
        <is>
          <t>Gastos vendedor (€)</t>
        </is>
      </c>
      <c r="R1" s="1" t="inlineStr">
        <is>
          <t>ITP (€)</t>
        </is>
      </c>
      <c r="S1" s="1" t="inlineStr">
        <is>
          <t>Coste total (€)</t>
        </is>
      </c>
      <c r="T1" s="1" t="inlineStr">
        <is>
          <t>€ a negociar (exceso sobre presupuesto)</t>
        </is>
      </c>
      <c r="U1" s="1" t="inlineStr">
        <is>
          <t>Coste real estimado particular (€)</t>
        </is>
      </c>
      <c r="V1" s="1" t="inlineStr">
        <is>
          <t>Mediana segmento (€)</t>
        </is>
      </c>
      <c r="W1" s="1" t="inlineStr">
        <is>
          <t>Descuento</t>
        </is>
      </c>
      <c r="X1" s="1" t="inlineStr">
        <is>
          <t>Etiqueta</t>
        </is>
      </c>
      <c r="Y1" s="1" t="inlineStr">
        <is>
          <t>Fuente etiqueta</t>
        </is>
      </c>
      <c r="Z1" s="1" t="inlineStr">
        <is>
          <t>Etiquetas posibles</t>
        </is>
      </c>
      <c r="AA1" s="1" t="inlineStr">
        <is>
          <t>Etiqueta dudosa</t>
        </is>
      </c>
      <c r="AB1" s="1" t="inlineStr">
        <is>
          <t>Color</t>
        </is>
      </c>
      <c r="AC1" s="1" t="inlineStr">
        <is>
          <t>Estética modelo (1-5)</t>
        </is>
      </c>
      <c r="AD1" s="1" t="inlineStr">
        <is>
          <t>Euro NCAP</t>
        </is>
      </c>
      <c r="AE1" s="1" t="inlineStr">
        <is>
          <t>ESP</t>
        </is>
      </c>
      <c r="AF1" s="1" t="inlineStr">
        <is>
          <t>P. Fiabilidad</t>
        </is>
      </c>
      <c r="AG1" s="1" t="inlineStr">
        <is>
          <t>P. Precio</t>
        </is>
      </c>
      <c r="AH1" s="1" t="inlineStr">
        <is>
          <t>P. Estado y mant.</t>
        </is>
      </c>
      <c r="AI1" s="1" t="inlineStr">
        <is>
          <t>P. Estética</t>
        </is>
      </c>
      <c r="AJ1" s="1" t="inlineStr">
        <is>
          <t>P. Seguridad</t>
        </is>
      </c>
      <c r="AK1" s="1" t="inlineStr">
        <is>
          <t>P. Seguridad compra</t>
        </is>
      </c>
      <c r="AL1" s="1" t="inlineStr">
        <is>
          <t>P. Coste uso</t>
        </is>
      </c>
      <c r="AM1" s="1" t="inlineStr">
        <is>
          <t>P. Km y edad</t>
        </is>
      </c>
      <c r="AN1" s="1" t="inlineStr">
        <is>
          <t>P. Reventa</t>
        </is>
      </c>
      <c r="AO1" s="1" t="inlineStr">
        <is>
          <t>P. Color</t>
        </is>
      </c>
      <c r="AP1" s="1" t="inlineStr">
        <is>
          <t>Penal. presupuesto</t>
        </is>
      </c>
      <c r="AQ1" s="1" t="inlineStr">
        <is>
          <t>PUNTUACIÓN</t>
        </is>
      </c>
      <c r="AR1" s="1" t="inlineStr">
        <is>
          <t>Avisos</t>
        </is>
      </c>
      <c r="AS1" s="1" t="inlineStr">
        <is>
          <t>Aport. Fiabilidad</t>
        </is>
      </c>
      <c r="AT1" s="1" t="inlineStr">
        <is>
          <t>Aport. Precio</t>
        </is>
      </c>
      <c r="AU1" s="1" t="inlineStr">
        <is>
          <t>Aport. Estado y mant.</t>
        </is>
      </c>
      <c r="AV1" s="1" t="inlineStr">
        <is>
          <t>Aport. Estética</t>
        </is>
      </c>
      <c r="AW1" s="1" t="inlineStr">
        <is>
          <t>Aport. Seguridad</t>
        </is>
      </c>
      <c r="AX1" s="1" t="inlineStr">
        <is>
          <t>Aport. Seguridad compra</t>
        </is>
      </c>
      <c r="AY1" s="1" t="inlineStr">
        <is>
          <t>Aport. Coste uso</t>
        </is>
      </c>
      <c r="AZ1" s="1" t="inlineStr">
        <is>
          <t>Aport. Km y edad</t>
        </is>
      </c>
      <c r="BA1" s="1" t="inlineStr">
        <is>
          <t>Aport. Reventa</t>
        </is>
      </c>
      <c r="BB1" s="1" t="inlineStr">
        <is>
          <t>Aport. Color</t>
        </is>
      </c>
    </row>
    <row r="2">
      <c r="A2" s="2" t="n">
        <v>1</v>
      </c>
      <c r="B2" s="3">
        <f>IFERROR(MATCH(A2,Anuncios!$EK$2:$EK$209,0),"")</f>
        <v/>
      </c>
      <c r="C2" s="3">
        <f>IF(B2="","",HYPERLINK(INDEX(Anuncios!$C$2:$C$209,B2),"Abrir anuncio"))</f>
        <v/>
      </c>
      <c r="D2" s="3">
        <f>IF($B2="","",INDEX(Anuncios!$D$2:$D$209,$B2))</f>
        <v/>
      </c>
      <c r="E2" s="3">
        <f>IF($B2="","",INDEX(Anuncios!$B$2:$B$209,$B2))</f>
        <v/>
      </c>
      <c r="F2" s="3">
        <f>IF($B2="","",INDEX(Anuncios!$E$2:$E$209,$B2))</f>
        <v/>
      </c>
      <c r="G2" s="3">
        <f>IF($B2="","",INDEX(Anuncios!$F$2:$F$209,$B2))</f>
        <v/>
      </c>
      <c r="H2" s="3">
        <f>IF($B2="","",INDEX(Anuncios!$G$2:$G$209,$B2))</f>
        <v/>
      </c>
      <c r="I2" s="3">
        <f>IF($B2="","",INDEX(Anuncios!$K$2:$K$209,$B2))</f>
        <v/>
      </c>
      <c r="J2" s="3">
        <f>IF($B2="","",INDEX(Anuncios!$M$2:$M$209,$B2))</f>
        <v/>
      </c>
      <c r="K2" s="3">
        <f>IF($B2="","",INDEX(Anuncios!$N$2:$N$209,$B2))</f>
        <v/>
      </c>
      <c r="L2" s="3">
        <f>IF($B2="","",INDEX(Anuncios!$Q$2:$Q$209,$B2))</f>
        <v/>
      </c>
      <c r="M2" s="3">
        <f>IF($B2="","",INDEX(Anuncios!$R$2:$R$209,$B2))</f>
        <v/>
      </c>
      <c r="N2" s="3">
        <f>IF($B2="","",INDEX(Anuncios!$O$2:$O$209,$B2))</f>
        <v/>
      </c>
      <c r="O2" s="3">
        <f>IF($B2="","",INDEX(Anuncios!$AJ$2:$AJ$209,$B2))</f>
        <v/>
      </c>
      <c r="P2" s="3">
        <f>IF($B2="","",INDEX(Anuncios!$DL$2:$DL$209,$B2))</f>
        <v/>
      </c>
      <c r="Q2" s="3">
        <f>IF($B2="","",INDEX(Anuncios!$EA$2:$EA$209,$B2))</f>
        <v/>
      </c>
      <c r="R2" s="3">
        <f>IF($B2="","",INDEX(Anuncios!$DZ$2:$DZ$209,$B2))</f>
        <v/>
      </c>
      <c r="S2" s="3">
        <f>IF($B2="","",INDEX(Anuncios!$ED$2:$ED$209,$B2))</f>
        <v/>
      </c>
      <c r="T2" s="3">
        <f>IF($B2="","",INDEX(Anuncios!$EF$2:$EF$209,$B2))</f>
        <v/>
      </c>
      <c r="U2" s="3">
        <f>IF($B2="","",INDEX(Anuncios!$EH$2:$EH$209,$B2))</f>
        <v/>
      </c>
      <c r="V2" s="3">
        <f>IF($B2="","",INDEX(Anuncios!$CE$2:$CE$209,$B2))</f>
        <v/>
      </c>
      <c r="W2" s="3">
        <f>IF($B2="","",INDEX(Anuncios!$CG$2:$CG$209,$B2))</f>
        <v/>
      </c>
      <c r="X2" s="3">
        <f>IF($B2="","",INDEX(Anuncios!$CL$2:$CL$209,$B2))</f>
        <v/>
      </c>
      <c r="Y2" s="3">
        <f>IF($B2="","",INDEX(Anuncios!$AS$2:$AS$209,$B2))</f>
        <v/>
      </c>
      <c r="Z2" s="3">
        <f>IF($B2="","",INDEX(Anuncios!$AV$2:$AV$209,$B2))</f>
        <v/>
      </c>
      <c r="AA2" s="3">
        <f>IF($B2="","",INDEX(Anuncios!$CM$2:$CM$209,$B2))</f>
        <v/>
      </c>
      <c r="AB2" s="3">
        <f>IF($B2="","",INDEX(Anuncios!$BA$2:$BA$209,$B2))</f>
        <v/>
      </c>
      <c r="AC2" s="3">
        <f>IF($B2="","",INDEX(Anuncios!$BB$2:$BB$209,$B2))</f>
        <v/>
      </c>
      <c r="AD2" s="3">
        <f>IF($B2="","",INDEX(Anuncios!$BK$2:$BK$209,$B2))</f>
        <v/>
      </c>
      <c r="AE2" s="3">
        <f>IF($B2="","",INDEX(Anuncios!$BL$2:$BL$209,$B2))</f>
        <v/>
      </c>
      <c r="AF2" s="3">
        <f>IF($B2="","",INDEX(Anuncios!$CS$2:$CS$209,$B2))</f>
        <v/>
      </c>
      <c r="AG2" s="3">
        <f>IF($B2="","",INDEX(Anuncios!$CU$2:$CU$209,$B2))</f>
        <v/>
      </c>
      <c r="AH2" s="3">
        <f>IF($B2="","",INDEX(Anuncios!$DB$2:$DB$209,$B2))</f>
        <v/>
      </c>
      <c r="AI2" s="3">
        <f>IF($B2="","",INDEX(Anuncios!$DR$2:$DR$209,$B2))</f>
        <v/>
      </c>
      <c r="AJ2" s="3">
        <f>IF($B2="","",INDEX(Anuncios!$DP$2:$DP$209,$B2))</f>
        <v/>
      </c>
      <c r="AK2" s="3">
        <f>IF($B2="","",INDEX(Anuncios!$DM$2:$DM$209,$B2))</f>
        <v/>
      </c>
      <c r="AL2" s="3">
        <f>IF($B2="","",INDEX(Anuncios!$DK$2:$DK$209,$B2))</f>
        <v/>
      </c>
      <c r="AM2" s="3">
        <f>IF($B2="","",INDEX(Anuncios!$CY$2:$CY$209,$B2))</f>
        <v/>
      </c>
      <c r="AN2" s="3">
        <f>IF($B2="","",INDEX(Anuncios!$DV$2:$DV$209,$B2))</f>
        <v/>
      </c>
      <c r="AO2" s="3">
        <f>IF($B2="","",INDEX(Anuncios!$DS$2:$DS$209,$B2))</f>
        <v/>
      </c>
      <c r="AP2" s="3">
        <f>IF($B2="","",INDEX(Anuncios!$EG$2:$EG$209,$B2))</f>
        <v/>
      </c>
      <c r="AQ2" s="3">
        <f>IF($B2="","",INDEX(Anuncios!$DX$2:$DX$209,$B2))</f>
        <v/>
      </c>
      <c r="AR2" s="3">
        <f>IF($B2="","",INDEX(Anuncios!$BT$2:$BT$209,$B2))</f>
        <v/>
      </c>
      <c r="AS2" s="3">
        <f>IF($B2="","",AF2*W_FIAB)</f>
        <v/>
      </c>
      <c r="AT2" s="3">
        <f>IF($B2="","",AG2*W_PRECIO)</f>
        <v/>
      </c>
      <c r="AU2" s="3">
        <f>IF($B2="","",AH2*W_ESTADO)</f>
        <v/>
      </c>
      <c r="AV2" s="3">
        <f>IF($B2="","",AI2*W_ESTETICA)</f>
        <v/>
      </c>
      <c r="AW2" s="3">
        <f>IF($B2="","",AJ2*W_SEGVIAL)</f>
        <v/>
      </c>
      <c r="AX2" s="3">
        <f>IF($B2="","",AK2*W_SEGURIDAD)</f>
        <v/>
      </c>
      <c r="AY2" s="3">
        <f>IF($B2="","",AL2*W_USO)</f>
        <v/>
      </c>
      <c r="AZ2" s="3">
        <f>IF($B2="","",AM2*W_KMEDAD)</f>
        <v/>
      </c>
      <c r="BA2" s="3">
        <f>IF($B2="","",AN2*W_REVENTA)</f>
        <v/>
      </c>
      <c r="BB2" s="3">
        <f>IF($B2="","",AO2*W_COLOR)</f>
        <v/>
      </c>
    </row>
    <row r="3">
      <c r="A3" s="2" t="n">
        <v>2</v>
      </c>
      <c r="B3" s="3">
        <f>IFERROR(MATCH(A3,Anuncios!$EK$2:$EK$209,0),"")</f>
        <v/>
      </c>
      <c r="C3" s="3">
        <f>IF(B3="","",HYPERLINK(INDEX(Anuncios!$C$2:$C$209,B3),"Abrir anuncio"))</f>
        <v/>
      </c>
      <c r="D3" s="3">
        <f>IF($B3="","",INDEX(Anuncios!$D$2:$D$209,$B3))</f>
        <v/>
      </c>
      <c r="E3" s="3">
        <f>IF($B3="","",INDEX(Anuncios!$B$2:$B$209,$B3))</f>
        <v/>
      </c>
      <c r="F3" s="3">
        <f>IF($B3="","",INDEX(Anuncios!$E$2:$E$209,$B3))</f>
        <v/>
      </c>
      <c r="G3" s="3">
        <f>IF($B3="","",INDEX(Anuncios!$F$2:$F$209,$B3))</f>
        <v/>
      </c>
      <c r="H3" s="3">
        <f>IF($B3="","",INDEX(Anuncios!$G$2:$G$209,$B3))</f>
        <v/>
      </c>
      <c r="I3" s="3">
        <f>IF($B3="","",INDEX(Anuncios!$K$2:$K$209,$B3))</f>
        <v/>
      </c>
      <c r="J3" s="3">
        <f>IF($B3="","",INDEX(Anuncios!$M$2:$M$209,$B3))</f>
        <v/>
      </c>
      <c r="K3" s="3">
        <f>IF($B3="","",INDEX(Anuncios!$N$2:$N$209,$B3))</f>
        <v/>
      </c>
      <c r="L3" s="3">
        <f>IF($B3="","",INDEX(Anuncios!$Q$2:$Q$209,$B3))</f>
        <v/>
      </c>
      <c r="M3" s="3">
        <f>IF($B3="","",INDEX(Anuncios!$R$2:$R$209,$B3))</f>
        <v/>
      </c>
      <c r="N3" s="3">
        <f>IF($B3="","",INDEX(Anuncios!$O$2:$O$209,$B3))</f>
        <v/>
      </c>
      <c r="O3" s="3">
        <f>IF($B3="","",INDEX(Anuncios!$AJ$2:$AJ$209,$B3))</f>
        <v/>
      </c>
      <c r="P3" s="3">
        <f>IF($B3="","",INDEX(Anuncios!$DL$2:$DL$209,$B3))</f>
        <v/>
      </c>
      <c r="Q3" s="3">
        <f>IF($B3="","",INDEX(Anuncios!$EA$2:$EA$209,$B3))</f>
        <v/>
      </c>
      <c r="R3" s="3">
        <f>IF($B3="","",INDEX(Anuncios!$DZ$2:$DZ$209,$B3))</f>
        <v/>
      </c>
      <c r="S3" s="3">
        <f>IF($B3="","",INDEX(Anuncios!$ED$2:$ED$209,$B3))</f>
        <v/>
      </c>
      <c r="T3" s="3">
        <f>IF($B3="","",INDEX(Anuncios!$EF$2:$EF$209,$B3))</f>
        <v/>
      </c>
      <c r="U3" s="3">
        <f>IF($B3="","",INDEX(Anuncios!$EH$2:$EH$209,$B3))</f>
        <v/>
      </c>
      <c r="V3" s="3">
        <f>IF($B3="","",INDEX(Anuncios!$CE$2:$CE$209,$B3))</f>
        <v/>
      </c>
      <c r="W3" s="3">
        <f>IF($B3="","",INDEX(Anuncios!$CG$2:$CG$209,$B3))</f>
        <v/>
      </c>
      <c r="X3" s="3">
        <f>IF($B3="","",INDEX(Anuncios!$CL$2:$CL$209,$B3))</f>
        <v/>
      </c>
      <c r="Y3" s="3">
        <f>IF($B3="","",INDEX(Anuncios!$AS$2:$AS$209,$B3))</f>
        <v/>
      </c>
      <c r="Z3" s="3">
        <f>IF($B3="","",INDEX(Anuncios!$AV$2:$AV$209,$B3))</f>
        <v/>
      </c>
      <c r="AA3" s="3">
        <f>IF($B3="","",INDEX(Anuncios!$CM$2:$CM$209,$B3))</f>
        <v/>
      </c>
      <c r="AB3" s="3">
        <f>IF($B3="","",INDEX(Anuncios!$BA$2:$BA$209,$B3))</f>
        <v/>
      </c>
      <c r="AC3" s="3">
        <f>IF($B3="","",INDEX(Anuncios!$BB$2:$BB$209,$B3))</f>
        <v/>
      </c>
      <c r="AD3" s="3">
        <f>IF($B3="","",INDEX(Anuncios!$BK$2:$BK$209,$B3))</f>
        <v/>
      </c>
      <c r="AE3" s="3">
        <f>IF($B3="","",INDEX(Anuncios!$BL$2:$BL$209,$B3))</f>
        <v/>
      </c>
      <c r="AF3" s="3">
        <f>IF($B3="","",INDEX(Anuncios!$CS$2:$CS$209,$B3))</f>
        <v/>
      </c>
      <c r="AG3" s="3">
        <f>IF($B3="","",INDEX(Anuncios!$CU$2:$CU$209,$B3))</f>
        <v/>
      </c>
      <c r="AH3" s="3">
        <f>IF($B3="","",INDEX(Anuncios!$DB$2:$DB$209,$B3))</f>
        <v/>
      </c>
      <c r="AI3" s="3">
        <f>IF($B3="","",INDEX(Anuncios!$DR$2:$DR$209,$B3))</f>
        <v/>
      </c>
      <c r="AJ3" s="3">
        <f>IF($B3="","",INDEX(Anuncios!$DP$2:$DP$209,$B3))</f>
        <v/>
      </c>
      <c r="AK3" s="3">
        <f>IF($B3="","",INDEX(Anuncios!$DM$2:$DM$209,$B3))</f>
        <v/>
      </c>
      <c r="AL3" s="3">
        <f>IF($B3="","",INDEX(Anuncios!$DK$2:$DK$209,$B3))</f>
        <v/>
      </c>
      <c r="AM3" s="3">
        <f>IF($B3="","",INDEX(Anuncios!$CY$2:$CY$209,$B3))</f>
        <v/>
      </c>
      <c r="AN3" s="3">
        <f>IF($B3="","",INDEX(Anuncios!$DV$2:$DV$209,$B3))</f>
        <v/>
      </c>
      <c r="AO3" s="3">
        <f>IF($B3="","",INDEX(Anuncios!$DS$2:$DS$209,$B3))</f>
        <v/>
      </c>
      <c r="AP3" s="3">
        <f>IF($B3="","",INDEX(Anuncios!$EG$2:$EG$209,$B3))</f>
        <v/>
      </c>
      <c r="AQ3" s="3">
        <f>IF($B3="","",INDEX(Anuncios!$DX$2:$DX$209,$B3))</f>
        <v/>
      </c>
      <c r="AR3" s="3">
        <f>IF($B3="","",INDEX(Anuncios!$BT$2:$BT$209,$B3))</f>
        <v/>
      </c>
      <c r="AS3" s="3">
        <f>IF($B3="","",AF3*W_FIAB)</f>
        <v/>
      </c>
      <c r="AT3" s="3">
        <f>IF($B3="","",AG3*W_PRECIO)</f>
        <v/>
      </c>
      <c r="AU3" s="3">
        <f>IF($B3="","",AH3*W_ESTADO)</f>
        <v/>
      </c>
      <c r="AV3" s="3">
        <f>IF($B3="","",AI3*W_ESTETICA)</f>
        <v/>
      </c>
      <c r="AW3" s="3">
        <f>IF($B3="","",AJ3*W_SEGVIAL)</f>
        <v/>
      </c>
      <c r="AX3" s="3">
        <f>IF($B3="","",AK3*W_SEGURIDAD)</f>
        <v/>
      </c>
      <c r="AY3" s="3">
        <f>IF($B3="","",AL3*W_USO)</f>
        <v/>
      </c>
      <c r="AZ3" s="3">
        <f>IF($B3="","",AM3*W_KMEDAD)</f>
        <v/>
      </c>
      <c r="BA3" s="3">
        <f>IF($B3="","",AN3*W_REVENTA)</f>
        <v/>
      </c>
      <c r="BB3" s="3">
        <f>IF($B3="","",AO3*W_COLOR)</f>
        <v/>
      </c>
    </row>
    <row r="4">
      <c r="A4" s="2" t="n">
        <v>3</v>
      </c>
      <c r="B4" s="3">
        <f>IFERROR(MATCH(A4,Anuncios!$EK$2:$EK$209,0),"")</f>
        <v/>
      </c>
      <c r="C4" s="3">
        <f>IF(B4="","",HYPERLINK(INDEX(Anuncios!$C$2:$C$209,B4),"Abrir anuncio"))</f>
        <v/>
      </c>
      <c r="D4" s="3">
        <f>IF($B4="","",INDEX(Anuncios!$D$2:$D$209,$B4))</f>
        <v/>
      </c>
      <c r="E4" s="3">
        <f>IF($B4="","",INDEX(Anuncios!$B$2:$B$209,$B4))</f>
        <v/>
      </c>
      <c r="F4" s="3">
        <f>IF($B4="","",INDEX(Anuncios!$E$2:$E$209,$B4))</f>
        <v/>
      </c>
      <c r="G4" s="3">
        <f>IF($B4="","",INDEX(Anuncios!$F$2:$F$209,$B4))</f>
        <v/>
      </c>
      <c r="H4" s="3">
        <f>IF($B4="","",INDEX(Anuncios!$G$2:$G$209,$B4))</f>
        <v/>
      </c>
      <c r="I4" s="3">
        <f>IF($B4="","",INDEX(Anuncios!$K$2:$K$209,$B4))</f>
        <v/>
      </c>
      <c r="J4" s="3">
        <f>IF($B4="","",INDEX(Anuncios!$M$2:$M$209,$B4))</f>
        <v/>
      </c>
      <c r="K4" s="3">
        <f>IF($B4="","",INDEX(Anuncios!$N$2:$N$209,$B4))</f>
        <v/>
      </c>
      <c r="L4" s="3">
        <f>IF($B4="","",INDEX(Anuncios!$Q$2:$Q$209,$B4))</f>
        <v/>
      </c>
      <c r="M4" s="3">
        <f>IF($B4="","",INDEX(Anuncios!$R$2:$R$209,$B4))</f>
        <v/>
      </c>
      <c r="N4" s="3">
        <f>IF($B4="","",INDEX(Anuncios!$O$2:$O$209,$B4))</f>
        <v/>
      </c>
      <c r="O4" s="3">
        <f>IF($B4="","",INDEX(Anuncios!$AJ$2:$AJ$209,$B4))</f>
        <v/>
      </c>
      <c r="P4" s="3">
        <f>IF($B4="","",INDEX(Anuncios!$DL$2:$DL$209,$B4))</f>
        <v/>
      </c>
      <c r="Q4" s="3">
        <f>IF($B4="","",INDEX(Anuncios!$EA$2:$EA$209,$B4))</f>
        <v/>
      </c>
      <c r="R4" s="3">
        <f>IF($B4="","",INDEX(Anuncios!$DZ$2:$DZ$209,$B4))</f>
        <v/>
      </c>
      <c r="S4" s="3">
        <f>IF($B4="","",INDEX(Anuncios!$ED$2:$ED$209,$B4))</f>
        <v/>
      </c>
      <c r="T4" s="3">
        <f>IF($B4="","",INDEX(Anuncios!$EF$2:$EF$209,$B4))</f>
        <v/>
      </c>
      <c r="U4" s="3">
        <f>IF($B4="","",INDEX(Anuncios!$EH$2:$EH$209,$B4))</f>
        <v/>
      </c>
      <c r="V4" s="3">
        <f>IF($B4="","",INDEX(Anuncios!$CE$2:$CE$209,$B4))</f>
        <v/>
      </c>
      <c r="W4" s="3">
        <f>IF($B4="","",INDEX(Anuncios!$CG$2:$CG$209,$B4))</f>
        <v/>
      </c>
      <c r="X4" s="3">
        <f>IF($B4="","",INDEX(Anuncios!$CL$2:$CL$209,$B4))</f>
        <v/>
      </c>
      <c r="Y4" s="3">
        <f>IF($B4="","",INDEX(Anuncios!$AS$2:$AS$209,$B4))</f>
        <v/>
      </c>
      <c r="Z4" s="3">
        <f>IF($B4="","",INDEX(Anuncios!$AV$2:$AV$209,$B4))</f>
        <v/>
      </c>
      <c r="AA4" s="3">
        <f>IF($B4="","",INDEX(Anuncios!$CM$2:$CM$209,$B4))</f>
        <v/>
      </c>
      <c r="AB4" s="3">
        <f>IF($B4="","",INDEX(Anuncios!$BA$2:$BA$209,$B4))</f>
        <v/>
      </c>
      <c r="AC4" s="3">
        <f>IF($B4="","",INDEX(Anuncios!$BB$2:$BB$209,$B4))</f>
        <v/>
      </c>
      <c r="AD4" s="3">
        <f>IF($B4="","",INDEX(Anuncios!$BK$2:$BK$209,$B4))</f>
        <v/>
      </c>
      <c r="AE4" s="3">
        <f>IF($B4="","",INDEX(Anuncios!$BL$2:$BL$209,$B4))</f>
        <v/>
      </c>
      <c r="AF4" s="3">
        <f>IF($B4="","",INDEX(Anuncios!$CS$2:$CS$209,$B4))</f>
        <v/>
      </c>
      <c r="AG4" s="3">
        <f>IF($B4="","",INDEX(Anuncios!$CU$2:$CU$209,$B4))</f>
        <v/>
      </c>
      <c r="AH4" s="3">
        <f>IF($B4="","",INDEX(Anuncios!$DB$2:$DB$209,$B4))</f>
        <v/>
      </c>
      <c r="AI4" s="3">
        <f>IF($B4="","",INDEX(Anuncios!$DR$2:$DR$209,$B4))</f>
        <v/>
      </c>
      <c r="AJ4" s="3">
        <f>IF($B4="","",INDEX(Anuncios!$DP$2:$DP$209,$B4))</f>
        <v/>
      </c>
      <c r="AK4" s="3">
        <f>IF($B4="","",INDEX(Anuncios!$DM$2:$DM$209,$B4))</f>
        <v/>
      </c>
      <c r="AL4" s="3">
        <f>IF($B4="","",INDEX(Anuncios!$DK$2:$DK$209,$B4))</f>
        <v/>
      </c>
      <c r="AM4" s="3">
        <f>IF($B4="","",INDEX(Anuncios!$CY$2:$CY$209,$B4))</f>
        <v/>
      </c>
      <c r="AN4" s="3">
        <f>IF($B4="","",INDEX(Anuncios!$DV$2:$DV$209,$B4))</f>
        <v/>
      </c>
      <c r="AO4" s="3">
        <f>IF($B4="","",INDEX(Anuncios!$DS$2:$DS$209,$B4))</f>
        <v/>
      </c>
      <c r="AP4" s="3">
        <f>IF($B4="","",INDEX(Anuncios!$EG$2:$EG$209,$B4))</f>
        <v/>
      </c>
      <c r="AQ4" s="3">
        <f>IF($B4="","",INDEX(Anuncios!$DX$2:$DX$209,$B4))</f>
        <v/>
      </c>
      <c r="AR4" s="3">
        <f>IF($B4="","",INDEX(Anuncios!$BT$2:$BT$209,$B4))</f>
        <v/>
      </c>
      <c r="AS4" s="3">
        <f>IF($B4="","",AF4*W_FIAB)</f>
        <v/>
      </c>
      <c r="AT4" s="3">
        <f>IF($B4="","",AG4*W_PRECIO)</f>
        <v/>
      </c>
      <c r="AU4" s="3">
        <f>IF($B4="","",AH4*W_ESTADO)</f>
        <v/>
      </c>
      <c r="AV4" s="3">
        <f>IF($B4="","",AI4*W_ESTETICA)</f>
        <v/>
      </c>
      <c r="AW4" s="3">
        <f>IF($B4="","",AJ4*W_SEGVIAL)</f>
        <v/>
      </c>
      <c r="AX4" s="3">
        <f>IF($B4="","",AK4*W_SEGURIDAD)</f>
        <v/>
      </c>
      <c r="AY4" s="3">
        <f>IF($B4="","",AL4*W_USO)</f>
        <v/>
      </c>
      <c r="AZ4" s="3">
        <f>IF($B4="","",AM4*W_KMEDAD)</f>
        <v/>
      </c>
      <c r="BA4" s="3">
        <f>IF($B4="","",AN4*W_REVENTA)</f>
        <v/>
      </c>
      <c r="BB4" s="3">
        <f>IF($B4="","",AO4*W_COLOR)</f>
        <v/>
      </c>
    </row>
    <row r="5">
      <c r="A5" s="2" t="n">
        <v>4</v>
      </c>
      <c r="B5" s="3">
        <f>IFERROR(MATCH(A5,Anuncios!$EK$2:$EK$209,0),"")</f>
        <v/>
      </c>
      <c r="C5" s="3">
        <f>IF(B5="","",HYPERLINK(INDEX(Anuncios!$C$2:$C$209,B5),"Abrir anuncio"))</f>
        <v/>
      </c>
      <c r="D5" s="3">
        <f>IF($B5="","",INDEX(Anuncios!$D$2:$D$209,$B5))</f>
        <v/>
      </c>
      <c r="E5" s="3">
        <f>IF($B5="","",INDEX(Anuncios!$B$2:$B$209,$B5))</f>
        <v/>
      </c>
      <c r="F5" s="3">
        <f>IF($B5="","",INDEX(Anuncios!$E$2:$E$209,$B5))</f>
        <v/>
      </c>
      <c r="G5" s="3">
        <f>IF($B5="","",INDEX(Anuncios!$F$2:$F$209,$B5))</f>
        <v/>
      </c>
      <c r="H5" s="3">
        <f>IF($B5="","",INDEX(Anuncios!$G$2:$G$209,$B5))</f>
        <v/>
      </c>
      <c r="I5" s="3">
        <f>IF($B5="","",INDEX(Anuncios!$K$2:$K$209,$B5))</f>
        <v/>
      </c>
      <c r="J5" s="3">
        <f>IF($B5="","",INDEX(Anuncios!$M$2:$M$209,$B5))</f>
        <v/>
      </c>
      <c r="K5" s="3">
        <f>IF($B5="","",INDEX(Anuncios!$N$2:$N$209,$B5))</f>
        <v/>
      </c>
      <c r="L5" s="3">
        <f>IF($B5="","",INDEX(Anuncios!$Q$2:$Q$209,$B5))</f>
        <v/>
      </c>
      <c r="M5" s="3">
        <f>IF($B5="","",INDEX(Anuncios!$R$2:$R$209,$B5))</f>
        <v/>
      </c>
      <c r="N5" s="3">
        <f>IF($B5="","",INDEX(Anuncios!$O$2:$O$209,$B5))</f>
        <v/>
      </c>
      <c r="O5" s="3">
        <f>IF($B5="","",INDEX(Anuncios!$AJ$2:$AJ$209,$B5))</f>
        <v/>
      </c>
      <c r="P5" s="3">
        <f>IF($B5="","",INDEX(Anuncios!$DL$2:$DL$209,$B5))</f>
        <v/>
      </c>
      <c r="Q5" s="3">
        <f>IF($B5="","",INDEX(Anuncios!$EA$2:$EA$209,$B5))</f>
        <v/>
      </c>
      <c r="R5" s="3">
        <f>IF($B5="","",INDEX(Anuncios!$DZ$2:$DZ$209,$B5))</f>
        <v/>
      </c>
      <c r="S5" s="3">
        <f>IF($B5="","",INDEX(Anuncios!$ED$2:$ED$209,$B5))</f>
        <v/>
      </c>
      <c r="T5" s="3">
        <f>IF($B5="","",INDEX(Anuncios!$EF$2:$EF$209,$B5))</f>
        <v/>
      </c>
      <c r="U5" s="3">
        <f>IF($B5="","",INDEX(Anuncios!$EH$2:$EH$209,$B5))</f>
        <v/>
      </c>
      <c r="V5" s="3">
        <f>IF($B5="","",INDEX(Anuncios!$CE$2:$CE$209,$B5))</f>
        <v/>
      </c>
      <c r="W5" s="3">
        <f>IF($B5="","",INDEX(Anuncios!$CG$2:$CG$209,$B5))</f>
        <v/>
      </c>
      <c r="X5" s="3">
        <f>IF($B5="","",INDEX(Anuncios!$CL$2:$CL$209,$B5))</f>
        <v/>
      </c>
      <c r="Y5" s="3">
        <f>IF($B5="","",INDEX(Anuncios!$AS$2:$AS$209,$B5))</f>
        <v/>
      </c>
      <c r="Z5" s="3">
        <f>IF($B5="","",INDEX(Anuncios!$AV$2:$AV$209,$B5))</f>
        <v/>
      </c>
      <c r="AA5" s="3">
        <f>IF($B5="","",INDEX(Anuncios!$CM$2:$CM$209,$B5))</f>
        <v/>
      </c>
      <c r="AB5" s="3">
        <f>IF($B5="","",INDEX(Anuncios!$BA$2:$BA$209,$B5))</f>
        <v/>
      </c>
      <c r="AC5" s="3">
        <f>IF($B5="","",INDEX(Anuncios!$BB$2:$BB$209,$B5))</f>
        <v/>
      </c>
      <c r="AD5" s="3">
        <f>IF($B5="","",INDEX(Anuncios!$BK$2:$BK$209,$B5))</f>
        <v/>
      </c>
      <c r="AE5" s="3">
        <f>IF($B5="","",INDEX(Anuncios!$BL$2:$BL$209,$B5))</f>
        <v/>
      </c>
      <c r="AF5" s="3">
        <f>IF($B5="","",INDEX(Anuncios!$CS$2:$CS$209,$B5))</f>
        <v/>
      </c>
      <c r="AG5" s="3">
        <f>IF($B5="","",INDEX(Anuncios!$CU$2:$CU$209,$B5))</f>
        <v/>
      </c>
      <c r="AH5" s="3">
        <f>IF($B5="","",INDEX(Anuncios!$DB$2:$DB$209,$B5))</f>
        <v/>
      </c>
      <c r="AI5" s="3">
        <f>IF($B5="","",INDEX(Anuncios!$DR$2:$DR$209,$B5))</f>
        <v/>
      </c>
      <c r="AJ5" s="3">
        <f>IF($B5="","",INDEX(Anuncios!$DP$2:$DP$209,$B5))</f>
        <v/>
      </c>
      <c r="AK5" s="3">
        <f>IF($B5="","",INDEX(Anuncios!$DM$2:$DM$209,$B5))</f>
        <v/>
      </c>
      <c r="AL5" s="3">
        <f>IF($B5="","",INDEX(Anuncios!$DK$2:$DK$209,$B5))</f>
        <v/>
      </c>
      <c r="AM5" s="3">
        <f>IF($B5="","",INDEX(Anuncios!$CY$2:$CY$209,$B5))</f>
        <v/>
      </c>
      <c r="AN5" s="3">
        <f>IF($B5="","",INDEX(Anuncios!$DV$2:$DV$209,$B5))</f>
        <v/>
      </c>
      <c r="AO5" s="3">
        <f>IF($B5="","",INDEX(Anuncios!$DS$2:$DS$209,$B5))</f>
        <v/>
      </c>
      <c r="AP5" s="3">
        <f>IF($B5="","",INDEX(Anuncios!$EG$2:$EG$209,$B5))</f>
        <v/>
      </c>
      <c r="AQ5" s="3">
        <f>IF($B5="","",INDEX(Anuncios!$DX$2:$DX$209,$B5))</f>
        <v/>
      </c>
      <c r="AR5" s="3">
        <f>IF($B5="","",INDEX(Anuncios!$BT$2:$BT$209,$B5))</f>
        <v/>
      </c>
      <c r="AS5" s="3">
        <f>IF($B5="","",AF5*W_FIAB)</f>
        <v/>
      </c>
      <c r="AT5" s="3">
        <f>IF($B5="","",AG5*W_PRECIO)</f>
        <v/>
      </c>
      <c r="AU5" s="3">
        <f>IF($B5="","",AH5*W_ESTADO)</f>
        <v/>
      </c>
      <c r="AV5" s="3">
        <f>IF($B5="","",AI5*W_ESTETICA)</f>
        <v/>
      </c>
      <c r="AW5" s="3">
        <f>IF($B5="","",AJ5*W_SEGVIAL)</f>
        <v/>
      </c>
      <c r="AX5" s="3">
        <f>IF($B5="","",AK5*W_SEGURIDAD)</f>
        <v/>
      </c>
      <c r="AY5" s="3">
        <f>IF($B5="","",AL5*W_USO)</f>
        <v/>
      </c>
      <c r="AZ5" s="3">
        <f>IF($B5="","",AM5*W_KMEDAD)</f>
        <v/>
      </c>
      <c r="BA5" s="3">
        <f>IF($B5="","",AN5*W_REVENTA)</f>
        <v/>
      </c>
      <c r="BB5" s="3">
        <f>IF($B5="","",AO5*W_COLOR)</f>
        <v/>
      </c>
    </row>
    <row r="6">
      <c r="A6" s="2" t="n">
        <v>5</v>
      </c>
      <c r="B6" s="3">
        <f>IFERROR(MATCH(A6,Anuncios!$EK$2:$EK$209,0),"")</f>
        <v/>
      </c>
      <c r="C6" s="3">
        <f>IF(B6="","",HYPERLINK(INDEX(Anuncios!$C$2:$C$209,B6),"Abrir anuncio"))</f>
        <v/>
      </c>
      <c r="D6" s="3">
        <f>IF($B6="","",INDEX(Anuncios!$D$2:$D$209,$B6))</f>
        <v/>
      </c>
      <c r="E6" s="3">
        <f>IF($B6="","",INDEX(Anuncios!$B$2:$B$209,$B6))</f>
        <v/>
      </c>
      <c r="F6" s="3">
        <f>IF($B6="","",INDEX(Anuncios!$E$2:$E$209,$B6))</f>
        <v/>
      </c>
      <c r="G6" s="3">
        <f>IF($B6="","",INDEX(Anuncios!$F$2:$F$209,$B6))</f>
        <v/>
      </c>
      <c r="H6" s="3">
        <f>IF($B6="","",INDEX(Anuncios!$G$2:$G$209,$B6))</f>
        <v/>
      </c>
      <c r="I6" s="3">
        <f>IF($B6="","",INDEX(Anuncios!$K$2:$K$209,$B6))</f>
        <v/>
      </c>
      <c r="J6" s="3">
        <f>IF($B6="","",INDEX(Anuncios!$M$2:$M$209,$B6))</f>
        <v/>
      </c>
      <c r="K6" s="3">
        <f>IF($B6="","",INDEX(Anuncios!$N$2:$N$209,$B6))</f>
        <v/>
      </c>
      <c r="L6" s="3">
        <f>IF($B6="","",INDEX(Anuncios!$Q$2:$Q$209,$B6))</f>
        <v/>
      </c>
      <c r="M6" s="3">
        <f>IF($B6="","",INDEX(Anuncios!$R$2:$R$209,$B6))</f>
        <v/>
      </c>
      <c r="N6" s="3">
        <f>IF($B6="","",INDEX(Anuncios!$O$2:$O$209,$B6))</f>
        <v/>
      </c>
      <c r="O6" s="3">
        <f>IF($B6="","",INDEX(Anuncios!$AJ$2:$AJ$209,$B6))</f>
        <v/>
      </c>
      <c r="P6" s="3">
        <f>IF($B6="","",INDEX(Anuncios!$DL$2:$DL$209,$B6))</f>
        <v/>
      </c>
      <c r="Q6" s="3">
        <f>IF($B6="","",INDEX(Anuncios!$EA$2:$EA$209,$B6))</f>
        <v/>
      </c>
      <c r="R6" s="3">
        <f>IF($B6="","",INDEX(Anuncios!$DZ$2:$DZ$209,$B6))</f>
        <v/>
      </c>
      <c r="S6" s="3">
        <f>IF($B6="","",INDEX(Anuncios!$ED$2:$ED$209,$B6))</f>
        <v/>
      </c>
      <c r="T6" s="3">
        <f>IF($B6="","",INDEX(Anuncios!$EF$2:$EF$209,$B6))</f>
        <v/>
      </c>
      <c r="U6" s="3">
        <f>IF($B6="","",INDEX(Anuncios!$EH$2:$EH$209,$B6))</f>
        <v/>
      </c>
      <c r="V6" s="3">
        <f>IF($B6="","",INDEX(Anuncios!$CE$2:$CE$209,$B6))</f>
        <v/>
      </c>
      <c r="W6" s="3">
        <f>IF($B6="","",INDEX(Anuncios!$CG$2:$CG$209,$B6))</f>
        <v/>
      </c>
      <c r="X6" s="3">
        <f>IF($B6="","",INDEX(Anuncios!$CL$2:$CL$209,$B6))</f>
        <v/>
      </c>
      <c r="Y6" s="3">
        <f>IF($B6="","",INDEX(Anuncios!$AS$2:$AS$209,$B6))</f>
        <v/>
      </c>
      <c r="Z6" s="3">
        <f>IF($B6="","",INDEX(Anuncios!$AV$2:$AV$209,$B6))</f>
        <v/>
      </c>
      <c r="AA6" s="3">
        <f>IF($B6="","",INDEX(Anuncios!$CM$2:$CM$209,$B6))</f>
        <v/>
      </c>
      <c r="AB6" s="3">
        <f>IF($B6="","",INDEX(Anuncios!$BA$2:$BA$209,$B6))</f>
        <v/>
      </c>
      <c r="AC6" s="3">
        <f>IF($B6="","",INDEX(Anuncios!$BB$2:$BB$209,$B6))</f>
        <v/>
      </c>
      <c r="AD6" s="3">
        <f>IF($B6="","",INDEX(Anuncios!$BK$2:$BK$209,$B6))</f>
        <v/>
      </c>
      <c r="AE6" s="3">
        <f>IF($B6="","",INDEX(Anuncios!$BL$2:$BL$209,$B6))</f>
        <v/>
      </c>
      <c r="AF6" s="3">
        <f>IF($B6="","",INDEX(Anuncios!$CS$2:$CS$209,$B6))</f>
        <v/>
      </c>
      <c r="AG6" s="3">
        <f>IF($B6="","",INDEX(Anuncios!$CU$2:$CU$209,$B6))</f>
        <v/>
      </c>
      <c r="AH6" s="3">
        <f>IF($B6="","",INDEX(Anuncios!$DB$2:$DB$209,$B6))</f>
        <v/>
      </c>
      <c r="AI6" s="3">
        <f>IF($B6="","",INDEX(Anuncios!$DR$2:$DR$209,$B6))</f>
        <v/>
      </c>
      <c r="AJ6" s="3">
        <f>IF($B6="","",INDEX(Anuncios!$DP$2:$DP$209,$B6))</f>
        <v/>
      </c>
      <c r="AK6" s="3">
        <f>IF($B6="","",INDEX(Anuncios!$DM$2:$DM$209,$B6))</f>
        <v/>
      </c>
      <c r="AL6" s="3">
        <f>IF($B6="","",INDEX(Anuncios!$DK$2:$DK$209,$B6))</f>
        <v/>
      </c>
      <c r="AM6" s="3">
        <f>IF($B6="","",INDEX(Anuncios!$CY$2:$CY$209,$B6))</f>
        <v/>
      </c>
      <c r="AN6" s="3">
        <f>IF($B6="","",INDEX(Anuncios!$DV$2:$DV$209,$B6))</f>
        <v/>
      </c>
      <c r="AO6" s="3">
        <f>IF($B6="","",INDEX(Anuncios!$DS$2:$DS$209,$B6))</f>
        <v/>
      </c>
      <c r="AP6" s="3">
        <f>IF($B6="","",INDEX(Anuncios!$EG$2:$EG$209,$B6))</f>
        <v/>
      </c>
      <c r="AQ6" s="3">
        <f>IF($B6="","",INDEX(Anuncios!$DX$2:$DX$209,$B6))</f>
        <v/>
      </c>
      <c r="AR6" s="3">
        <f>IF($B6="","",INDEX(Anuncios!$BT$2:$BT$209,$B6))</f>
        <v/>
      </c>
      <c r="AS6" s="3">
        <f>IF($B6="","",AF6*W_FIAB)</f>
        <v/>
      </c>
      <c r="AT6" s="3">
        <f>IF($B6="","",AG6*W_PRECIO)</f>
        <v/>
      </c>
      <c r="AU6" s="3">
        <f>IF($B6="","",AH6*W_ESTADO)</f>
        <v/>
      </c>
      <c r="AV6" s="3">
        <f>IF($B6="","",AI6*W_ESTETICA)</f>
        <v/>
      </c>
      <c r="AW6" s="3">
        <f>IF($B6="","",AJ6*W_SEGVIAL)</f>
        <v/>
      </c>
      <c r="AX6" s="3">
        <f>IF($B6="","",AK6*W_SEGURIDAD)</f>
        <v/>
      </c>
      <c r="AY6" s="3">
        <f>IF($B6="","",AL6*W_USO)</f>
        <v/>
      </c>
      <c r="AZ6" s="3">
        <f>IF($B6="","",AM6*W_KMEDAD)</f>
        <v/>
      </c>
      <c r="BA6" s="3">
        <f>IF($B6="","",AN6*W_REVENTA)</f>
        <v/>
      </c>
      <c r="BB6" s="3">
        <f>IF($B6="","",AO6*W_COLOR)</f>
        <v/>
      </c>
    </row>
    <row r="7">
      <c r="A7" s="2" t="n">
        <v>6</v>
      </c>
      <c r="B7" s="3">
        <f>IFERROR(MATCH(A7,Anuncios!$EK$2:$EK$209,0),"")</f>
        <v/>
      </c>
      <c r="C7" s="3">
        <f>IF(B7="","",HYPERLINK(INDEX(Anuncios!$C$2:$C$209,B7),"Abrir anuncio"))</f>
        <v/>
      </c>
      <c r="D7" s="3">
        <f>IF($B7="","",INDEX(Anuncios!$D$2:$D$209,$B7))</f>
        <v/>
      </c>
      <c r="E7" s="3">
        <f>IF($B7="","",INDEX(Anuncios!$B$2:$B$209,$B7))</f>
        <v/>
      </c>
      <c r="F7" s="3">
        <f>IF($B7="","",INDEX(Anuncios!$E$2:$E$209,$B7))</f>
        <v/>
      </c>
      <c r="G7" s="3">
        <f>IF($B7="","",INDEX(Anuncios!$F$2:$F$209,$B7))</f>
        <v/>
      </c>
      <c r="H7" s="3">
        <f>IF($B7="","",INDEX(Anuncios!$G$2:$G$209,$B7))</f>
        <v/>
      </c>
      <c r="I7" s="3">
        <f>IF($B7="","",INDEX(Anuncios!$K$2:$K$209,$B7))</f>
        <v/>
      </c>
      <c r="J7" s="3">
        <f>IF($B7="","",INDEX(Anuncios!$M$2:$M$209,$B7))</f>
        <v/>
      </c>
      <c r="K7" s="3">
        <f>IF($B7="","",INDEX(Anuncios!$N$2:$N$209,$B7))</f>
        <v/>
      </c>
      <c r="L7" s="3">
        <f>IF($B7="","",INDEX(Anuncios!$Q$2:$Q$209,$B7))</f>
        <v/>
      </c>
      <c r="M7" s="3">
        <f>IF($B7="","",INDEX(Anuncios!$R$2:$R$209,$B7))</f>
        <v/>
      </c>
      <c r="N7" s="3">
        <f>IF($B7="","",INDEX(Anuncios!$O$2:$O$209,$B7))</f>
        <v/>
      </c>
      <c r="O7" s="3">
        <f>IF($B7="","",INDEX(Anuncios!$AJ$2:$AJ$209,$B7))</f>
        <v/>
      </c>
      <c r="P7" s="3">
        <f>IF($B7="","",INDEX(Anuncios!$DL$2:$DL$209,$B7))</f>
        <v/>
      </c>
      <c r="Q7" s="3">
        <f>IF($B7="","",INDEX(Anuncios!$EA$2:$EA$209,$B7))</f>
        <v/>
      </c>
      <c r="R7" s="3">
        <f>IF($B7="","",INDEX(Anuncios!$DZ$2:$DZ$209,$B7))</f>
        <v/>
      </c>
      <c r="S7" s="3">
        <f>IF($B7="","",INDEX(Anuncios!$ED$2:$ED$209,$B7))</f>
        <v/>
      </c>
      <c r="T7" s="3">
        <f>IF($B7="","",INDEX(Anuncios!$EF$2:$EF$209,$B7))</f>
        <v/>
      </c>
      <c r="U7" s="3">
        <f>IF($B7="","",INDEX(Anuncios!$EH$2:$EH$209,$B7))</f>
        <v/>
      </c>
      <c r="V7" s="3">
        <f>IF($B7="","",INDEX(Anuncios!$CE$2:$CE$209,$B7))</f>
        <v/>
      </c>
      <c r="W7" s="3">
        <f>IF($B7="","",INDEX(Anuncios!$CG$2:$CG$209,$B7))</f>
        <v/>
      </c>
      <c r="X7" s="3">
        <f>IF($B7="","",INDEX(Anuncios!$CL$2:$CL$209,$B7))</f>
        <v/>
      </c>
      <c r="Y7" s="3">
        <f>IF($B7="","",INDEX(Anuncios!$AS$2:$AS$209,$B7))</f>
        <v/>
      </c>
      <c r="Z7" s="3">
        <f>IF($B7="","",INDEX(Anuncios!$AV$2:$AV$209,$B7))</f>
        <v/>
      </c>
      <c r="AA7" s="3">
        <f>IF($B7="","",INDEX(Anuncios!$CM$2:$CM$209,$B7))</f>
        <v/>
      </c>
      <c r="AB7" s="3">
        <f>IF($B7="","",INDEX(Anuncios!$BA$2:$BA$209,$B7))</f>
        <v/>
      </c>
      <c r="AC7" s="3">
        <f>IF($B7="","",INDEX(Anuncios!$BB$2:$BB$209,$B7))</f>
        <v/>
      </c>
      <c r="AD7" s="3">
        <f>IF($B7="","",INDEX(Anuncios!$BK$2:$BK$209,$B7))</f>
        <v/>
      </c>
      <c r="AE7" s="3">
        <f>IF($B7="","",INDEX(Anuncios!$BL$2:$BL$209,$B7))</f>
        <v/>
      </c>
      <c r="AF7" s="3">
        <f>IF($B7="","",INDEX(Anuncios!$CS$2:$CS$209,$B7))</f>
        <v/>
      </c>
      <c r="AG7" s="3">
        <f>IF($B7="","",INDEX(Anuncios!$CU$2:$CU$209,$B7))</f>
        <v/>
      </c>
      <c r="AH7" s="3">
        <f>IF($B7="","",INDEX(Anuncios!$DB$2:$DB$209,$B7))</f>
        <v/>
      </c>
      <c r="AI7" s="3">
        <f>IF($B7="","",INDEX(Anuncios!$DR$2:$DR$209,$B7))</f>
        <v/>
      </c>
      <c r="AJ7" s="3">
        <f>IF($B7="","",INDEX(Anuncios!$DP$2:$DP$209,$B7))</f>
        <v/>
      </c>
      <c r="AK7" s="3">
        <f>IF($B7="","",INDEX(Anuncios!$DM$2:$DM$209,$B7))</f>
        <v/>
      </c>
      <c r="AL7" s="3">
        <f>IF($B7="","",INDEX(Anuncios!$DK$2:$DK$209,$B7))</f>
        <v/>
      </c>
      <c r="AM7" s="3">
        <f>IF($B7="","",INDEX(Anuncios!$CY$2:$CY$209,$B7))</f>
        <v/>
      </c>
      <c r="AN7" s="3">
        <f>IF($B7="","",INDEX(Anuncios!$DV$2:$DV$209,$B7))</f>
        <v/>
      </c>
      <c r="AO7" s="3">
        <f>IF($B7="","",INDEX(Anuncios!$DS$2:$DS$209,$B7))</f>
        <v/>
      </c>
      <c r="AP7" s="3">
        <f>IF($B7="","",INDEX(Anuncios!$EG$2:$EG$209,$B7))</f>
        <v/>
      </c>
      <c r="AQ7" s="3">
        <f>IF($B7="","",INDEX(Anuncios!$DX$2:$DX$209,$B7))</f>
        <v/>
      </c>
      <c r="AR7" s="3">
        <f>IF($B7="","",INDEX(Anuncios!$BT$2:$BT$209,$B7))</f>
        <v/>
      </c>
      <c r="AS7" s="3">
        <f>IF($B7="","",AF7*W_FIAB)</f>
        <v/>
      </c>
      <c r="AT7" s="3">
        <f>IF($B7="","",AG7*W_PRECIO)</f>
        <v/>
      </c>
      <c r="AU7" s="3">
        <f>IF($B7="","",AH7*W_ESTADO)</f>
        <v/>
      </c>
      <c r="AV7" s="3">
        <f>IF($B7="","",AI7*W_ESTETICA)</f>
        <v/>
      </c>
      <c r="AW7" s="3">
        <f>IF($B7="","",AJ7*W_SEGVIAL)</f>
        <v/>
      </c>
      <c r="AX7" s="3">
        <f>IF($B7="","",AK7*W_SEGURIDAD)</f>
        <v/>
      </c>
      <c r="AY7" s="3">
        <f>IF($B7="","",AL7*W_USO)</f>
        <v/>
      </c>
      <c r="AZ7" s="3">
        <f>IF($B7="","",AM7*W_KMEDAD)</f>
        <v/>
      </c>
      <c r="BA7" s="3">
        <f>IF($B7="","",AN7*W_REVENTA)</f>
        <v/>
      </c>
      <c r="BB7" s="3">
        <f>IF($B7="","",AO7*W_COLOR)</f>
        <v/>
      </c>
    </row>
    <row r="8">
      <c r="A8" s="2" t="n">
        <v>7</v>
      </c>
      <c r="B8" s="3">
        <f>IFERROR(MATCH(A8,Anuncios!$EK$2:$EK$209,0),"")</f>
        <v/>
      </c>
      <c r="C8" s="3">
        <f>IF(B8="","",HYPERLINK(INDEX(Anuncios!$C$2:$C$209,B8),"Abrir anuncio"))</f>
        <v/>
      </c>
      <c r="D8" s="3">
        <f>IF($B8="","",INDEX(Anuncios!$D$2:$D$209,$B8))</f>
        <v/>
      </c>
      <c r="E8" s="3">
        <f>IF($B8="","",INDEX(Anuncios!$B$2:$B$209,$B8))</f>
        <v/>
      </c>
      <c r="F8" s="3">
        <f>IF($B8="","",INDEX(Anuncios!$E$2:$E$209,$B8))</f>
        <v/>
      </c>
      <c r="G8" s="3">
        <f>IF($B8="","",INDEX(Anuncios!$F$2:$F$209,$B8))</f>
        <v/>
      </c>
      <c r="H8" s="3">
        <f>IF($B8="","",INDEX(Anuncios!$G$2:$G$209,$B8))</f>
        <v/>
      </c>
      <c r="I8" s="3">
        <f>IF($B8="","",INDEX(Anuncios!$K$2:$K$209,$B8))</f>
        <v/>
      </c>
      <c r="J8" s="3">
        <f>IF($B8="","",INDEX(Anuncios!$M$2:$M$209,$B8))</f>
        <v/>
      </c>
      <c r="K8" s="3">
        <f>IF($B8="","",INDEX(Anuncios!$N$2:$N$209,$B8))</f>
        <v/>
      </c>
      <c r="L8" s="3">
        <f>IF($B8="","",INDEX(Anuncios!$Q$2:$Q$209,$B8))</f>
        <v/>
      </c>
      <c r="M8" s="3">
        <f>IF($B8="","",INDEX(Anuncios!$R$2:$R$209,$B8))</f>
        <v/>
      </c>
      <c r="N8" s="3">
        <f>IF($B8="","",INDEX(Anuncios!$O$2:$O$209,$B8))</f>
        <v/>
      </c>
      <c r="O8" s="3">
        <f>IF($B8="","",INDEX(Anuncios!$AJ$2:$AJ$209,$B8))</f>
        <v/>
      </c>
      <c r="P8" s="3">
        <f>IF($B8="","",INDEX(Anuncios!$DL$2:$DL$209,$B8))</f>
        <v/>
      </c>
      <c r="Q8" s="3">
        <f>IF($B8="","",INDEX(Anuncios!$EA$2:$EA$209,$B8))</f>
        <v/>
      </c>
      <c r="R8" s="3">
        <f>IF($B8="","",INDEX(Anuncios!$DZ$2:$DZ$209,$B8))</f>
        <v/>
      </c>
      <c r="S8" s="3">
        <f>IF($B8="","",INDEX(Anuncios!$ED$2:$ED$209,$B8))</f>
        <v/>
      </c>
      <c r="T8" s="3">
        <f>IF($B8="","",INDEX(Anuncios!$EF$2:$EF$209,$B8))</f>
        <v/>
      </c>
      <c r="U8" s="3">
        <f>IF($B8="","",INDEX(Anuncios!$EH$2:$EH$209,$B8))</f>
        <v/>
      </c>
      <c r="V8" s="3">
        <f>IF($B8="","",INDEX(Anuncios!$CE$2:$CE$209,$B8))</f>
        <v/>
      </c>
      <c r="W8" s="3">
        <f>IF($B8="","",INDEX(Anuncios!$CG$2:$CG$209,$B8))</f>
        <v/>
      </c>
      <c r="X8" s="3">
        <f>IF($B8="","",INDEX(Anuncios!$CL$2:$CL$209,$B8))</f>
        <v/>
      </c>
      <c r="Y8" s="3">
        <f>IF($B8="","",INDEX(Anuncios!$AS$2:$AS$209,$B8))</f>
        <v/>
      </c>
      <c r="Z8" s="3">
        <f>IF($B8="","",INDEX(Anuncios!$AV$2:$AV$209,$B8))</f>
        <v/>
      </c>
      <c r="AA8" s="3">
        <f>IF($B8="","",INDEX(Anuncios!$CM$2:$CM$209,$B8))</f>
        <v/>
      </c>
      <c r="AB8" s="3">
        <f>IF($B8="","",INDEX(Anuncios!$BA$2:$BA$209,$B8))</f>
        <v/>
      </c>
      <c r="AC8" s="3">
        <f>IF($B8="","",INDEX(Anuncios!$BB$2:$BB$209,$B8))</f>
        <v/>
      </c>
      <c r="AD8" s="3">
        <f>IF($B8="","",INDEX(Anuncios!$BK$2:$BK$209,$B8))</f>
        <v/>
      </c>
      <c r="AE8" s="3">
        <f>IF($B8="","",INDEX(Anuncios!$BL$2:$BL$209,$B8))</f>
        <v/>
      </c>
      <c r="AF8" s="3">
        <f>IF($B8="","",INDEX(Anuncios!$CS$2:$CS$209,$B8))</f>
        <v/>
      </c>
      <c r="AG8" s="3">
        <f>IF($B8="","",INDEX(Anuncios!$CU$2:$CU$209,$B8))</f>
        <v/>
      </c>
      <c r="AH8" s="3">
        <f>IF($B8="","",INDEX(Anuncios!$DB$2:$DB$209,$B8))</f>
        <v/>
      </c>
      <c r="AI8" s="3">
        <f>IF($B8="","",INDEX(Anuncios!$DR$2:$DR$209,$B8))</f>
        <v/>
      </c>
      <c r="AJ8" s="3">
        <f>IF($B8="","",INDEX(Anuncios!$DP$2:$DP$209,$B8))</f>
        <v/>
      </c>
      <c r="AK8" s="3">
        <f>IF($B8="","",INDEX(Anuncios!$DM$2:$DM$209,$B8))</f>
        <v/>
      </c>
      <c r="AL8" s="3">
        <f>IF($B8="","",INDEX(Anuncios!$DK$2:$DK$209,$B8))</f>
        <v/>
      </c>
      <c r="AM8" s="3">
        <f>IF($B8="","",INDEX(Anuncios!$CY$2:$CY$209,$B8))</f>
        <v/>
      </c>
      <c r="AN8" s="3">
        <f>IF($B8="","",INDEX(Anuncios!$DV$2:$DV$209,$B8))</f>
        <v/>
      </c>
      <c r="AO8" s="3">
        <f>IF($B8="","",INDEX(Anuncios!$DS$2:$DS$209,$B8))</f>
        <v/>
      </c>
      <c r="AP8" s="3">
        <f>IF($B8="","",INDEX(Anuncios!$EG$2:$EG$209,$B8))</f>
        <v/>
      </c>
      <c r="AQ8" s="3">
        <f>IF($B8="","",INDEX(Anuncios!$DX$2:$DX$209,$B8))</f>
        <v/>
      </c>
      <c r="AR8" s="3">
        <f>IF($B8="","",INDEX(Anuncios!$BT$2:$BT$209,$B8))</f>
        <v/>
      </c>
      <c r="AS8" s="3">
        <f>IF($B8="","",AF8*W_FIAB)</f>
        <v/>
      </c>
      <c r="AT8" s="3">
        <f>IF($B8="","",AG8*W_PRECIO)</f>
        <v/>
      </c>
      <c r="AU8" s="3">
        <f>IF($B8="","",AH8*W_ESTADO)</f>
        <v/>
      </c>
      <c r="AV8" s="3">
        <f>IF($B8="","",AI8*W_ESTETICA)</f>
        <v/>
      </c>
      <c r="AW8" s="3">
        <f>IF($B8="","",AJ8*W_SEGVIAL)</f>
        <v/>
      </c>
      <c r="AX8" s="3">
        <f>IF($B8="","",AK8*W_SEGURIDAD)</f>
        <v/>
      </c>
      <c r="AY8" s="3">
        <f>IF($B8="","",AL8*W_USO)</f>
        <v/>
      </c>
      <c r="AZ8" s="3">
        <f>IF($B8="","",AM8*W_KMEDAD)</f>
        <v/>
      </c>
      <c r="BA8" s="3">
        <f>IF($B8="","",AN8*W_REVENTA)</f>
        <v/>
      </c>
      <c r="BB8" s="3">
        <f>IF($B8="","",AO8*W_COLOR)</f>
        <v/>
      </c>
    </row>
    <row r="9">
      <c r="A9" s="2" t="n">
        <v>8</v>
      </c>
      <c r="B9" s="3">
        <f>IFERROR(MATCH(A9,Anuncios!$EK$2:$EK$209,0),"")</f>
        <v/>
      </c>
      <c r="C9" s="3">
        <f>IF(B9="","",HYPERLINK(INDEX(Anuncios!$C$2:$C$209,B9),"Abrir anuncio"))</f>
        <v/>
      </c>
      <c r="D9" s="3">
        <f>IF($B9="","",INDEX(Anuncios!$D$2:$D$209,$B9))</f>
        <v/>
      </c>
      <c r="E9" s="3">
        <f>IF($B9="","",INDEX(Anuncios!$B$2:$B$209,$B9))</f>
        <v/>
      </c>
      <c r="F9" s="3">
        <f>IF($B9="","",INDEX(Anuncios!$E$2:$E$209,$B9))</f>
        <v/>
      </c>
      <c r="G9" s="3">
        <f>IF($B9="","",INDEX(Anuncios!$F$2:$F$209,$B9))</f>
        <v/>
      </c>
      <c r="H9" s="3">
        <f>IF($B9="","",INDEX(Anuncios!$G$2:$G$209,$B9))</f>
        <v/>
      </c>
      <c r="I9" s="3">
        <f>IF($B9="","",INDEX(Anuncios!$K$2:$K$209,$B9))</f>
        <v/>
      </c>
      <c r="J9" s="3">
        <f>IF($B9="","",INDEX(Anuncios!$M$2:$M$209,$B9))</f>
        <v/>
      </c>
      <c r="K9" s="3">
        <f>IF($B9="","",INDEX(Anuncios!$N$2:$N$209,$B9))</f>
        <v/>
      </c>
      <c r="L9" s="3">
        <f>IF($B9="","",INDEX(Anuncios!$Q$2:$Q$209,$B9))</f>
        <v/>
      </c>
      <c r="M9" s="3">
        <f>IF($B9="","",INDEX(Anuncios!$R$2:$R$209,$B9))</f>
        <v/>
      </c>
      <c r="N9" s="3">
        <f>IF($B9="","",INDEX(Anuncios!$O$2:$O$209,$B9))</f>
        <v/>
      </c>
      <c r="O9" s="3">
        <f>IF($B9="","",INDEX(Anuncios!$AJ$2:$AJ$209,$B9))</f>
        <v/>
      </c>
      <c r="P9" s="3">
        <f>IF($B9="","",INDEX(Anuncios!$DL$2:$DL$209,$B9))</f>
        <v/>
      </c>
      <c r="Q9" s="3">
        <f>IF($B9="","",INDEX(Anuncios!$EA$2:$EA$209,$B9))</f>
        <v/>
      </c>
      <c r="R9" s="3">
        <f>IF($B9="","",INDEX(Anuncios!$DZ$2:$DZ$209,$B9))</f>
        <v/>
      </c>
      <c r="S9" s="3">
        <f>IF($B9="","",INDEX(Anuncios!$ED$2:$ED$209,$B9))</f>
        <v/>
      </c>
      <c r="T9" s="3">
        <f>IF($B9="","",INDEX(Anuncios!$EF$2:$EF$209,$B9))</f>
        <v/>
      </c>
      <c r="U9" s="3">
        <f>IF($B9="","",INDEX(Anuncios!$EH$2:$EH$209,$B9))</f>
        <v/>
      </c>
      <c r="V9" s="3">
        <f>IF($B9="","",INDEX(Anuncios!$CE$2:$CE$209,$B9))</f>
        <v/>
      </c>
      <c r="W9" s="3">
        <f>IF($B9="","",INDEX(Anuncios!$CG$2:$CG$209,$B9))</f>
        <v/>
      </c>
      <c r="X9" s="3">
        <f>IF($B9="","",INDEX(Anuncios!$CL$2:$CL$209,$B9))</f>
        <v/>
      </c>
      <c r="Y9" s="3">
        <f>IF($B9="","",INDEX(Anuncios!$AS$2:$AS$209,$B9))</f>
        <v/>
      </c>
      <c r="Z9" s="3">
        <f>IF($B9="","",INDEX(Anuncios!$AV$2:$AV$209,$B9))</f>
        <v/>
      </c>
      <c r="AA9" s="3">
        <f>IF($B9="","",INDEX(Anuncios!$CM$2:$CM$209,$B9))</f>
        <v/>
      </c>
      <c r="AB9" s="3">
        <f>IF($B9="","",INDEX(Anuncios!$BA$2:$BA$209,$B9))</f>
        <v/>
      </c>
      <c r="AC9" s="3">
        <f>IF($B9="","",INDEX(Anuncios!$BB$2:$BB$209,$B9))</f>
        <v/>
      </c>
      <c r="AD9" s="3">
        <f>IF($B9="","",INDEX(Anuncios!$BK$2:$BK$209,$B9))</f>
        <v/>
      </c>
      <c r="AE9" s="3">
        <f>IF($B9="","",INDEX(Anuncios!$BL$2:$BL$209,$B9))</f>
        <v/>
      </c>
      <c r="AF9" s="3">
        <f>IF($B9="","",INDEX(Anuncios!$CS$2:$CS$209,$B9))</f>
        <v/>
      </c>
      <c r="AG9" s="3">
        <f>IF($B9="","",INDEX(Anuncios!$CU$2:$CU$209,$B9))</f>
        <v/>
      </c>
      <c r="AH9" s="3">
        <f>IF($B9="","",INDEX(Anuncios!$DB$2:$DB$209,$B9))</f>
        <v/>
      </c>
      <c r="AI9" s="3">
        <f>IF($B9="","",INDEX(Anuncios!$DR$2:$DR$209,$B9))</f>
        <v/>
      </c>
      <c r="AJ9" s="3">
        <f>IF($B9="","",INDEX(Anuncios!$DP$2:$DP$209,$B9))</f>
        <v/>
      </c>
      <c r="AK9" s="3">
        <f>IF($B9="","",INDEX(Anuncios!$DM$2:$DM$209,$B9))</f>
        <v/>
      </c>
      <c r="AL9" s="3">
        <f>IF($B9="","",INDEX(Anuncios!$DK$2:$DK$209,$B9))</f>
        <v/>
      </c>
      <c r="AM9" s="3">
        <f>IF($B9="","",INDEX(Anuncios!$CY$2:$CY$209,$B9))</f>
        <v/>
      </c>
      <c r="AN9" s="3">
        <f>IF($B9="","",INDEX(Anuncios!$DV$2:$DV$209,$B9))</f>
        <v/>
      </c>
      <c r="AO9" s="3">
        <f>IF($B9="","",INDEX(Anuncios!$DS$2:$DS$209,$B9))</f>
        <v/>
      </c>
      <c r="AP9" s="3">
        <f>IF($B9="","",INDEX(Anuncios!$EG$2:$EG$209,$B9))</f>
        <v/>
      </c>
      <c r="AQ9" s="3">
        <f>IF($B9="","",INDEX(Anuncios!$DX$2:$DX$209,$B9))</f>
        <v/>
      </c>
      <c r="AR9" s="3">
        <f>IF($B9="","",INDEX(Anuncios!$BT$2:$BT$209,$B9))</f>
        <v/>
      </c>
      <c r="AS9" s="3">
        <f>IF($B9="","",AF9*W_FIAB)</f>
        <v/>
      </c>
      <c r="AT9" s="3">
        <f>IF($B9="","",AG9*W_PRECIO)</f>
        <v/>
      </c>
      <c r="AU9" s="3">
        <f>IF($B9="","",AH9*W_ESTADO)</f>
        <v/>
      </c>
      <c r="AV9" s="3">
        <f>IF($B9="","",AI9*W_ESTETICA)</f>
        <v/>
      </c>
      <c r="AW9" s="3">
        <f>IF($B9="","",AJ9*W_SEGVIAL)</f>
        <v/>
      </c>
      <c r="AX9" s="3">
        <f>IF($B9="","",AK9*W_SEGURIDAD)</f>
        <v/>
      </c>
      <c r="AY9" s="3">
        <f>IF($B9="","",AL9*W_USO)</f>
        <v/>
      </c>
      <c r="AZ9" s="3">
        <f>IF($B9="","",AM9*W_KMEDAD)</f>
        <v/>
      </c>
      <c r="BA9" s="3">
        <f>IF($B9="","",AN9*W_REVENTA)</f>
        <v/>
      </c>
      <c r="BB9" s="3">
        <f>IF($B9="","",AO9*W_COLOR)</f>
        <v/>
      </c>
    </row>
    <row r="10">
      <c r="A10" s="2" t="n">
        <v>9</v>
      </c>
      <c r="B10" s="3">
        <f>IFERROR(MATCH(A10,Anuncios!$EK$2:$EK$209,0),"")</f>
        <v/>
      </c>
      <c r="C10" s="3">
        <f>IF(B10="","",HYPERLINK(INDEX(Anuncios!$C$2:$C$209,B10),"Abrir anuncio"))</f>
        <v/>
      </c>
      <c r="D10" s="3">
        <f>IF($B10="","",INDEX(Anuncios!$D$2:$D$209,$B10))</f>
        <v/>
      </c>
      <c r="E10" s="3">
        <f>IF($B10="","",INDEX(Anuncios!$B$2:$B$209,$B10))</f>
        <v/>
      </c>
      <c r="F10" s="3">
        <f>IF($B10="","",INDEX(Anuncios!$E$2:$E$209,$B10))</f>
        <v/>
      </c>
      <c r="G10" s="3">
        <f>IF($B10="","",INDEX(Anuncios!$F$2:$F$209,$B10))</f>
        <v/>
      </c>
      <c r="H10" s="3">
        <f>IF($B10="","",INDEX(Anuncios!$G$2:$G$209,$B10))</f>
        <v/>
      </c>
      <c r="I10" s="3">
        <f>IF($B10="","",INDEX(Anuncios!$K$2:$K$209,$B10))</f>
        <v/>
      </c>
      <c r="J10" s="3">
        <f>IF($B10="","",INDEX(Anuncios!$M$2:$M$209,$B10))</f>
        <v/>
      </c>
      <c r="K10" s="3">
        <f>IF($B10="","",INDEX(Anuncios!$N$2:$N$209,$B10))</f>
        <v/>
      </c>
      <c r="L10" s="3">
        <f>IF($B10="","",INDEX(Anuncios!$Q$2:$Q$209,$B10))</f>
        <v/>
      </c>
      <c r="M10" s="3">
        <f>IF($B10="","",INDEX(Anuncios!$R$2:$R$209,$B10))</f>
        <v/>
      </c>
      <c r="N10" s="3">
        <f>IF($B10="","",INDEX(Anuncios!$O$2:$O$209,$B10))</f>
        <v/>
      </c>
      <c r="O10" s="3">
        <f>IF($B10="","",INDEX(Anuncios!$AJ$2:$AJ$209,$B10))</f>
        <v/>
      </c>
      <c r="P10" s="3">
        <f>IF($B10="","",INDEX(Anuncios!$DL$2:$DL$209,$B10))</f>
        <v/>
      </c>
      <c r="Q10" s="3">
        <f>IF($B10="","",INDEX(Anuncios!$EA$2:$EA$209,$B10))</f>
        <v/>
      </c>
      <c r="R10" s="3">
        <f>IF($B10="","",INDEX(Anuncios!$DZ$2:$DZ$209,$B10))</f>
        <v/>
      </c>
      <c r="S10" s="3">
        <f>IF($B10="","",INDEX(Anuncios!$ED$2:$ED$209,$B10))</f>
        <v/>
      </c>
      <c r="T10" s="3">
        <f>IF($B10="","",INDEX(Anuncios!$EF$2:$EF$209,$B10))</f>
        <v/>
      </c>
      <c r="U10" s="3">
        <f>IF($B10="","",INDEX(Anuncios!$EH$2:$EH$209,$B10))</f>
        <v/>
      </c>
      <c r="V10" s="3">
        <f>IF($B10="","",INDEX(Anuncios!$CE$2:$CE$209,$B10))</f>
        <v/>
      </c>
      <c r="W10" s="3">
        <f>IF($B10="","",INDEX(Anuncios!$CG$2:$CG$209,$B10))</f>
        <v/>
      </c>
      <c r="X10" s="3">
        <f>IF($B10="","",INDEX(Anuncios!$CL$2:$CL$209,$B10))</f>
        <v/>
      </c>
      <c r="Y10" s="3">
        <f>IF($B10="","",INDEX(Anuncios!$AS$2:$AS$209,$B10))</f>
        <v/>
      </c>
      <c r="Z10" s="3">
        <f>IF($B10="","",INDEX(Anuncios!$AV$2:$AV$209,$B10))</f>
        <v/>
      </c>
      <c r="AA10" s="3">
        <f>IF($B10="","",INDEX(Anuncios!$CM$2:$CM$209,$B10))</f>
        <v/>
      </c>
      <c r="AB10" s="3">
        <f>IF($B10="","",INDEX(Anuncios!$BA$2:$BA$209,$B10))</f>
        <v/>
      </c>
      <c r="AC10" s="3">
        <f>IF($B10="","",INDEX(Anuncios!$BB$2:$BB$209,$B10))</f>
        <v/>
      </c>
      <c r="AD10" s="3">
        <f>IF($B10="","",INDEX(Anuncios!$BK$2:$BK$209,$B10))</f>
        <v/>
      </c>
      <c r="AE10" s="3">
        <f>IF($B10="","",INDEX(Anuncios!$BL$2:$BL$209,$B10))</f>
        <v/>
      </c>
      <c r="AF10" s="3">
        <f>IF($B10="","",INDEX(Anuncios!$CS$2:$CS$209,$B10))</f>
        <v/>
      </c>
      <c r="AG10" s="3">
        <f>IF($B10="","",INDEX(Anuncios!$CU$2:$CU$209,$B10))</f>
        <v/>
      </c>
      <c r="AH10" s="3">
        <f>IF($B10="","",INDEX(Anuncios!$DB$2:$DB$209,$B10))</f>
        <v/>
      </c>
      <c r="AI10" s="3">
        <f>IF($B10="","",INDEX(Anuncios!$DR$2:$DR$209,$B10))</f>
        <v/>
      </c>
      <c r="AJ10" s="3">
        <f>IF($B10="","",INDEX(Anuncios!$DP$2:$DP$209,$B10))</f>
        <v/>
      </c>
      <c r="AK10" s="3">
        <f>IF($B10="","",INDEX(Anuncios!$DM$2:$DM$209,$B10))</f>
        <v/>
      </c>
      <c r="AL10" s="3">
        <f>IF($B10="","",INDEX(Anuncios!$DK$2:$DK$209,$B10))</f>
        <v/>
      </c>
      <c r="AM10" s="3">
        <f>IF($B10="","",INDEX(Anuncios!$CY$2:$CY$209,$B10))</f>
        <v/>
      </c>
      <c r="AN10" s="3">
        <f>IF($B10="","",INDEX(Anuncios!$DV$2:$DV$209,$B10))</f>
        <v/>
      </c>
      <c r="AO10" s="3">
        <f>IF($B10="","",INDEX(Anuncios!$DS$2:$DS$209,$B10))</f>
        <v/>
      </c>
      <c r="AP10" s="3">
        <f>IF($B10="","",INDEX(Anuncios!$EG$2:$EG$209,$B10))</f>
        <v/>
      </c>
      <c r="AQ10" s="3">
        <f>IF($B10="","",INDEX(Anuncios!$DX$2:$DX$209,$B10))</f>
        <v/>
      </c>
      <c r="AR10" s="3">
        <f>IF($B10="","",INDEX(Anuncios!$BT$2:$BT$209,$B10))</f>
        <v/>
      </c>
      <c r="AS10" s="3">
        <f>IF($B10="","",AF10*W_FIAB)</f>
        <v/>
      </c>
      <c r="AT10" s="3">
        <f>IF($B10="","",AG10*W_PRECIO)</f>
        <v/>
      </c>
      <c r="AU10" s="3">
        <f>IF($B10="","",AH10*W_ESTADO)</f>
        <v/>
      </c>
      <c r="AV10" s="3">
        <f>IF($B10="","",AI10*W_ESTETICA)</f>
        <v/>
      </c>
      <c r="AW10" s="3">
        <f>IF($B10="","",AJ10*W_SEGVIAL)</f>
        <v/>
      </c>
      <c r="AX10" s="3">
        <f>IF($B10="","",AK10*W_SEGURIDAD)</f>
        <v/>
      </c>
      <c r="AY10" s="3">
        <f>IF($B10="","",AL10*W_USO)</f>
        <v/>
      </c>
      <c r="AZ10" s="3">
        <f>IF($B10="","",AM10*W_KMEDAD)</f>
        <v/>
      </c>
      <c r="BA10" s="3">
        <f>IF($B10="","",AN10*W_REVENTA)</f>
        <v/>
      </c>
      <c r="BB10" s="3">
        <f>IF($B10="","",AO10*W_COLOR)</f>
        <v/>
      </c>
    </row>
    <row r="11">
      <c r="A11" s="2" t="n">
        <v>10</v>
      </c>
      <c r="B11" s="3">
        <f>IFERROR(MATCH(A11,Anuncios!$EK$2:$EK$209,0),"")</f>
        <v/>
      </c>
      <c r="C11" s="3">
        <f>IF(B11="","",HYPERLINK(INDEX(Anuncios!$C$2:$C$209,B11),"Abrir anuncio"))</f>
        <v/>
      </c>
      <c r="D11" s="3">
        <f>IF($B11="","",INDEX(Anuncios!$D$2:$D$209,$B11))</f>
        <v/>
      </c>
      <c r="E11" s="3">
        <f>IF($B11="","",INDEX(Anuncios!$B$2:$B$209,$B11))</f>
        <v/>
      </c>
      <c r="F11" s="3">
        <f>IF($B11="","",INDEX(Anuncios!$E$2:$E$209,$B11))</f>
        <v/>
      </c>
      <c r="G11" s="3">
        <f>IF($B11="","",INDEX(Anuncios!$F$2:$F$209,$B11))</f>
        <v/>
      </c>
      <c r="H11" s="3">
        <f>IF($B11="","",INDEX(Anuncios!$G$2:$G$209,$B11))</f>
        <v/>
      </c>
      <c r="I11" s="3">
        <f>IF($B11="","",INDEX(Anuncios!$K$2:$K$209,$B11))</f>
        <v/>
      </c>
      <c r="J11" s="3">
        <f>IF($B11="","",INDEX(Anuncios!$M$2:$M$209,$B11))</f>
        <v/>
      </c>
      <c r="K11" s="3">
        <f>IF($B11="","",INDEX(Anuncios!$N$2:$N$209,$B11))</f>
        <v/>
      </c>
      <c r="L11" s="3">
        <f>IF($B11="","",INDEX(Anuncios!$Q$2:$Q$209,$B11))</f>
        <v/>
      </c>
      <c r="M11" s="3">
        <f>IF($B11="","",INDEX(Anuncios!$R$2:$R$209,$B11))</f>
        <v/>
      </c>
      <c r="N11" s="3">
        <f>IF($B11="","",INDEX(Anuncios!$O$2:$O$209,$B11))</f>
        <v/>
      </c>
      <c r="O11" s="3">
        <f>IF($B11="","",INDEX(Anuncios!$AJ$2:$AJ$209,$B11))</f>
        <v/>
      </c>
      <c r="P11" s="3">
        <f>IF($B11="","",INDEX(Anuncios!$DL$2:$DL$209,$B11))</f>
        <v/>
      </c>
      <c r="Q11" s="3">
        <f>IF($B11="","",INDEX(Anuncios!$EA$2:$EA$209,$B11))</f>
        <v/>
      </c>
      <c r="R11" s="3">
        <f>IF($B11="","",INDEX(Anuncios!$DZ$2:$DZ$209,$B11))</f>
        <v/>
      </c>
      <c r="S11" s="3">
        <f>IF($B11="","",INDEX(Anuncios!$ED$2:$ED$209,$B11))</f>
        <v/>
      </c>
      <c r="T11" s="3">
        <f>IF($B11="","",INDEX(Anuncios!$EF$2:$EF$209,$B11))</f>
        <v/>
      </c>
      <c r="U11" s="3">
        <f>IF($B11="","",INDEX(Anuncios!$EH$2:$EH$209,$B11))</f>
        <v/>
      </c>
      <c r="V11" s="3">
        <f>IF($B11="","",INDEX(Anuncios!$CE$2:$CE$209,$B11))</f>
        <v/>
      </c>
      <c r="W11" s="3">
        <f>IF($B11="","",INDEX(Anuncios!$CG$2:$CG$209,$B11))</f>
        <v/>
      </c>
      <c r="X11" s="3">
        <f>IF($B11="","",INDEX(Anuncios!$CL$2:$CL$209,$B11))</f>
        <v/>
      </c>
      <c r="Y11" s="3">
        <f>IF($B11="","",INDEX(Anuncios!$AS$2:$AS$209,$B11))</f>
        <v/>
      </c>
      <c r="Z11" s="3">
        <f>IF($B11="","",INDEX(Anuncios!$AV$2:$AV$209,$B11))</f>
        <v/>
      </c>
      <c r="AA11" s="3">
        <f>IF($B11="","",INDEX(Anuncios!$CM$2:$CM$209,$B11))</f>
        <v/>
      </c>
      <c r="AB11" s="3">
        <f>IF($B11="","",INDEX(Anuncios!$BA$2:$BA$209,$B11))</f>
        <v/>
      </c>
      <c r="AC11" s="3">
        <f>IF($B11="","",INDEX(Anuncios!$BB$2:$BB$209,$B11))</f>
        <v/>
      </c>
      <c r="AD11" s="3">
        <f>IF($B11="","",INDEX(Anuncios!$BK$2:$BK$209,$B11))</f>
        <v/>
      </c>
      <c r="AE11" s="3">
        <f>IF($B11="","",INDEX(Anuncios!$BL$2:$BL$209,$B11))</f>
        <v/>
      </c>
      <c r="AF11" s="3">
        <f>IF($B11="","",INDEX(Anuncios!$CS$2:$CS$209,$B11))</f>
        <v/>
      </c>
      <c r="AG11" s="3">
        <f>IF($B11="","",INDEX(Anuncios!$CU$2:$CU$209,$B11))</f>
        <v/>
      </c>
      <c r="AH11" s="3">
        <f>IF($B11="","",INDEX(Anuncios!$DB$2:$DB$209,$B11))</f>
        <v/>
      </c>
      <c r="AI11" s="3">
        <f>IF($B11="","",INDEX(Anuncios!$DR$2:$DR$209,$B11))</f>
        <v/>
      </c>
      <c r="AJ11" s="3">
        <f>IF($B11="","",INDEX(Anuncios!$DP$2:$DP$209,$B11))</f>
        <v/>
      </c>
      <c r="AK11" s="3">
        <f>IF($B11="","",INDEX(Anuncios!$DM$2:$DM$209,$B11))</f>
        <v/>
      </c>
      <c r="AL11" s="3">
        <f>IF($B11="","",INDEX(Anuncios!$DK$2:$DK$209,$B11))</f>
        <v/>
      </c>
      <c r="AM11" s="3">
        <f>IF($B11="","",INDEX(Anuncios!$CY$2:$CY$209,$B11))</f>
        <v/>
      </c>
      <c r="AN11" s="3">
        <f>IF($B11="","",INDEX(Anuncios!$DV$2:$DV$209,$B11))</f>
        <v/>
      </c>
      <c r="AO11" s="3">
        <f>IF($B11="","",INDEX(Anuncios!$DS$2:$DS$209,$B11))</f>
        <v/>
      </c>
      <c r="AP11" s="3">
        <f>IF($B11="","",INDEX(Anuncios!$EG$2:$EG$209,$B11))</f>
        <v/>
      </c>
      <c r="AQ11" s="3">
        <f>IF($B11="","",INDEX(Anuncios!$DX$2:$DX$209,$B11))</f>
        <v/>
      </c>
      <c r="AR11" s="3">
        <f>IF($B11="","",INDEX(Anuncios!$BT$2:$BT$209,$B11))</f>
        <v/>
      </c>
      <c r="AS11" s="3">
        <f>IF($B11="","",AF11*W_FIAB)</f>
        <v/>
      </c>
      <c r="AT11" s="3">
        <f>IF($B11="","",AG11*W_PRECIO)</f>
        <v/>
      </c>
      <c r="AU11" s="3">
        <f>IF($B11="","",AH11*W_ESTADO)</f>
        <v/>
      </c>
      <c r="AV11" s="3">
        <f>IF($B11="","",AI11*W_ESTETICA)</f>
        <v/>
      </c>
      <c r="AW11" s="3">
        <f>IF($B11="","",AJ11*W_SEGVIAL)</f>
        <v/>
      </c>
      <c r="AX11" s="3">
        <f>IF($B11="","",AK11*W_SEGURIDAD)</f>
        <v/>
      </c>
      <c r="AY11" s="3">
        <f>IF($B11="","",AL11*W_USO)</f>
        <v/>
      </c>
      <c r="AZ11" s="3">
        <f>IF($B11="","",AM11*W_KMEDAD)</f>
        <v/>
      </c>
      <c r="BA11" s="3">
        <f>IF($B11="","",AN11*W_REVENTA)</f>
        <v/>
      </c>
      <c r="BB11" s="3">
        <f>IF($B11="","",AO11*W_COLOR)</f>
        <v/>
      </c>
    </row>
    <row r="12">
      <c r="A12" s="2" t="n">
        <v>11</v>
      </c>
      <c r="B12" s="3">
        <f>IFERROR(MATCH(A12,Anuncios!$EK$2:$EK$209,0),"")</f>
        <v/>
      </c>
      <c r="C12" s="3">
        <f>IF(B12="","",HYPERLINK(INDEX(Anuncios!$C$2:$C$209,B12),"Abrir anuncio"))</f>
        <v/>
      </c>
      <c r="D12" s="3">
        <f>IF($B12="","",INDEX(Anuncios!$D$2:$D$209,$B12))</f>
        <v/>
      </c>
      <c r="E12" s="3">
        <f>IF($B12="","",INDEX(Anuncios!$B$2:$B$209,$B12))</f>
        <v/>
      </c>
      <c r="F12" s="3">
        <f>IF($B12="","",INDEX(Anuncios!$E$2:$E$209,$B12))</f>
        <v/>
      </c>
      <c r="G12" s="3">
        <f>IF($B12="","",INDEX(Anuncios!$F$2:$F$209,$B12))</f>
        <v/>
      </c>
      <c r="H12" s="3">
        <f>IF($B12="","",INDEX(Anuncios!$G$2:$G$209,$B12))</f>
        <v/>
      </c>
      <c r="I12" s="3">
        <f>IF($B12="","",INDEX(Anuncios!$K$2:$K$209,$B12))</f>
        <v/>
      </c>
      <c r="J12" s="3">
        <f>IF($B12="","",INDEX(Anuncios!$M$2:$M$209,$B12))</f>
        <v/>
      </c>
      <c r="K12" s="3">
        <f>IF($B12="","",INDEX(Anuncios!$N$2:$N$209,$B12))</f>
        <v/>
      </c>
      <c r="L12" s="3">
        <f>IF($B12="","",INDEX(Anuncios!$Q$2:$Q$209,$B12))</f>
        <v/>
      </c>
      <c r="M12" s="3">
        <f>IF($B12="","",INDEX(Anuncios!$R$2:$R$209,$B12))</f>
        <v/>
      </c>
      <c r="N12" s="3">
        <f>IF($B12="","",INDEX(Anuncios!$O$2:$O$209,$B12))</f>
        <v/>
      </c>
      <c r="O12" s="3">
        <f>IF($B12="","",INDEX(Anuncios!$AJ$2:$AJ$209,$B12))</f>
        <v/>
      </c>
      <c r="P12" s="3">
        <f>IF($B12="","",INDEX(Anuncios!$DL$2:$DL$209,$B12))</f>
        <v/>
      </c>
      <c r="Q12" s="3">
        <f>IF($B12="","",INDEX(Anuncios!$EA$2:$EA$209,$B12))</f>
        <v/>
      </c>
      <c r="R12" s="3">
        <f>IF($B12="","",INDEX(Anuncios!$DZ$2:$DZ$209,$B12))</f>
        <v/>
      </c>
      <c r="S12" s="3">
        <f>IF($B12="","",INDEX(Anuncios!$ED$2:$ED$209,$B12))</f>
        <v/>
      </c>
      <c r="T12" s="3">
        <f>IF($B12="","",INDEX(Anuncios!$EF$2:$EF$209,$B12))</f>
        <v/>
      </c>
      <c r="U12" s="3">
        <f>IF($B12="","",INDEX(Anuncios!$EH$2:$EH$209,$B12))</f>
        <v/>
      </c>
      <c r="V12" s="3">
        <f>IF($B12="","",INDEX(Anuncios!$CE$2:$CE$209,$B12))</f>
        <v/>
      </c>
      <c r="W12" s="3">
        <f>IF($B12="","",INDEX(Anuncios!$CG$2:$CG$209,$B12))</f>
        <v/>
      </c>
      <c r="X12" s="3">
        <f>IF($B12="","",INDEX(Anuncios!$CL$2:$CL$209,$B12))</f>
        <v/>
      </c>
      <c r="Y12" s="3">
        <f>IF($B12="","",INDEX(Anuncios!$AS$2:$AS$209,$B12))</f>
        <v/>
      </c>
      <c r="Z12" s="3">
        <f>IF($B12="","",INDEX(Anuncios!$AV$2:$AV$209,$B12))</f>
        <v/>
      </c>
      <c r="AA12" s="3">
        <f>IF($B12="","",INDEX(Anuncios!$CM$2:$CM$209,$B12))</f>
        <v/>
      </c>
      <c r="AB12" s="3">
        <f>IF($B12="","",INDEX(Anuncios!$BA$2:$BA$209,$B12))</f>
        <v/>
      </c>
      <c r="AC12" s="3">
        <f>IF($B12="","",INDEX(Anuncios!$BB$2:$BB$209,$B12))</f>
        <v/>
      </c>
      <c r="AD12" s="3">
        <f>IF($B12="","",INDEX(Anuncios!$BK$2:$BK$209,$B12))</f>
        <v/>
      </c>
      <c r="AE12" s="3">
        <f>IF($B12="","",INDEX(Anuncios!$BL$2:$BL$209,$B12))</f>
        <v/>
      </c>
      <c r="AF12" s="3">
        <f>IF($B12="","",INDEX(Anuncios!$CS$2:$CS$209,$B12))</f>
        <v/>
      </c>
      <c r="AG12" s="3">
        <f>IF($B12="","",INDEX(Anuncios!$CU$2:$CU$209,$B12))</f>
        <v/>
      </c>
      <c r="AH12" s="3">
        <f>IF($B12="","",INDEX(Anuncios!$DB$2:$DB$209,$B12))</f>
        <v/>
      </c>
      <c r="AI12" s="3">
        <f>IF($B12="","",INDEX(Anuncios!$DR$2:$DR$209,$B12))</f>
        <v/>
      </c>
      <c r="AJ12" s="3">
        <f>IF($B12="","",INDEX(Anuncios!$DP$2:$DP$209,$B12))</f>
        <v/>
      </c>
      <c r="AK12" s="3">
        <f>IF($B12="","",INDEX(Anuncios!$DM$2:$DM$209,$B12))</f>
        <v/>
      </c>
      <c r="AL12" s="3">
        <f>IF($B12="","",INDEX(Anuncios!$DK$2:$DK$209,$B12))</f>
        <v/>
      </c>
      <c r="AM12" s="3">
        <f>IF($B12="","",INDEX(Anuncios!$CY$2:$CY$209,$B12))</f>
        <v/>
      </c>
      <c r="AN12" s="3">
        <f>IF($B12="","",INDEX(Anuncios!$DV$2:$DV$209,$B12))</f>
        <v/>
      </c>
      <c r="AO12" s="3">
        <f>IF($B12="","",INDEX(Anuncios!$DS$2:$DS$209,$B12))</f>
        <v/>
      </c>
      <c r="AP12" s="3">
        <f>IF($B12="","",INDEX(Anuncios!$EG$2:$EG$209,$B12))</f>
        <v/>
      </c>
      <c r="AQ12" s="3">
        <f>IF($B12="","",INDEX(Anuncios!$DX$2:$DX$209,$B12))</f>
        <v/>
      </c>
      <c r="AR12" s="3">
        <f>IF($B12="","",INDEX(Anuncios!$BT$2:$BT$209,$B12))</f>
        <v/>
      </c>
      <c r="AS12" s="3">
        <f>IF($B12="","",AF12*W_FIAB)</f>
        <v/>
      </c>
      <c r="AT12" s="3">
        <f>IF($B12="","",AG12*W_PRECIO)</f>
        <v/>
      </c>
      <c r="AU12" s="3">
        <f>IF($B12="","",AH12*W_ESTADO)</f>
        <v/>
      </c>
      <c r="AV12" s="3">
        <f>IF($B12="","",AI12*W_ESTETICA)</f>
        <v/>
      </c>
      <c r="AW12" s="3">
        <f>IF($B12="","",AJ12*W_SEGVIAL)</f>
        <v/>
      </c>
      <c r="AX12" s="3">
        <f>IF($B12="","",AK12*W_SEGURIDAD)</f>
        <v/>
      </c>
      <c r="AY12" s="3">
        <f>IF($B12="","",AL12*W_USO)</f>
        <v/>
      </c>
      <c r="AZ12" s="3">
        <f>IF($B12="","",AM12*W_KMEDAD)</f>
        <v/>
      </c>
      <c r="BA12" s="3">
        <f>IF($B12="","",AN12*W_REVENTA)</f>
        <v/>
      </c>
      <c r="BB12" s="3">
        <f>IF($B12="","",AO12*W_COLOR)</f>
        <v/>
      </c>
    </row>
    <row r="13">
      <c r="A13" s="2" t="n">
        <v>12</v>
      </c>
      <c r="B13" s="3">
        <f>IFERROR(MATCH(A13,Anuncios!$EK$2:$EK$209,0),"")</f>
        <v/>
      </c>
      <c r="C13" s="3">
        <f>IF(B13="","",HYPERLINK(INDEX(Anuncios!$C$2:$C$209,B13),"Abrir anuncio"))</f>
        <v/>
      </c>
      <c r="D13" s="3">
        <f>IF($B13="","",INDEX(Anuncios!$D$2:$D$209,$B13))</f>
        <v/>
      </c>
      <c r="E13" s="3">
        <f>IF($B13="","",INDEX(Anuncios!$B$2:$B$209,$B13))</f>
        <v/>
      </c>
      <c r="F13" s="3">
        <f>IF($B13="","",INDEX(Anuncios!$E$2:$E$209,$B13))</f>
        <v/>
      </c>
      <c r="G13" s="3">
        <f>IF($B13="","",INDEX(Anuncios!$F$2:$F$209,$B13))</f>
        <v/>
      </c>
      <c r="H13" s="3">
        <f>IF($B13="","",INDEX(Anuncios!$G$2:$G$209,$B13))</f>
        <v/>
      </c>
      <c r="I13" s="3">
        <f>IF($B13="","",INDEX(Anuncios!$K$2:$K$209,$B13))</f>
        <v/>
      </c>
      <c r="J13" s="3">
        <f>IF($B13="","",INDEX(Anuncios!$M$2:$M$209,$B13))</f>
        <v/>
      </c>
      <c r="K13" s="3">
        <f>IF($B13="","",INDEX(Anuncios!$N$2:$N$209,$B13))</f>
        <v/>
      </c>
      <c r="L13" s="3">
        <f>IF($B13="","",INDEX(Anuncios!$Q$2:$Q$209,$B13))</f>
        <v/>
      </c>
      <c r="M13" s="3">
        <f>IF($B13="","",INDEX(Anuncios!$R$2:$R$209,$B13))</f>
        <v/>
      </c>
      <c r="N13" s="3">
        <f>IF($B13="","",INDEX(Anuncios!$O$2:$O$209,$B13))</f>
        <v/>
      </c>
      <c r="O13" s="3">
        <f>IF($B13="","",INDEX(Anuncios!$AJ$2:$AJ$209,$B13))</f>
        <v/>
      </c>
      <c r="P13" s="3">
        <f>IF($B13="","",INDEX(Anuncios!$DL$2:$DL$209,$B13))</f>
        <v/>
      </c>
      <c r="Q13" s="3">
        <f>IF($B13="","",INDEX(Anuncios!$EA$2:$EA$209,$B13))</f>
        <v/>
      </c>
      <c r="R13" s="3">
        <f>IF($B13="","",INDEX(Anuncios!$DZ$2:$DZ$209,$B13))</f>
        <v/>
      </c>
      <c r="S13" s="3">
        <f>IF($B13="","",INDEX(Anuncios!$ED$2:$ED$209,$B13))</f>
        <v/>
      </c>
      <c r="T13" s="3">
        <f>IF($B13="","",INDEX(Anuncios!$EF$2:$EF$209,$B13))</f>
        <v/>
      </c>
      <c r="U13" s="3">
        <f>IF($B13="","",INDEX(Anuncios!$EH$2:$EH$209,$B13))</f>
        <v/>
      </c>
      <c r="V13" s="3">
        <f>IF($B13="","",INDEX(Anuncios!$CE$2:$CE$209,$B13))</f>
        <v/>
      </c>
      <c r="W13" s="3">
        <f>IF($B13="","",INDEX(Anuncios!$CG$2:$CG$209,$B13))</f>
        <v/>
      </c>
      <c r="X13" s="3">
        <f>IF($B13="","",INDEX(Anuncios!$CL$2:$CL$209,$B13))</f>
        <v/>
      </c>
      <c r="Y13" s="3">
        <f>IF($B13="","",INDEX(Anuncios!$AS$2:$AS$209,$B13))</f>
        <v/>
      </c>
      <c r="Z13" s="3">
        <f>IF($B13="","",INDEX(Anuncios!$AV$2:$AV$209,$B13))</f>
        <v/>
      </c>
      <c r="AA13" s="3">
        <f>IF($B13="","",INDEX(Anuncios!$CM$2:$CM$209,$B13))</f>
        <v/>
      </c>
      <c r="AB13" s="3">
        <f>IF($B13="","",INDEX(Anuncios!$BA$2:$BA$209,$B13))</f>
        <v/>
      </c>
      <c r="AC13" s="3">
        <f>IF($B13="","",INDEX(Anuncios!$BB$2:$BB$209,$B13))</f>
        <v/>
      </c>
      <c r="AD13" s="3">
        <f>IF($B13="","",INDEX(Anuncios!$BK$2:$BK$209,$B13))</f>
        <v/>
      </c>
      <c r="AE13" s="3">
        <f>IF($B13="","",INDEX(Anuncios!$BL$2:$BL$209,$B13))</f>
        <v/>
      </c>
      <c r="AF13" s="3">
        <f>IF($B13="","",INDEX(Anuncios!$CS$2:$CS$209,$B13))</f>
        <v/>
      </c>
      <c r="AG13" s="3">
        <f>IF($B13="","",INDEX(Anuncios!$CU$2:$CU$209,$B13))</f>
        <v/>
      </c>
      <c r="AH13" s="3">
        <f>IF($B13="","",INDEX(Anuncios!$DB$2:$DB$209,$B13))</f>
        <v/>
      </c>
      <c r="AI13" s="3">
        <f>IF($B13="","",INDEX(Anuncios!$DR$2:$DR$209,$B13))</f>
        <v/>
      </c>
      <c r="AJ13" s="3">
        <f>IF($B13="","",INDEX(Anuncios!$DP$2:$DP$209,$B13))</f>
        <v/>
      </c>
      <c r="AK13" s="3">
        <f>IF($B13="","",INDEX(Anuncios!$DM$2:$DM$209,$B13))</f>
        <v/>
      </c>
      <c r="AL13" s="3">
        <f>IF($B13="","",INDEX(Anuncios!$DK$2:$DK$209,$B13))</f>
        <v/>
      </c>
      <c r="AM13" s="3">
        <f>IF($B13="","",INDEX(Anuncios!$CY$2:$CY$209,$B13))</f>
        <v/>
      </c>
      <c r="AN13" s="3">
        <f>IF($B13="","",INDEX(Anuncios!$DV$2:$DV$209,$B13))</f>
        <v/>
      </c>
      <c r="AO13" s="3">
        <f>IF($B13="","",INDEX(Anuncios!$DS$2:$DS$209,$B13))</f>
        <v/>
      </c>
      <c r="AP13" s="3">
        <f>IF($B13="","",INDEX(Anuncios!$EG$2:$EG$209,$B13))</f>
        <v/>
      </c>
      <c r="AQ13" s="3">
        <f>IF($B13="","",INDEX(Anuncios!$DX$2:$DX$209,$B13))</f>
        <v/>
      </c>
      <c r="AR13" s="3">
        <f>IF($B13="","",INDEX(Anuncios!$BT$2:$BT$209,$B13))</f>
        <v/>
      </c>
      <c r="AS13" s="3">
        <f>IF($B13="","",AF13*W_FIAB)</f>
        <v/>
      </c>
      <c r="AT13" s="3">
        <f>IF($B13="","",AG13*W_PRECIO)</f>
        <v/>
      </c>
      <c r="AU13" s="3">
        <f>IF($B13="","",AH13*W_ESTADO)</f>
        <v/>
      </c>
      <c r="AV13" s="3">
        <f>IF($B13="","",AI13*W_ESTETICA)</f>
        <v/>
      </c>
      <c r="AW13" s="3">
        <f>IF($B13="","",AJ13*W_SEGVIAL)</f>
        <v/>
      </c>
      <c r="AX13" s="3">
        <f>IF($B13="","",AK13*W_SEGURIDAD)</f>
        <v/>
      </c>
      <c r="AY13" s="3">
        <f>IF($B13="","",AL13*W_USO)</f>
        <v/>
      </c>
      <c r="AZ13" s="3">
        <f>IF($B13="","",AM13*W_KMEDAD)</f>
        <v/>
      </c>
      <c r="BA13" s="3">
        <f>IF($B13="","",AN13*W_REVENTA)</f>
        <v/>
      </c>
      <c r="BB13" s="3">
        <f>IF($B13="","",AO13*W_COLOR)</f>
        <v/>
      </c>
    </row>
    <row r="14">
      <c r="A14" s="2" t="n">
        <v>13</v>
      </c>
      <c r="B14" s="3">
        <f>IFERROR(MATCH(A14,Anuncios!$EK$2:$EK$209,0),"")</f>
        <v/>
      </c>
      <c r="C14" s="3">
        <f>IF(B14="","",HYPERLINK(INDEX(Anuncios!$C$2:$C$209,B14),"Abrir anuncio"))</f>
        <v/>
      </c>
      <c r="D14" s="3">
        <f>IF($B14="","",INDEX(Anuncios!$D$2:$D$209,$B14))</f>
        <v/>
      </c>
      <c r="E14" s="3">
        <f>IF($B14="","",INDEX(Anuncios!$B$2:$B$209,$B14))</f>
        <v/>
      </c>
      <c r="F14" s="3">
        <f>IF($B14="","",INDEX(Anuncios!$E$2:$E$209,$B14))</f>
        <v/>
      </c>
      <c r="G14" s="3">
        <f>IF($B14="","",INDEX(Anuncios!$F$2:$F$209,$B14))</f>
        <v/>
      </c>
      <c r="H14" s="3">
        <f>IF($B14="","",INDEX(Anuncios!$G$2:$G$209,$B14))</f>
        <v/>
      </c>
      <c r="I14" s="3">
        <f>IF($B14="","",INDEX(Anuncios!$K$2:$K$209,$B14))</f>
        <v/>
      </c>
      <c r="J14" s="3">
        <f>IF($B14="","",INDEX(Anuncios!$M$2:$M$209,$B14))</f>
        <v/>
      </c>
      <c r="K14" s="3">
        <f>IF($B14="","",INDEX(Anuncios!$N$2:$N$209,$B14))</f>
        <v/>
      </c>
      <c r="L14" s="3">
        <f>IF($B14="","",INDEX(Anuncios!$Q$2:$Q$209,$B14))</f>
        <v/>
      </c>
      <c r="M14" s="3">
        <f>IF($B14="","",INDEX(Anuncios!$R$2:$R$209,$B14))</f>
        <v/>
      </c>
      <c r="N14" s="3">
        <f>IF($B14="","",INDEX(Anuncios!$O$2:$O$209,$B14))</f>
        <v/>
      </c>
      <c r="O14" s="3">
        <f>IF($B14="","",INDEX(Anuncios!$AJ$2:$AJ$209,$B14))</f>
        <v/>
      </c>
      <c r="P14" s="3">
        <f>IF($B14="","",INDEX(Anuncios!$DL$2:$DL$209,$B14))</f>
        <v/>
      </c>
      <c r="Q14" s="3">
        <f>IF($B14="","",INDEX(Anuncios!$EA$2:$EA$209,$B14))</f>
        <v/>
      </c>
      <c r="R14" s="3">
        <f>IF($B14="","",INDEX(Anuncios!$DZ$2:$DZ$209,$B14))</f>
        <v/>
      </c>
      <c r="S14" s="3">
        <f>IF($B14="","",INDEX(Anuncios!$ED$2:$ED$209,$B14))</f>
        <v/>
      </c>
      <c r="T14" s="3">
        <f>IF($B14="","",INDEX(Anuncios!$EF$2:$EF$209,$B14))</f>
        <v/>
      </c>
      <c r="U14" s="3">
        <f>IF($B14="","",INDEX(Anuncios!$EH$2:$EH$209,$B14))</f>
        <v/>
      </c>
      <c r="V14" s="3">
        <f>IF($B14="","",INDEX(Anuncios!$CE$2:$CE$209,$B14))</f>
        <v/>
      </c>
      <c r="W14" s="3">
        <f>IF($B14="","",INDEX(Anuncios!$CG$2:$CG$209,$B14))</f>
        <v/>
      </c>
      <c r="X14" s="3">
        <f>IF($B14="","",INDEX(Anuncios!$CL$2:$CL$209,$B14))</f>
        <v/>
      </c>
      <c r="Y14" s="3">
        <f>IF($B14="","",INDEX(Anuncios!$AS$2:$AS$209,$B14))</f>
        <v/>
      </c>
      <c r="Z14" s="3">
        <f>IF($B14="","",INDEX(Anuncios!$AV$2:$AV$209,$B14))</f>
        <v/>
      </c>
      <c r="AA14" s="3">
        <f>IF($B14="","",INDEX(Anuncios!$CM$2:$CM$209,$B14))</f>
        <v/>
      </c>
      <c r="AB14" s="3">
        <f>IF($B14="","",INDEX(Anuncios!$BA$2:$BA$209,$B14))</f>
        <v/>
      </c>
      <c r="AC14" s="3">
        <f>IF($B14="","",INDEX(Anuncios!$BB$2:$BB$209,$B14))</f>
        <v/>
      </c>
      <c r="AD14" s="3">
        <f>IF($B14="","",INDEX(Anuncios!$BK$2:$BK$209,$B14))</f>
        <v/>
      </c>
      <c r="AE14" s="3">
        <f>IF($B14="","",INDEX(Anuncios!$BL$2:$BL$209,$B14))</f>
        <v/>
      </c>
      <c r="AF14" s="3">
        <f>IF($B14="","",INDEX(Anuncios!$CS$2:$CS$209,$B14))</f>
        <v/>
      </c>
      <c r="AG14" s="3">
        <f>IF($B14="","",INDEX(Anuncios!$CU$2:$CU$209,$B14))</f>
        <v/>
      </c>
      <c r="AH14" s="3">
        <f>IF($B14="","",INDEX(Anuncios!$DB$2:$DB$209,$B14))</f>
        <v/>
      </c>
      <c r="AI14" s="3">
        <f>IF($B14="","",INDEX(Anuncios!$DR$2:$DR$209,$B14))</f>
        <v/>
      </c>
      <c r="AJ14" s="3">
        <f>IF($B14="","",INDEX(Anuncios!$DP$2:$DP$209,$B14))</f>
        <v/>
      </c>
      <c r="AK14" s="3">
        <f>IF($B14="","",INDEX(Anuncios!$DM$2:$DM$209,$B14))</f>
        <v/>
      </c>
      <c r="AL14" s="3">
        <f>IF($B14="","",INDEX(Anuncios!$DK$2:$DK$209,$B14))</f>
        <v/>
      </c>
      <c r="AM14" s="3">
        <f>IF($B14="","",INDEX(Anuncios!$CY$2:$CY$209,$B14))</f>
        <v/>
      </c>
      <c r="AN14" s="3">
        <f>IF($B14="","",INDEX(Anuncios!$DV$2:$DV$209,$B14))</f>
        <v/>
      </c>
      <c r="AO14" s="3">
        <f>IF($B14="","",INDEX(Anuncios!$DS$2:$DS$209,$B14))</f>
        <v/>
      </c>
      <c r="AP14" s="3">
        <f>IF($B14="","",INDEX(Anuncios!$EG$2:$EG$209,$B14))</f>
        <v/>
      </c>
      <c r="AQ14" s="3">
        <f>IF($B14="","",INDEX(Anuncios!$DX$2:$DX$209,$B14))</f>
        <v/>
      </c>
      <c r="AR14" s="3">
        <f>IF($B14="","",INDEX(Anuncios!$BT$2:$BT$209,$B14))</f>
        <v/>
      </c>
      <c r="AS14" s="3">
        <f>IF($B14="","",AF14*W_FIAB)</f>
        <v/>
      </c>
      <c r="AT14" s="3">
        <f>IF($B14="","",AG14*W_PRECIO)</f>
        <v/>
      </c>
      <c r="AU14" s="3">
        <f>IF($B14="","",AH14*W_ESTADO)</f>
        <v/>
      </c>
      <c r="AV14" s="3">
        <f>IF($B14="","",AI14*W_ESTETICA)</f>
        <v/>
      </c>
      <c r="AW14" s="3">
        <f>IF($B14="","",AJ14*W_SEGVIAL)</f>
        <v/>
      </c>
      <c r="AX14" s="3">
        <f>IF($B14="","",AK14*W_SEGURIDAD)</f>
        <v/>
      </c>
      <c r="AY14" s="3">
        <f>IF($B14="","",AL14*W_USO)</f>
        <v/>
      </c>
      <c r="AZ14" s="3">
        <f>IF($B14="","",AM14*W_KMEDAD)</f>
        <v/>
      </c>
      <c r="BA14" s="3">
        <f>IF($B14="","",AN14*W_REVENTA)</f>
        <v/>
      </c>
      <c r="BB14" s="3">
        <f>IF($B14="","",AO14*W_COLOR)</f>
        <v/>
      </c>
    </row>
    <row r="15">
      <c r="A15" s="2" t="n">
        <v>14</v>
      </c>
      <c r="B15" s="3">
        <f>IFERROR(MATCH(A15,Anuncios!$EK$2:$EK$209,0),"")</f>
        <v/>
      </c>
      <c r="C15" s="3">
        <f>IF(B15="","",HYPERLINK(INDEX(Anuncios!$C$2:$C$209,B15),"Abrir anuncio"))</f>
        <v/>
      </c>
      <c r="D15" s="3">
        <f>IF($B15="","",INDEX(Anuncios!$D$2:$D$209,$B15))</f>
        <v/>
      </c>
      <c r="E15" s="3">
        <f>IF($B15="","",INDEX(Anuncios!$B$2:$B$209,$B15))</f>
        <v/>
      </c>
      <c r="F15" s="3">
        <f>IF($B15="","",INDEX(Anuncios!$E$2:$E$209,$B15))</f>
        <v/>
      </c>
      <c r="G15" s="3">
        <f>IF($B15="","",INDEX(Anuncios!$F$2:$F$209,$B15))</f>
        <v/>
      </c>
      <c r="H15" s="3">
        <f>IF($B15="","",INDEX(Anuncios!$G$2:$G$209,$B15))</f>
        <v/>
      </c>
      <c r="I15" s="3">
        <f>IF($B15="","",INDEX(Anuncios!$K$2:$K$209,$B15))</f>
        <v/>
      </c>
      <c r="J15" s="3">
        <f>IF($B15="","",INDEX(Anuncios!$M$2:$M$209,$B15))</f>
        <v/>
      </c>
      <c r="K15" s="3">
        <f>IF($B15="","",INDEX(Anuncios!$N$2:$N$209,$B15))</f>
        <v/>
      </c>
      <c r="L15" s="3">
        <f>IF($B15="","",INDEX(Anuncios!$Q$2:$Q$209,$B15))</f>
        <v/>
      </c>
      <c r="M15" s="3">
        <f>IF($B15="","",INDEX(Anuncios!$R$2:$R$209,$B15))</f>
        <v/>
      </c>
      <c r="N15" s="3">
        <f>IF($B15="","",INDEX(Anuncios!$O$2:$O$209,$B15))</f>
        <v/>
      </c>
      <c r="O15" s="3">
        <f>IF($B15="","",INDEX(Anuncios!$AJ$2:$AJ$209,$B15))</f>
        <v/>
      </c>
      <c r="P15" s="3">
        <f>IF($B15="","",INDEX(Anuncios!$DL$2:$DL$209,$B15))</f>
        <v/>
      </c>
      <c r="Q15" s="3">
        <f>IF($B15="","",INDEX(Anuncios!$EA$2:$EA$209,$B15))</f>
        <v/>
      </c>
      <c r="R15" s="3">
        <f>IF($B15="","",INDEX(Anuncios!$DZ$2:$DZ$209,$B15))</f>
        <v/>
      </c>
      <c r="S15" s="3">
        <f>IF($B15="","",INDEX(Anuncios!$ED$2:$ED$209,$B15))</f>
        <v/>
      </c>
      <c r="T15" s="3">
        <f>IF($B15="","",INDEX(Anuncios!$EF$2:$EF$209,$B15))</f>
        <v/>
      </c>
      <c r="U15" s="3">
        <f>IF($B15="","",INDEX(Anuncios!$EH$2:$EH$209,$B15))</f>
        <v/>
      </c>
      <c r="V15" s="3">
        <f>IF($B15="","",INDEX(Anuncios!$CE$2:$CE$209,$B15))</f>
        <v/>
      </c>
      <c r="W15" s="3">
        <f>IF($B15="","",INDEX(Anuncios!$CG$2:$CG$209,$B15))</f>
        <v/>
      </c>
      <c r="X15" s="3">
        <f>IF($B15="","",INDEX(Anuncios!$CL$2:$CL$209,$B15))</f>
        <v/>
      </c>
      <c r="Y15" s="3">
        <f>IF($B15="","",INDEX(Anuncios!$AS$2:$AS$209,$B15))</f>
        <v/>
      </c>
      <c r="Z15" s="3">
        <f>IF($B15="","",INDEX(Anuncios!$AV$2:$AV$209,$B15))</f>
        <v/>
      </c>
      <c r="AA15" s="3">
        <f>IF($B15="","",INDEX(Anuncios!$CM$2:$CM$209,$B15))</f>
        <v/>
      </c>
      <c r="AB15" s="3">
        <f>IF($B15="","",INDEX(Anuncios!$BA$2:$BA$209,$B15))</f>
        <v/>
      </c>
      <c r="AC15" s="3">
        <f>IF($B15="","",INDEX(Anuncios!$BB$2:$BB$209,$B15))</f>
        <v/>
      </c>
      <c r="AD15" s="3">
        <f>IF($B15="","",INDEX(Anuncios!$BK$2:$BK$209,$B15))</f>
        <v/>
      </c>
      <c r="AE15" s="3">
        <f>IF($B15="","",INDEX(Anuncios!$BL$2:$BL$209,$B15))</f>
        <v/>
      </c>
      <c r="AF15" s="3">
        <f>IF($B15="","",INDEX(Anuncios!$CS$2:$CS$209,$B15))</f>
        <v/>
      </c>
      <c r="AG15" s="3">
        <f>IF($B15="","",INDEX(Anuncios!$CU$2:$CU$209,$B15))</f>
        <v/>
      </c>
      <c r="AH15" s="3">
        <f>IF($B15="","",INDEX(Anuncios!$DB$2:$DB$209,$B15))</f>
        <v/>
      </c>
      <c r="AI15" s="3">
        <f>IF($B15="","",INDEX(Anuncios!$DR$2:$DR$209,$B15))</f>
        <v/>
      </c>
      <c r="AJ15" s="3">
        <f>IF($B15="","",INDEX(Anuncios!$DP$2:$DP$209,$B15))</f>
        <v/>
      </c>
      <c r="AK15" s="3">
        <f>IF($B15="","",INDEX(Anuncios!$DM$2:$DM$209,$B15))</f>
        <v/>
      </c>
      <c r="AL15" s="3">
        <f>IF($B15="","",INDEX(Anuncios!$DK$2:$DK$209,$B15))</f>
        <v/>
      </c>
      <c r="AM15" s="3">
        <f>IF($B15="","",INDEX(Anuncios!$CY$2:$CY$209,$B15))</f>
        <v/>
      </c>
      <c r="AN15" s="3">
        <f>IF($B15="","",INDEX(Anuncios!$DV$2:$DV$209,$B15))</f>
        <v/>
      </c>
      <c r="AO15" s="3">
        <f>IF($B15="","",INDEX(Anuncios!$DS$2:$DS$209,$B15))</f>
        <v/>
      </c>
      <c r="AP15" s="3">
        <f>IF($B15="","",INDEX(Anuncios!$EG$2:$EG$209,$B15))</f>
        <v/>
      </c>
      <c r="AQ15" s="3">
        <f>IF($B15="","",INDEX(Anuncios!$DX$2:$DX$209,$B15))</f>
        <v/>
      </c>
      <c r="AR15" s="3">
        <f>IF($B15="","",INDEX(Anuncios!$BT$2:$BT$209,$B15))</f>
        <v/>
      </c>
      <c r="AS15" s="3">
        <f>IF($B15="","",AF15*W_FIAB)</f>
        <v/>
      </c>
      <c r="AT15" s="3">
        <f>IF($B15="","",AG15*W_PRECIO)</f>
        <v/>
      </c>
      <c r="AU15" s="3">
        <f>IF($B15="","",AH15*W_ESTADO)</f>
        <v/>
      </c>
      <c r="AV15" s="3">
        <f>IF($B15="","",AI15*W_ESTETICA)</f>
        <v/>
      </c>
      <c r="AW15" s="3">
        <f>IF($B15="","",AJ15*W_SEGVIAL)</f>
        <v/>
      </c>
      <c r="AX15" s="3">
        <f>IF($B15="","",AK15*W_SEGURIDAD)</f>
        <v/>
      </c>
      <c r="AY15" s="3">
        <f>IF($B15="","",AL15*W_USO)</f>
        <v/>
      </c>
      <c r="AZ15" s="3">
        <f>IF($B15="","",AM15*W_KMEDAD)</f>
        <v/>
      </c>
      <c r="BA15" s="3">
        <f>IF($B15="","",AN15*W_REVENTA)</f>
        <v/>
      </c>
      <c r="BB15" s="3">
        <f>IF($B15="","",AO15*W_COLOR)</f>
        <v/>
      </c>
    </row>
    <row r="16">
      <c r="A16" s="2" t="n">
        <v>15</v>
      </c>
      <c r="B16" s="3">
        <f>IFERROR(MATCH(A16,Anuncios!$EK$2:$EK$209,0),"")</f>
        <v/>
      </c>
      <c r="C16" s="3">
        <f>IF(B16="","",HYPERLINK(INDEX(Anuncios!$C$2:$C$209,B16),"Abrir anuncio"))</f>
        <v/>
      </c>
      <c r="D16" s="3">
        <f>IF($B16="","",INDEX(Anuncios!$D$2:$D$209,$B16))</f>
        <v/>
      </c>
      <c r="E16" s="3">
        <f>IF($B16="","",INDEX(Anuncios!$B$2:$B$209,$B16))</f>
        <v/>
      </c>
      <c r="F16" s="3">
        <f>IF($B16="","",INDEX(Anuncios!$E$2:$E$209,$B16))</f>
        <v/>
      </c>
      <c r="G16" s="3">
        <f>IF($B16="","",INDEX(Anuncios!$F$2:$F$209,$B16))</f>
        <v/>
      </c>
      <c r="H16" s="3">
        <f>IF($B16="","",INDEX(Anuncios!$G$2:$G$209,$B16))</f>
        <v/>
      </c>
      <c r="I16" s="3">
        <f>IF($B16="","",INDEX(Anuncios!$K$2:$K$209,$B16))</f>
        <v/>
      </c>
      <c r="J16" s="3">
        <f>IF($B16="","",INDEX(Anuncios!$M$2:$M$209,$B16))</f>
        <v/>
      </c>
      <c r="K16" s="3">
        <f>IF($B16="","",INDEX(Anuncios!$N$2:$N$209,$B16))</f>
        <v/>
      </c>
      <c r="L16" s="3">
        <f>IF($B16="","",INDEX(Anuncios!$Q$2:$Q$209,$B16))</f>
        <v/>
      </c>
      <c r="M16" s="3">
        <f>IF($B16="","",INDEX(Anuncios!$R$2:$R$209,$B16))</f>
        <v/>
      </c>
      <c r="N16" s="3">
        <f>IF($B16="","",INDEX(Anuncios!$O$2:$O$209,$B16))</f>
        <v/>
      </c>
      <c r="O16" s="3">
        <f>IF($B16="","",INDEX(Anuncios!$AJ$2:$AJ$209,$B16))</f>
        <v/>
      </c>
      <c r="P16" s="3">
        <f>IF($B16="","",INDEX(Anuncios!$DL$2:$DL$209,$B16))</f>
        <v/>
      </c>
      <c r="Q16" s="3">
        <f>IF($B16="","",INDEX(Anuncios!$EA$2:$EA$209,$B16))</f>
        <v/>
      </c>
      <c r="R16" s="3">
        <f>IF($B16="","",INDEX(Anuncios!$DZ$2:$DZ$209,$B16))</f>
        <v/>
      </c>
      <c r="S16" s="3">
        <f>IF($B16="","",INDEX(Anuncios!$ED$2:$ED$209,$B16))</f>
        <v/>
      </c>
      <c r="T16" s="3">
        <f>IF($B16="","",INDEX(Anuncios!$EF$2:$EF$209,$B16))</f>
        <v/>
      </c>
      <c r="U16" s="3">
        <f>IF($B16="","",INDEX(Anuncios!$EH$2:$EH$209,$B16))</f>
        <v/>
      </c>
      <c r="V16" s="3">
        <f>IF($B16="","",INDEX(Anuncios!$CE$2:$CE$209,$B16))</f>
        <v/>
      </c>
      <c r="W16" s="3">
        <f>IF($B16="","",INDEX(Anuncios!$CG$2:$CG$209,$B16))</f>
        <v/>
      </c>
      <c r="X16" s="3">
        <f>IF($B16="","",INDEX(Anuncios!$CL$2:$CL$209,$B16))</f>
        <v/>
      </c>
      <c r="Y16" s="3">
        <f>IF($B16="","",INDEX(Anuncios!$AS$2:$AS$209,$B16))</f>
        <v/>
      </c>
      <c r="Z16" s="3">
        <f>IF($B16="","",INDEX(Anuncios!$AV$2:$AV$209,$B16))</f>
        <v/>
      </c>
      <c r="AA16" s="3">
        <f>IF($B16="","",INDEX(Anuncios!$CM$2:$CM$209,$B16))</f>
        <v/>
      </c>
      <c r="AB16" s="3">
        <f>IF($B16="","",INDEX(Anuncios!$BA$2:$BA$209,$B16))</f>
        <v/>
      </c>
      <c r="AC16" s="3">
        <f>IF($B16="","",INDEX(Anuncios!$BB$2:$BB$209,$B16))</f>
        <v/>
      </c>
      <c r="AD16" s="3">
        <f>IF($B16="","",INDEX(Anuncios!$BK$2:$BK$209,$B16))</f>
        <v/>
      </c>
      <c r="AE16" s="3">
        <f>IF($B16="","",INDEX(Anuncios!$BL$2:$BL$209,$B16))</f>
        <v/>
      </c>
      <c r="AF16" s="3">
        <f>IF($B16="","",INDEX(Anuncios!$CS$2:$CS$209,$B16))</f>
        <v/>
      </c>
      <c r="AG16" s="3">
        <f>IF($B16="","",INDEX(Anuncios!$CU$2:$CU$209,$B16))</f>
        <v/>
      </c>
      <c r="AH16" s="3">
        <f>IF($B16="","",INDEX(Anuncios!$DB$2:$DB$209,$B16))</f>
        <v/>
      </c>
      <c r="AI16" s="3">
        <f>IF($B16="","",INDEX(Anuncios!$DR$2:$DR$209,$B16))</f>
        <v/>
      </c>
      <c r="AJ16" s="3">
        <f>IF($B16="","",INDEX(Anuncios!$DP$2:$DP$209,$B16))</f>
        <v/>
      </c>
      <c r="AK16" s="3">
        <f>IF($B16="","",INDEX(Anuncios!$DM$2:$DM$209,$B16))</f>
        <v/>
      </c>
      <c r="AL16" s="3">
        <f>IF($B16="","",INDEX(Anuncios!$DK$2:$DK$209,$B16))</f>
        <v/>
      </c>
      <c r="AM16" s="3">
        <f>IF($B16="","",INDEX(Anuncios!$CY$2:$CY$209,$B16))</f>
        <v/>
      </c>
      <c r="AN16" s="3">
        <f>IF($B16="","",INDEX(Anuncios!$DV$2:$DV$209,$B16))</f>
        <v/>
      </c>
      <c r="AO16" s="3">
        <f>IF($B16="","",INDEX(Anuncios!$DS$2:$DS$209,$B16))</f>
        <v/>
      </c>
      <c r="AP16" s="3">
        <f>IF($B16="","",INDEX(Anuncios!$EG$2:$EG$209,$B16))</f>
        <v/>
      </c>
      <c r="AQ16" s="3">
        <f>IF($B16="","",INDEX(Anuncios!$DX$2:$DX$209,$B16))</f>
        <v/>
      </c>
      <c r="AR16" s="3">
        <f>IF($B16="","",INDEX(Anuncios!$BT$2:$BT$209,$B16))</f>
        <v/>
      </c>
      <c r="AS16" s="3">
        <f>IF($B16="","",AF16*W_FIAB)</f>
        <v/>
      </c>
      <c r="AT16" s="3">
        <f>IF($B16="","",AG16*W_PRECIO)</f>
        <v/>
      </c>
      <c r="AU16" s="3">
        <f>IF($B16="","",AH16*W_ESTADO)</f>
        <v/>
      </c>
      <c r="AV16" s="3">
        <f>IF($B16="","",AI16*W_ESTETICA)</f>
        <v/>
      </c>
      <c r="AW16" s="3">
        <f>IF($B16="","",AJ16*W_SEGVIAL)</f>
        <v/>
      </c>
      <c r="AX16" s="3">
        <f>IF($B16="","",AK16*W_SEGURIDAD)</f>
        <v/>
      </c>
      <c r="AY16" s="3">
        <f>IF($B16="","",AL16*W_USO)</f>
        <v/>
      </c>
      <c r="AZ16" s="3">
        <f>IF($B16="","",AM16*W_KMEDAD)</f>
        <v/>
      </c>
      <c r="BA16" s="3">
        <f>IF($B16="","",AN16*W_REVENTA)</f>
        <v/>
      </c>
      <c r="BB16" s="3">
        <f>IF($B16="","",AO16*W_COLOR)</f>
        <v/>
      </c>
    </row>
    <row r="17">
      <c r="A17" s="2" t="n">
        <v>16</v>
      </c>
      <c r="B17" s="3">
        <f>IFERROR(MATCH(A17,Anuncios!$EK$2:$EK$209,0),"")</f>
        <v/>
      </c>
      <c r="C17" s="3">
        <f>IF(B17="","",HYPERLINK(INDEX(Anuncios!$C$2:$C$209,B17),"Abrir anuncio"))</f>
        <v/>
      </c>
      <c r="D17" s="3">
        <f>IF($B17="","",INDEX(Anuncios!$D$2:$D$209,$B17))</f>
        <v/>
      </c>
      <c r="E17" s="3">
        <f>IF($B17="","",INDEX(Anuncios!$B$2:$B$209,$B17))</f>
        <v/>
      </c>
      <c r="F17" s="3">
        <f>IF($B17="","",INDEX(Anuncios!$E$2:$E$209,$B17))</f>
        <v/>
      </c>
      <c r="G17" s="3">
        <f>IF($B17="","",INDEX(Anuncios!$F$2:$F$209,$B17))</f>
        <v/>
      </c>
      <c r="H17" s="3">
        <f>IF($B17="","",INDEX(Anuncios!$G$2:$G$209,$B17))</f>
        <v/>
      </c>
      <c r="I17" s="3">
        <f>IF($B17="","",INDEX(Anuncios!$K$2:$K$209,$B17))</f>
        <v/>
      </c>
      <c r="J17" s="3">
        <f>IF($B17="","",INDEX(Anuncios!$M$2:$M$209,$B17))</f>
        <v/>
      </c>
      <c r="K17" s="3">
        <f>IF($B17="","",INDEX(Anuncios!$N$2:$N$209,$B17))</f>
        <v/>
      </c>
      <c r="L17" s="3">
        <f>IF($B17="","",INDEX(Anuncios!$Q$2:$Q$209,$B17))</f>
        <v/>
      </c>
      <c r="M17" s="3">
        <f>IF($B17="","",INDEX(Anuncios!$R$2:$R$209,$B17))</f>
        <v/>
      </c>
      <c r="N17" s="3">
        <f>IF($B17="","",INDEX(Anuncios!$O$2:$O$209,$B17))</f>
        <v/>
      </c>
      <c r="O17" s="3">
        <f>IF($B17="","",INDEX(Anuncios!$AJ$2:$AJ$209,$B17))</f>
        <v/>
      </c>
      <c r="P17" s="3">
        <f>IF($B17="","",INDEX(Anuncios!$DL$2:$DL$209,$B17))</f>
        <v/>
      </c>
      <c r="Q17" s="3">
        <f>IF($B17="","",INDEX(Anuncios!$EA$2:$EA$209,$B17))</f>
        <v/>
      </c>
      <c r="R17" s="3">
        <f>IF($B17="","",INDEX(Anuncios!$DZ$2:$DZ$209,$B17))</f>
        <v/>
      </c>
      <c r="S17" s="3">
        <f>IF($B17="","",INDEX(Anuncios!$ED$2:$ED$209,$B17))</f>
        <v/>
      </c>
      <c r="T17" s="3">
        <f>IF($B17="","",INDEX(Anuncios!$EF$2:$EF$209,$B17))</f>
        <v/>
      </c>
      <c r="U17" s="3">
        <f>IF($B17="","",INDEX(Anuncios!$EH$2:$EH$209,$B17))</f>
        <v/>
      </c>
      <c r="V17" s="3">
        <f>IF($B17="","",INDEX(Anuncios!$CE$2:$CE$209,$B17))</f>
        <v/>
      </c>
      <c r="W17" s="3">
        <f>IF($B17="","",INDEX(Anuncios!$CG$2:$CG$209,$B17))</f>
        <v/>
      </c>
      <c r="X17" s="3">
        <f>IF($B17="","",INDEX(Anuncios!$CL$2:$CL$209,$B17))</f>
        <v/>
      </c>
      <c r="Y17" s="3">
        <f>IF($B17="","",INDEX(Anuncios!$AS$2:$AS$209,$B17))</f>
        <v/>
      </c>
      <c r="Z17" s="3">
        <f>IF($B17="","",INDEX(Anuncios!$AV$2:$AV$209,$B17))</f>
        <v/>
      </c>
      <c r="AA17" s="3">
        <f>IF($B17="","",INDEX(Anuncios!$CM$2:$CM$209,$B17))</f>
        <v/>
      </c>
      <c r="AB17" s="3">
        <f>IF($B17="","",INDEX(Anuncios!$BA$2:$BA$209,$B17))</f>
        <v/>
      </c>
      <c r="AC17" s="3">
        <f>IF($B17="","",INDEX(Anuncios!$BB$2:$BB$209,$B17))</f>
        <v/>
      </c>
      <c r="AD17" s="3">
        <f>IF($B17="","",INDEX(Anuncios!$BK$2:$BK$209,$B17))</f>
        <v/>
      </c>
      <c r="AE17" s="3">
        <f>IF($B17="","",INDEX(Anuncios!$BL$2:$BL$209,$B17))</f>
        <v/>
      </c>
      <c r="AF17" s="3">
        <f>IF($B17="","",INDEX(Anuncios!$CS$2:$CS$209,$B17))</f>
        <v/>
      </c>
      <c r="AG17" s="3">
        <f>IF($B17="","",INDEX(Anuncios!$CU$2:$CU$209,$B17))</f>
        <v/>
      </c>
      <c r="AH17" s="3">
        <f>IF($B17="","",INDEX(Anuncios!$DB$2:$DB$209,$B17))</f>
        <v/>
      </c>
      <c r="AI17" s="3">
        <f>IF($B17="","",INDEX(Anuncios!$DR$2:$DR$209,$B17))</f>
        <v/>
      </c>
      <c r="AJ17" s="3">
        <f>IF($B17="","",INDEX(Anuncios!$DP$2:$DP$209,$B17))</f>
        <v/>
      </c>
      <c r="AK17" s="3">
        <f>IF($B17="","",INDEX(Anuncios!$DM$2:$DM$209,$B17))</f>
        <v/>
      </c>
      <c r="AL17" s="3">
        <f>IF($B17="","",INDEX(Anuncios!$DK$2:$DK$209,$B17))</f>
        <v/>
      </c>
      <c r="AM17" s="3">
        <f>IF($B17="","",INDEX(Anuncios!$CY$2:$CY$209,$B17))</f>
        <v/>
      </c>
      <c r="AN17" s="3">
        <f>IF($B17="","",INDEX(Anuncios!$DV$2:$DV$209,$B17))</f>
        <v/>
      </c>
      <c r="AO17" s="3">
        <f>IF($B17="","",INDEX(Anuncios!$DS$2:$DS$209,$B17))</f>
        <v/>
      </c>
      <c r="AP17" s="3">
        <f>IF($B17="","",INDEX(Anuncios!$EG$2:$EG$209,$B17))</f>
        <v/>
      </c>
      <c r="AQ17" s="3">
        <f>IF($B17="","",INDEX(Anuncios!$DX$2:$DX$209,$B17))</f>
        <v/>
      </c>
      <c r="AR17" s="3">
        <f>IF($B17="","",INDEX(Anuncios!$BT$2:$BT$209,$B17))</f>
        <v/>
      </c>
      <c r="AS17" s="3">
        <f>IF($B17="","",AF17*W_FIAB)</f>
        <v/>
      </c>
      <c r="AT17" s="3">
        <f>IF($B17="","",AG17*W_PRECIO)</f>
        <v/>
      </c>
      <c r="AU17" s="3">
        <f>IF($B17="","",AH17*W_ESTADO)</f>
        <v/>
      </c>
      <c r="AV17" s="3">
        <f>IF($B17="","",AI17*W_ESTETICA)</f>
        <v/>
      </c>
      <c r="AW17" s="3">
        <f>IF($B17="","",AJ17*W_SEGVIAL)</f>
        <v/>
      </c>
      <c r="AX17" s="3">
        <f>IF($B17="","",AK17*W_SEGURIDAD)</f>
        <v/>
      </c>
      <c r="AY17" s="3">
        <f>IF($B17="","",AL17*W_USO)</f>
        <v/>
      </c>
      <c r="AZ17" s="3">
        <f>IF($B17="","",AM17*W_KMEDAD)</f>
        <v/>
      </c>
      <c r="BA17" s="3">
        <f>IF($B17="","",AN17*W_REVENTA)</f>
        <v/>
      </c>
      <c r="BB17" s="3">
        <f>IF($B17="","",AO17*W_COLOR)</f>
        <v/>
      </c>
    </row>
    <row r="18">
      <c r="A18" s="2" t="n">
        <v>17</v>
      </c>
      <c r="B18" s="3">
        <f>IFERROR(MATCH(A18,Anuncios!$EK$2:$EK$209,0),"")</f>
        <v/>
      </c>
      <c r="C18" s="3">
        <f>IF(B18="","",HYPERLINK(INDEX(Anuncios!$C$2:$C$209,B18),"Abrir anuncio"))</f>
        <v/>
      </c>
      <c r="D18" s="3">
        <f>IF($B18="","",INDEX(Anuncios!$D$2:$D$209,$B18))</f>
        <v/>
      </c>
      <c r="E18" s="3">
        <f>IF($B18="","",INDEX(Anuncios!$B$2:$B$209,$B18))</f>
        <v/>
      </c>
      <c r="F18" s="3">
        <f>IF($B18="","",INDEX(Anuncios!$E$2:$E$209,$B18))</f>
        <v/>
      </c>
      <c r="G18" s="3">
        <f>IF($B18="","",INDEX(Anuncios!$F$2:$F$209,$B18))</f>
        <v/>
      </c>
      <c r="H18" s="3">
        <f>IF($B18="","",INDEX(Anuncios!$G$2:$G$209,$B18))</f>
        <v/>
      </c>
      <c r="I18" s="3">
        <f>IF($B18="","",INDEX(Anuncios!$K$2:$K$209,$B18))</f>
        <v/>
      </c>
      <c r="J18" s="3">
        <f>IF($B18="","",INDEX(Anuncios!$M$2:$M$209,$B18))</f>
        <v/>
      </c>
      <c r="K18" s="3">
        <f>IF($B18="","",INDEX(Anuncios!$N$2:$N$209,$B18))</f>
        <v/>
      </c>
      <c r="L18" s="3">
        <f>IF($B18="","",INDEX(Anuncios!$Q$2:$Q$209,$B18))</f>
        <v/>
      </c>
      <c r="M18" s="3">
        <f>IF($B18="","",INDEX(Anuncios!$R$2:$R$209,$B18))</f>
        <v/>
      </c>
      <c r="N18" s="3">
        <f>IF($B18="","",INDEX(Anuncios!$O$2:$O$209,$B18))</f>
        <v/>
      </c>
      <c r="O18" s="3">
        <f>IF($B18="","",INDEX(Anuncios!$AJ$2:$AJ$209,$B18))</f>
        <v/>
      </c>
      <c r="P18" s="3">
        <f>IF($B18="","",INDEX(Anuncios!$DL$2:$DL$209,$B18))</f>
        <v/>
      </c>
      <c r="Q18" s="3">
        <f>IF($B18="","",INDEX(Anuncios!$EA$2:$EA$209,$B18))</f>
        <v/>
      </c>
      <c r="R18" s="3">
        <f>IF($B18="","",INDEX(Anuncios!$DZ$2:$DZ$209,$B18))</f>
        <v/>
      </c>
      <c r="S18" s="3">
        <f>IF($B18="","",INDEX(Anuncios!$ED$2:$ED$209,$B18))</f>
        <v/>
      </c>
      <c r="T18" s="3">
        <f>IF($B18="","",INDEX(Anuncios!$EF$2:$EF$209,$B18))</f>
        <v/>
      </c>
      <c r="U18" s="3">
        <f>IF($B18="","",INDEX(Anuncios!$EH$2:$EH$209,$B18))</f>
        <v/>
      </c>
      <c r="V18" s="3">
        <f>IF($B18="","",INDEX(Anuncios!$CE$2:$CE$209,$B18))</f>
        <v/>
      </c>
      <c r="W18" s="3">
        <f>IF($B18="","",INDEX(Anuncios!$CG$2:$CG$209,$B18))</f>
        <v/>
      </c>
      <c r="X18" s="3">
        <f>IF($B18="","",INDEX(Anuncios!$CL$2:$CL$209,$B18))</f>
        <v/>
      </c>
      <c r="Y18" s="3">
        <f>IF($B18="","",INDEX(Anuncios!$AS$2:$AS$209,$B18))</f>
        <v/>
      </c>
      <c r="Z18" s="3">
        <f>IF($B18="","",INDEX(Anuncios!$AV$2:$AV$209,$B18))</f>
        <v/>
      </c>
      <c r="AA18" s="3">
        <f>IF($B18="","",INDEX(Anuncios!$CM$2:$CM$209,$B18))</f>
        <v/>
      </c>
      <c r="AB18" s="3">
        <f>IF($B18="","",INDEX(Anuncios!$BA$2:$BA$209,$B18))</f>
        <v/>
      </c>
      <c r="AC18" s="3">
        <f>IF($B18="","",INDEX(Anuncios!$BB$2:$BB$209,$B18))</f>
        <v/>
      </c>
      <c r="AD18" s="3">
        <f>IF($B18="","",INDEX(Anuncios!$BK$2:$BK$209,$B18))</f>
        <v/>
      </c>
      <c r="AE18" s="3">
        <f>IF($B18="","",INDEX(Anuncios!$BL$2:$BL$209,$B18))</f>
        <v/>
      </c>
      <c r="AF18" s="3">
        <f>IF($B18="","",INDEX(Anuncios!$CS$2:$CS$209,$B18))</f>
        <v/>
      </c>
      <c r="AG18" s="3">
        <f>IF($B18="","",INDEX(Anuncios!$CU$2:$CU$209,$B18))</f>
        <v/>
      </c>
      <c r="AH18" s="3">
        <f>IF($B18="","",INDEX(Anuncios!$DB$2:$DB$209,$B18))</f>
        <v/>
      </c>
      <c r="AI18" s="3">
        <f>IF($B18="","",INDEX(Anuncios!$DR$2:$DR$209,$B18))</f>
        <v/>
      </c>
      <c r="AJ18" s="3">
        <f>IF($B18="","",INDEX(Anuncios!$DP$2:$DP$209,$B18))</f>
        <v/>
      </c>
      <c r="AK18" s="3">
        <f>IF($B18="","",INDEX(Anuncios!$DM$2:$DM$209,$B18))</f>
        <v/>
      </c>
      <c r="AL18" s="3">
        <f>IF($B18="","",INDEX(Anuncios!$DK$2:$DK$209,$B18))</f>
        <v/>
      </c>
      <c r="AM18" s="3">
        <f>IF($B18="","",INDEX(Anuncios!$CY$2:$CY$209,$B18))</f>
        <v/>
      </c>
      <c r="AN18" s="3">
        <f>IF($B18="","",INDEX(Anuncios!$DV$2:$DV$209,$B18))</f>
        <v/>
      </c>
      <c r="AO18" s="3">
        <f>IF($B18="","",INDEX(Anuncios!$DS$2:$DS$209,$B18))</f>
        <v/>
      </c>
      <c r="AP18" s="3">
        <f>IF($B18="","",INDEX(Anuncios!$EG$2:$EG$209,$B18))</f>
        <v/>
      </c>
      <c r="AQ18" s="3">
        <f>IF($B18="","",INDEX(Anuncios!$DX$2:$DX$209,$B18))</f>
        <v/>
      </c>
      <c r="AR18" s="3">
        <f>IF($B18="","",INDEX(Anuncios!$BT$2:$BT$209,$B18))</f>
        <v/>
      </c>
      <c r="AS18" s="3">
        <f>IF($B18="","",AF18*W_FIAB)</f>
        <v/>
      </c>
      <c r="AT18" s="3">
        <f>IF($B18="","",AG18*W_PRECIO)</f>
        <v/>
      </c>
      <c r="AU18" s="3">
        <f>IF($B18="","",AH18*W_ESTADO)</f>
        <v/>
      </c>
      <c r="AV18" s="3">
        <f>IF($B18="","",AI18*W_ESTETICA)</f>
        <v/>
      </c>
      <c r="AW18" s="3">
        <f>IF($B18="","",AJ18*W_SEGVIAL)</f>
        <v/>
      </c>
      <c r="AX18" s="3">
        <f>IF($B18="","",AK18*W_SEGURIDAD)</f>
        <v/>
      </c>
      <c r="AY18" s="3">
        <f>IF($B18="","",AL18*W_USO)</f>
        <v/>
      </c>
      <c r="AZ18" s="3">
        <f>IF($B18="","",AM18*W_KMEDAD)</f>
        <v/>
      </c>
      <c r="BA18" s="3">
        <f>IF($B18="","",AN18*W_REVENTA)</f>
        <v/>
      </c>
      <c r="BB18" s="3">
        <f>IF($B18="","",AO18*W_COLOR)</f>
        <v/>
      </c>
    </row>
    <row r="19">
      <c r="A19" s="2" t="n">
        <v>18</v>
      </c>
      <c r="B19" s="3">
        <f>IFERROR(MATCH(A19,Anuncios!$EK$2:$EK$209,0),"")</f>
        <v/>
      </c>
      <c r="C19" s="3">
        <f>IF(B19="","",HYPERLINK(INDEX(Anuncios!$C$2:$C$209,B19),"Abrir anuncio"))</f>
        <v/>
      </c>
      <c r="D19" s="3">
        <f>IF($B19="","",INDEX(Anuncios!$D$2:$D$209,$B19))</f>
        <v/>
      </c>
      <c r="E19" s="3">
        <f>IF($B19="","",INDEX(Anuncios!$B$2:$B$209,$B19))</f>
        <v/>
      </c>
      <c r="F19" s="3">
        <f>IF($B19="","",INDEX(Anuncios!$E$2:$E$209,$B19))</f>
        <v/>
      </c>
      <c r="G19" s="3">
        <f>IF($B19="","",INDEX(Anuncios!$F$2:$F$209,$B19))</f>
        <v/>
      </c>
      <c r="H19" s="3">
        <f>IF($B19="","",INDEX(Anuncios!$G$2:$G$209,$B19))</f>
        <v/>
      </c>
      <c r="I19" s="3">
        <f>IF($B19="","",INDEX(Anuncios!$K$2:$K$209,$B19))</f>
        <v/>
      </c>
      <c r="J19" s="3">
        <f>IF($B19="","",INDEX(Anuncios!$M$2:$M$209,$B19))</f>
        <v/>
      </c>
      <c r="K19" s="3">
        <f>IF($B19="","",INDEX(Anuncios!$N$2:$N$209,$B19))</f>
        <v/>
      </c>
      <c r="L19" s="3">
        <f>IF($B19="","",INDEX(Anuncios!$Q$2:$Q$209,$B19))</f>
        <v/>
      </c>
      <c r="M19" s="3">
        <f>IF($B19="","",INDEX(Anuncios!$R$2:$R$209,$B19))</f>
        <v/>
      </c>
      <c r="N19" s="3">
        <f>IF($B19="","",INDEX(Anuncios!$O$2:$O$209,$B19))</f>
        <v/>
      </c>
      <c r="O19" s="3">
        <f>IF($B19="","",INDEX(Anuncios!$AJ$2:$AJ$209,$B19))</f>
        <v/>
      </c>
      <c r="P19" s="3">
        <f>IF($B19="","",INDEX(Anuncios!$DL$2:$DL$209,$B19))</f>
        <v/>
      </c>
      <c r="Q19" s="3">
        <f>IF($B19="","",INDEX(Anuncios!$EA$2:$EA$209,$B19))</f>
        <v/>
      </c>
      <c r="R19" s="3">
        <f>IF($B19="","",INDEX(Anuncios!$DZ$2:$DZ$209,$B19))</f>
        <v/>
      </c>
      <c r="S19" s="3">
        <f>IF($B19="","",INDEX(Anuncios!$ED$2:$ED$209,$B19))</f>
        <v/>
      </c>
      <c r="T19" s="3">
        <f>IF($B19="","",INDEX(Anuncios!$EF$2:$EF$209,$B19))</f>
        <v/>
      </c>
      <c r="U19" s="3">
        <f>IF($B19="","",INDEX(Anuncios!$EH$2:$EH$209,$B19))</f>
        <v/>
      </c>
      <c r="V19" s="3">
        <f>IF($B19="","",INDEX(Anuncios!$CE$2:$CE$209,$B19))</f>
        <v/>
      </c>
      <c r="W19" s="3">
        <f>IF($B19="","",INDEX(Anuncios!$CG$2:$CG$209,$B19))</f>
        <v/>
      </c>
      <c r="X19" s="3">
        <f>IF($B19="","",INDEX(Anuncios!$CL$2:$CL$209,$B19))</f>
        <v/>
      </c>
      <c r="Y19" s="3">
        <f>IF($B19="","",INDEX(Anuncios!$AS$2:$AS$209,$B19))</f>
        <v/>
      </c>
      <c r="Z19" s="3">
        <f>IF($B19="","",INDEX(Anuncios!$AV$2:$AV$209,$B19))</f>
        <v/>
      </c>
      <c r="AA19" s="3">
        <f>IF($B19="","",INDEX(Anuncios!$CM$2:$CM$209,$B19))</f>
        <v/>
      </c>
      <c r="AB19" s="3">
        <f>IF($B19="","",INDEX(Anuncios!$BA$2:$BA$209,$B19))</f>
        <v/>
      </c>
      <c r="AC19" s="3">
        <f>IF($B19="","",INDEX(Anuncios!$BB$2:$BB$209,$B19))</f>
        <v/>
      </c>
      <c r="AD19" s="3">
        <f>IF($B19="","",INDEX(Anuncios!$BK$2:$BK$209,$B19))</f>
        <v/>
      </c>
      <c r="AE19" s="3">
        <f>IF($B19="","",INDEX(Anuncios!$BL$2:$BL$209,$B19))</f>
        <v/>
      </c>
      <c r="AF19" s="3">
        <f>IF($B19="","",INDEX(Anuncios!$CS$2:$CS$209,$B19))</f>
        <v/>
      </c>
      <c r="AG19" s="3">
        <f>IF($B19="","",INDEX(Anuncios!$CU$2:$CU$209,$B19))</f>
        <v/>
      </c>
      <c r="AH19" s="3">
        <f>IF($B19="","",INDEX(Anuncios!$DB$2:$DB$209,$B19))</f>
        <v/>
      </c>
      <c r="AI19" s="3">
        <f>IF($B19="","",INDEX(Anuncios!$DR$2:$DR$209,$B19))</f>
        <v/>
      </c>
      <c r="AJ19" s="3">
        <f>IF($B19="","",INDEX(Anuncios!$DP$2:$DP$209,$B19))</f>
        <v/>
      </c>
      <c r="AK19" s="3">
        <f>IF($B19="","",INDEX(Anuncios!$DM$2:$DM$209,$B19))</f>
        <v/>
      </c>
      <c r="AL19" s="3">
        <f>IF($B19="","",INDEX(Anuncios!$DK$2:$DK$209,$B19))</f>
        <v/>
      </c>
      <c r="AM19" s="3">
        <f>IF($B19="","",INDEX(Anuncios!$CY$2:$CY$209,$B19))</f>
        <v/>
      </c>
      <c r="AN19" s="3">
        <f>IF($B19="","",INDEX(Anuncios!$DV$2:$DV$209,$B19))</f>
        <v/>
      </c>
      <c r="AO19" s="3">
        <f>IF($B19="","",INDEX(Anuncios!$DS$2:$DS$209,$B19))</f>
        <v/>
      </c>
      <c r="AP19" s="3">
        <f>IF($B19="","",INDEX(Anuncios!$EG$2:$EG$209,$B19))</f>
        <v/>
      </c>
      <c r="AQ19" s="3">
        <f>IF($B19="","",INDEX(Anuncios!$DX$2:$DX$209,$B19))</f>
        <v/>
      </c>
      <c r="AR19" s="3">
        <f>IF($B19="","",INDEX(Anuncios!$BT$2:$BT$209,$B19))</f>
        <v/>
      </c>
      <c r="AS19" s="3">
        <f>IF($B19="","",AF19*W_FIAB)</f>
        <v/>
      </c>
      <c r="AT19" s="3">
        <f>IF($B19="","",AG19*W_PRECIO)</f>
        <v/>
      </c>
      <c r="AU19" s="3">
        <f>IF($B19="","",AH19*W_ESTADO)</f>
        <v/>
      </c>
      <c r="AV19" s="3">
        <f>IF($B19="","",AI19*W_ESTETICA)</f>
        <v/>
      </c>
      <c r="AW19" s="3">
        <f>IF($B19="","",AJ19*W_SEGVIAL)</f>
        <v/>
      </c>
      <c r="AX19" s="3">
        <f>IF($B19="","",AK19*W_SEGURIDAD)</f>
        <v/>
      </c>
      <c r="AY19" s="3">
        <f>IF($B19="","",AL19*W_USO)</f>
        <v/>
      </c>
      <c r="AZ19" s="3">
        <f>IF($B19="","",AM19*W_KMEDAD)</f>
        <v/>
      </c>
      <c r="BA19" s="3">
        <f>IF($B19="","",AN19*W_REVENTA)</f>
        <v/>
      </c>
      <c r="BB19" s="3">
        <f>IF($B19="","",AO19*W_COLOR)</f>
        <v/>
      </c>
    </row>
    <row r="20">
      <c r="A20" s="2" t="n">
        <v>19</v>
      </c>
      <c r="B20" s="3">
        <f>IFERROR(MATCH(A20,Anuncios!$EK$2:$EK$209,0),"")</f>
        <v/>
      </c>
      <c r="C20" s="3">
        <f>IF(B20="","",HYPERLINK(INDEX(Anuncios!$C$2:$C$209,B20),"Abrir anuncio"))</f>
        <v/>
      </c>
      <c r="D20" s="3">
        <f>IF($B20="","",INDEX(Anuncios!$D$2:$D$209,$B20))</f>
        <v/>
      </c>
      <c r="E20" s="3">
        <f>IF($B20="","",INDEX(Anuncios!$B$2:$B$209,$B20))</f>
        <v/>
      </c>
      <c r="F20" s="3">
        <f>IF($B20="","",INDEX(Anuncios!$E$2:$E$209,$B20))</f>
        <v/>
      </c>
      <c r="G20" s="3">
        <f>IF($B20="","",INDEX(Anuncios!$F$2:$F$209,$B20))</f>
        <v/>
      </c>
      <c r="H20" s="3">
        <f>IF($B20="","",INDEX(Anuncios!$G$2:$G$209,$B20))</f>
        <v/>
      </c>
      <c r="I20" s="3">
        <f>IF($B20="","",INDEX(Anuncios!$K$2:$K$209,$B20))</f>
        <v/>
      </c>
      <c r="J20" s="3">
        <f>IF($B20="","",INDEX(Anuncios!$M$2:$M$209,$B20))</f>
        <v/>
      </c>
      <c r="K20" s="3">
        <f>IF($B20="","",INDEX(Anuncios!$N$2:$N$209,$B20))</f>
        <v/>
      </c>
      <c r="L20" s="3">
        <f>IF($B20="","",INDEX(Anuncios!$Q$2:$Q$209,$B20))</f>
        <v/>
      </c>
      <c r="M20" s="3">
        <f>IF($B20="","",INDEX(Anuncios!$R$2:$R$209,$B20))</f>
        <v/>
      </c>
      <c r="N20" s="3">
        <f>IF($B20="","",INDEX(Anuncios!$O$2:$O$209,$B20))</f>
        <v/>
      </c>
      <c r="O20" s="3">
        <f>IF($B20="","",INDEX(Anuncios!$AJ$2:$AJ$209,$B20))</f>
        <v/>
      </c>
      <c r="P20" s="3">
        <f>IF($B20="","",INDEX(Anuncios!$DL$2:$DL$209,$B20))</f>
        <v/>
      </c>
      <c r="Q20" s="3">
        <f>IF($B20="","",INDEX(Anuncios!$EA$2:$EA$209,$B20))</f>
        <v/>
      </c>
      <c r="R20" s="3">
        <f>IF($B20="","",INDEX(Anuncios!$DZ$2:$DZ$209,$B20))</f>
        <v/>
      </c>
      <c r="S20" s="3">
        <f>IF($B20="","",INDEX(Anuncios!$ED$2:$ED$209,$B20))</f>
        <v/>
      </c>
      <c r="T20" s="3">
        <f>IF($B20="","",INDEX(Anuncios!$EF$2:$EF$209,$B20))</f>
        <v/>
      </c>
      <c r="U20" s="3">
        <f>IF($B20="","",INDEX(Anuncios!$EH$2:$EH$209,$B20))</f>
        <v/>
      </c>
      <c r="V20" s="3">
        <f>IF($B20="","",INDEX(Anuncios!$CE$2:$CE$209,$B20))</f>
        <v/>
      </c>
      <c r="W20" s="3">
        <f>IF($B20="","",INDEX(Anuncios!$CG$2:$CG$209,$B20))</f>
        <v/>
      </c>
      <c r="X20" s="3">
        <f>IF($B20="","",INDEX(Anuncios!$CL$2:$CL$209,$B20))</f>
        <v/>
      </c>
      <c r="Y20" s="3">
        <f>IF($B20="","",INDEX(Anuncios!$AS$2:$AS$209,$B20))</f>
        <v/>
      </c>
      <c r="Z20" s="3">
        <f>IF($B20="","",INDEX(Anuncios!$AV$2:$AV$209,$B20))</f>
        <v/>
      </c>
      <c r="AA20" s="3">
        <f>IF($B20="","",INDEX(Anuncios!$CM$2:$CM$209,$B20))</f>
        <v/>
      </c>
      <c r="AB20" s="3">
        <f>IF($B20="","",INDEX(Anuncios!$BA$2:$BA$209,$B20))</f>
        <v/>
      </c>
      <c r="AC20" s="3">
        <f>IF($B20="","",INDEX(Anuncios!$BB$2:$BB$209,$B20))</f>
        <v/>
      </c>
      <c r="AD20" s="3">
        <f>IF($B20="","",INDEX(Anuncios!$BK$2:$BK$209,$B20))</f>
        <v/>
      </c>
      <c r="AE20" s="3">
        <f>IF($B20="","",INDEX(Anuncios!$BL$2:$BL$209,$B20))</f>
        <v/>
      </c>
      <c r="AF20" s="3">
        <f>IF($B20="","",INDEX(Anuncios!$CS$2:$CS$209,$B20))</f>
        <v/>
      </c>
      <c r="AG20" s="3">
        <f>IF($B20="","",INDEX(Anuncios!$CU$2:$CU$209,$B20))</f>
        <v/>
      </c>
      <c r="AH20" s="3">
        <f>IF($B20="","",INDEX(Anuncios!$DB$2:$DB$209,$B20))</f>
        <v/>
      </c>
      <c r="AI20" s="3">
        <f>IF($B20="","",INDEX(Anuncios!$DR$2:$DR$209,$B20))</f>
        <v/>
      </c>
      <c r="AJ20" s="3">
        <f>IF($B20="","",INDEX(Anuncios!$DP$2:$DP$209,$B20))</f>
        <v/>
      </c>
      <c r="AK20" s="3">
        <f>IF($B20="","",INDEX(Anuncios!$DM$2:$DM$209,$B20))</f>
        <v/>
      </c>
      <c r="AL20" s="3">
        <f>IF($B20="","",INDEX(Anuncios!$DK$2:$DK$209,$B20))</f>
        <v/>
      </c>
      <c r="AM20" s="3">
        <f>IF($B20="","",INDEX(Anuncios!$CY$2:$CY$209,$B20))</f>
        <v/>
      </c>
      <c r="AN20" s="3">
        <f>IF($B20="","",INDEX(Anuncios!$DV$2:$DV$209,$B20))</f>
        <v/>
      </c>
      <c r="AO20" s="3">
        <f>IF($B20="","",INDEX(Anuncios!$DS$2:$DS$209,$B20))</f>
        <v/>
      </c>
      <c r="AP20" s="3">
        <f>IF($B20="","",INDEX(Anuncios!$EG$2:$EG$209,$B20))</f>
        <v/>
      </c>
      <c r="AQ20" s="3">
        <f>IF($B20="","",INDEX(Anuncios!$DX$2:$DX$209,$B20))</f>
        <v/>
      </c>
      <c r="AR20" s="3">
        <f>IF($B20="","",INDEX(Anuncios!$BT$2:$BT$209,$B20))</f>
        <v/>
      </c>
      <c r="AS20" s="3">
        <f>IF($B20="","",AF20*W_FIAB)</f>
        <v/>
      </c>
      <c r="AT20" s="3">
        <f>IF($B20="","",AG20*W_PRECIO)</f>
        <v/>
      </c>
      <c r="AU20" s="3">
        <f>IF($B20="","",AH20*W_ESTADO)</f>
        <v/>
      </c>
      <c r="AV20" s="3">
        <f>IF($B20="","",AI20*W_ESTETICA)</f>
        <v/>
      </c>
      <c r="AW20" s="3">
        <f>IF($B20="","",AJ20*W_SEGVIAL)</f>
        <v/>
      </c>
      <c r="AX20" s="3">
        <f>IF($B20="","",AK20*W_SEGURIDAD)</f>
        <v/>
      </c>
      <c r="AY20" s="3">
        <f>IF($B20="","",AL20*W_USO)</f>
        <v/>
      </c>
      <c r="AZ20" s="3">
        <f>IF($B20="","",AM20*W_KMEDAD)</f>
        <v/>
      </c>
      <c r="BA20" s="3">
        <f>IF($B20="","",AN20*W_REVENTA)</f>
        <v/>
      </c>
      <c r="BB20" s="3">
        <f>IF($B20="","",AO20*W_COLOR)</f>
        <v/>
      </c>
    </row>
    <row r="21">
      <c r="A21" s="2" t="n">
        <v>20</v>
      </c>
      <c r="B21" s="3">
        <f>IFERROR(MATCH(A21,Anuncios!$EK$2:$EK$209,0),"")</f>
        <v/>
      </c>
      <c r="C21" s="3">
        <f>IF(B21="","",HYPERLINK(INDEX(Anuncios!$C$2:$C$209,B21),"Abrir anuncio"))</f>
        <v/>
      </c>
      <c r="D21" s="3">
        <f>IF($B21="","",INDEX(Anuncios!$D$2:$D$209,$B21))</f>
        <v/>
      </c>
      <c r="E21" s="3">
        <f>IF($B21="","",INDEX(Anuncios!$B$2:$B$209,$B21))</f>
        <v/>
      </c>
      <c r="F21" s="3">
        <f>IF($B21="","",INDEX(Anuncios!$E$2:$E$209,$B21))</f>
        <v/>
      </c>
      <c r="G21" s="3">
        <f>IF($B21="","",INDEX(Anuncios!$F$2:$F$209,$B21))</f>
        <v/>
      </c>
      <c r="H21" s="3">
        <f>IF($B21="","",INDEX(Anuncios!$G$2:$G$209,$B21))</f>
        <v/>
      </c>
      <c r="I21" s="3">
        <f>IF($B21="","",INDEX(Anuncios!$K$2:$K$209,$B21))</f>
        <v/>
      </c>
      <c r="J21" s="3">
        <f>IF($B21="","",INDEX(Anuncios!$M$2:$M$209,$B21))</f>
        <v/>
      </c>
      <c r="K21" s="3">
        <f>IF($B21="","",INDEX(Anuncios!$N$2:$N$209,$B21))</f>
        <v/>
      </c>
      <c r="L21" s="3">
        <f>IF($B21="","",INDEX(Anuncios!$Q$2:$Q$209,$B21))</f>
        <v/>
      </c>
      <c r="M21" s="3">
        <f>IF($B21="","",INDEX(Anuncios!$R$2:$R$209,$B21))</f>
        <v/>
      </c>
      <c r="N21" s="3">
        <f>IF($B21="","",INDEX(Anuncios!$O$2:$O$209,$B21))</f>
        <v/>
      </c>
      <c r="O21" s="3">
        <f>IF($B21="","",INDEX(Anuncios!$AJ$2:$AJ$209,$B21))</f>
        <v/>
      </c>
      <c r="P21" s="3">
        <f>IF($B21="","",INDEX(Anuncios!$DL$2:$DL$209,$B21))</f>
        <v/>
      </c>
      <c r="Q21" s="3">
        <f>IF($B21="","",INDEX(Anuncios!$EA$2:$EA$209,$B21))</f>
        <v/>
      </c>
      <c r="R21" s="3">
        <f>IF($B21="","",INDEX(Anuncios!$DZ$2:$DZ$209,$B21))</f>
        <v/>
      </c>
      <c r="S21" s="3">
        <f>IF($B21="","",INDEX(Anuncios!$ED$2:$ED$209,$B21))</f>
        <v/>
      </c>
      <c r="T21" s="3">
        <f>IF($B21="","",INDEX(Anuncios!$EF$2:$EF$209,$B21))</f>
        <v/>
      </c>
      <c r="U21" s="3">
        <f>IF($B21="","",INDEX(Anuncios!$EH$2:$EH$209,$B21))</f>
        <v/>
      </c>
      <c r="V21" s="3">
        <f>IF($B21="","",INDEX(Anuncios!$CE$2:$CE$209,$B21))</f>
        <v/>
      </c>
      <c r="W21" s="3">
        <f>IF($B21="","",INDEX(Anuncios!$CG$2:$CG$209,$B21))</f>
        <v/>
      </c>
      <c r="X21" s="3">
        <f>IF($B21="","",INDEX(Anuncios!$CL$2:$CL$209,$B21))</f>
        <v/>
      </c>
      <c r="Y21" s="3">
        <f>IF($B21="","",INDEX(Anuncios!$AS$2:$AS$209,$B21))</f>
        <v/>
      </c>
      <c r="Z21" s="3">
        <f>IF($B21="","",INDEX(Anuncios!$AV$2:$AV$209,$B21))</f>
        <v/>
      </c>
      <c r="AA21" s="3">
        <f>IF($B21="","",INDEX(Anuncios!$CM$2:$CM$209,$B21))</f>
        <v/>
      </c>
      <c r="AB21" s="3">
        <f>IF($B21="","",INDEX(Anuncios!$BA$2:$BA$209,$B21))</f>
        <v/>
      </c>
      <c r="AC21" s="3">
        <f>IF($B21="","",INDEX(Anuncios!$BB$2:$BB$209,$B21))</f>
        <v/>
      </c>
      <c r="AD21" s="3">
        <f>IF($B21="","",INDEX(Anuncios!$BK$2:$BK$209,$B21))</f>
        <v/>
      </c>
      <c r="AE21" s="3">
        <f>IF($B21="","",INDEX(Anuncios!$BL$2:$BL$209,$B21))</f>
        <v/>
      </c>
      <c r="AF21" s="3">
        <f>IF($B21="","",INDEX(Anuncios!$CS$2:$CS$209,$B21))</f>
        <v/>
      </c>
      <c r="AG21" s="3">
        <f>IF($B21="","",INDEX(Anuncios!$CU$2:$CU$209,$B21))</f>
        <v/>
      </c>
      <c r="AH21" s="3">
        <f>IF($B21="","",INDEX(Anuncios!$DB$2:$DB$209,$B21))</f>
        <v/>
      </c>
      <c r="AI21" s="3">
        <f>IF($B21="","",INDEX(Anuncios!$DR$2:$DR$209,$B21))</f>
        <v/>
      </c>
      <c r="AJ21" s="3">
        <f>IF($B21="","",INDEX(Anuncios!$DP$2:$DP$209,$B21))</f>
        <v/>
      </c>
      <c r="AK21" s="3">
        <f>IF($B21="","",INDEX(Anuncios!$DM$2:$DM$209,$B21))</f>
        <v/>
      </c>
      <c r="AL21" s="3">
        <f>IF($B21="","",INDEX(Anuncios!$DK$2:$DK$209,$B21))</f>
        <v/>
      </c>
      <c r="AM21" s="3">
        <f>IF($B21="","",INDEX(Anuncios!$CY$2:$CY$209,$B21))</f>
        <v/>
      </c>
      <c r="AN21" s="3">
        <f>IF($B21="","",INDEX(Anuncios!$DV$2:$DV$209,$B21))</f>
        <v/>
      </c>
      <c r="AO21" s="3">
        <f>IF($B21="","",INDEX(Anuncios!$DS$2:$DS$209,$B21))</f>
        <v/>
      </c>
      <c r="AP21" s="3">
        <f>IF($B21="","",INDEX(Anuncios!$EG$2:$EG$209,$B21))</f>
        <v/>
      </c>
      <c r="AQ21" s="3">
        <f>IF($B21="","",INDEX(Anuncios!$DX$2:$DX$209,$B21))</f>
        <v/>
      </c>
      <c r="AR21" s="3">
        <f>IF($B21="","",INDEX(Anuncios!$BT$2:$BT$209,$B21))</f>
        <v/>
      </c>
      <c r="AS21" s="3">
        <f>IF($B21="","",AF21*W_FIAB)</f>
        <v/>
      </c>
      <c r="AT21" s="3">
        <f>IF($B21="","",AG21*W_PRECIO)</f>
        <v/>
      </c>
      <c r="AU21" s="3">
        <f>IF($B21="","",AH21*W_ESTADO)</f>
        <v/>
      </c>
      <c r="AV21" s="3">
        <f>IF($B21="","",AI21*W_ESTETICA)</f>
        <v/>
      </c>
      <c r="AW21" s="3">
        <f>IF($B21="","",AJ21*W_SEGVIAL)</f>
        <v/>
      </c>
      <c r="AX21" s="3">
        <f>IF($B21="","",AK21*W_SEGURIDAD)</f>
        <v/>
      </c>
      <c r="AY21" s="3">
        <f>IF($B21="","",AL21*W_USO)</f>
        <v/>
      </c>
      <c r="AZ21" s="3">
        <f>IF($B21="","",AM21*W_KMEDAD)</f>
        <v/>
      </c>
      <c r="BA21" s="3">
        <f>IF($B21="","",AN21*W_REVENTA)</f>
        <v/>
      </c>
      <c r="BB21" s="3">
        <f>IF($B21="","",AO21*W_COLOR)</f>
        <v/>
      </c>
    </row>
    <row r="23">
      <c r="A23" s="5" t="inlineStr">
        <is>
          <t>Todo se calcula con fórmulas a partir de 'Anuncios' (verde) y 'Supuestos'. Aportación = puntuación del criterio × peso. Suma de aportaciones − penalizaciones = PUNTUACIÓN.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564"/>
  <sheetViews>
    <sheetView workbookViewId="0">
      <selection activeCell="A1" sqref="A1"/>
    </sheetView>
  </sheetViews>
  <sheetFormatPr baseColWidth="8" defaultRowHeight="15"/>
  <cols>
    <col width="44" customWidth="1" min="1" max="1"/>
    <col width="18" customWidth="1" min="2" max="2"/>
    <col width="22" customWidth="1" min="3" max="3"/>
    <col width="22" customWidth="1" min="4" max="4"/>
    <col width="18" customWidth="1" min="5" max="5"/>
    <col width="40" customWidth="1" min="6" max="6"/>
    <col width="40" customWidth="1" min="7" max="7"/>
    <col width="14" customWidth="1" min="8" max="8"/>
    <col width="12" customWidth="1" min="9" max="9"/>
    <col width="30" customWidth="1" min="10" max="10"/>
    <col width="60" customWidth="1" min="11" max="11"/>
  </cols>
  <sheetData>
    <row r="1">
      <c r="A1" s="6" t="inlineStr">
        <is>
          <t>Supuestos: pesos, parámetros, fiscalidad y fiabilidad (cada dato con su estado y fuente)</t>
        </is>
      </c>
    </row>
    <row r="2">
      <c r="A2" t="inlineStr">
        <is>
          <t>Azul = dato introducido/fuente externa · Negro = calculado en esta hoja · Verde = viene de otra hoja. Estado: confirmado / probable (verificar en la fuente) / PENDIENTE (no se usa como cierto).</t>
        </is>
      </c>
    </row>
    <row r="5">
      <c r="A5" s="6" t="inlineStr">
        <is>
          <t>1. Pesos del scoring (deben sumar 1)</t>
        </is>
      </c>
    </row>
    <row r="6">
      <c r="A6" s="7" t="inlineStr">
        <is>
          <t>Criterio</t>
        </is>
      </c>
      <c r="B6" s="7" t="inlineStr">
        <is>
          <t>Peso</t>
        </is>
      </c>
      <c r="C6" s="7" t="inlineStr">
        <is>
          <t>Estado</t>
        </is>
      </c>
      <c r="D6" s="7" t="inlineStr">
        <is>
          <t>Fuente</t>
        </is>
      </c>
    </row>
    <row r="7">
      <c r="A7" t="inlineStr">
        <is>
          <t>Fiabilidad y durabilidad (modelo, motor, plataforma, caja)</t>
        </is>
      </c>
      <c r="B7" s="2" t="n">
        <v>0.22</v>
      </c>
      <c r="C7" t="inlineStr">
        <is>
          <t>criterio (config.yaml)</t>
        </is>
      </c>
      <c r="D7" t="inlineStr">
        <is>
          <t>config.yaml → scoring.pesos (reparto del 02-11-2026)</t>
        </is>
      </c>
    </row>
    <row r="8">
      <c r="A8" t="inlineStr">
        <is>
          <t>Precio frente al mercado</t>
        </is>
      </c>
      <c r="B8" s="2" t="n">
        <v>0.15</v>
      </c>
      <c r="C8" t="inlineStr">
        <is>
          <t>criterio (config.yaml)</t>
        </is>
      </c>
      <c r="D8" t="inlineStr">
        <is>
          <t>config.yaml → scoring.pesos (reparto del 02-11-2026)</t>
        </is>
      </c>
    </row>
    <row r="9">
      <c r="A9" t="inlineStr">
        <is>
          <t>Estado y mantenimiento (ITV, libro, propietarios, correa, facturas)</t>
        </is>
      </c>
      <c r="B9" s="2" t="n">
        <v>0.12</v>
      </c>
      <c r="C9" t="inlineStr">
        <is>
          <t>criterio (config.yaml)</t>
        </is>
      </c>
      <c r="D9" t="inlineStr">
        <is>
          <t>config.yaml → scoring.pesos (reparto del 02-11-2026)</t>
        </is>
      </c>
    </row>
    <row r="10">
      <c r="A10" t="inlineStr">
        <is>
          <t>Estética (modelo de estetica.yaml + atributos del anuncio)</t>
        </is>
      </c>
      <c r="B10" s="2" t="n">
        <v>0.12</v>
      </c>
      <c r="C10" t="inlineStr">
        <is>
          <t>criterio (config.yaml)</t>
        </is>
      </c>
      <c r="D10" t="inlineStr">
        <is>
          <t>config.yaml → scoring.pesos (reparto del 02-11-2026)</t>
        </is>
      </c>
    </row>
    <row r="11">
      <c r="A11" t="inlineStr">
        <is>
          <t>Seguridad (Euro NCAP de la generación + ESP/ESC)</t>
        </is>
      </c>
      <c r="B11" s="2" t="n">
        <v>0.1</v>
      </c>
      <c r="C11" t="inlineStr">
        <is>
          <t>criterio (config.yaml)</t>
        </is>
      </c>
      <c r="D11" t="inlineStr">
        <is>
          <t>config.yaml → scoring.pesos (reparto del 02-11-2026)</t>
        </is>
      </c>
    </row>
    <row r="12">
      <c r="A12" t="inlineStr">
        <is>
          <t>Seguridad de compra (garantía, km certificados, revisión, devolución, historial)</t>
        </is>
      </c>
      <c r="B12" s="2" t="n">
        <v>0.1</v>
      </c>
      <c r="C12" t="inlineStr">
        <is>
          <t>criterio (config.yaml)</t>
        </is>
      </c>
      <c r="D12" t="inlineStr">
        <is>
          <t>config.yaml → scoring.pesos (reparto del 02-11-2026)</t>
        </is>
      </c>
    </row>
    <row r="13">
      <c r="A13" t="inlineStr">
        <is>
          <t>Coste de uso (consumo, seguro, mantenimiento)</t>
        </is>
      </c>
      <c r="B13" s="2" t="n">
        <v>0.09</v>
      </c>
      <c r="C13" t="inlineStr">
        <is>
          <t>criterio (config.yaml)</t>
        </is>
      </c>
      <c r="D13" t="inlineStr">
        <is>
          <t>config.yaml → scoring.pesos (reparto del 02-11-2026)</t>
        </is>
      </c>
    </row>
    <row r="14">
      <c r="A14" t="inlineStr">
        <is>
          <t>Km y edad</t>
        </is>
      </c>
      <c r="B14" s="2" t="n">
        <v>0.05</v>
      </c>
      <c r="C14" t="inlineStr">
        <is>
          <t>criterio (config.yaml)</t>
        </is>
      </c>
      <c r="D14" t="inlineStr">
        <is>
          <t>config.yaml → scoring.pesos (reparto del 02-11-2026)</t>
        </is>
      </c>
    </row>
    <row r="15">
      <c r="A15" t="inlineStr">
        <is>
          <t>Valor de reventa y liquidez (anuncios del modelo, días hasta venderse, etiqueta)</t>
        </is>
      </c>
      <c r="B15" s="2" t="n">
        <v>0.03</v>
      </c>
      <c r="C15" t="inlineStr">
        <is>
          <t>criterio (config.yaml)</t>
        </is>
      </c>
      <c r="D15" t="inlineStr">
        <is>
          <t>config.yaml → scoring.pesos (reparto del 02-11-2026)</t>
        </is>
      </c>
    </row>
    <row r="16">
      <c r="A16" t="inlineStr">
        <is>
          <t>Color</t>
        </is>
      </c>
      <c r="B16" s="2" t="n">
        <v>0.02</v>
      </c>
      <c r="C16" t="inlineStr">
        <is>
          <t>criterio (config.yaml)</t>
        </is>
      </c>
      <c r="D16" t="inlineStr">
        <is>
          <t>config.yaml → scoring.pesos (reparto del 02-11-2026)</t>
        </is>
      </c>
    </row>
    <row r="17">
      <c r="A17" t="inlineStr">
        <is>
          <t>Suma de pesos (control)</t>
        </is>
      </c>
      <c r="B17" s="4">
        <f>SUM(B7:B16)</f>
        <v/>
      </c>
      <c r="C17" t="inlineStr">
        <is>
          <t>calculado</t>
        </is>
      </c>
      <c r="D17" t="inlineStr"/>
    </row>
    <row r="19">
      <c r="A19" s="6" t="inlineStr">
        <is>
          <t>2. Parámetros de búsqueda y de puntuación</t>
        </is>
      </c>
    </row>
    <row r="20">
      <c r="A20" s="7" t="inlineStr">
        <is>
          <t>Parámetro</t>
        </is>
      </c>
      <c r="B20" s="7" t="inlineStr">
        <is>
          <t>Valor</t>
        </is>
      </c>
      <c r="C20" s="7" t="inlineStr">
        <is>
          <t>Estado</t>
        </is>
      </c>
      <c r="D20" s="7" t="inlineStr">
        <is>
          <t>Fuente</t>
        </is>
      </c>
    </row>
    <row r="21">
      <c r="A21" t="inlineStr">
        <is>
          <t>Año de referencia</t>
        </is>
      </c>
      <c r="B21" s="2" t="n">
        <v>2026</v>
      </c>
      <c r="C21" t="inlineStr">
        <is>
          <t>dato</t>
        </is>
      </c>
      <c r="D21" t="inlineStr">
        <is>
          <t>fiscal.yaml</t>
        </is>
      </c>
    </row>
    <row r="22">
      <c r="A22" t="inlineStr">
        <is>
          <t>Año mínimo</t>
        </is>
      </c>
      <c r="B22" s="2" t="n">
        <v>2002</v>
      </c>
      <c r="C22" t="inlineStr">
        <is>
          <t>criterio (config.yaml)</t>
        </is>
      </c>
      <c r="D22" t="inlineStr">
        <is>
          <t>config.yaml</t>
        </is>
      </c>
    </row>
    <row r="23">
      <c r="A23" t="inlineStr">
        <is>
          <t>Km máximos</t>
        </is>
      </c>
      <c r="B23" s="2" t="n">
        <v>220000</v>
      </c>
      <c r="C23" t="inlineStr">
        <is>
          <t>criterio (config.yaml)</t>
        </is>
      </c>
      <c r="D23" t="inlineStr">
        <is>
          <t>config.yaml</t>
        </is>
      </c>
    </row>
    <row r="24">
      <c r="A24" t="inlineStr">
        <is>
          <t>Precio anuncio máximo (€)</t>
        </is>
      </c>
      <c r="B24" s="2" t="n">
        <v>6000</v>
      </c>
      <c r="C24" t="inlineStr">
        <is>
          <t>criterio (config.yaml)</t>
        </is>
      </c>
      <c r="D24" t="inlineStr">
        <is>
          <t>config.yaml</t>
        </is>
      </c>
    </row>
    <row r="25">
      <c r="A25" t="inlineStr">
        <is>
          <t>Presupuesto objetivo: coste total sin penalización (€)</t>
        </is>
      </c>
      <c r="B25" s="2" t="n">
        <v>5000</v>
      </c>
      <c r="C25" t="inlineStr">
        <is>
          <t>criterio (config.yaml)</t>
        </is>
      </c>
      <c r="D25" t="inlineStr">
        <is>
          <t>config.yaml</t>
        </is>
      </c>
    </row>
    <row r="26">
      <c r="A26" t="inlineStr">
        <is>
          <t>Presupuesto: techo (por encima, excluido) (€)</t>
        </is>
      </c>
      <c r="B26" s="2" t="n">
        <v>6000</v>
      </c>
      <c r="C26" t="inlineStr">
        <is>
          <t>criterio (config.yaml)</t>
        </is>
      </c>
      <c r="D26" t="inlineStr">
        <is>
          <t>config.yaml</t>
        </is>
      </c>
    </row>
    <row r="27">
      <c r="A27" t="inlineStr">
        <is>
          <t>Presupuesto: puntos menos por cada 100 € sobre el objetivo (proporcional)</t>
        </is>
      </c>
      <c r="B27" s="2" t="n">
        <v>2</v>
      </c>
      <c r="C27" t="inlineStr">
        <is>
          <t>criterio (config.yaml)</t>
        </is>
      </c>
      <c r="D27" t="inlineStr">
        <is>
          <t>config.yaml</t>
        </is>
      </c>
    </row>
    <row r="28">
      <c r="A28" t="inlineStr">
        <is>
          <t>Tramo de años para mediana</t>
        </is>
      </c>
      <c r="B28" s="2" t="n">
        <v>3</v>
      </c>
      <c r="C28" t="inlineStr">
        <is>
          <t>criterio (config.yaml)</t>
        </is>
      </c>
      <c r="D28" t="inlineStr">
        <is>
          <t>config.yaml</t>
        </is>
      </c>
    </row>
    <row r="29">
      <c r="A29" t="inlineStr">
        <is>
          <t>Tramo de km para mediana</t>
        </is>
      </c>
      <c r="B29" s="2" t="n">
        <v>50000</v>
      </c>
      <c r="C29" t="inlineStr">
        <is>
          <t>criterio (config.yaml)</t>
        </is>
      </c>
      <c r="D29" t="inlineStr">
        <is>
          <t>config.yaml</t>
        </is>
      </c>
    </row>
    <row r="30">
      <c r="A30" t="inlineStr">
        <is>
          <t>Mín. anuncios por segmento (si no, se sube de nivel)</t>
        </is>
      </c>
      <c r="B30" s="2" t="n">
        <v>4</v>
      </c>
      <c r="C30" t="inlineStr">
        <is>
          <t>criterio (config.yaml)</t>
        </is>
      </c>
      <c r="D30" t="inlineStr">
        <is>
          <t>config.yaml</t>
        </is>
      </c>
    </row>
    <row r="31">
      <c r="A31" t="inlineStr">
        <is>
          <t>Puntos por unidad de descuento (50 + desc·k)</t>
        </is>
      </c>
      <c r="B31" s="2" t="n">
        <v>250</v>
      </c>
      <c r="C31" t="inlineStr">
        <is>
          <t>criterio (config.yaml)</t>
        </is>
      </c>
      <c r="D31" t="inlineStr">
        <is>
          <t>config.yaml</t>
        </is>
      </c>
    </row>
    <row r="32">
      <c r="A32" t="inlineStr">
        <is>
          <t>Precio: km a partir de los que la nota tiene tope decreciente</t>
        </is>
      </c>
      <c r="B32" s="2" t="n">
        <v>180000</v>
      </c>
      <c r="C32" t="inlineStr">
        <is>
          <t>criterio (config.yaml)</t>
        </is>
      </c>
      <c r="D32" t="inlineStr">
        <is>
          <t>config.yaml</t>
        </is>
      </c>
    </row>
    <row r="33">
      <c r="A33" t="inlineStr">
        <is>
          <t>Precio: puntos de tope perdidos por cada 1.000 km por encima</t>
        </is>
      </c>
      <c r="B33" s="2" t="n">
        <v>2</v>
      </c>
      <c r="C33" t="inlineStr">
        <is>
          <t>criterio (config.yaml)</t>
        </is>
      </c>
      <c r="D33" t="inlineStr">
        <is>
          <t>config.yaml</t>
        </is>
      </c>
    </row>
    <row r="34">
      <c r="A34" t="inlineStr">
        <is>
          <t>Fiabilidad: puntos menos por caja robotizada (Easytronic/MTA, Dualogic, MMT, 2-Tronic/ETG…)</t>
        </is>
      </c>
      <c r="B34" s="2" t="n">
        <v>10</v>
      </c>
      <c r="C34" t="inlineStr">
        <is>
          <t>criterio sin fuente seria de fiabilidad (no hay datos ADAC/TÜV/OCU por tipo de caja)</t>
        </is>
      </c>
      <c r="D34" t="inlineStr">
        <is>
          <t>km77 sobre la mala fama de las cajas robotizadas por lentitud, imprecisión y brusquedad (no es un dato de averías): https://www.km77.com/revista/?p=14315</t>
        </is>
      </c>
    </row>
    <row r="35">
      <c r="A35" t="inlineStr">
        <is>
          <t>Km/año ideal máximo (100 puntos hasta aquí)</t>
        </is>
      </c>
      <c r="B35" s="2" t="n">
        <v>18000</v>
      </c>
      <c r="C35" t="inlineStr">
        <is>
          <t>criterio (config.yaml)</t>
        </is>
      </c>
      <c r="D35" t="inlineStr">
        <is>
          <t>config.yaml</t>
        </is>
      </c>
    </row>
    <row r="36">
      <c r="A36" t="inlineStr">
        <is>
          <t>Km/año con 0 puntos</t>
        </is>
      </c>
      <c r="B36" s="2" t="n">
        <v>35000</v>
      </c>
      <c r="C36" t="inlineStr">
        <is>
          <t>criterio (config.yaml)</t>
        </is>
      </c>
      <c r="D36" t="inlineStr">
        <is>
          <t>config.yaml</t>
        </is>
      </c>
    </row>
    <row r="37">
      <c r="A37" t="inlineStr">
        <is>
          <t>Km/año sospechosamente bajo</t>
        </is>
      </c>
      <c r="B37" s="2" t="n">
        <v>4000</v>
      </c>
      <c r="C37" t="inlineStr">
        <is>
          <t>criterio (config.yaml)</t>
        </is>
      </c>
      <c r="D37" t="inlineStr">
        <is>
          <t>config.yaml</t>
        </is>
      </c>
    </row>
    <row r="38">
      <c r="A38" t="inlineStr">
        <is>
          <t>Puntos km/año si es sospechoso y no justificado</t>
        </is>
      </c>
      <c r="B38" s="2" t="n">
        <v>40</v>
      </c>
      <c r="C38" t="inlineStr">
        <is>
          <t>criterio (config.yaml)</t>
        </is>
      </c>
      <c r="D38" t="inlineStr">
        <is>
          <t>config.yaml</t>
        </is>
      </c>
    </row>
    <row r="39">
      <c r="A39" t="inlineStr">
        <is>
          <t>Peso km totales dentro de Km y edad</t>
        </is>
      </c>
      <c r="B39" s="2" t="n">
        <v>0.4</v>
      </c>
      <c r="C39" t="inlineStr">
        <is>
          <t>criterio (config.yaml)</t>
        </is>
      </c>
      <c r="D39" t="inlineStr">
        <is>
          <t>config.yaml</t>
        </is>
      </c>
    </row>
    <row r="40">
      <c r="A40" t="inlineStr">
        <is>
          <t>Peso km/año dentro de Km y edad</t>
        </is>
      </c>
      <c r="B40" s="2" t="n">
        <v>0.3</v>
      </c>
      <c r="C40" t="inlineStr">
        <is>
          <t>criterio (config.yaml)</t>
        </is>
      </c>
      <c r="D40" t="inlineStr">
        <is>
          <t>config.yaml</t>
        </is>
      </c>
    </row>
    <row r="41">
      <c r="A41" t="inlineStr">
        <is>
          <t>Peso edad dentro de Km y edad</t>
        </is>
      </c>
      <c r="B41" s="2" t="n">
        <v>0.3</v>
      </c>
      <c r="C41" t="inlineStr">
        <is>
          <t>criterio (config.yaml)</t>
        </is>
      </c>
      <c r="D41" t="inlineStr">
        <is>
          <t>config.yaml</t>
        </is>
      </c>
    </row>
    <row r="42">
      <c r="A42" t="inlineStr">
        <is>
          <t>Estado: puntos por ITV en vigor / recién pasada</t>
        </is>
      </c>
      <c r="B42" s="2" t="n">
        <v>20</v>
      </c>
      <c r="C42" t="inlineStr">
        <is>
          <t>criterio (config.yaml)</t>
        </is>
      </c>
      <c r="D42" t="inlineStr">
        <is>
          <t>config.yaml</t>
        </is>
      </c>
    </row>
    <row r="43">
      <c r="A43" t="inlineStr">
        <is>
          <t>Estado: puntos por libro de mantenimiento o historial</t>
        </is>
      </c>
      <c r="B43" s="2" t="n">
        <v>25</v>
      </c>
      <c r="C43" t="inlineStr">
        <is>
          <t>criterio (config.yaml)</t>
        </is>
      </c>
      <c r="D43" t="inlineStr">
        <is>
          <t>config.yaml</t>
        </is>
      </c>
    </row>
    <row r="44">
      <c r="A44" t="inlineStr">
        <is>
          <t>Estado: puntos por un solo propietario (2 propietarios = la mitad)</t>
        </is>
      </c>
      <c r="B44" s="2" t="n">
        <v>15</v>
      </c>
      <c r="C44" t="inlineStr">
        <is>
          <t>criterio (config.yaml)</t>
        </is>
      </c>
      <c r="D44" t="inlineStr">
        <is>
          <t>config.yaml</t>
        </is>
      </c>
    </row>
    <row r="45">
      <c r="A45" t="inlineStr">
        <is>
          <t>Estado: puntos por correa cambiada con fecha o km (sin fecha/km = la mitad; motor de cadena = completo)</t>
        </is>
      </c>
      <c r="B45" s="2" t="n">
        <v>25</v>
      </c>
      <c r="C45" t="inlineStr">
        <is>
          <t>criterio (config.yaml)</t>
        </is>
      </c>
      <c r="D45" t="inlineStr">
        <is>
          <t>config.yaml</t>
        </is>
      </c>
    </row>
    <row r="46">
      <c r="A46" t="inlineStr">
        <is>
          <t>Estado: puntos por facturas</t>
        </is>
      </c>
      <c r="B46" s="2" t="n">
        <v>15</v>
      </c>
      <c r="C46" t="inlineStr">
        <is>
          <t>criterio (config.yaml)</t>
        </is>
      </c>
      <c r="D46" t="inlineStr">
        <is>
          <t>config.yaml</t>
        </is>
      </c>
    </row>
    <row r="47">
      <c r="A47" t="inlineStr">
        <is>
          <t>Peso etiqueta dentro de Coste de uso</t>
        </is>
      </c>
      <c r="B47" s="2" t="n">
        <v>0</v>
      </c>
      <c r="C47" t="inlineStr">
        <is>
          <t>criterio (config.yaml)</t>
        </is>
      </c>
      <c r="D47" t="inlineStr">
        <is>
          <t>config.yaml</t>
        </is>
      </c>
    </row>
    <row r="48">
      <c r="A48" t="inlineStr">
        <is>
          <t>Peso consumo dentro de Coste de uso</t>
        </is>
      </c>
      <c r="B48" s="2" t="n">
        <v>0.4</v>
      </c>
      <c r="C48" t="inlineStr">
        <is>
          <t>criterio (config.yaml)</t>
        </is>
      </c>
      <c r="D48" t="inlineStr">
        <is>
          <t>config.yaml</t>
        </is>
      </c>
    </row>
    <row r="49">
      <c r="A49" t="inlineStr">
        <is>
          <t>Peso seguro dentro de Coste de uso</t>
        </is>
      </c>
      <c r="B49" s="2" t="n">
        <v>0.3</v>
      </c>
      <c r="C49" t="inlineStr">
        <is>
          <t>criterio (config.yaml)</t>
        </is>
      </c>
      <c r="D49" t="inlineStr">
        <is>
          <t>config.yaml</t>
        </is>
      </c>
    </row>
    <row r="50">
      <c r="A50" t="inlineStr">
        <is>
          <t>Peso mantenimiento (recambios y distribución) dentro de Coste de uso</t>
        </is>
      </c>
      <c r="B50" s="2" t="n">
        <v>0.3</v>
      </c>
      <c r="C50" t="inlineStr">
        <is>
          <t>criterio (config.yaml)</t>
        </is>
      </c>
      <c r="D50" t="inlineStr">
        <is>
          <t>config.yaml</t>
        </is>
      </c>
    </row>
    <row r="51">
      <c r="A51" t="inlineStr">
        <is>
          <t>Puntuación neutra cuando el dato está PENDIENTE</t>
        </is>
      </c>
      <c r="B51" s="2" t="n">
        <v>50</v>
      </c>
      <c r="C51" t="inlineStr">
        <is>
          <t>criterio (config.yaml)</t>
        </is>
      </c>
      <c r="D51" t="inlineStr">
        <is>
          <t>config.yaml</t>
        </is>
      </c>
    </row>
    <row r="52">
      <c r="A52" t="inlineStr">
        <is>
          <t>Seguridad: puntos por garantía (proporcional a meses)</t>
        </is>
      </c>
      <c r="B52" s="2" t="n">
        <v>35</v>
      </c>
      <c r="C52" t="inlineStr">
        <is>
          <t>criterio (config.yaml)</t>
        </is>
      </c>
      <c r="D52" t="inlineStr">
        <is>
          <t>config.yaml</t>
        </is>
      </c>
    </row>
    <row r="53">
      <c r="A53" t="inlineStr">
        <is>
          <t>Seguridad: meses de garantía para puntuación completa</t>
        </is>
      </c>
      <c r="B53" s="2" t="n">
        <v>24</v>
      </c>
      <c r="C53" t="inlineStr">
        <is>
          <t>criterio (config.yaml)</t>
        </is>
      </c>
      <c r="D53" t="inlineStr">
        <is>
          <t>config.yaml</t>
        </is>
      </c>
    </row>
    <row r="54">
      <c r="A54" t="inlineStr">
        <is>
          <t>Seguridad: puntos si la garantía es ampliable</t>
        </is>
      </c>
      <c r="B54" s="2" t="n">
        <v>10</v>
      </c>
      <c r="C54" t="inlineStr">
        <is>
          <t>criterio (config.yaml)</t>
        </is>
      </c>
      <c r="D54" t="inlineStr">
        <is>
          <t>config.yaml</t>
        </is>
      </c>
    </row>
    <row r="55">
      <c r="A55" t="inlineStr">
        <is>
          <t>Seguridad: puntos por km certificados</t>
        </is>
      </c>
      <c r="B55" s="2" t="n">
        <v>15</v>
      </c>
      <c r="C55" t="inlineStr">
        <is>
          <t>criterio (config.yaml)</t>
        </is>
      </c>
      <c r="D55" t="inlineStr">
        <is>
          <t>config.yaml</t>
        </is>
      </c>
    </row>
    <row r="56">
      <c r="A56" t="inlineStr">
        <is>
          <t>Seguridad: puntos por revisión documentada</t>
        </is>
      </c>
      <c r="B56" s="2" t="n">
        <v>15</v>
      </c>
      <c r="C56" t="inlineStr">
        <is>
          <t>criterio (config.yaml)</t>
        </is>
      </c>
      <c r="D56" t="inlineStr">
        <is>
          <t>config.yaml</t>
        </is>
      </c>
    </row>
    <row r="57">
      <c r="A57" t="inlineStr">
        <is>
          <t>Seguridad: puntos por derecho de devolución (proporcional a días)</t>
        </is>
      </c>
      <c r="B57" s="2" t="n">
        <v>15</v>
      </c>
      <c r="C57" t="inlineStr">
        <is>
          <t>criterio (config.yaml)</t>
        </is>
      </c>
      <c r="D57" t="inlineStr">
        <is>
          <t>config.yaml</t>
        </is>
      </c>
    </row>
    <row r="58">
      <c r="A58" t="inlineStr">
        <is>
          <t>Seguridad: días de devolución para puntuación completa</t>
        </is>
      </c>
      <c r="B58" s="2" t="n">
        <v>15</v>
      </c>
      <c r="C58" t="inlineStr">
        <is>
          <t>criterio (config.yaml)</t>
        </is>
      </c>
      <c r="D58" t="inlineStr">
        <is>
          <t>config.yaml</t>
        </is>
      </c>
    </row>
    <row r="59">
      <c r="A59" t="inlineStr">
        <is>
          <t>Seguridad: puntos por historial/libro de mantenimiento</t>
        </is>
      </c>
      <c r="B59" s="2" t="n">
        <v>10</v>
      </c>
      <c r="C59" t="inlineStr">
        <is>
          <t>criterio (config.yaml)</t>
        </is>
      </c>
      <c r="D59" t="inlineStr">
        <is>
          <t>config.yaml</t>
        </is>
      </c>
    </row>
    <row r="60">
      <c r="A60" t="inlineStr">
        <is>
          <t>Aplicar mínimo legal a profesionales sin garantía declarada (1 = sí)</t>
        </is>
      </c>
      <c r="B60" s="2" t="n">
        <v>1</v>
      </c>
      <c r="C60" t="inlineStr">
        <is>
          <t>criterio (config.yaml)</t>
        </is>
      </c>
      <c r="D60" t="inlineStr">
        <is>
          <t>config.yaml</t>
        </is>
      </c>
    </row>
    <row r="61">
      <c r="A61" t="inlineStr">
        <is>
          <t>Garantía legal mínima en usados de vendedor profesional (meses)</t>
        </is>
      </c>
      <c r="B61" s="2" t="n">
        <v>12</v>
      </c>
      <c r="C61" t="inlineStr">
        <is>
          <t>confirmado</t>
        </is>
      </c>
      <c r="D61" t="inlineStr">
        <is>
          <t>TRLGDCU (RDLeg. 1/2007), art. 120.1, en la redacción del Real Decreto-ley 7/2021, de 27 de abril — https://www.boe.es/buscar/act.php?id=BOE-A-2007-20555</t>
        </is>
      </c>
    </row>
    <row r="62">
      <c r="A62" t="inlineStr">
        <is>
          <t>Seguridad de compra: puntos menos si es particular sin garantía</t>
        </is>
      </c>
      <c r="B62" s="2" t="n">
        <v>25</v>
      </c>
      <c r="C62" t="inlineStr">
        <is>
          <t>criterio (config.yaml)</t>
        </is>
      </c>
      <c r="D62" t="inlineStr">
        <is>
          <t>config.yaml</t>
        </is>
      </c>
    </row>
    <row r="63">
      <c r="A63" t="inlineStr">
        <is>
          <t>Seguridad: peso de las estrellas Euro NCAP (estrellas/5 × 100)</t>
        </is>
      </c>
      <c r="B63" s="2" t="n">
        <v>0.7</v>
      </c>
      <c r="C63" t="inlineStr">
        <is>
          <t>criterio (config.yaml)</t>
        </is>
      </c>
      <c r="D63" t="inlineStr">
        <is>
          <t>config.yaml</t>
        </is>
      </c>
    </row>
    <row r="64">
      <c r="A64" t="inlineStr">
        <is>
          <t>Seguridad: peso del ESP/ESC (sí 100 · no 0 · sin dato NEUTRO)</t>
        </is>
      </c>
      <c r="B64" s="2" t="n">
        <v>0.3</v>
      </c>
      <c r="C64" t="inlineStr">
        <is>
          <t>criterio (config.yaml)</t>
        </is>
      </c>
      <c r="D64" t="inlineStr">
        <is>
          <t>config.yaml</t>
        </is>
      </c>
    </row>
    <row r="65">
      <c r="A65" t="inlineStr">
        <is>
          <t>Reventa: peso de la liquidez (anuncios del modelo en el mercado recogido)</t>
        </is>
      </c>
      <c r="B65" s="2" t="n">
        <v>0.4</v>
      </c>
      <c r="C65" t="inlineStr">
        <is>
          <t>criterio (config.yaml)</t>
        </is>
      </c>
      <c r="D65" t="inlineStr">
        <is>
          <t>config.yaml</t>
        </is>
      </c>
    </row>
    <row r="66">
      <c r="A66" t="inlineStr">
        <is>
          <t>Reventa: nº de anuncios del modelo para 100 puntos</t>
        </is>
      </c>
      <c r="B66" s="2" t="n">
        <v>60</v>
      </c>
      <c r="C66" t="inlineStr">
        <is>
          <t>criterio (config.yaml)</t>
        </is>
      </c>
      <c r="D66" t="inlineStr">
        <is>
          <t>config.yaml</t>
        </is>
      </c>
    </row>
    <row r="67">
      <c r="A67" t="inlineStr">
        <is>
          <t>Reventa: peso de los días hasta desaparecer el anuncio</t>
        </is>
      </c>
      <c r="B67" s="2" t="n">
        <v>0.2</v>
      </c>
      <c r="C67" t="inlineStr">
        <is>
          <t>criterio (config.yaml)</t>
        </is>
      </c>
      <c r="D67" t="inlineStr">
        <is>
          <t>config.yaml</t>
        </is>
      </c>
    </row>
    <row r="68">
      <c r="A68" t="inlineStr">
        <is>
          <t>Reventa: días (mediana) con 100 puntos</t>
        </is>
      </c>
      <c r="B68" s="2" t="n">
        <v>15</v>
      </c>
      <c r="C68" t="inlineStr">
        <is>
          <t>criterio (config.yaml)</t>
        </is>
      </c>
      <c r="D68" t="inlineStr">
        <is>
          <t>config.yaml</t>
        </is>
      </c>
    </row>
    <row r="69">
      <c r="A69" t="inlineStr">
        <is>
          <t>Reventa: días (mediana) con 0 puntos</t>
        </is>
      </c>
      <c r="B69" s="2" t="n">
        <v>90</v>
      </c>
      <c r="C69" t="inlineStr">
        <is>
          <t>criterio (config.yaml)</t>
        </is>
      </c>
      <c r="D69" t="inlineStr">
        <is>
          <t>config.yaml</t>
        </is>
      </c>
    </row>
    <row r="70">
      <c r="A70" t="inlineStr">
        <is>
          <t>Reventa: mínimo de ventas observadas para usar los días (si no, NEUTRO)</t>
        </is>
      </c>
      <c r="B70" s="2" t="n">
        <v>3</v>
      </c>
      <c r="C70" t="inlineStr">
        <is>
          <t>criterio (config.yaml)</t>
        </is>
      </c>
      <c r="D70" t="inlineStr">
        <is>
          <t>config.yaml</t>
        </is>
      </c>
    </row>
    <row r="71">
      <c r="A71" t="inlineStr">
        <is>
          <t>Reventa: peso de la etiqueta (C por encima de B; tabla ETQ_TBL)</t>
        </is>
      </c>
      <c r="B71" s="2" t="n">
        <v>0.4</v>
      </c>
      <c r="C71" t="inlineStr">
        <is>
          <t>criterio (config.yaml)</t>
        </is>
      </c>
      <c r="D71" t="inlineStr">
        <is>
          <t>config.yaml</t>
        </is>
      </c>
    </row>
    <row r="73">
      <c r="A73" s="6" t="inlineStr">
        <is>
          <t>3. Coste de compra: ITP (Comunitat Valenciana) y tasas DGT</t>
        </is>
      </c>
    </row>
    <row r="74">
      <c r="A74" s="7" t="inlineStr">
        <is>
          <t>Concepto</t>
        </is>
      </c>
      <c r="B74" s="7" t="inlineStr">
        <is>
          <t>Valor</t>
        </is>
      </c>
      <c r="C74" s="7" t="inlineStr">
        <is>
          <t>Estado</t>
        </is>
      </c>
      <c r="D74" s="7" t="inlineStr">
        <is>
          <t>Fuente</t>
        </is>
      </c>
    </row>
    <row r="75">
      <c r="A75" t="inlineStr">
        <is>
          <t>ITP tipo general (si no aplica cuota fija)</t>
        </is>
      </c>
      <c r="B75" s="2" t="n">
        <v>0.06</v>
      </c>
      <c r="C75" t="inlineStr">
        <is>
          <t>confirmado (cuadro resumen art. 13.Tres Ley 13/1997 en atv.gva.es/es/vehiculos-faq, leído 31-10-2026: 6 % hasta 5 años y &lt;= 2.000 cc)</t>
        </is>
      </c>
      <c r="D75" t="inlineStr">
        <is>
          <t>https://atv.gva.es/es/tarifes-itpajd ; https://atv.gva.es/es/compraventa-de-vehiculos</t>
        </is>
      </c>
    </row>
    <row r="76">
      <c r="A76" t="inlineStr">
        <is>
          <t>Cuota fija solo si valor &lt; (€)</t>
        </is>
      </c>
      <c r="B76" s="2" t="n">
        <v>20000</v>
      </c>
      <c r="C76" t="inlineStr">
        <is>
          <t>confirmado (cuadro resumen de la ATV, https://atv.gva.es/es/vehiculos-faq, leído 31-10-2026)</t>
        </is>
      </c>
      <c r="D76" t="inlineStr">
        <is>
          <t>https://atv.gva.es/es/vehiculos-faq ; Ley 13/1997 consolidada https://www.boe.es/buscar/act.php?id=BOE-A-1998-8202</t>
        </is>
      </c>
    </row>
    <row r="77">
      <c r="A77" t="inlineStr">
        <is>
          <t>Tasa DGT transferencia 1.5 (€)</t>
        </is>
      </c>
      <c r="B77" s="2" t="n">
        <v>55.7</v>
      </c>
      <c r="C77" t="inlineStr">
        <is>
          <t>probable: la sede web DGT indica 55,70 €; el PDF oficial de importes (creado 21-12-2020) da 55,15 €, desactualizado. Se usa el más reciente.</t>
        </is>
      </c>
      <c r="D77" t="inlineStr">
        <is>
          <t>https://sede.dgt.gob.es/es/vehiculos/transferencias-de-vehiculos/</t>
        </is>
      </c>
    </row>
    <row r="78">
      <c r="A78" t="inlineStr">
        <is>
          <t>Informe DGT 4.1 (€)</t>
        </is>
      </c>
      <c r="B78" s="2" t="n">
        <v>8.67</v>
      </c>
      <c r="C78" t="inlineStr">
        <is>
          <t>probable: sede web DGT 8,67 €; el PDF de 2020 da 8,59 € (tasa 4.1)</t>
        </is>
      </c>
      <c r="D78" t="inlineStr">
        <is>
          <t>https://sede.dgt.gob.es/es/vehiculos/informacion-de-vehiculos/informe-de-un-vehiculo/</t>
        </is>
      </c>
    </row>
    <row r="79">
      <c r="A79" t="inlineStr">
        <is>
          <t>Cuota fija: tramo 'más de N años' (alto)</t>
        </is>
      </c>
      <c r="B79" s="2" t="n">
        <v>12</v>
      </c>
      <c r="C79" t="inlineStr">
        <is>
          <t>confirmado (cuadro resumen de la ATV, https://atv.gva.es/es/vehiculos-faq, leído 31-10-2026)</t>
        </is>
      </c>
      <c r="D79" t="inlineStr">
        <is>
          <t>https://atv.gva.es/es/vehiculos-faq ; Ley 13/1997 consolidada https://www.boe.es/buscar/act.php?id=BOE-A-1998-8202</t>
        </is>
      </c>
    </row>
    <row r="80">
      <c r="A80" t="inlineStr">
        <is>
          <t>Cuota fija: tramo 'más de N años' (bajo)</t>
        </is>
      </c>
      <c r="B80" s="2" t="n">
        <v>5</v>
      </c>
      <c r="C80" t="inlineStr">
        <is>
          <t>confirmado (cuadro resumen de la ATV, https://atv.gva.es/es/vehiculos-faq, leído 31-10-2026)</t>
        </is>
      </c>
      <c r="D80" t="inlineStr">
        <is>
          <t>https://atv.gva.es/es/vehiculos-faq ; Ley 13/1997 consolidada https://www.boe.es/buscar/act.php?id=BOE-A-1998-8202</t>
        </is>
      </c>
    </row>
    <row r="81">
      <c r="A81" t="inlineStr">
        <is>
          <t>Vendedor profesional: sin ITP (IVA/REBU incluido); se suman sus gastos de gestión y la tasa DGT solo si esos gastos no incluyen la transferencia o no constan — PENDIENTE de cita oficial (práctica habitual; confirmar en la factura)</t>
        </is>
      </c>
    </row>
    <row r="82">
      <c r="A82" t="inlineStr">
        <is>
          <t>Nota: Ley 5/2025 de 30 de mayo modifica tipos de ITP; parece afectar a inmuebles. Efecto sobre vehículos PENDIENTE de verificar.</t>
        </is>
      </c>
    </row>
    <row r="84">
      <c r="A84" s="8" t="inlineStr">
        <is>
          <t>Tabla de cuotas fijas de ITP</t>
        </is>
      </c>
    </row>
    <row r="85">
      <c r="A85" s="7" t="inlineStr">
        <is>
          <t>Más de (años)</t>
        </is>
      </c>
      <c r="B85" s="7" t="inlineStr">
        <is>
          <t>cc desde</t>
        </is>
      </c>
      <c r="C85" s="7" t="inlineStr">
        <is>
          <t>cc hasta</t>
        </is>
      </c>
      <c r="D85" s="7" t="inlineStr">
        <is>
          <t>Cuota (€)</t>
        </is>
      </c>
      <c r="E85" s="7" t="inlineStr">
        <is>
          <t>Descripción</t>
        </is>
      </c>
      <c r="F85" s="7" t="inlineStr">
        <is>
          <t>Estado</t>
        </is>
      </c>
      <c r="G85" s="7" t="inlineStr">
        <is>
          <t>Fuente</t>
        </is>
      </c>
    </row>
    <row r="86">
      <c r="A86" s="2" t="n">
        <v>12</v>
      </c>
      <c r="B86" s="2" t="n">
        <v>0</v>
      </c>
      <c r="C86" s="2" t="n">
        <v>1500</v>
      </c>
      <c r="D86" s="2" t="n">
        <v>40</v>
      </c>
      <c r="E86" t="inlineStr">
        <is>
          <t>&gt;12 años, hasta 1.500 cc</t>
        </is>
      </c>
      <c r="F86" t="inlineStr">
        <is>
          <t>confirmado (cuadro resumen de la ATV, https://atv.gva.es/es/vehiculos-faq, leído 31-10-2026)</t>
        </is>
      </c>
      <c r="G86" t="inlineStr">
        <is>
          <t>https://atv.gva.es/es/vehiculos-faq ; Ley 13/1997 consolidada https://www.boe.es/buscar/act.php?id=BOE-A-1998-8202</t>
        </is>
      </c>
    </row>
    <row r="87">
      <c r="A87" s="2" t="n">
        <v>12</v>
      </c>
      <c r="B87" s="2" t="n">
        <v>1501</v>
      </c>
      <c r="C87" s="2" t="n">
        <v>2000</v>
      </c>
      <c r="D87" s="2" t="n">
        <v>60</v>
      </c>
      <c r="E87" t="inlineStr">
        <is>
          <t>&gt;12 años, 1.501-2.000 cc</t>
        </is>
      </c>
      <c r="F87" t="inlineStr">
        <is>
          <t>confirmado (cuadro resumen de la ATV, https://atv.gva.es/es/vehiculos-faq, leído 31-10-2026)</t>
        </is>
      </c>
      <c r="G87" t="inlineStr">
        <is>
          <t>https://atv.gva.es/es/vehiculos-faq ; Ley 13/1997 consolidada https://www.boe.es/buscar/act.php?id=BOE-A-1998-8202</t>
        </is>
      </c>
    </row>
    <row r="88">
      <c r="A88" s="2" t="n">
        <v>12</v>
      </c>
      <c r="B88" s="2" t="n">
        <v>2001</v>
      </c>
      <c r="C88" s="2" t="n">
        <v>99999</v>
      </c>
      <c r="D88" s="2" t="n">
        <v>140</v>
      </c>
      <c r="E88" t="inlineStr">
        <is>
          <t>&gt;12 años, más de 2.000 cc</t>
        </is>
      </c>
      <c r="F88" t="inlineStr">
        <is>
          <t>confirmado (cuadro resumen de la ATV, https://atv.gva.es/es/vehiculos-faq, leído 31-10-2026)</t>
        </is>
      </c>
      <c r="G88" t="inlineStr">
        <is>
          <t>https://atv.gva.es/es/vehiculos-faq ; Ley 13/1997 consolidada https://www.boe.es/buscar/act.php?id=BOE-A-1998-8202</t>
        </is>
      </c>
    </row>
    <row r="89">
      <c r="A89" s="2" t="n">
        <v>5</v>
      </c>
      <c r="B89" s="2" t="n">
        <v>0</v>
      </c>
      <c r="C89" s="2" t="n">
        <v>1500</v>
      </c>
      <c r="D89" s="2" t="n">
        <v>120</v>
      </c>
      <c r="E89" t="inlineStr">
        <is>
          <t>&gt;5 y &lt;=12 años, hasta 1.500 cc</t>
        </is>
      </c>
      <c r="F89" t="inlineStr">
        <is>
          <t>confirmado (cuadro resumen de la ATV, https://atv.gva.es/es/vehiculos-faq, leído 31-10-2026)</t>
        </is>
      </c>
      <c r="G89" t="inlineStr">
        <is>
          <t>https://atv.gva.es/es/vehiculos-faq ; Ley 13/1997 consolidada https://www.boe.es/buscar/act.php?id=BOE-A-1998-8202</t>
        </is>
      </c>
    </row>
    <row r="90">
      <c r="A90" s="2" t="n">
        <v>5</v>
      </c>
      <c r="B90" s="2" t="n">
        <v>1501</v>
      </c>
      <c r="C90" s="2" t="n">
        <v>2000</v>
      </c>
      <c r="D90" s="2" t="n">
        <v>180</v>
      </c>
      <c r="E90" t="inlineStr">
        <is>
          <t>&gt;5 y &lt;=12 años, 1.501-2.000 cc</t>
        </is>
      </c>
      <c r="F90" t="inlineStr">
        <is>
          <t>confirmado (cuadro resumen de la ATV, https://atv.gva.es/es/vehiculos-faq, leído 31-10-2026)</t>
        </is>
      </c>
      <c r="G90" t="inlineStr">
        <is>
          <t>https://atv.gva.es/es/vehiculos-faq ; Ley 13/1997 consolidada https://www.boe.es/buscar/act.php?id=BOE-A-1998-8202</t>
        </is>
      </c>
    </row>
    <row r="91">
      <c r="A91" s="2" t="n">
        <v>5</v>
      </c>
      <c r="B91" s="2" t="n">
        <v>2001</v>
      </c>
      <c r="C91" s="2" t="n">
        <v>99999</v>
      </c>
      <c r="D91" s="2" t="n">
        <v>280</v>
      </c>
      <c r="E91" t="inlineStr">
        <is>
          <t>&gt;5 y &lt;=12 años, más de 2.000 cc</t>
        </is>
      </c>
      <c r="F91" t="inlineStr">
        <is>
          <t>confirmado (cuadro resumen de la ATV, https://atv.gva.es/es/vehiculos-faq, leído 31-10-2026)</t>
        </is>
      </c>
      <c r="G91" t="inlineStr">
        <is>
          <t>https://atv.gva.es/es/vehiculos-faq ; Ley 13/1997 consolidada https://www.boe.es/buscar/act.php?id=BOE-A-1998-8202</t>
        </is>
      </c>
    </row>
    <row r="92">
      <c r="A92" t="inlineStr">
        <is>
          <t>cc hasta 99999 = sin límite superior. Cilindrada desconocida -&gt; se usa 99999 (tramo más caro).</t>
        </is>
      </c>
    </row>
    <row r="93">
      <c r="A93" t="inlineStr">
        <is>
          <t>Valores fiscales de Hacienda: Orden HAC/1501/2025, de 17 de diciembre (BOE núm. 308, 23-12-2025), vigente desde 01-01-2026 (https://www.boe.es/diario_boe/txt.php?id=BOE-A-2025-26357). Estado: confirmado (datos de publicación); valores por modelo PENDIENTES (PDF no accesible desde este entorno). Solo afectan a coches de 5 años o menos (tipo porcentual).</t>
        </is>
      </c>
    </row>
    <row r="95">
      <c r="A95" s="6" t="inlineStr">
        <is>
          <t>4. Distintivo ambiental (DGT) y ZBE de València</t>
        </is>
      </c>
    </row>
    <row r="96">
      <c r="A96" t="inlineStr">
        <is>
          <t>Orden de fiabilidad: 1) fichero oficial de la DGT por matrícula; 2) etiqueta publicada en el anuncio; 3) regla por combustible y fecha de primera matriculación. Año frontera sin mes = 'dudosa' (la peor posible).</t>
        </is>
      </c>
    </row>
    <row r="97">
      <c r="A97" s="7" t="inlineStr">
        <is>
          <t>Criterio (fecha de primera matriculación, AAAAMM)</t>
        </is>
      </c>
      <c r="B97" s="7" t="inlineStr">
        <is>
          <t>Valor</t>
        </is>
      </c>
      <c r="C97" s="7" t="inlineStr">
        <is>
          <t>Estado</t>
        </is>
      </c>
      <c r="D97" s="7" t="inlineStr">
        <is>
          <t>Fuente</t>
        </is>
      </c>
    </row>
    <row r="98">
      <c r="A98" t="inlineStr">
        <is>
          <t>Gasolina: B desde (AAAAMM)</t>
        </is>
      </c>
      <c r="B98" s="2" t="n">
        <v>200101</v>
      </c>
      <c r="C98" t="inlineStr">
        <is>
          <t>confirmado</t>
        </is>
      </c>
      <c r="D98" t="inlineStr">
        <is>
          <t>https://www.dgt.es/nuestros-servicios/tu-vehiculo/tus-vehiculos/distintivo-ambiental/ (consultado 2026-10-31 17:20 UTC)</t>
        </is>
      </c>
    </row>
    <row r="99">
      <c r="A99" t="inlineStr">
        <is>
          <t>Gasolina: C desde (AAAAMM)</t>
        </is>
      </c>
      <c r="B99" s="2" t="n">
        <v>200601</v>
      </c>
      <c r="C99" t="inlineStr">
        <is>
          <t>confirmado</t>
        </is>
      </c>
      <c r="D99" t="inlineStr">
        <is>
          <t>https://www.dgt.es/nuestros-servicios/tu-vehiculo/tus-vehiculos/distintivo-ambiental/ (consultado 2026-10-31 17:20 UTC)</t>
        </is>
      </c>
    </row>
    <row r="100">
      <c r="A100" t="inlineStr">
        <is>
          <t>Diésel: B desde (AAAAMM)</t>
        </is>
      </c>
      <c r="B100" s="2" t="n">
        <v>200601</v>
      </c>
      <c r="C100" t="inlineStr">
        <is>
          <t>confirmado</t>
        </is>
      </c>
      <c r="D100" t="inlineStr">
        <is>
          <t>https://www.dgt.es/nuestros-servicios/tu-vehiculo/tus-vehiculos/distintivo-ambiental/ (consultado 2026-10-31 17:20 UTC)</t>
        </is>
      </c>
    </row>
    <row r="101">
      <c r="A101" t="inlineStr">
        <is>
          <t>Diésel: C desde (AAAAMM)</t>
        </is>
      </c>
      <c r="B101" s="2" t="n">
        <v>201509</v>
      </c>
      <c r="C101" t="inlineStr">
        <is>
          <t>confirmado</t>
        </is>
      </c>
      <c r="D101" t="inlineStr">
        <is>
          <t>https://www.dgt.es/nuestros-servicios/tu-vehiculo/tus-vehiculos/distintivo-ambiental/ (consultado 2026-10-31 17:20 UTC)</t>
        </is>
      </c>
    </row>
    <row r="102">
      <c r="A102" t="inlineStr">
        <is>
          <t>Etiqueta CERO (texto DGT)</t>
        </is>
      </c>
      <c r="B102" s="9" t="inlineStr">
        <is>
          <t>eléctricos de batería (BEV), eléctricos de autonomía extendida (REEV), eléctricos híbridos enchufables (PHEV) con una autonomía de 40 km o vehículos de pila de combustible</t>
        </is>
      </c>
      <c r="C102" t="inlineStr">
        <is>
          <t>confirmado</t>
        </is>
      </c>
      <c r="D102" t="inlineStr">
        <is>
          <t>https://www.dgt.es/nuestros-servicios/tu-vehiculo/tus-vehiculos/distintivo-ambiental/ (consultado 2026-10-31 17:20 UTC)</t>
        </is>
      </c>
    </row>
    <row r="103">
      <c r="A103" t="inlineStr">
        <is>
          <t>Etiqueta ECO (texto DGT)</t>
        </is>
      </c>
      <c r="B103" s="9" t="inlineStr">
        <is>
          <t>eléctricos enchufables con autonomía inferior a 40 km, híbridos no enchufables (HEV), vehículos propulsados por gas natural y gas (GNC y GNL) o gas licuado del petróleo (GLP)</t>
        </is>
      </c>
      <c r="C103" t="inlineStr">
        <is>
          <t>confirmado</t>
        </is>
      </c>
      <c r="D103" t="inlineStr">
        <is>
          <t>https://www.dgt.es/nuestros-servicios/tu-vehiculo/tus-vehiculos/distintivo-ambiental/ (consultado 2026-10-31 17:20 UTC)</t>
        </is>
      </c>
    </row>
    <row r="104">
      <c r="A104" t="inlineStr">
        <is>
          <t>Etiqueta C (texto DGT)</t>
        </is>
      </c>
      <c r="B104" s="9" t="inlineStr">
        <is>
          <t>turismos y furgonetas ligeras de gasolina matriculadas a partir de enero de 2006 y diésel a partir de septiembre de 2015</t>
        </is>
      </c>
      <c r="C104" t="inlineStr">
        <is>
          <t>confirmado</t>
        </is>
      </c>
      <c r="D104" t="inlineStr">
        <is>
          <t>https://www.dgt.es/nuestros-servicios/tu-vehiculo/tus-vehiculos/distintivo-ambiental/ (consultado 2026-10-31 17:20 UTC)</t>
        </is>
      </c>
    </row>
    <row r="105">
      <c r="A105" t="inlineStr">
        <is>
          <t>Etiqueta B (texto DGT)</t>
        </is>
      </c>
      <c r="B105" s="9" t="inlineStr">
        <is>
          <t>turismos y furgonetas ligeras de gasolina matriculadas desde el 1 de enero de 2001 y diésel a partir de 2006</t>
        </is>
      </c>
      <c r="C105" t="inlineStr">
        <is>
          <t>confirmado</t>
        </is>
      </c>
      <c r="D105" t="inlineStr">
        <is>
          <t>https://www.dgt.es/nuestros-servicios/tu-vehiculo/tus-vehiculos/distintivo-ambiental/ (consultado 2026-10-31 17:20 UTC)</t>
        </is>
      </c>
    </row>
    <row r="106">
      <c r="A106" t="inlineStr">
        <is>
          <t>Híbridos (HEV), GLP, GNC/GNL → ECO; eléctricos → CERO; enchufables sin autonomía conocida → ECO (conservador).</t>
        </is>
      </c>
    </row>
    <row r="108">
      <c r="A108" s="7" t="inlineStr">
        <is>
          <t>Combustible (año frontera)</t>
        </is>
      </c>
      <c r="B108" s="7" t="inlineStr">
        <is>
          <t>Año</t>
        </is>
      </c>
      <c r="C108" s="7" t="inlineStr">
        <is>
          <t>Estado</t>
        </is>
      </c>
      <c r="D108" s="7" t="inlineStr">
        <is>
          <t>Fuente</t>
        </is>
      </c>
    </row>
    <row r="109">
      <c r="A109" s="2" t="inlineStr">
        <is>
          <t>gasolina</t>
        </is>
      </c>
      <c r="B109" s="2" t="n">
        <v>2000</v>
      </c>
      <c r="C109" t="inlineStr">
        <is>
          <t>criterio (zbe.yaml)</t>
        </is>
      </c>
      <c r="D109" t="inlineStr">
        <is>
          <t>Sin mes de matriculación → etiqueta dudosa = la peor del par de años</t>
        </is>
      </c>
    </row>
    <row r="110">
      <c r="A110" s="2" t="inlineStr">
        <is>
          <t>gasolina</t>
        </is>
      </c>
      <c r="B110" s="2" t="n">
        <v>2001</v>
      </c>
      <c r="C110" t="inlineStr">
        <is>
          <t>criterio (zbe.yaml)</t>
        </is>
      </c>
      <c r="D110" t="inlineStr">
        <is>
          <t>Sin mes de matriculación → etiqueta dudosa = la peor del par de años</t>
        </is>
      </c>
    </row>
    <row r="111">
      <c r="A111" s="2" t="inlineStr">
        <is>
          <t>diesel</t>
        </is>
      </c>
      <c r="B111" s="2" t="n">
        <v>2005</v>
      </c>
      <c r="C111" t="inlineStr">
        <is>
          <t>criterio (zbe.yaml)</t>
        </is>
      </c>
      <c r="D111" t="inlineStr">
        <is>
          <t>Sin mes de matriculación → etiqueta dudosa = la peor del par de años</t>
        </is>
      </c>
    </row>
    <row r="112">
      <c r="A112" s="2" t="inlineStr">
        <is>
          <t>diesel</t>
        </is>
      </c>
      <c r="B112" s="2" t="n">
        <v>2006</v>
      </c>
      <c r="C112" t="inlineStr">
        <is>
          <t>criterio (zbe.yaml)</t>
        </is>
      </c>
      <c r="D112" t="inlineStr">
        <is>
          <t>Sin mes de matriculación → etiqueta dudosa = la peor del par de años</t>
        </is>
      </c>
    </row>
    <row r="113">
      <c r="A113" s="2" t="inlineStr">
        <is>
          <t>diesel</t>
        </is>
      </c>
      <c r="B113" s="2" t="n">
        <v>2015</v>
      </c>
      <c r="C113" t="inlineStr">
        <is>
          <t>criterio (zbe.yaml)</t>
        </is>
      </c>
      <c r="D113" t="inlineStr">
        <is>
          <t>Sin mes de matriculación → etiqueta dudosa = la peor del par de años</t>
        </is>
      </c>
    </row>
    <row r="115">
      <c r="A115" s="7" t="inlineStr">
        <is>
          <t>Código fichero DGT</t>
        </is>
      </c>
      <c r="B115" s="7" t="inlineStr">
        <is>
          <t>Etiqueta</t>
        </is>
      </c>
      <c r="C115" s="7" t="inlineStr">
        <is>
          <t>Estado</t>
        </is>
      </c>
      <c r="D115" s="7" t="inlineStr">
        <is>
          <t>Fuente</t>
        </is>
      </c>
    </row>
    <row r="116">
      <c r="A116" s="2" t="inlineStr">
        <is>
          <t>16TB</t>
        </is>
      </c>
      <c r="B116" s="2" t="inlineStr">
        <is>
          <t>B</t>
        </is>
      </c>
      <c r="C116" t="inlineStr">
        <is>
          <t>verificado (843 matrículas cruzadas)</t>
        </is>
      </c>
      <c r="D116" t="inlineStr">
        <is>
          <t>https://www.dgt.es/microdatos/salida/distintivoAmbiental/export_dist_ambiental.zip</t>
        </is>
      </c>
    </row>
    <row r="117">
      <c r="A117" s="2" t="inlineStr">
        <is>
          <t>16TC</t>
        </is>
      </c>
      <c r="B117" s="2" t="inlineStr">
        <is>
          <t>C</t>
        </is>
      </c>
      <c r="C117" t="inlineStr">
        <is>
          <t>verificado (843 matrículas cruzadas)</t>
        </is>
      </c>
      <c r="D117" t="inlineStr">
        <is>
          <t>https://www.dgt.es/microdatos/salida/distintivoAmbiental/export_dist_ambiental.zip</t>
        </is>
      </c>
    </row>
    <row r="118">
      <c r="A118" s="2" t="inlineStr">
        <is>
          <t>16TE</t>
        </is>
      </c>
      <c r="B118" s="2" t="inlineStr">
        <is>
          <t>ECO</t>
        </is>
      </c>
      <c r="C118" t="inlineStr">
        <is>
          <t>verificado (843 matrículas cruzadas)</t>
        </is>
      </c>
      <c r="D118" t="inlineStr">
        <is>
          <t>https://www.dgt.es/microdatos/salida/distintivoAmbiental/export_dist_ambiental.zip</t>
        </is>
      </c>
    </row>
    <row r="119">
      <c r="A119" s="2" t="inlineStr">
        <is>
          <t>16T0</t>
        </is>
      </c>
      <c r="B119" s="2" t="inlineStr">
        <is>
          <t>CERO</t>
        </is>
      </c>
      <c r="C119" t="inlineStr">
        <is>
          <t>verificado (843 matrículas cruzadas)</t>
        </is>
      </c>
      <c r="D119" t="inlineStr">
        <is>
          <t>https://www.dgt.es/microdatos/salida/distintivoAmbiental/export_dist_ambiental.zip</t>
        </is>
      </c>
    </row>
    <row r="120">
      <c r="A120" s="2" t="inlineStr">
        <is>
          <t>16MB</t>
        </is>
      </c>
      <c r="B120" s="2" t="inlineStr">
        <is>
          <t>B</t>
        </is>
      </c>
      <c r="C120" t="inlineStr">
        <is>
          <t>verificado (843 matrículas cruzadas)</t>
        </is>
      </c>
      <c r="D120" t="inlineStr">
        <is>
          <t>https://www.dgt.es/microdatos/salida/distintivoAmbiental/export_dist_ambiental.zip</t>
        </is>
      </c>
    </row>
    <row r="121">
      <c r="A121" s="2" t="inlineStr">
        <is>
          <t>16MC</t>
        </is>
      </c>
      <c r="B121" s="2" t="inlineStr">
        <is>
          <t>C</t>
        </is>
      </c>
      <c r="C121" t="inlineStr">
        <is>
          <t>verificado (843 matrículas cruzadas)</t>
        </is>
      </c>
      <c r="D121" t="inlineStr">
        <is>
          <t>https://www.dgt.es/microdatos/salida/distintivoAmbiental/export_dist_ambiental.zip</t>
        </is>
      </c>
    </row>
    <row r="122">
      <c r="A122" s="2" t="inlineStr">
        <is>
          <t>16ME</t>
        </is>
      </c>
      <c r="B122" s="2" t="inlineStr">
        <is>
          <t>ECO</t>
        </is>
      </c>
      <c r="C122" t="inlineStr">
        <is>
          <t>verificado (843 matrículas cruzadas)</t>
        </is>
      </c>
      <c r="D122" t="inlineStr">
        <is>
          <t>https://www.dgt.es/microdatos/salida/distintivoAmbiental/export_dist_ambiental.zip</t>
        </is>
      </c>
    </row>
    <row r="123">
      <c r="A123" s="2" t="inlineStr">
        <is>
          <t>16M0</t>
        </is>
      </c>
      <c r="B123" s="2" t="inlineStr">
        <is>
          <t>CERO</t>
        </is>
      </c>
      <c r="C123" t="inlineStr">
        <is>
          <t>verificado (843 matrículas cruzadas)</t>
        </is>
      </c>
      <c r="D123" t="inlineStr">
        <is>
          <t>https://www.dgt.es/microdatos/salida/distintivoAmbiental/export_dist_ambiental.zip</t>
        </is>
      </c>
    </row>
    <row r="124">
      <c r="A124" s="2" t="inlineStr">
        <is>
          <t>SIN DISTINTIVO</t>
        </is>
      </c>
      <c r="B124" s="2" t="inlineStr">
        <is>
          <t>A</t>
        </is>
      </c>
      <c r="C124" t="inlineStr">
        <is>
          <t>verificado (843 matrículas cruzadas)</t>
        </is>
      </c>
      <c r="D124" t="inlineStr">
        <is>
          <t>https://www.dgt.es/microdatos/salida/distintivoAmbiental/export_dist_ambiental.zip</t>
        </is>
      </c>
    </row>
    <row r="125">
      <c r="A125" t="inlineStr">
        <is>
          <t>Validación: No hay diccionario publicado para el fichero diario (el de parque anual usa "DISTINTIVO B/C, ECO, CERO, SIN DISTINTIVO"). Se ha verificado la equivalencia cruzando 843 matrículas con la etiqueta publicada por OcasionPlus (tools/dgt_check.py): 16TC↔C 656, 16TE↔ECO 95, 16TB↔B 67, 16T0/16M0↔CERO 22; 2 discrepancias (OcasionPlus decía C y la DGT B; ECO y la DGT C), en las que se toma el dato de la DGT. Todos los ECO son híbridos, GLP o GNC y todos los CERO, eléctricos o enchufables.</t>
        </is>
      </c>
    </row>
    <row r="127">
      <c r="A127" s="7" t="inlineStr">
        <is>
          <t>ZBE València: desde</t>
        </is>
      </c>
      <c r="B127" s="7" t="inlineStr">
        <is>
          <t>Hasta</t>
        </is>
      </c>
      <c r="C127" s="7" t="inlineStr">
        <is>
          <t>Restringidos</t>
        </is>
      </c>
      <c r="D127" s="7" t="inlineStr">
        <is>
          <t>Estado / fuente</t>
        </is>
      </c>
    </row>
    <row r="128">
      <c r="A128" s="2" t="inlineStr">
        <is>
          <t>2025-12-01</t>
        </is>
      </c>
      <c r="B128" s="2" t="inlineStr">
        <is>
          <t>2026-12-31</t>
        </is>
      </c>
      <c r="C128" s="2" t="inlineStr">
        <is>
          <t>A matriculados fuera de la provincia de València</t>
        </is>
      </c>
      <c r="D128" t="inlineStr">
        <is>
          <t>calendario PREVISTO, no definitivo (ordenanza pendiente de aprobación definitiva) — https://www.valencia.es/cas/actualidad/-/content/val%C3%A8ncia-aprueba-la-ordenanza-de-zona-de-bajas-emisiones (nota municipal 21-10-2025: calendario) (consultado 2026-10-31)</t>
        </is>
      </c>
    </row>
    <row r="129">
      <c r="A129" s="2" t="inlineStr">
        <is>
          <t>2027-01-01</t>
        </is>
      </c>
      <c r="B129" s="2" t="inlineStr">
        <is>
          <t>2027-12-31</t>
        </is>
      </c>
      <c r="C129" s="2" t="inlineStr">
        <is>
          <t>A matriculados fuera del municipio de València (incluida la provincia)</t>
        </is>
      </c>
      <c r="D129" t="inlineStr">
        <is>
          <t>calendario PREVISTO, no definitivo (ordenanza pendiente de aprobación definitiva) — https://www.valencia.es/cas/actualidad/-/content/val%C3%A8ncia-aprueba-la-ordenanza-de-zona-de-bajas-emisiones (nota municipal 21-10-2025: calendario) (consultado 2026-10-31)</t>
        </is>
      </c>
    </row>
    <row r="130">
      <c r="A130" s="2" t="inlineStr">
        <is>
          <t>2028-01-01</t>
        </is>
      </c>
      <c r="B130" s="2" t="inlineStr">
        <is>
          <t>—</t>
        </is>
      </c>
      <c r="C130" s="2" t="inlineStr">
        <is>
          <t>todos los A, incluidos los de vecinos de València</t>
        </is>
      </c>
      <c r="D130" t="inlineStr">
        <is>
          <t>calendario PREVISTO, no definitivo (ordenanza pendiente de aprobación definitiva) — https://www.valencia.es/cas/actualidad/-/content/val%C3%A8ncia-aprueba-la-ordenanza-de-zona-de-bajas-emisiones (nota municipal 21-10-2025: calendario) (consultado 2026-10-31)</t>
        </is>
      </c>
    </row>
    <row r="131">
      <c r="A131" t="inlineStr">
        <is>
          <t>Estado de la ordenanza: Aprobación INICIAL por el Pleno el 25-02-2025; "pendiente el acuerdo plenario de aprobación definitiva" (página municipal de la ZBE, consultada el 31-10-2026). La ZBE se puso en marcha el 01-12-2025 "de acuerdo con el calendario de implantación previsto en la Ordenanza aprobada provisionalmente". Las preguntas frecuentes municipales de enero de 2026 dicen que, al estar pendiente la aprobación definitiva, "no es posible concretar el inicio de las restricciones previstas".</t>
        </is>
      </c>
    </row>
    <row r="132">
      <c r="A132" t="inlineStr">
        <is>
          <t>Etiqueta B: Sin restricciones en la ordenanza (ni prevista con fecha). Que vaya a ser la siguiente es una expectativa razonable (Ley 7/2021 y otras ZBE), pero NO consta en ninguna fuente oficial de València: no se usa como dato.</t>
        </is>
      </c>
    </row>
    <row r="134">
      <c r="A134" s="7" t="inlineStr">
        <is>
          <t>Etiqueta (criterio 'Etiqueta y ZBE')</t>
        </is>
      </c>
      <c r="B134" s="7" t="inlineStr">
        <is>
          <t>Puntos</t>
        </is>
      </c>
      <c r="C134" s="7" t="inlineStr">
        <is>
          <t>Estado</t>
        </is>
      </c>
      <c r="D134" s="7" t="inlineStr">
        <is>
          <t>Fuente</t>
        </is>
      </c>
    </row>
    <row r="135">
      <c r="A135" s="2" t="inlineStr">
        <is>
          <t>B</t>
        </is>
      </c>
      <c r="B135" s="2" t="n">
        <v>40</v>
      </c>
      <c r="C135" t="inlineStr">
        <is>
          <t>criterio (config.yaml)</t>
        </is>
      </c>
      <c r="D135" t="inlineStr">
        <is>
          <t>config.yaml → scoring.etiqueta.puntos (B base, C +, ECO/CERO ++)</t>
        </is>
      </c>
    </row>
    <row r="136">
      <c r="A136" s="2" t="inlineStr">
        <is>
          <t>C</t>
        </is>
      </c>
      <c r="B136" s="2" t="n">
        <v>70</v>
      </c>
      <c r="C136" t="inlineStr">
        <is>
          <t>criterio (config.yaml)</t>
        </is>
      </c>
      <c r="D136" t="inlineStr">
        <is>
          <t>config.yaml → scoring.etiqueta.puntos (B base, C +, ECO/CERO ++)</t>
        </is>
      </c>
    </row>
    <row r="137">
      <c r="A137" s="2" t="inlineStr">
        <is>
          <t>ECO</t>
        </is>
      </c>
      <c r="B137" s="2" t="n">
        <v>100</v>
      </c>
      <c r="C137" t="inlineStr">
        <is>
          <t>criterio (config.yaml)</t>
        </is>
      </c>
      <c r="D137" t="inlineStr">
        <is>
          <t>config.yaml → scoring.etiqueta.puntos (B base, C +, ECO/CERO ++)</t>
        </is>
      </c>
    </row>
    <row r="138">
      <c r="A138" s="2" t="inlineStr">
        <is>
          <t>CERO</t>
        </is>
      </c>
      <c r="B138" s="2" t="n">
        <v>100</v>
      </c>
      <c r="C138" t="inlineStr">
        <is>
          <t>criterio (config.yaml)</t>
        </is>
      </c>
      <c r="D138" t="inlineStr">
        <is>
          <t>config.yaml → scoring.etiqueta.puntos (B base, C +, ECO/CERO ++)</t>
        </is>
      </c>
    </row>
    <row r="139">
      <c r="A139" s="2" t="inlineStr">
        <is>
          <t>A</t>
        </is>
      </c>
      <c r="B139" s="2" t="n">
        <v>0</v>
      </c>
      <c r="C139" t="inlineStr">
        <is>
          <t>criterio (config.yaml)</t>
        </is>
      </c>
      <c r="D139" t="inlineStr">
        <is>
          <t>config.yaml → scoring.etiqueta.puntos (B base, C +, ECO/CERO ++)</t>
        </is>
      </c>
    </row>
    <row r="140">
      <c r="A140" t="inlineStr">
        <is>
          <t>Penalización si la etiqueta es dudosa (puntos)</t>
        </is>
      </c>
      <c r="B140" s="2" t="n">
        <v>15</v>
      </c>
      <c r="C140" t="inlineStr">
        <is>
          <t>criterio (config.yaml)</t>
        </is>
      </c>
      <c r="D140" t="inlineStr">
        <is>
          <t>config.yaml</t>
        </is>
      </c>
    </row>
    <row r="141">
      <c r="A141" t="inlineStr">
        <is>
          <t>Penalización si la etiqueta sale solo de la regla (puntos)</t>
        </is>
      </c>
      <c r="B141" s="2" t="n">
        <v>5</v>
      </c>
      <c r="C141" t="inlineStr">
        <is>
          <t>criterio (config.yaml)</t>
        </is>
      </c>
      <c r="D141" t="inlineStr">
        <is>
          <t>config.yaml</t>
        </is>
      </c>
    </row>
    <row r="143">
      <c r="A143" s="7" t="inlineStr">
        <is>
          <t>Carrocería admitida con penalización</t>
        </is>
      </c>
      <c r="B143" s="7" t="inlineStr">
        <is>
          <t>Puntos restados a la PUNTUACIÓN</t>
        </is>
      </c>
      <c r="C143" s="7" t="inlineStr">
        <is>
          <t>Estado</t>
        </is>
      </c>
      <c r="D143" s="7" t="inlineStr">
        <is>
          <t>Fuente</t>
        </is>
      </c>
    </row>
    <row r="144">
      <c r="A144" s="2" t="inlineStr">
        <is>
          <t>familiar</t>
        </is>
      </c>
      <c r="B144" s="2" t="n">
        <v>3</v>
      </c>
      <c r="C144" t="inlineStr">
        <is>
          <t>criterio (config.yaml)</t>
        </is>
      </c>
      <c r="D144" t="inlineStr">
        <is>
          <t>config.yaml → scoring.penalizaciones.carroceria</t>
        </is>
      </c>
    </row>
    <row r="145">
      <c r="A145" s="2" t="inlineStr">
        <is>
          <t>monovolumen_pequeno</t>
        </is>
      </c>
      <c r="B145" s="2" t="n">
        <v>6</v>
      </c>
      <c r="C145" t="inlineStr">
        <is>
          <t>criterio (config.yaml)</t>
        </is>
      </c>
      <c r="D145" t="inlineStr">
        <is>
          <t>config.yaml → scoring.penalizaciones.carroceria</t>
        </is>
      </c>
    </row>
    <row r="147">
      <c r="A147" s="8" t="inlineStr">
        <is>
          <t>Estética (estetica.yaml, editable): criterio = EST_W_MOD × (puntos modelo − 1)/4 × 100 + EST_W_ATR × atributos</t>
        </is>
      </c>
    </row>
    <row r="148">
      <c r="A148" t="inlineStr">
        <is>
          <t>Estética: peso del modelo (2/3)</t>
        </is>
      </c>
      <c r="B148" s="2" t="n">
        <v>0.6667</v>
      </c>
      <c r="C148" t="inlineStr">
        <is>
          <t>preferencia (estetica.yaml)</t>
        </is>
      </c>
      <c r="D148" t="inlineStr">
        <is>
          <t>estetica.yaml</t>
        </is>
      </c>
    </row>
    <row r="149">
      <c r="A149" t="inlineStr">
        <is>
          <t>Estética: peso de los atributos del anuncio (1/3)</t>
        </is>
      </c>
      <c r="B149" s="2" t="n">
        <v>0.3333</v>
      </c>
      <c r="C149" t="inlineStr">
        <is>
          <t>preferencia (estetica.yaml)</t>
        </is>
      </c>
      <c r="D149" t="inlineStr">
        <is>
          <t>estetica.yaml</t>
        </is>
      </c>
    </row>
    <row r="150">
      <c r="A150" t="inlineStr">
        <is>
          <t>Atributos: puntos por base (anuncio sin atributos)</t>
        </is>
      </c>
      <c r="B150" s="2" t="n">
        <v>40</v>
      </c>
      <c r="C150" t="inlineStr">
        <is>
          <t>preferencia (estetica.yaml)</t>
        </is>
      </c>
      <c r="D150" t="inlineStr">
        <is>
          <t>estetica.yaml → puntos_atributos</t>
        </is>
      </c>
    </row>
    <row r="151">
      <c r="A151" t="inlineStr">
        <is>
          <t>Atributos: puntos por acabado alto o deportivo</t>
        </is>
      </c>
      <c r="B151" s="2" t="n">
        <v>25</v>
      </c>
      <c r="C151" t="inlineStr">
        <is>
          <t>preferencia (estetica.yaml)</t>
        </is>
      </c>
      <c r="D151" t="inlineStr">
        <is>
          <t>estetica.yaml → puntos_atributos</t>
        </is>
      </c>
    </row>
    <row r="152">
      <c r="A152" t="inlineStr">
        <is>
          <t>Atributos: puntos por llantas de aleación</t>
        </is>
      </c>
      <c r="B152" s="2" t="n">
        <v>10</v>
      </c>
      <c r="C152" t="inlineStr">
        <is>
          <t>preferencia (estetica.yaml)</t>
        </is>
      </c>
      <c r="D152" t="inlineStr">
        <is>
          <t>estetica.yaml → puntos_atributos</t>
        </is>
      </c>
    </row>
    <row r="153">
      <c r="A153" t="inlineStr">
        <is>
          <t>Atributos: puntos por llantas de 16" o más</t>
        </is>
      </c>
      <c r="B153" s="2" t="n">
        <v>20</v>
      </c>
      <c r="C153" t="inlineStr">
        <is>
          <t>preferencia (estetica.yaml)</t>
        </is>
      </c>
      <c r="D153" t="inlineStr">
        <is>
          <t>estetica.yaml → puntos_atributos</t>
        </is>
      </c>
    </row>
    <row r="154">
      <c r="A154" t="inlineStr">
        <is>
          <t>Atributos: puntos por faros xenón o LED</t>
        </is>
      </c>
      <c r="B154" s="2" t="n">
        <v>15</v>
      </c>
      <c r="C154" t="inlineStr">
        <is>
          <t>preferencia (estetica.yaml)</t>
        </is>
      </c>
      <c r="D154" t="inlineStr">
        <is>
          <t>estetica.yaml → puntos_atributos</t>
        </is>
      </c>
    </row>
    <row r="155">
      <c r="A155" t="inlineStr">
        <is>
          <t>Atributos: puntos por cristales tintados</t>
        </is>
      </c>
      <c r="B155" s="2" t="n">
        <v>10</v>
      </c>
      <c r="C155" t="inlineStr">
        <is>
          <t>preferencia (estetica.yaml)</t>
        </is>
      </c>
      <c r="D155" t="inlineStr">
        <is>
          <t>estetica.yaml → puntos_atributos</t>
        </is>
      </c>
    </row>
    <row r="156">
      <c r="A156" t="inlineStr">
        <is>
          <t>Atributos: puntos por RESTA: tapacubiertos o llantas de chapa</t>
        </is>
      </c>
      <c r="B156" s="2" t="n">
        <v>25</v>
      </c>
      <c r="C156" t="inlineStr">
        <is>
          <t>preferencia (estetica.yaml)</t>
        </is>
      </c>
      <c r="D156" t="inlineStr">
        <is>
          <t>estetica.yaml → puntos_atributos</t>
        </is>
      </c>
    </row>
    <row r="157">
      <c r="A157" s="7" t="inlineStr">
        <is>
          <t>Modelo (estetica.yaml)</t>
        </is>
      </c>
      <c r="B157" s="7" t="inlineStr">
        <is>
          <t>Puntos 1-5</t>
        </is>
      </c>
      <c r="C157" s="7" t="inlineStr">
        <is>
          <t>Generación / años</t>
        </is>
      </c>
      <c r="D157" s="7" t="inlineStr">
        <is>
          <t>Motores · combustible</t>
        </is>
      </c>
    </row>
    <row r="158">
      <c r="A158" s="2" t="inlineStr">
        <is>
          <t>Audi A3</t>
        </is>
      </c>
      <c r="B158" s="2" t="n">
        <v>5</v>
      </c>
      <c r="C158" t="inlineStr">
        <is>
          <t>8P 2003-2012</t>
        </is>
      </c>
      <c r="D158" t="inlineStr">
        <is>
          <t>1.6 · gasolina</t>
        </is>
      </c>
    </row>
    <row r="159">
      <c r="A159" s="2" t="inlineStr">
        <is>
          <t>Audi A4</t>
        </is>
      </c>
      <c r="B159" s="2" t="n">
        <v>5</v>
      </c>
      <c r="C159" t="inlineStr">
        <is>
          <t>B7 2004-2008</t>
        </is>
      </c>
      <c r="D159" t="inlineStr">
        <is>
          <t>2.0 · gasolina</t>
        </is>
      </c>
    </row>
    <row r="160">
      <c r="A160" s="2" t="inlineStr">
        <is>
          <t>Seat Exeo</t>
        </is>
      </c>
      <c r="B160" s="2" t="n">
        <v>5</v>
      </c>
      <c r="C160" t="inlineStr">
        <is>
          <t>3R 2008-2013</t>
        </is>
      </c>
      <c r="D160" t="inlineStr">
        <is>
          <t>todos · cualquiera</t>
        </is>
      </c>
    </row>
    <row r="161">
      <c r="A161" s="2" t="inlineStr">
        <is>
          <t>Seat León</t>
        </is>
      </c>
      <c r="B161" s="2" t="n">
        <v>5</v>
      </c>
      <c r="C161" t="inlineStr">
        <is>
          <t>II (1P) 2005-2012</t>
        </is>
      </c>
      <c r="D161" t="inlineStr">
        <is>
          <t>1.6 · gasolina</t>
        </is>
      </c>
    </row>
    <row r="162">
      <c r="A162" s="2" t="inlineStr">
        <is>
          <t>Honda Civic</t>
        </is>
      </c>
      <c r="B162" s="2" t="n">
        <v>5</v>
      </c>
      <c r="C162" t="inlineStr">
        <is>
          <t>8.ª gen 2006-2011</t>
        </is>
      </c>
      <c r="D162" t="inlineStr">
        <is>
          <t>1.8 · gasolina</t>
        </is>
      </c>
    </row>
    <row r="163">
      <c r="A163" s="2" t="inlineStr">
        <is>
          <t>Mazda 3</t>
        </is>
      </c>
      <c r="B163" s="2" t="n">
        <v>5</v>
      </c>
      <c r="C163" t="inlineStr">
        <is>
          <t>BK 2003-2009</t>
        </is>
      </c>
      <c r="D163" t="inlineStr">
        <is>
          <t>1.6 · gasolina</t>
        </is>
      </c>
    </row>
    <row r="164">
      <c r="A164" s="2" t="inlineStr">
        <is>
          <t>Mazda 6</t>
        </is>
      </c>
      <c r="B164" s="2" t="n">
        <v>5</v>
      </c>
      <c r="C164" t="inlineStr">
        <is>
          <t>GG 2002-2008</t>
        </is>
      </c>
      <c r="D164" t="inlineStr">
        <is>
          <t>1.8/2.0 · gasolina</t>
        </is>
      </c>
    </row>
    <row r="165">
      <c r="A165" s="2" t="inlineStr">
        <is>
          <t>Honda Accord</t>
        </is>
      </c>
      <c r="B165" s="2" t="n">
        <v>4</v>
      </c>
      <c r="C165" t="inlineStr">
        <is>
          <t>7.ª gen 2003-2008</t>
        </is>
      </c>
      <c r="D165" t="inlineStr">
        <is>
          <t>2.0 · gasolina</t>
        </is>
      </c>
    </row>
    <row r="166">
      <c r="A166" s="2" t="inlineStr">
        <is>
          <t>Toyota Avensis</t>
        </is>
      </c>
      <c r="B166" s="2" t="n">
        <v>4</v>
      </c>
      <c r="C166" t="inlineStr">
        <is>
          <t>T25 2003-2008</t>
        </is>
      </c>
      <c r="D166" t="inlineStr">
        <is>
          <t>1.8 · gasolina</t>
        </is>
      </c>
    </row>
    <row r="167">
      <c r="A167" s="2" t="inlineStr">
        <is>
          <t>Skoda Octavia</t>
        </is>
      </c>
      <c r="B167" s="2" t="n">
        <v>4</v>
      </c>
      <c r="C167" t="inlineStr">
        <is>
          <t>II (1Z) 2004-2013</t>
        </is>
      </c>
      <c r="D167" t="inlineStr">
        <is>
          <t>1.6 · gasolina</t>
        </is>
      </c>
    </row>
    <row r="168">
      <c r="A168" s="2" t="inlineStr">
        <is>
          <t>Volkswagen Jetta</t>
        </is>
      </c>
      <c r="B168" s="2" t="n">
        <v>4</v>
      </c>
      <c r="C168" t="inlineStr">
        <is>
          <t>V 2005-2010</t>
        </is>
      </c>
      <c r="D168" t="inlineStr">
        <is>
          <t>1.6 · gasolina</t>
        </is>
      </c>
    </row>
    <row r="169">
      <c r="A169" s="2" t="inlineStr">
        <is>
          <t>Volkswagen Golf</t>
        </is>
      </c>
      <c r="B169" s="2" t="n">
        <v>4</v>
      </c>
      <c r="C169" t="inlineStr">
        <is>
          <t>V 2003-2008</t>
        </is>
      </c>
      <c r="D169" t="inlineStr">
        <is>
          <t>1.6 · gasolina</t>
        </is>
      </c>
    </row>
    <row r="170">
      <c r="A170" s="2" t="inlineStr">
        <is>
          <t>Alfa Romeo 147</t>
        </is>
      </c>
      <c r="B170" s="2" t="n">
        <v>4</v>
      </c>
      <c r="C170" t="inlineStr">
        <is>
          <t>937 2000-2010</t>
        </is>
      </c>
      <c r="D170" t="inlineStr">
        <is>
          <t>todos · cualquiera</t>
        </is>
      </c>
    </row>
    <row r="171">
      <c r="A171" s="2" t="inlineStr">
        <is>
          <t>Alfa Romeo 159</t>
        </is>
      </c>
      <c r="B171" s="2" t="n">
        <v>4</v>
      </c>
      <c r="C171" t="inlineStr">
        <is>
          <t>939 2005-2011</t>
        </is>
      </c>
      <c r="D171" t="inlineStr">
        <is>
          <t>todos · cualquiera</t>
        </is>
      </c>
    </row>
    <row r="172">
      <c r="A172" t="inlineStr">
        <is>
          <t>Resto de modelos por segmento: utilitario 2, compacto 3, berlina 3, berlina_d 3, familiar 3, monovolumen_pequeno 2, otros 3</t>
        </is>
      </c>
    </row>
    <row r="174">
      <c r="A174" s="7" t="inlineStr">
        <is>
          <t>Color normalizado</t>
        </is>
      </c>
      <c r="B174" s="7" t="inlineStr">
        <is>
          <t>Puntos (criterio Color)</t>
        </is>
      </c>
      <c r="C174" s="7" t="inlineStr">
        <is>
          <t>Grupo</t>
        </is>
      </c>
      <c r="D174" s="7" t="inlineStr">
        <is>
          <t>Fuente</t>
        </is>
      </c>
    </row>
    <row r="175">
      <c r="A175" s="2" t="inlineStr">
        <is>
          <t>blanco</t>
        </is>
      </c>
      <c r="B175" s="2" t="n">
        <v>100</v>
      </c>
      <c r="C175" t="inlineStr">
        <is>
          <t>maxima</t>
        </is>
      </c>
      <c r="D175" t="inlineStr">
        <is>
          <t>estetica.yaml → colores (preferencia); sin color o no reconocido = NEUTRO</t>
        </is>
      </c>
    </row>
    <row r="176">
      <c r="A176" s="2" t="inlineStr">
        <is>
          <t>plata</t>
        </is>
      </c>
      <c r="B176" s="2" t="n">
        <v>100</v>
      </c>
      <c r="C176" t="inlineStr">
        <is>
          <t>maxima</t>
        </is>
      </c>
      <c r="D176" t="inlineStr">
        <is>
          <t>estetica.yaml → colores (preferencia); sin color o no reconocido = NEUTRO</t>
        </is>
      </c>
    </row>
    <row r="177">
      <c r="A177" s="2" t="inlineStr">
        <is>
          <t>gris_medio</t>
        </is>
      </c>
      <c r="B177" s="2" t="n">
        <v>100</v>
      </c>
      <c r="C177" t="inlineStr">
        <is>
          <t>maxima</t>
        </is>
      </c>
      <c r="D177" t="inlineStr">
        <is>
          <t>estetica.yaml → colores (preferencia); sin color o no reconocido = NEUTRO</t>
        </is>
      </c>
    </row>
    <row r="178">
      <c r="A178" s="2" t="inlineStr">
        <is>
          <t>azul</t>
        </is>
      </c>
      <c r="B178" s="2" t="n">
        <v>65</v>
      </c>
      <c r="C178" t="inlineStr">
        <is>
          <t>media</t>
        </is>
      </c>
      <c r="D178" t="inlineStr">
        <is>
          <t>estetica.yaml → colores (preferencia); sin color o no reconocido = NEUTRO</t>
        </is>
      </c>
    </row>
    <row r="179">
      <c r="A179" s="2" t="inlineStr">
        <is>
          <t>gris_oscuro</t>
        </is>
      </c>
      <c r="B179" s="2" t="n">
        <v>65</v>
      </c>
      <c r="C179" t="inlineStr">
        <is>
          <t>media</t>
        </is>
      </c>
      <c r="D179" t="inlineStr">
        <is>
          <t>estetica.yaml → colores (preferencia); sin color o no reconocido = NEUTRO</t>
        </is>
      </c>
    </row>
    <row r="180">
      <c r="A180" s="2" t="inlineStr">
        <is>
          <t>azul_marino</t>
        </is>
      </c>
      <c r="B180" s="2" t="n">
        <v>65</v>
      </c>
      <c r="C180" t="inlineStr">
        <is>
          <t>media</t>
        </is>
      </c>
      <c r="D180" t="inlineStr">
        <is>
          <t>estetica.yaml → colores (preferencia); sin color o no reconocido = NEUTRO</t>
        </is>
      </c>
    </row>
    <row r="181">
      <c r="A181" s="2" t="inlineStr">
        <is>
          <t>dorado</t>
        </is>
      </c>
      <c r="B181" s="2" t="n">
        <v>15</v>
      </c>
      <c r="C181" t="inlineStr">
        <is>
          <t>resta</t>
        </is>
      </c>
      <c r="D181" t="inlineStr">
        <is>
          <t>estetica.yaml → colores (preferencia); sin color o no reconocido = NEUTRO</t>
        </is>
      </c>
    </row>
    <row r="182">
      <c r="A182" s="2" t="inlineStr">
        <is>
          <t>beige</t>
        </is>
      </c>
      <c r="B182" s="2" t="n">
        <v>15</v>
      </c>
      <c r="C182" t="inlineStr">
        <is>
          <t>resta</t>
        </is>
      </c>
      <c r="D182" t="inlineStr">
        <is>
          <t>estetica.yaml → colores (preferencia); sin color o no reconocido = NEUTRO</t>
        </is>
      </c>
    </row>
    <row r="183">
      <c r="A183" s="2" t="inlineStr">
        <is>
          <t>champan</t>
        </is>
      </c>
      <c r="B183" s="2" t="n">
        <v>15</v>
      </c>
      <c r="C183" t="inlineStr">
        <is>
          <t>resta</t>
        </is>
      </c>
      <c r="D183" t="inlineStr">
        <is>
          <t>estetica.yaml → colores (preferencia); sin color o no reconocido = NEUTRO</t>
        </is>
      </c>
    </row>
    <row r="184">
      <c r="A184" s="2" t="inlineStr">
        <is>
          <t>verde_claro</t>
        </is>
      </c>
      <c r="B184" s="2" t="n">
        <v>15</v>
      </c>
      <c r="C184" t="inlineStr">
        <is>
          <t>resta</t>
        </is>
      </c>
      <c r="D184" t="inlineStr">
        <is>
          <t>estetica.yaml → colores (preferencia); sin color o no reconocido = NEUTRO</t>
        </is>
      </c>
    </row>
    <row r="185">
      <c r="A185" s="2" t="inlineStr">
        <is>
          <t>chillon</t>
        </is>
      </c>
      <c r="B185" s="2" t="n">
        <v>15</v>
      </c>
      <c r="C185" t="inlineStr">
        <is>
          <t>resta</t>
        </is>
      </c>
      <c r="D185" t="inlineStr">
        <is>
          <t>estetica.yaml → colores (preferencia); sin color o no reconocido = NEUTRO</t>
        </is>
      </c>
    </row>
    <row r="186">
      <c r="A186" s="2" t="inlineStr">
        <is>
          <t>rojo</t>
        </is>
      </c>
      <c r="B186" s="2" t="n">
        <v>50</v>
      </c>
      <c r="C186" t="inlineStr">
        <is>
          <t>neutro</t>
        </is>
      </c>
      <c r="D186" t="inlineStr">
        <is>
          <t>estetica.yaml → colores (preferencia); sin color o no reconocido = NEUTRO</t>
        </is>
      </c>
    </row>
    <row r="187">
      <c r="A187" s="2" t="inlineStr">
        <is>
          <t>verde</t>
        </is>
      </c>
      <c r="B187" s="2" t="n">
        <v>50</v>
      </c>
      <c r="C187" t="inlineStr">
        <is>
          <t>neutro</t>
        </is>
      </c>
      <c r="D187" t="inlineStr">
        <is>
          <t>estetica.yaml → colores (preferencia); sin color o no reconocido = NEUTRO</t>
        </is>
      </c>
    </row>
    <row r="188">
      <c r="A188" s="2" t="inlineStr">
        <is>
          <t>granate</t>
        </is>
      </c>
      <c r="B188" s="2" t="n">
        <v>50</v>
      </c>
      <c r="C188" t="inlineStr">
        <is>
          <t>neutro</t>
        </is>
      </c>
      <c r="D188" t="inlineStr">
        <is>
          <t>estetica.yaml → colores (preferencia); sin color o no reconocido = NEUTRO</t>
        </is>
      </c>
    </row>
    <row r="189">
      <c r="A189" s="2" t="inlineStr">
        <is>
          <t>negro</t>
        </is>
      </c>
      <c r="B189" s="2" t="n">
        <v>50</v>
      </c>
      <c r="C189" t="inlineStr">
        <is>
          <t>excluido (descartado por filtro)</t>
        </is>
      </c>
      <c r="D189" t="inlineStr">
        <is>
          <t>estetica.yaml → colores (preferencia); sin color o no reconocido = NEUTRO</t>
        </is>
      </c>
    </row>
    <row r="190">
      <c r="A190" s="2" t="inlineStr">
        <is>
          <t>marron_oscuro</t>
        </is>
      </c>
      <c r="B190" s="2" t="n">
        <v>50</v>
      </c>
      <c r="C190" t="inlineStr">
        <is>
          <t>excluido (descartado por filtro)</t>
        </is>
      </c>
      <c r="D190" t="inlineStr">
        <is>
          <t>estetica.yaml → colores (preferencia); sin color o no reconocido = NEUTRO</t>
        </is>
      </c>
    </row>
    <row r="192">
      <c r="A192" s="8" t="inlineStr">
        <is>
          <t>Mantenimiento (dentro de Coste de uso) = media de: recambios de la marca y tipo de distribución</t>
        </is>
      </c>
    </row>
    <row r="193">
      <c r="A193" s="7" t="inlineStr">
        <is>
          <t>Marca</t>
        </is>
      </c>
      <c r="B193" s="7" t="inlineStr">
        <is>
          <t>Puntos recambios (0-100)</t>
        </is>
      </c>
      <c r="C193" s="7" t="inlineStr">
        <is>
          <t>Estado</t>
        </is>
      </c>
      <c r="D193" s="7" t="inlineStr">
        <is>
          <t>Fuente</t>
        </is>
      </c>
    </row>
    <row r="194">
      <c r="A194" s="2" t="inlineStr">
        <is>
          <t>Audi</t>
        </is>
      </c>
      <c r="B194" s="2" t="n">
        <v>0</v>
      </c>
      <c r="C194" t="inlineStr">
        <is>
          <t>confirmado (coste) · puntos = 50 + 100·(249 − coste)/249</t>
        </is>
      </c>
      <c r="D194" t="inlineStr">
        <is>
          <t>OCU, nota de prensa 28-04-2026 (encuesta a 85.500 conductores): revisión anual en taller oficial, media 249 €. https://www.ocu.org/organizacion/prensa/notas-de-prensa/2026/tallerescoches280426</t>
        </is>
      </c>
    </row>
    <row r="195">
      <c r="A195" s="2" t="inlineStr">
        <is>
          <t>Volkswagen</t>
        </is>
      </c>
      <c r="B195" s="2" t="n">
        <v>77.7</v>
      </c>
      <c r="C195" t="inlineStr">
        <is>
          <t>confirmado (coste) · puntos = 50 + 100·(249 − coste)/249</t>
        </is>
      </c>
      <c r="D195" t="inlineStr">
        <is>
          <t>OCU, nota de prensa 28-04-2026 (encuesta a 85.500 conductores): revisión anual en taller oficial, media 249 €. https://www.ocu.org/organizacion/prensa/notas-de-prensa/2026/tallerescoches280426</t>
        </is>
      </c>
    </row>
    <row r="196">
      <c r="A196" s="2" t="inlineStr">
        <is>
          <t>Renault</t>
        </is>
      </c>
      <c r="B196" s="2" t="n">
        <v>77.7</v>
      </c>
      <c r="C196" t="inlineStr">
        <is>
          <t>confirmado (coste) · puntos = 50 + 100·(249 − coste)/249</t>
        </is>
      </c>
      <c r="D196" t="inlineStr">
        <is>
          <t>OCU, nota de prensa 28-04-2026 (encuesta a 85.500 conductores): revisión anual en taller oficial, media 249 €. https://www.ocu.org/organizacion/prensa/notas-de-prensa/2026/tallerescoches280426</t>
        </is>
      </c>
    </row>
    <row r="197">
      <c r="A197" s="2" t="inlineStr">
        <is>
          <t>Hyundai</t>
        </is>
      </c>
      <c r="B197" s="2" t="n">
        <v>85.7</v>
      </c>
      <c r="C197" t="inlineStr">
        <is>
          <t>confirmado (coste) · puntos = 50 + 100·(249 − coste)/249</t>
        </is>
      </c>
      <c r="D197" t="inlineStr">
        <is>
          <t>OCU, nota de prensa 28-04-2026 (encuesta a 85.500 conductores): revisión anual en taller oficial, media 249 €. https://www.ocu.org/organizacion/prensa/notas-de-prensa/2026/tallerescoches280426</t>
        </is>
      </c>
    </row>
    <row r="198">
      <c r="A198" s="2" t="inlineStr">
        <is>
          <t>Mercedes-Benz</t>
        </is>
      </c>
      <c r="B198" s="2" t="n">
        <v>0</v>
      </c>
      <c r="C198" t="inlineStr">
        <is>
          <t>confirmado (coste) · puntos = 50 + 100·(249 − coste)/249</t>
        </is>
      </c>
      <c r="D198" t="inlineStr">
        <is>
          <t>OCU, nota de prensa 28-04-2026 (encuesta a 85.500 conductores): revisión anual en taller oficial, media 249 €. https://www.ocu.org/organizacion/prensa/notas-de-prensa/2026/tallerescoches280426</t>
        </is>
      </c>
    </row>
    <row r="199">
      <c r="A199" s="2" t="inlineStr">
        <is>
          <t>Lexus</t>
        </is>
      </c>
      <c r="B199" s="2" t="n">
        <v>14.3</v>
      </c>
      <c r="C199" t="inlineStr">
        <is>
          <t>confirmado (coste) · puntos = 50 + 100·(249 − coste)/249</t>
        </is>
      </c>
      <c r="D199" t="inlineStr">
        <is>
          <t>OCU, nota de prensa 28-04-2026 (encuesta a 85.500 conductores): revisión anual en taller oficial, media 249 €. https://www.ocu.org/organizacion/prensa/notas-de-prensa/2026/tallerescoches280426</t>
        </is>
      </c>
    </row>
    <row r="200">
      <c r="A200" s="7" t="inlineStr">
        <is>
          <t>Distribución</t>
        </is>
      </c>
      <c r="B200" s="7" t="inlineStr">
        <is>
          <t>Puntos</t>
        </is>
      </c>
      <c r="C200" s="7" t="inlineStr">
        <is>
          <t>Estado</t>
        </is>
      </c>
      <c r="D200" s="7" t="inlineStr">
        <is>
          <t>Fuente</t>
        </is>
      </c>
    </row>
    <row r="201">
      <c r="A201" s="2" t="inlineStr">
        <is>
          <t>cadena</t>
        </is>
      </c>
      <c r="B201" s="2" t="n">
        <v>80</v>
      </c>
      <c r="C201" t="inlineStr">
        <is>
          <t>supuesto (criterio)</t>
        </is>
      </c>
      <c r="D201" t="inlineStr">
        <is>
          <t>Supuesto (criterio): cadena 80 (sin cambio periódico, aunque algunas se estiran), correa 50, correa de intervalo corto (&lt; 100.000 km o &lt;= 4 años) 25. Referencias: kit de distribución + bomba en Valencia 550,22 € (Tallerator vía Autofácil, 2014) https://www.autofacil.es/cuesta-cambiar-kit-distribucion/ ; Audatex 2013: premium +8,7 % de coste cada 100.000 km https://www.autofacil.es/mantener-coche-premium-cuesta-9-marca-generalista/</t>
        </is>
      </c>
    </row>
    <row r="202">
      <c r="A202" s="2" t="inlineStr">
        <is>
          <t>correa</t>
        </is>
      </c>
      <c r="B202" s="2" t="n">
        <v>50</v>
      </c>
      <c r="C202" t="inlineStr">
        <is>
          <t>supuesto (criterio)</t>
        </is>
      </c>
      <c r="D202" t="inlineStr">
        <is>
          <t>Supuesto (criterio): cadena 80 (sin cambio periódico, aunque algunas se estiran), correa 50, correa de intervalo corto (&lt; 100.000 km o &lt;= 4 años) 25. Referencias: kit de distribución + bomba en Valencia 550,22 € (Tallerator vía Autofácil, 2014) https://www.autofacil.es/cuesta-cambiar-kit-distribucion/ ; Audatex 2013: premium +8,7 % de coste cada 100.000 km https://www.autofacil.es/mantener-coche-premium-cuesta-9-marca-generalista/</t>
        </is>
      </c>
    </row>
    <row r="203">
      <c r="A203" s="2" t="inlineStr">
        <is>
          <t>correa_corta</t>
        </is>
      </c>
      <c r="B203" s="2" t="n">
        <v>25</v>
      </c>
      <c r="C203" t="inlineStr">
        <is>
          <t>supuesto (criterio)</t>
        </is>
      </c>
      <c r="D203" t="inlineStr">
        <is>
          <t>Supuesto (criterio): cadena 80 (sin cambio periódico, aunque algunas se estiran), correa 50, correa de intervalo corto (&lt; 100.000 km o &lt;= 4 años) 25. Referencias: kit de distribución + bomba en Valencia 550,22 € (Tallerator vía Autofácil, 2014) https://www.autofacil.es/cuesta-cambiar-kit-distribucion/ ; Audatex 2013: premium +8,7 % de coste cada 100.000 km https://www.autofacil.es/mantener-coche-premium-cuesta-9-marca-generalista/</t>
        </is>
      </c>
    </row>
    <row r="204">
      <c r="A204" s="7" t="inlineStr">
        <is>
          <t>Marca|motor</t>
        </is>
      </c>
      <c r="B204" s="7" t="inlineStr">
        <is>
          <t>Distribución</t>
        </is>
      </c>
      <c r="C204" s="7" t="inlineStr">
        <is>
          <t>Intervalo de cambio</t>
        </is>
      </c>
      <c r="D204" s="7" t="inlineStr">
        <is>
          <t>Estado</t>
        </is>
      </c>
      <c r="E204" s="7" t="inlineStr">
        <is>
          <t>Fuente</t>
        </is>
      </c>
    </row>
    <row r="205">
      <c r="A205" s="2" t="inlineStr">
        <is>
          <t>Seat|1.6</t>
        </is>
      </c>
      <c r="B205" s="2" t="inlineStr">
        <is>
          <t>correa</t>
        </is>
      </c>
      <c r="C205" t="inlineStr">
        <is>
          <t>180.000 km (ADAC); AutoScout24: como muy tarde cada 5 años</t>
        </is>
      </c>
      <c r="D205" t="inlineStr">
        <is>
          <t>probable (1.6 MPI 8v BGU/BSE/BSF; la ficha ADAC del A3 8P no da fila de correa)</t>
        </is>
      </c>
      <c r="E205" t="inlineStr">
        <is>
          <t>https://assets.adac.de/Autodatenbank/GWInfo/gw0516-seat-leon-2005-2012-benziner-bericht.pdf ; https://assets.adac.de/Autodatenbank/GWInfo/gw0229-seat-altea-2004-2015-benziner-bericht.pdf</t>
        </is>
      </c>
    </row>
    <row r="206">
      <c r="A206" s="2" t="inlineStr">
        <is>
          <t>Volkswagen|1.6</t>
        </is>
      </c>
      <c r="B206" s="2" t="inlineStr">
        <is>
          <t>correa</t>
        </is>
      </c>
      <c r="C206" t="inlineStr">
        <is>
          <t>180.000 km (ADAC); AutoScout24: como muy tarde cada 5 años</t>
        </is>
      </c>
      <c r="D206" t="inlineStr">
        <is>
          <t>probable (1.6 MPI 8v BGU/BSE/BSF; la ficha ADAC del A3 8P no da fila de correa)</t>
        </is>
      </c>
      <c r="E206" t="inlineStr">
        <is>
          <t>https://assets.adac.de/Autodatenbank/GWInfo/gw0516-seat-leon-2005-2012-benziner-bericht.pdf ; https://assets.adac.de/Autodatenbank/GWInfo/gw0229-seat-altea-2004-2015-benziner-bericht.pdf</t>
        </is>
      </c>
    </row>
    <row r="207">
      <c r="A207" s="2" t="inlineStr">
        <is>
          <t>Skoda|1.6</t>
        </is>
      </c>
      <c r="B207" s="2" t="inlineStr">
        <is>
          <t>correa</t>
        </is>
      </c>
      <c r="C207" t="inlineStr">
        <is>
          <t>180.000 km (ADAC); AutoScout24: como muy tarde cada 5 años</t>
        </is>
      </c>
      <c r="D207" t="inlineStr">
        <is>
          <t>probable (1.6 MPI 8v BGU/BSE/BSF; la ficha ADAC del A3 8P no da fila de correa)</t>
        </is>
      </c>
      <c r="E207" t="inlineStr">
        <is>
          <t>https://assets.adac.de/Autodatenbank/GWInfo/gw0516-seat-leon-2005-2012-benziner-bericht.pdf ; https://assets.adac.de/Autodatenbank/GWInfo/gw0229-seat-altea-2004-2015-benziner-bericht.pdf</t>
        </is>
      </c>
    </row>
    <row r="208">
      <c r="A208" s="2" t="inlineStr">
        <is>
          <t>Audi|1.6</t>
        </is>
      </c>
      <c r="B208" s="2" t="inlineStr">
        <is>
          <t>correa</t>
        </is>
      </c>
      <c r="C208" t="inlineStr">
        <is>
          <t>180.000 km (ADAC); AutoScout24: como muy tarde cada 5 años</t>
        </is>
      </c>
      <c r="D208" t="inlineStr">
        <is>
          <t>probable (1.6 MPI 8v BGU/BSE/BSF; la ficha ADAC del A3 8P no da fila de correa)</t>
        </is>
      </c>
      <c r="E208" t="inlineStr">
        <is>
          <t>https://assets.adac.de/Autodatenbank/GWInfo/gw0516-seat-leon-2005-2012-benziner-bericht.pdf ; https://assets.adac.de/Autodatenbank/GWInfo/gw0229-seat-altea-2004-2015-benziner-bericht.pdf</t>
        </is>
      </c>
    </row>
    <row r="209">
      <c r="A209" s="2" t="inlineStr">
        <is>
          <t>Seat|1.6 MPI</t>
        </is>
      </c>
      <c r="B209" s="2" t="inlineStr">
        <is>
          <t>correa</t>
        </is>
      </c>
      <c r="C209" t="inlineStr">
        <is>
          <t>180.000 km (ADAC); AutoScout24: como muy tarde cada 5 años</t>
        </is>
      </c>
      <c r="D209" t="inlineStr">
        <is>
          <t>probable (1.6 MPI 8v BGU/BSE/BSF; la ficha ADAC del A3 8P no da fila de correa)</t>
        </is>
      </c>
      <c r="E209" t="inlineStr">
        <is>
          <t>https://assets.adac.de/Autodatenbank/GWInfo/gw0516-seat-leon-2005-2012-benziner-bericht.pdf ; https://assets.adac.de/Autodatenbank/GWInfo/gw0229-seat-altea-2004-2015-benziner-bericht.pdf</t>
        </is>
      </c>
    </row>
    <row r="210">
      <c r="A210" s="2" t="inlineStr">
        <is>
          <t>Volkswagen|1.6 MPI</t>
        </is>
      </c>
      <c r="B210" s="2" t="inlineStr">
        <is>
          <t>correa</t>
        </is>
      </c>
      <c r="C210" t="inlineStr">
        <is>
          <t>180.000 km (ADAC); AutoScout24: como muy tarde cada 5 años</t>
        </is>
      </c>
      <c r="D210" t="inlineStr">
        <is>
          <t>probable (1.6 MPI 8v BGU/BSE/BSF; la ficha ADAC del A3 8P no da fila de correa)</t>
        </is>
      </c>
      <c r="E210" t="inlineStr">
        <is>
          <t>https://assets.adac.de/Autodatenbank/GWInfo/gw0516-seat-leon-2005-2012-benziner-bericht.pdf ; https://assets.adac.de/Autodatenbank/GWInfo/gw0229-seat-altea-2004-2015-benziner-bericht.pdf</t>
        </is>
      </c>
    </row>
    <row r="211">
      <c r="A211" s="2" t="inlineStr">
        <is>
          <t>Skoda|1.6 MPI</t>
        </is>
      </c>
      <c r="B211" s="2" t="inlineStr">
        <is>
          <t>correa</t>
        </is>
      </c>
      <c r="C211" t="inlineStr">
        <is>
          <t>180.000 km (ADAC); AutoScout24: como muy tarde cada 5 años</t>
        </is>
      </c>
      <c r="D211" t="inlineStr">
        <is>
          <t>probable (1.6 MPI 8v BGU/BSE/BSF; la ficha ADAC del A3 8P no da fila de correa)</t>
        </is>
      </c>
      <c r="E211" t="inlineStr">
        <is>
          <t>https://assets.adac.de/Autodatenbank/GWInfo/gw0516-seat-leon-2005-2012-benziner-bericht.pdf ; https://assets.adac.de/Autodatenbank/GWInfo/gw0229-seat-altea-2004-2015-benziner-bericht.pdf</t>
        </is>
      </c>
    </row>
    <row r="212">
      <c r="A212" s="2" t="inlineStr">
        <is>
          <t>Seat|1.4</t>
        </is>
      </c>
      <c r="B212" s="2" t="inlineStr">
        <is>
          <t>correa</t>
        </is>
      </c>
      <c r="C212" t="inlineStr">
        <is>
          <t>150.000-180.000 km (1.4 16v MPI EA111)</t>
        </is>
      </c>
      <c r="D212" t="inlineStr">
        <is>
          <t>confirmado</t>
        </is>
      </c>
      <c r="E212" t="inlineStr">
        <is>
          <t>https://assets.adac.de/Autodatenbank/GWInfo/gw0516-seat-leon-2005-2012-benziner-bericht.pdf ; https://assets.adac.de/Autodatenbank/GWInfo/gw0197-seat-ibiza-2008-2017-benziner-bericht.pdf</t>
        </is>
      </c>
    </row>
    <row r="213">
      <c r="A213" s="2" t="inlineStr">
        <is>
          <t>Volkswagen|1.4</t>
        </is>
      </c>
      <c r="B213" s="2" t="inlineStr">
        <is>
          <t>correa</t>
        </is>
      </c>
      <c r="C213" t="inlineStr">
        <is>
          <t>150.000-180.000 km (1.4 16v MPI EA111)</t>
        </is>
      </c>
      <c r="D213" t="inlineStr">
        <is>
          <t>confirmado</t>
        </is>
      </c>
      <c r="E213" t="inlineStr">
        <is>
          <t>https://assets.adac.de/Autodatenbank/GWInfo/gw0516-seat-leon-2005-2012-benziner-bericht.pdf ; https://assets.adac.de/Autodatenbank/GWInfo/gw0197-seat-ibiza-2008-2017-benziner-bericht.pdf</t>
        </is>
      </c>
    </row>
    <row r="214">
      <c r="A214" s="2" t="inlineStr">
        <is>
          <t>Skoda|1.4</t>
        </is>
      </c>
      <c r="B214" s="2" t="inlineStr">
        <is>
          <t>correa</t>
        </is>
      </c>
      <c r="C214" t="inlineStr">
        <is>
          <t>150.000-180.000 km (1.4 16v MPI EA111)</t>
        </is>
      </c>
      <c r="D214" t="inlineStr">
        <is>
          <t>confirmado</t>
        </is>
      </c>
      <c r="E214" t="inlineStr">
        <is>
          <t>https://assets.adac.de/Autodatenbank/GWInfo/gw0516-seat-leon-2005-2012-benziner-bericht.pdf ; https://assets.adac.de/Autodatenbank/GWInfo/gw0197-seat-ibiza-2008-2017-benziner-bericht.pdf</t>
        </is>
      </c>
    </row>
    <row r="215">
      <c r="A215" s="2" t="inlineStr">
        <is>
          <t>Seat|1.2 TSI</t>
        </is>
      </c>
      <c r="B215" s="2" t="inlineStr">
        <is>
          <t>cadena</t>
        </is>
      </c>
      <c r="C215" t="inlineStr">
        <is>
          <t>sin intervalo (EA111: cadena que se estira, ver motores)</t>
        </is>
      </c>
      <c r="D215" t="inlineStr">
        <is>
          <t>confirmado</t>
        </is>
      </c>
      <c r="E215" t="inlineStr">
        <is>
          <t>https://assets.adac.de/Autodatenbank/GWInfo/gw0516-seat-leon-2005-2012-benziner-bericht.pdf</t>
        </is>
      </c>
    </row>
    <row r="216">
      <c r="A216" s="2" t="inlineStr">
        <is>
          <t>Seat|1.4 TSI</t>
        </is>
      </c>
      <c r="B216" s="2" t="inlineStr">
        <is>
          <t>cadena</t>
        </is>
      </c>
      <c r="C216" t="inlineStr">
        <is>
          <t>sin intervalo (EA111: cadena que se estira, ver motores)</t>
        </is>
      </c>
      <c r="D216" t="inlineStr">
        <is>
          <t>confirmado</t>
        </is>
      </c>
      <c r="E216" t="inlineStr">
        <is>
          <t>https://assets.adac.de/Autodatenbank/GWInfo/gw0516-seat-leon-2005-2012-benziner-bericht.pdf</t>
        </is>
      </c>
    </row>
    <row r="217">
      <c r="A217" s="2" t="inlineStr">
        <is>
          <t>Volkswagen|1.2 TSI</t>
        </is>
      </c>
      <c r="B217" s="2" t="inlineStr">
        <is>
          <t>cadena</t>
        </is>
      </c>
      <c r="C217" t="inlineStr">
        <is>
          <t>sin intervalo (EA111: cadena que se estira, ver motores)</t>
        </is>
      </c>
      <c r="D217" t="inlineStr">
        <is>
          <t>confirmado</t>
        </is>
      </c>
      <c r="E217" t="inlineStr">
        <is>
          <t>https://assets.adac.de/Autodatenbank/GWInfo/gw0516-seat-leon-2005-2012-benziner-bericht.pdf</t>
        </is>
      </c>
    </row>
    <row r="218">
      <c r="A218" s="2" t="inlineStr">
        <is>
          <t>Volkswagen|1.4 TSI</t>
        </is>
      </c>
      <c r="B218" s="2" t="inlineStr">
        <is>
          <t>cadena</t>
        </is>
      </c>
      <c r="C218" t="inlineStr">
        <is>
          <t>sin intervalo (EA111: cadena que se estira, ver motores)</t>
        </is>
      </c>
      <c r="D218" t="inlineStr">
        <is>
          <t>confirmado</t>
        </is>
      </c>
      <c r="E218" t="inlineStr">
        <is>
          <t>https://assets.adac.de/Autodatenbank/GWInfo/gw0516-seat-leon-2005-2012-benziner-bericht.pdf</t>
        </is>
      </c>
    </row>
    <row r="219">
      <c r="A219" s="2" t="inlineStr">
        <is>
          <t>Skoda|1.2 TSI</t>
        </is>
      </c>
      <c r="B219" s="2" t="inlineStr">
        <is>
          <t>cadena</t>
        </is>
      </c>
      <c r="C219" t="inlineStr">
        <is>
          <t>sin intervalo (EA111: cadena que se estira, ver motores)</t>
        </is>
      </c>
      <c r="D219" t="inlineStr">
        <is>
          <t>confirmado</t>
        </is>
      </c>
      <c r="E219" t="inlineStr">
        <is>
          <t>https://assets.adac.de/Autodatenbank/GWInfo/gw0516-seat-leon-2005-2012-benziner-bericht.pdf</t>
        </is>
      </c>
    </row>
    <row r="220">
      <c r="A220" s="2" t="inlineStr">
        <is>
          <t>Skoda|1.4 TSI</t>
        </is>
      </c>
      <c r="B220" s="2" t="inlineStr">
        <is>
          <t>cadena</t>
        </is>
      </c>
      <c r="C220" t="inlineStr">
        <is>
          <t>sin intervalo (EA111: cadena que se estira, ver motores)</t>
        </is>
      </c>
      <c r="D220" t="inlineStr">
        <is>
          <t>confirmado</t>
        </is>
      </c>
      <c r="E220" t="inlineStr">
        <is>
          <t>https://assets.adac.de/Autodatenbank/GWInfo/gw0516-seat-leon-2005-2012-benziner-bericht.pdf</t>
        </is>
      </c>
    </row>
    <row r="221">
      <c r="A221" s="2" t="inlineStr">
        <is>
          <t>Audi|1.2 TSI</t>
        </is>
      </c>
      <c r="B221" s="2" t="inlineStr">
        <is>
          <t>cadena</t>
        </is>
      </c>
      <c r="C221" t="inlineStr">
        <is>
          <t>sin intervalo (EA111: cadena que se estira, ver motores)</t>
        </is>
      </c>
      <c r="D221" t="inlineStr">
        <is>
          <t>confirmado</t>
        </is>
      </c>
      <c r="E221" t="inlineStr">
        <is>
          <t>https://assets.adac.de/Autodatenbank/GWInfo/gw0516-seat-leon-2005-2012-benziner-bericht.pdf</t>
        </is>
      </c>
    </row>
    <row r="222">
      <c r="A222" s="2" t="inlineStr">
        <is>
          <t>Audi|1.4 TSI</t>
        </is>
      </c>
      <c r="B222" s="2" t="inlineStr">
        <is>
          <t>cadena</t>
        </is>
      </c>
      <c r="C222" t="inlineStr">
        <is>
          <t>sin intervalo (EA111: cadena que se estira, ver motores)</t>
        </is>
      </c>
      <c r="D222" t="inlineStr">
        <is>
          <t>confirmado</t>
        </is>
      </c>
      <c r="E222" t="inlineStr">
        <is>
          <t>https://assets.adac.de/Autodatenbank/GWInfo/gw0516-seat-leon-2005-2012-benziner-bericht.pdf</t>
        </is>
      </c>
    </row>
    <row r="223">
      <c r="A223" s="2" t="inlineStr">
        <is>
          <t>Honda|1.8</t>
        </is>
      </c>
      <c r="B223" s="2" t="inlineStr">
        <is>
          <t>cadena</t>
        </is>
      </c>
      <c r="C223" t="inlineStr">
        <is>
          <t>sin intervalo fijo (R18A/R20A)</t>
        </is>
      </c>
      <c r="D223" t="inlineStr">
        <is>
          <t>probable</t>
        </is>
      </c>
      <c r="E223" t="inlineStr">
        <is>
          <t>https://assets.adac.de/Autodatenbank/GWInfo/gw0135-honda-civic-2005-2011-bericht.pdf ; https://jdmshop.eu/en/genuine-honda-timing-chain-14401-rna-a01</t>
        </is>
      </c>
    </row>
    <row r="224">
      <c r="A224" s="2" t="inlineStr">
        <is>
          <t>Honda|2.0</t>
        </is>
      </c>
      <c r="B224" s="2" t="inlineStr">
        <is>
          <t>cadena</t>
        </is>
      </c>
      <c r="C224" t="inlineStr">
        <is>
          <t>sin intervalo fijo (R18A/R20A)</t>
        </is>
      </c>
      <c r="D224" t="inlineStr">
        <is>
          <t>probable</t>
        </is>
      </c>
      <c r="E224" t="inlineStr">
        <is>
          <t>https://assets.adac.de/Autodatenbank/GWInfo/gw0135-honda-civic-2005-2011-bericht.pdf ; https://jdmshop.eu/en/genuine-honda-timing-chain-14401-rna-a01</t>
        </is>
      </c>
    </row>
    <row r="225">
      <c r="A225" s="2" t="inlineStr">
        <is>
          <t>Honda|1.8 i-VTEC</t>
        </is>
      </c>
      <c r="B225" s="2" t="inlineStr">
        <is>
          <t>cadena</t>
        </is>
      </c>
      <c r="C225" t="inlineStr">
        <is>
          <t>sin intervalo fijo (R18A/R20A)</t>
        </is>
      </c>
      <c r="D225" t="inlineStr">
        <is>
          <t>probable</t>
        </is>
      </c>
      <c r="E225" t="inlineStr">
        <is>
          <t>https://assets.adac.de/Autodatenbank/GWInfo/gw0135-honda-civic-2005-2011-bericht.pdf ; https://jdmshop.eu/en/genuine-honda-timing-chain-14401-rna-a01</t>
        </is>
      </c>
    </row>
    <row r="226">
      <c r="A226" s="2" t="inlineStr">
        <is>
          <t>Honda|2.0 i-VTEC</t>
        </is>
      </c>
      <c r="B226" s="2" t="inlineStr">
        <is>
          <t>cadena</t>
        </is>
      </c>
      <c r="C226" t="inlineStr">
        <is>
          <t>sin intervalo fijo (R18A/R20A)</t>
        </is>
      </c>
      <c r="D226" t="inlineStr">
        <is>
          <t>probable</t>
        </is>
      </c>
      <c r="E226" t="inlineStr">
        <is>
          <t>https://assets.adac.de/Autodatenbank/GWInfo/gw0135-honda-civic-2005-2011-bericht.pdf ; https://jdmshop.eu/en/genuine-honda-timing-chain-14401-rna-a01</t>
        </is>
      </c>
    </row>
    <row r="227">
      <c r="A227" s="2" t="inlineStr">
        <is>
          <t>Toyota|1.8</t>
        </is>
      </c>
      <c r="B227" s="2" t="inlineStr">
        <is>
          <t>cadena</t>
        </is>
      </c>
      <c r="C227" t="inlineStr">
        <is>
          <t>sin intervalo (familia ZZ)</t>
        </is>
      </c>
      <c r="D227" t="inlineStr">
        <is>
          <t>confirmado (Corolla E12); 2ZR probable</t>
        </is>
      </c>
      <c r="E227" t="inlineStr">
        <is>
          <t>https://assets.adac.de/image/upload/Autodatenbank/GWInfo/gw0112-toyota-corolla-2001---2007-bericht.pdf</t>
        </is>
      </c>
    </row>
    <row r="228">
      <c r="A228" s="2" t="inlineStr">
        <is>
          <t>Toyota|1.8 VVT-i</t>
        </is>
      </c>
      <c r="B228" s="2" t="inlineStr">
        <is>
          <t>cadena</t>
        </is>
      </c>
      <c r="C228" t="inlineStr">
        <is>
          <t>sin intervalo (familia ZZ)</t>
        </is>
      </c>
      <c r="D228" t="inlineStr">
        <is>
          <t>confirmado (Corolla E12); 2ZR probable</t>
        </is>
      </c>
      <c r="E228" t="inlineStr">
        <is>
          <t>https://assets.adac.de/image/upload/Autodatenbank/GWInfo/gw0112-toyota-corolla-2001---2007-bericht.pdf</t>
        </is>
      </c>
    </row>
    <row r="229">
      <c r="A229" s="2" t="inlineStr">
        <is>
          <t>Toyota|1.4 VVT-i</t>
        </is>
      </c>
      <c r="B229" s="2" t="inlineStr">
        <is>
          <t>cadena</t>
        </is>
      </c>
      <c r="C229" t="inlineStr">
        <is>
          <t>sin intervalo (familia ZZ)</t>
        </is>
      </c>
      <c r="D229" t="inlineStr">
        <is>
          <t>confirmado (Corolla E12); 2ZR probable</t>
        </is>
      </c>
      <c r="E229" t="inlineStr">
        <is>
          <t>https://assets.adac.de/image/upload/Autodatenbank/GWInfo/gw0112-toyota-corolla-2001---2007-bericht.pdf</t>
        </is>
      </c>
    </row>
    <row r="230">
      <c r="A230" s="2" t="inlineStr">
        <is>
          <t>Toyota|1.6 VVT-i</t>
        </is>
      </c>
      <c r="B230" s="2" t="inlineStr">
        <is>
          <t>cadena</t>
        </is>
      </c>
      <c r="C230" t="inlineStr">
        <is>
          <t>sin intervalo (familia ZZ)</t>
        </is>
      </c>
      <c r="D230" t="inlineStr">
        <is>
          <t>confirmado (Corolla E12); 2ZR probable</t>
        </is>
      </c>
      <c r="E230" t="inlineStr">
        <is>
          <t>https://assets.adac.de/image/upload/Autodatenbank/GWInfo/gw0112-toyota-corolla-2001---2007-bericht.pdf</t>
        </is>
      </c>
    </row>
    <row r="231">
      <c r="A231" s="2" t="inlineStr">
        <is>
          <t>Mazda|1.4</t>
        </is>
      </c>
      <c r="B231" s="2" t="inlineStr">
        <is>
          <t>cadena</t>
        </is>
      </c>
      <c r="C231" t="inlineStr">
        <is>
          <t>sin intervalo (MZR gasolina)</t>
        </is>
      </c>
      <c r="D231" t="inlineStr">
        <is>
          <t>confirmado (Mazda 3 BK); Mazda 2/6 probable</t>
        </is>
      </c>
      <c r="E231" t="inlineStr">
        <is>
          <t>https://assets.adac.de/Autodatenbank/GWInfo/gw0122-mazda-3-2003-2009-bericht.pdf</t>
        </is>
      </c>
    </row>
    <row r="232">
      <c r="A232" s="2" t="inlineStr">
        <is>
          <t>Mazda|1.6</t>
        </is>
      </c>
      <c r="B232" s="2" t="inlineStr">
        <is>
          <t>cadena</t>
        </is>
      </c>
      <c r="C232" t="inlineStr">
        <is>
          <t>sin intervalo (MZR gasolina)</t>
        </is>
      </c>
      <c r="D232" t="inlineStr">
        <is>
          <t>confirmado (Mazda 3 BK); Mazda 2/6 probable</t>
        </is>
      </c>
      <c r="E232" t="inlineStr">
        <is>
          <t>https://assets.adac.de/Autodatenbank/GWInfo/gw0122-mazda-3-2003-2009-bericht.pdf</t>
        </is>
      </c>
    </row>
    <row r="233">
      <c r="A233" s="2" t="inlineStr">
        <is>
          <t>Mazda|1.8</t>
        </is>
      </c>
      <c r="B233" s="2" t="inlineStr">
        <is>
          <t>cadena</t>
        </is>
      </c>
      <c r="C233" t="inlineStr">
        <is>
          <t>sin intervalo (MZR gasolina)</t>
        </is>
      </c>
      <c r="D233" t="inlineStr">
        <is>
          <t>confirmado (Mazda 3 BK); Mazda 2/6 probable</t>
        </is>
      </c>
      <c r="E233" t="inlineStr">
        <is>
          <t>https://assets.adac.de/Autodatenbank/GWInfo/gw0122-mazda-3-2003-2009-bericht.pdf</t>
        </is>
      </c>
    </row>
    <row r="234">
      <c r="A234" s="2" t="inlineStr">
        <is>
          <t>Mazda|2.0</t>
        </is>
      </c>
      <c r="B234" s="2" t="inlineStr">
        <is>
          <t>cadena</t>
        </is>
      </c>
      <c r="C234" t="inlineStr">
        <is>
          <t>sin intervalo (MZR gasolina)</t>
        </is>
      </c>
      <c r="D234" t="inlineStr">
        <is>
          <t>confirmado (Mazda 3 BK); Mazda 2/6 probable</t>
        </is>
      </c>
      <c r="E234" t="inlineStr">
        <is>
          <t>https://assets.adac.de/Autodatenbank/GWInfo/gw0122-mazda-3-2003-2009-bericht.pdf</t>
        </is>
      </c>
    </row>
    <row r="235">
      <c r="A235" s="2" t="inlineStr">
        <is>
          <t>Peugeot|1.4</t>
        </is>
      </c>
      <c r="B235" s="2" t="inlineStr">
        <is>
          <t>correa</t>
        </is>
      </c>
      <c r="C235" t="inlineStr">
        <is>
          <t>150.000 km / 10 años (ADAC 207); manual 207: 240.000 normal, 180.000 severo</t>
        </is>
      </c>
      <c r="D235" t="inlineStr">
        <is>
          <t>confirmado (Peugeot 207); otros PSA TU/ET probable</t>
        </is>
      </c>
      <c r="E235" t="inlineStr">
        <is>
          <t>https://assets.adac.de/Autodatenbank/GWInfo/gw0140-peugeot-207-2006-2015-benziner-bericht.pdf ; https://www.autofacil.es/consultorio/tecnico/debo-cambiar-correa-peugeot-207/58226.html</t>
        </is>
      </c>
    </row>
    <row r="236">
      <c r="A236" s="2" t="inlineStr">
        <is>
          <t>Peugeot|1.6</t>
        </is>
      </c>
      <c r="B236" s="2" t="inlineStr">
        <is>
          <t>correa</t>
        </is>
      </c>
      <c r="C236" t="inlineStr">
        <is>
          <t>150.000 km / 10 años (ADAC 207); manual 207: 240.000 normal, 180.000 severo</t>
        </is>
      </c>
      <c r="D236" t="inlineStr">
        <is>
          <t>confirmado (Peugeot 207); otros PSA TU/ET probable</t>
        </is>
      </c>
      <c r="E236" t="inlineStr">
        <is>
          <t>https://assets.adac.de/Autodatenbank/GWInfo/gw0140-peugeot-207-2006-2015-benziner-bericht.pdf ; https://www.autofacil.es/consultorio/tecnico/debo-cambiar-correa-peugeot-207/58226.html</t>
        </is>
      </c>
    </row>
    <row r="237">
      <c r="A237" s="2" t="inlineStr">
        <is>
          <t>Citroën|1.4</t>
        </is>
      </c>
      <c r="B237" s="2" t="inlineStr">
        <is>
          <t>correa</t>
        </is>
      </c>
      <c r="C237" t="inlineStr">
        <is>
          <t>150.000 km / 10 años (ADAC 207); manual 207: 240.000 normal, 180.000 severo</t>
        </is>
      </c>
      <c r="D237" t="inlineStr">
        <is>
          <t>confirmado (Peugeot 207); otros PSA TU/ET probable</t>
        </is>
      </c>
      <c r="E237" t="inlineStr">
        <is>
          <t>https://assets.adac.de/Autodatenbank/GWInfo/gw0140-peugeot-207-2006-2015-benziner-bericht.pdf ; https://www.autofacil.es/consultorio/tecnico/debo-cambiar-correa-peugeot-207/58226.html</t>
        </is>
      </c>
    </row>
    <row r="238">
      <c r="A238" s="2" t="inlineStr">
        <is>
          <t>Citroën|1.6</t>
        </is>
      </c>
      <c r="B238" s="2" t="inlineStr">
        <is>
          <t>correa</t>
        </is>
      </c>
      <c r="C238" t="inlineStr">
        <is>
          <t>150.000 km / 10 años (ADAC 207); manual 207: 240.000 normal, 180.000 severo</t>
        </is>
      </c>
      <c r="D238" t="inlineStr">
        <is>
          <t>confirmado (Peugeot 207); otros PSA TU/ET probable</t>
        </is>
      </c>
      <c r="E238" t="inlineStr">
        <is>
          <t>https://assets.adac.de/Autodatenbank/GWInfo/gw0140-peugeot-207-2006-2015-benziner-bericht.pdf ; https://www.autofacil.es/consultorio/tecnico/debo-cambiar-correa-peugeot-207/58226.html</t>
        </is>
      </c>
    </row>
    <row r="239">
      <c r="A239" s="2" t="inlineStr">
        <is>
          <t>Peugeot|1.4 VTi</t>
        </is>
      </c>
      <c r="B239" s="2" t="inlineStr">
        <is>
          <t>cadena</t>
        </is>
      </c>
      <c r="C239" t="inlineStr">
        <is>
          <t>sin intervalo (familia Prince EP)</t>
        </is>
      </c>
      <c r="D239" t="inlineStr">
        <is>
          <t>probable (boletines MINI de la familia Prince)</t>
        </is>
      </c>
      <c r="E239" t="inlineStr">
        <is>
          <t>https://australiancar.reviews/recalls-faults-mini-r56-cooper-2007-13/</t>
        </is>
      </c>
    </row>
    <row r="240">
      <c r="A240" s="2" t="inlineStr">
        <is>
          <t>Peugeot|1.6 VTi</t>
        </is>
      </c>
      <c r="B240" s="2" t="inlineStr">
        <is>
          <t>cadena</t>
        </is>
      </c>
      <c r="C240" t="inlineStr">
        <is>
          <t>sin intervalo (familia Prince EP)</t>
        </is>
      </c>
      <c r="D240" t="inlineStr">
        <is>
          <t>probable (boletines MINI de la familia Prince)</t>
        </is>
      </c>
      <c r="E240" t="inlineStr">
        <is>
          <t>https://australiancar.reviews/recalls-faults-mini-r56-cooper-2007-13/</t>
        </is>
      </c>
    </row>
    <row r="241">
      <c r="A241" s="2" t="inlineStr">
        <is>
          <t>Citroën|1.4 VTi</t>
        </is>
      </c>
      <c r="B241" s="2" t="inlineStr">
        <is>
          <t>cadena</t>
        </is>
      </c>
      <c r="C241" t="inlineStr">
        <is>
          <t>sin intervalo (familia Prince EP)</t>
        </is>
      </c>
      <c r="D241" t="inlineStr">
        <is>
          <t>probable (boletines MINI de la familia Prince)</t>
        </is>
      </c>
      <c r="E241" t="inlineStr">
        <is>
          <t>https://australiancar.reviews/recalls-faults-mini-r56-cooper-2007-13/</t>
        </is>
      </c>
    </row>
    <row r="242">
      <c r="A242" s="2" t="inlineStr">
        <is>
          <t>Citroën|1.6 VTi</t>
        </is>
      </c>
      <c r="B242" s="2" t="inlineStr">
        <is>
          <t>cadena</t>
        </is>
      </c>
      <c r="C242" t="inlineStr">
        <is>
          <t>sin intervalo (familia Prince EP)</t>
        </is>
      </c>
      <c r="D242" t="inlineStr">
        <is>
          <t>probable (boletines MINI de la familia Prince)</t>
        </is>
      </c>
      <c r="E242" t="inlineStr">
        <is>
          <t>https://australiancar.reviews/recalls-faults-mini-r56-cooper-2007-13/</t>
        </is>
      </c>
    </row>
    <row r="243">
      <c r="A243" s="2" t="inlineStr">
        <is>
          <t>Peugeot|1.6 THP</t>
        </is>
      </c>
      <c r="B243" s="2" t="inlineStr">
        <is>
          <t>cadena</t>
        </is>
      </c>
      <c r="C243" t="inlineStr">
        <is>
          <t>sin intervalo (familia Prince EP)</t>
        </is>
      </c>
      <c r="D243" t="inlineStr">
        <is>
          <t>probable (boletines MINI de la familia Prince)</t>
        </is>
      </c>
      <c r="E243" t="inlineStr">
        <is>
          <t>https://australiancar.reviews/recalls-faults-mini-r56-cooper-2007-13/</t>
        </is>
      </c>
    </row>
    <row r="244">
      <c r="A244" s="2" t="inlineStr">
        <is>
          <t>Citroën|1.6 THP</t>
        </is>
      </c>
      <c r="B244" s="2" t="inlineStr">
        <is>
          <t>cadena</t>
        </is>
      </c>
      <c r="C244" t="inlineStr">
        <is>
          <t>sin intervalo (familia Prince EP)</t>
        </is>
      </c>
      <c r="D244" t="inlineStr">
        <is>
          <t>probable (boletines MINI de la familia Prince)</t>
        </is>
      </c>
      <c r="E244" t="inlineStr">
        <is>
          <t>https://australiancar.reviews/recalls-faults-mini-r56-cooper-2007-13/</t>
        </is>
      </c>
    </row>
    <row r="245">
      <c r="A245" s="2" t="inlineStr">
        <is>
          <t>Renault|1.2</t>
        </is>
      </c>
      <c r="B245" s="2" t="inlineStr">
        <is>
          <t>correa</t>
        </is>
      </c>
      <c r="C245" t="inlineStr">
        <is>
          <t>120.000 km / 5 años (D4F, F4R)</t>
        </is>
      </c>
      <c r="D245" t="inlineStr">
        <is>
          <t>confirmado (Clio III)</t>
        </is>
      </c>
      <c r="E245" t="inlineStr">
        <is>
          <t>https://assets.adac.de/Autodatenbank/GWInfo/gw0169-renault-clio-2005-2014-benziner-bericht.pdf</t>
        </is>
      </c>
    </row>
    <row r="246">
      <c r="A246" s="2" t="inlineStr">
        <is>
          <t>Renault|2.0</t>
        </is>
      </c>
      <c r="B246" s="2" t="inlineStr">
        <is>
          <t>correa</t>
        </is>
      </c>
      <c r="C246" t="inlineStr">
        <is>
          <t>120.000 km / 5 años (D4F, F4R)</t>
        </is>
      </c>
      <c r="D246" t="inlineStr">
        <is>
          <t>confirmado (Clio III)</t>
        </is>
      </c>
      <c r="E246" t="inlineStr">
        <is>
          <t>https://assets.adac.de/Autodatenbank/GWInfo/gw0169-renault-clio-2005-2014-benziner-bericht.pdf</t>
        </is>
      </c>
    </row>
    <row r="247">
      <c r="A247" s="2" t="inlineStr">
        <is>
          <t>Dacia|1.2</t>
        </is>
      </c>
      <c r="B247" s="2" t="inlineStr">
        <is>
          <t>correa_corta</t>
        </is>
      </c>
      <c r="C247" t="inlineStr">
        <is>
          <t>90.000 km / 4 años (D4F en Sandero II; Sandero I PENDIENTE)</t>
        </is>
      </c>
      <c r="D247" t="inlineStr">
        <is>
          <t>confirmado (Sandero II)</t>
        </is>
      </c>
      <c r="E247" t="inlineStr">
        <is>
          <t>https://assets.adac.de/Autodatenbank/GWInfo/gw0234-dacia-sandero-2013-2020-bericht.pdf</t>
        </is>
      </c>
    </row>
    <row r="248">
      <c r="A248" s="2" t="inlineStr">
        <is>
          <t>Opel|1.0</t>
        </is>
      </c>
      <c r="B248" s="2" t="inlineStr">
        <is>
          <t>cadena</t>
        </is>
      </c>
      <c r="C248" t="inlineStr">
        <is>
          <t>sin intervalo (Twinport Z10/Z12/Z14XEP)</t>
        </is>
      </c>
      <c r="D248" t="inlineStr">
        <is>
          <t>confirmado (Corsa D); Astra H probable</t>
        </is>
      </c>
      <c r="E248" t="inlineStr">
        <is>
          <t>https://assets.adac.de/image/upload/Autodatenbank/GWInfo/gw0164-opel-corsa-d-2006-2014-benziner-bericht.pdf</t>
        </is>
      </c>
    </row>
    <row r="249">
      <c r="A249" s="2" t="inlineStr">
        <is>
          <t>Opel|1.2</t>
        </is>
      </c>
      <c r="B249" s="2" t="inlineStr">
        <is>
          <t>cadena</t>
        </is>
      </c>
      <c r="C249" t="inlineStr">
        <is>
          <t>sin intervalo (Twinport Z10/Z12/Z14XEP)</t>
        </is>
      </c>
      <c r="D249" t="inlineStr">
        <is>
          <t>confirmado (Corsa D); Astra H probable</t>
        </is>
      </c>
      <c r="E249" t="inlineStr">
        <is>
          <t>https://assets.adac.de/image/upload/Autodatenbank/GWInfo/gw0164-opel-corsa-d-2006-2014-benziner-bericht.pdf</t>
        </is>
      </c>
    </row>
    <row r="250">
      <c r="A250" s="2" t="inlineStr">
        <is>
          <t>Opel|1.4</t>
        </is>
      </c>
      <c r="B250" s="2" t="inlineStr">
        <is>
          <t>cadena</t>
        </is>
      </c>
      <c r="C250" t="inlineStr">
        <is>
          <t>sin intervalo (Twinport Z10/Z12/Z14XEP)</t>
        </is>
      </c>
      <c r="D250" t="inlineStr">
        <is>
          <t>confirmado (Corsa D); Astra H probable</t>
        </is>
      </c>
      <c r="E250" t="inlineStr">
        <is>
          <t>https://assets.adac.de/image/upload/Autodatenbank/GWInfo/gw0164-opel-corsa-d-2006-2014-benziner-bericht.pdf</t>
        </is>
      </c>
    </row>
    <row r="251">
      <c r="A251" s="2" t="inlineStr">
        <is>
          <t>Ford|1.2</t>
        </is>
      </c>
      <c r="B251" s="2" t="inlineStr">
        <is>
          <t>correa</t>
        </is>
      </c>
      <c r="C251" t="inlineStr">
        <is>
          <t>160.000 km / 8 años (Duratec Sigma)</t>
        </is>
      </c>
      <c r="D251" t="inlineStr">
        <is>
          <t>confirmado</t>
        </is>
      </c>
      <c r="E251" t="inlineStr">
        <is>
          <t>https://assets.adac.de/Autodatenbank/GWInfo/gw0168-ford-fiesta-2008-2017-benziner-bericht.pdf ; https://assets.adac.de/Autodatenbank/GWInfo/gw0005-ford-focus-2004-2011-benziner-bericht.pdf</t>
        </is>
      </c>
    </row>
    <row r="252">
      <c r="A252" s="2" t="inlineStr">
        <is>
          <t>Ford|1.4</t>
        </is>
      </c>
      <c r="B252" s="2" t="inlineStr">
        <is>
          <t>correa</t>
        </is>
      </c>
      <c r="C252" t="inlineStr">
        <is>
          <t>160.000 km / 8 años (Duratec Sigma)</t>
        </is>
      </c>
      <c r="D252" t="inlineStr">
        <is>
          <t>confirmado</t>
        </is>
      </c>
      <c r="E252" t="inlineStr">
        <is>
          <t>https://assets.adac.de/Autodatenbank/GWInfo/gw0168-ford-fiesta-2008-2017-benziner-bericht.pdf ; https://assets.adac.de/Autodatenbank/GWInfo/gw0005-ford-focus-2004-2011-benziner-bericht.pdf</t>
        </is>
      </c>
    </row>
    <row r="253">
      <c r="A253" s="2" t="inlineStr">
        <is>
          <t>Ford|1.6</t>
        </is>
      </c>
      <c r="B253" s="2" t="inlineStr">
        <is>
          <t>correa</t>
        </is>
      </c>
      <c r="C253" t="inlineStr">
        <is>
          <t>160.000 km / 8 años (Duratec Sigma)</t>
        </is>
      </c>
      <c r="D253" t="inlineStr">
        <is>
          <t>confirmado</t>
        </is>
      </c>
      <c r="E253" t="inlineStr">
        <is>
          <t>https://assets.adac.de/Autodatenbank/GWInfo/gw0168-ford-fiesta-2008-2017-benziner-bericht.pdf ; https://assets.adac.de/Autodatenbank/GWInfo/gw0005-ford-focus-2004-2011-benziner-bericht.pdf</t>
        </is>
      </c>
    </row>
    <row r="254">
      <c r="A254" s="2" t="inlineStr">
        <is>
          <t>Fiat|1.2</t>
        </is>
      </c>
      <c r="B254" s="2" t="inlineStr">
        <is>
          <t>correa</t>
        </is>
      </c>
      <c r="C254" t="inlineStr">
        <is>
          <t>120.000 km / 5 años (1.2 8v FIRE)</t>
        </is>
      </c>
      <c r="D254" t="inlineStr">
        <is>
          <t>confirmado</t>
        </is>
      </c>
      <c r="E254" t="inlineStr">
        <is>
          <t>https://assets.adac.de/image/upload/Autodatenbank/GWInfo/gw0129-fiat-punto-2005-2018-bericht.pdf</t>
        </is>
      </c>
    </row>
    <row r="255">
      <c r="A255" s="2" t="inlineStr">
        <is>
          <t>Suzuki|1.0</t>
        </is>
      </c>
      <c r="B255" s="2" t="inlineStr">
        <is>
          <t>cadena</t>
        </is>
      </c>
      <c r="C255" t="inlineStr">
        <is>
          <t>sin intervalo (K10B)</t>
        </is>
      </c>
      <c r="D255" t="inlineStr">
        <is>
          <t>probable</t>
        </is>
      </c>
      <c r="E255" t="inlineStr">
        <is>
          <t>https://classics.honestjohn.co.uk/askhj/answer/166663/suzuki-alto---cam-belt-or-chain-</t>
        </is>
      </c>
    </row>
    <row r="256">
      <c r="A256" s="2" t="inlineStr">
        <is>
          <t>Alfa Romeo|1.6</t>
        </is>
      </c>
      <c r="B256" s="2" t="inlineStr">
        <is>
          <t>correa_corta</t>
        </is>
      </c>
      <c r="C256" t="inlineStr">
        <is>
          <t>~58.000 km (36.000 millas) / 3 años, oficial desde 13-11-2006</t>
        </is>
      </c>
      <c r="D256" t="inlineStr">
        <is>
          <t>confirmado</t>
        </is>
      </c>
      <c r="E256" t="inlineStr">
        <is>
          <t>https://alfa.studio.silvertoad.co.uk/?p=37543 ; https://whatcar.com/alfa-romeo/147/hatchback/used-review/n207/reliability</t>
        </is>
      </c>
    </row>
    <row r="257">
      <c r="A257" s="2" t="inlineStr">
        <is>
          <t>Alfa Romeo|2.0</t>
        </is>
      </c>
      <c r="B257" s="2" t="inlineStr">
        <is>
          <t>correa_corta</t>
        </is>
      </c>
      <c r="C257" t="inlineStr">
        <is>
          <t>~58.000 km (36.000 millas) / 3 años, oficial desde 13-11-2006</t>
        </is>
      </c>
      <c r="D257" t="inlineStr">
        <is>
          <t>confirmado</t>
        </is>
      </c>
      <c r="E257" t="inlineStr">
        <is>
          <t>https://alfa.studio.silvertoad.co.uk/?p=37543 ; https://whatcar.com/alfa-romeo/147/hatchback/used-review/n207/reliability</t>
        </is>
      </c>
    </row>
    <row r="258">
      <c r="A258" s="2" t="inlineStr">
        <is>
          <t>Alfa Romeo|1.9</t>
        </is>
      </c>
      <c r="B258" s="2" t="inlineStr">
        <is>
          <t>cadena</t>
        </is>
      </c>
      <c r="C258" t="inlineStr">
        <is>
          <t>sin intervalo; estiramiento desde ~64.000 km (JTS)</t>
        </is>
      </c>
      <c r="D258" t="inlineStr">
        <is>
          <t>probable</t>
        </is>
      </c>
      <c r="E258" t="inlineStr">
        <is>
          <t>https://alfaworkshop.co.uk/alfa_romeo_timing_belts.shtml</t>
        </is>
      </c>
    </row>
    <row r="259">
      <c r="A259" s="2" t="inlineStr">
        <is>
          <t>Alfa Romeo|2.2</t>
        </is>
      </c>
      <c r="B259" s="2" t="inlineStr">
        <is>
          <t>cadena</t>
        </is>
      </c>
      <c r="C259" t="inlineStr">
        <is>
          <t>sin intervalo; estiramiento desde ~64.000 km (JTS)</t>
        </is>
      </c>
      <c r="D259" t="inlineStr">
        <is>
          <t>probable</t>
        </is>
      </c>
      <c r="E259" t="inlineStr">
        <is>
          <t>https://alfaworkshop.co.uk/alfa_romeo_timing_belts.shtml</t>
        </is>
      </c>
    </row>
    <row r="260">
      <c r="A260" t="inlineStr">
        <is>
          <t>Coste real estimado (particulares): reserva de correa de distribución si no consta (€)</t>
        </is>
      </c>
      <c r="B260" s="2" t="n">
        <v>550</v>
      </c>
      <c r="C260" t="inlineStr">
        <is>
          <t>aproximado</t>
        </is>
      </c>
      <c r="D260" t="inlineStr">
        <is>
          <t>https://www.autofacil.es/cuesta-cambiar-kit-distribucion/ (Valencia: 550,22 € kit + bomba; España 481 €)</t>
        </is>
      </c>
    </row>
    <row r="261">
      <c r="A261" t="inlineStr">
        <is>
          <t>Coste real estimado (particulares): reserva de neumáticos (juego de 4) (€)</t>
        </is>
      </c>
      <c r="B261" s="2" t="n">
        <v>300</v>
      </c>
      <c r="C261" t="inlineStr">
        <is>
          <t>aproximado</t>
        </is>
      </c>
      <c r="D261" t="inlineStr">
        <is>
          <t>https://www.michelin.es/auto/consejos/cambiar-neumaticos/cuanto-duran-los-neumaticos ; precio: https://www.muchoneumatico.com/comprar-neumaticos/neumaticos-205-55-r16 (probable, no verificado)</t>
        </is>
      </c>
    </row>
    <row r="262">
      <c r="A262" t="inlineStr">
        <is>
          <t>Coste real estimado: edad del coche desde la que se reservan neumáticos si no constan nuevos (años)</t>
        </is>
      </c>
      <c r="B262" s="2" t="n">
        <v>5</v>
      </c>
      <c r="C262" t="inlineStr">
        <is>
          <t>aproximado</t>
        </is>
      </c>
      <c r="D262" t="inlineStr">
        <is>
          <t>https://www.michelin.es/auto/consejos/cambiar-neumaticos/cuanto-duran-los-neumaticos ; precio: https://www.muchoneumatico.com/comprar-neumaticos/neumaticos-205-55-r16 (probable, no verificado)</t>
        </is>
      </c>
    </row>
    <row r="263">
      <c r="A263" s="8" t="inlineStr">
        <is>
          <t>Euro NCAP por generación (la columna 'Euro NCAP' de Anuncios sale de esta tabla). Euro NCAP cambió el protocolo en 2009 (puntuación global con asistencia a la seguridad): las estrellas anteriores y posteriores a 2009 no son comparables. Las de antes son las de adulto.</t>
        </is>
      </c>
    </row>
    <row r="264">
      <c r="A264" s="7" t="inlineStr">
        <is>
          <t>Modelo</t>
        </is>
      </c>
      <c r="B264" s="7" t="inlineStr">
        <is>
          <t>Desde</t>
        </is>
      </c>
      <c r="C264" s="7" t="inlineStr">
        <is>
          <t>Hasta</t>
        </is>
      </c>
      <c r="D264" s="7" t="inlineStr">
        <is>
          <t>Estrellas</t>
        </is>
      </c>
      <c r="E264" s="7" t="inlineStr">
        <is>
          <t>Año ensayo</t>
        </is>
      </c>
      <c r="F264" s="7" t="inlineStr">
        <is>
          <t>Protocolo</t>
        </is>
      </c>
      <c r="G264" s="7" t="inlineStr">
        <is>
          <t>ESP de serie</t>
        </is>
      </c>
      <c r="H264" s="7" t="inlineStr">
        <is>
          <t>Estado</t>
        </is>
      </c>
      <c r="I264" s="7" t="inlineStr">
        <is>
          <t>Fuente</t>
        </is>
      </c>
    </row>
    <row r="265">
      <c r="A265" s="2" t="inlineStr">
        <is>
          <t>Audi A3</t>
        </is>
      </c>
      <c r="B265" s="2" t="n">
        <v>2003</v>
      </c>
      <c r="C265" s="2" t="n">
        <v>2012</v>
      </c>
      <c r="D265" s="2" t="n">
        <v>4</v>
      </c>
      <c r="E265" s="2" t="n">
        <v>2003</v>
      </c>
      <c r="F265" s="2" t="inlineStr">
        <is>
          <t>pre-2009</t>
        </is>
      </c>
      <c r="G265" s="2" t="inlineStr">
        <is>
          <t>sí</t>
        </is>
      </c>
      <c r="H265" s="4" t="inlineStr">
        <is>
          <t>probable (estrellas del espejo autocentrum; ESP de serie en el 1.6 Ambiente 2003 y en el Sportback 1.2 TFSI 2010; años aprox.)</t>
        </is>
      </c>
      <c r="I265" s="4" t="inlineStr">
        <is>
          <t>https://www.autocentrum.pl/euroncap/audi/a3-2003/</t>
        </is>
      </c>
    </row>
    <row r="266">
      <c r="A266" s="2" t="inlineStr">
        <is>
          <t>Audi A4</t>
        </is>
      </c>
      <c r="B266" s="2" t="n">
        <v>2004</v>
      </c>
      <c r="C266" s="2" t="n">
        <v>2008</v>
      </c>
      <c r="D266" s="2" t="n">
        <v>4</v>
      </c>
      <c r="E266" s="2" t="n">
        <v>2001</v>
      </c>
      <c r="F266" s="2" t="inlineStr">
        <is>
          <t>pre-2009</t>
        </is>
      </c>
      <c r="G266" s="2" t="inlineStr">
        <is>
          <t>sí</t>
        </is>
      </c>
      <c r="H266" s="4" t="inlineStr">
        <is>
          <t>probable (el B7 no tiene ensayo propio; son los datos del B6 de 2001, sin estrellas de niño; ESP de serie en el 1.8T de 2005; años aprox.)</t>
        </is>
      </c>
      <c r="I266" s="4" t="inlineStr">
        <is>
          <t>https://www.autocentrum.pl/euroncap/audi/a4-2001/</t>
        </is>
      </c>
    </row>
    <row r="267">
      <c r="A267" s="2" t="inlineStr">
        <is>
          <t>Seat Exeo</t>
        </is>
      </c>
      <c r="B267" s="2" t="n">
        <v>2009</v>
      </c>
      <c r="C267" s="2" t="n">
        <v>2013</v>
      </c>
      <c r="D267" s="2" t="n">
        <v>4</v>
      </c>
      <c r="E267" s="2" t="n">
        <v>2010</v>
      </c>
      <c r="F267" s="2" t="inlineStr">
        <is>
          <t>2009+</t>
        </is>
      </c>
      <c r="G267" s="2" t="inlineStr">
        <is>
          <t>sí</t>
        </is>
      </c>
      <c r="H267" s="4" t="inlineStr">
        <is>
          <t>probable (77/81/50/57 %; Euro NCAP: ESC de serie en todas las versiones; ensayo 2010, no 2009)</t>
        </is>
      </c>
      <c r="I267" s="4" t="inlineStr">
        <is>
          <t>https://www.autocentrum.pl/euroncap/seat/exeo-1.6-reference-lhd-2010/</t>
        </is>
      </c>
    </row>
    <row r="268">
      <c r="A268" s="2" t="inlineStr">
        <is>
          <t>Seat León</t>
        </is>
      </c>
      <c r="B268" s="2" t="n">
        <v>2005</v>
      </c>
      <c r="C268" s="2" t="n">
        <v>2012</v>
      </c>
      <c r="D268" s="2" t="n">
        <v>4</v>
      </c>
      <c r="E268" s="2" t="n">
        <v>2005</v>
      </c>
      <c r="F268" s="2" t="inlineStr">
        <is>
          <t>pre-2009</t>
        </is>
      </c>
      <c r="G268" s="2" t="inlineStr">
        <is>
          <t>opcional</t>
        </is>
      </c>
      <c r="H268" s="4" t="inlineStr">
        <is>
          <t>probable (ESP opcional, 495 €, en el 1.4 85 CV Reference de 2007; años aprox.)</t>
        </is>
      </c>
      <c r="I268" s="4" t="inlineStr">
        <is>
          <t>https://www.autocentrum.pl/euroncap/seat/leon-2005/</t>
        </is>
      </c>
    </row>
    <row r="269">
      <c r="A269" s="2" t="inlineStr">
        <is>
          <t>Honda Civic</t>
        </is>
      </c>
      <c r="B269" s="2" t="n">
        <v>2006</v>
      </c>
      <c r="C269" s="2" t="n">
        <v>2011</v>
      </c>
      <c r="D269" s="2" t="n">
        <v>4</v>
      </c>
      <c r="E269" s="2" t="n">
        <v>2006</v>
      </c>
      <c r="F269" s="2" t="inlineStr">
        <is>
          <t>pre-2009</t>
        </is>
      </c>
      <c r="G269" s="2" t="inlineStr">
        <is>
          <t>sí</t>
        </is>
      </c>
      <c r="H269" s="4" t="inlineStr">
        <is>
          <t>probable (VSA de serie en el Hybrid 2006 y en el 1.4 Comfort 2009; no comprobé el 5p de entrada de 2006; también hay ensayo 2007 con 4/4/3)</t>
        </is>
      </c>
      <c r="I269" s="4" t="inlineStr">
        <is>
          <t>https://www.autocentrum.pl/euroncap/honda/civic-2006/</t>
        </is>
      </c>
    </row>
    <row r="270">
      <c r="A270" s="2" t="inlineStr">
        <is>
          <t>Mazda 3</t>
        </is>
      </c>
      <c r="B270" s="2" t="n">
        <v>2004</v>
      </c>
      <c r="C270" s="2" t="n">
        <v>2009</v>
      </c>
      <c r="D270" s="2" t="n">
        <v>4</v>
      </c>
      <c r="E270" s="2" t="n">
        <v>2006</v>
      </c>
      <c r="F270" s="2" t="inlineStr">
        <is>
          <t>pre-2009</t>
        </is>
      </c>
      <c r="G270" s="2" t="inlineStr">
        <is>
          <t>no/opcional</t>
        </is>
      </c>
      <c r="H270" s="4" t="inlineStr">
        <is>
          <t>probable (ESP no disponible en el 1.6 Active de 2004; DSC opcional, 500 €, en el Sportsedan de 2006; el espejo fecha el ensayo en 2006)</t>
        </is>
      </c>
      <c r="I270" s="4" t="inlineStr">
        <is>
          <t>https://www.autocentrum.pl/euroncap/mazda/3-2006/</t>
        </is>
      </c>
    </row>
    <row r="271">
      <c r="A271" s="2" t="inlineStr">
        <is>
          <t>Mazda 6</t>
        </is>
      </c>
      <c r="B271" s="2" t="n">
        <v>2002</v>
      </c>
      <c r="C271" s="2" t="n">
        <v>2007</v>
      </c>
      <c r="D271" s="2" t="n">
        <v>4</v>
      </c>
      <c r="E271" s="2" t="n">
        <v>2003</v>
      </c>
      <c r="F271" s="2" t="inlineStr">
        <is>
          <t>pre-2009</t>
        </is>
      </c>
      <c r="G271" s="2" t="inlineStr">
        <is>
          <t>sí</t>
        </is>
      </c>
      <c r="H271" s="4" t="inlineStr">
        <is>
          <t>probable (DSC de serie en el 1.8 Active de 2002 y en el Wagon de 2005; hay un 2.º ensayo de 2005 con 4/4/1)</t>
        </is>
      </c>
      <c r="I271" s="4" t="inlineStr">
        <is>
          <t>https://www.autocentrum.pl/euroncap/mazda/6-2003/</t>
        </is>
      </c>
    </row>
    <row r="272">
      <c r="A272" s="2" t="inlineStr">
        <is>
          <t>Honda Accord</t>
        </is>
      </c>
      <c r="B272" s="2" t="n">
        <v>2003</v>
      </c>
      <c r="C272" s="2" t="n">
        <v>2008</v>
      </c>
      <c r="D272" s="2" t="n">
        <v>4</v>
      </c>
      <c r="E272" s="2" t="n">
        <v>2003</v>
      </c>
      <c r="F272" s="2" t="inlineStr">
        <is>
          <t>pre-2009</t>
        </is>
      </c>
      <c r="G272" s="2" t="inlineStr">
        <is>
          <t>no/opcional</t>
        </is>
      </c>
      <c r="H272" s="4" t="inlineStr">
        <is>
          <t>probable (no disponible en el 2.0 Comfort de 2003; de serie en el Tourer Sport de 2006; el espejo no muestra estrellas de niño)</t>
        </is>
      </c>
      <c r="I272" s="4" t="inlineStr">
        <is>
          <t>https://www.autocentrum.pl/euroncap/honda/accord-2003/</t>
        </is>
      </c>
    </row>
    <row r="273">
      <c r="A273" s="2" t="inlineStr">
        <is>
          <t>Toyota Avensis</t>
        </is>
      </c>
      <c r="B273" s="2" t="n">
        <v>2003</v>
      </c>
      <c r="C273" s="2" t="n">
        <v>2008</v>
      </c>
      <c r="D273" s="2" t="n">
        <v>5</v>
      </c>
      <c r="E273" s="2" t="n">
        <v>2003</v>
      </c>
      <c r="F273" s="2" t="inlineStr">
        <is>
          <t>pre-2009</t>
        </is>
      </c>
      <c r="G273" s="2" t="inlineStr">
        <is>
          <t>no/opcional</t>
        </is>
      </c>
      <c r="H273" s="4" t="inlineStr">
        <is>
          <t>probable (VSC no disponible en el 1.8 Sol de 2003; de serie en el Wagon 1.8 Sol de 2006; sin estrellas de niño en el espejo)</t>
        </is>
      </c>
      <c r="I273" s="4" t="inlineStr">
        <is>
          <t>https://www.autocentrum.pl/euroncap/toyota/avensis-2003/</t>
        </is>
      </c>
    </row>
    <row r="274">
      <c r="A274" s="2" t="inlineStr">
        <is>
          <t>Skoda Octavia</t>
        </is>
      </c>
      <c r="B274" s="2" t="n">
        <v>2004</v>
      </c>
      <c r="C274" s="2" t="n">
        <v>2013</v>
      </c>
      <c r="D274" s="2" t="n">
        <v>4</v>
      </c>
      <c r="E274" s="2" t="n">
        <v>2004</v>
      </c>
      <c r="F274" s="2" t="inlineStr">
        <is>
          <t>pre-2009</t>
        </is>
      </c>
      <c r="G274" s="2" t="inlineStr">
        <is>
          <t>opcional</t>
        </is>
      </c>
      <c r="H274" s="4" t="inlineStr">
        <is>
          <t>probable (ESP opcional, 495 €, en el 1.6 Active de 2004; de serie en el 1.2 TSI Active Plus de 2009)</t>
        </is>
      </c>
      <c r="I274" s="4" t="inlineStr">
        <is>
          <t>https://www.autocentrum.pl/euroncap/skoda/octavia-2004/</t>
        </is>
      </c>
    </row>
    <row r="275">
      <c r="A275" s="2" t="inlineStr">
        <is>
          <t>Volkswagen Jetta</t>
        </is>
      </c>
      <c r="B275" s="2" t="n">
        <v>2005</v>
      </c>
      <c r="C275" s="2" t="n">
        <v>2010</v>
      </c>
      <c r="D275" s="2" t="n">
        <v>5</v>
      </c>
      <c r="E275" s="2" t="n">
        <v>2004</v>
      </c>
      <c r="F275" s="2" t="inlineStr">
        <is>
          <t>pre-2009</t>
        </is>
      </c>
      <c r="G275" s="2" t="inlineStr">
        <is>
          <t>sí</t>
        </is>
      </c>
      <c r="H275" s="4" t="inlineStr">
        <is>
          <t>probable (sin ensayo propio; son los datos del Golf V de 2004; ESP de serie en el 1.4 TSI Advance, sin comprobar en todas las versiones)</t>
        </is>
      </c>
      <c r="I275" s="4" t="inlineStr">
        <is>
          <t>https://www.autocentrum.pl/euroncap/volkswagen/golf-1.6-trendline-2004/</t>
        </is>
      </c>
    </row>
    <row r="276">
      <c r="A276" s="2" t="inlineStr">
        <is>
          <t>Volkswagen Golf</t>
        </is>
      </c>
      <c r="B276" s="2" t="n">
        <v>2003</v>
      </c>
      <c r="C276" s="2" t="n">
        <v>2008</v>
      </c>
      <c r="D276" s="2" t="n">
        <v>5</v>
      </c>
      <c r="E276" s="2" t="n">
        <v>2004</v>
      </c>
      <c r="F276" s="2" t="inlineStr">
        <is>
          <t>pre-2009</t>
        </is>
      </c>
      <c r="G276" s="2" t="inlineStr">
        <is>
          <t>sí</t>
        </is>
      </c>
      <c r="H276" s="4" t="inlineStr">
        <is>
          <t>probable (ESP de serie incluso en el Conceptline 1.4 75 CV)</t>
        </is>
      </c>
      <c r="I276" s="4" t="inlineStr">
        <is>
          <t>https://www.autocentrum.pl/euroncap/volkswagen/golf-1.6-trendline-2004/</t>
        </is>
      </c>
    </row>
    <row r="277">
      <c r="A277" s="2" t="inlineStr">
        <is>
          <t>Alfa Romeo 147</t>
        </is>
      </c>
      <c r="B277" s="2" t="n">
        <v>2001</v>
      </c>
      <c r="C277" s="2" t="n">
        <v>2010</v>
      </c>
      <c r="D277" s="2" t="n">
        <v>3</v>
      </c>
      <c r="E277" s="2" t="n">
        <v>2001</v>
      </c>
      <c r="F277" s="2" t="inlineStr">
        <is>
          <t>pre-2009</t>
        </is>
      </c>
      <c r="G277" s="2" t="inlineStr">
        <is>
          <t>opcional</t>
        </is>
      </c>
      <c r="H277" s="4" t="inlineStr">
        <is>
          <t>probable (VDC opcional, 613 €, en el 1.6 Distinctive de 2005; 3★ coincide con el nombre del PDF oficial euroncap_alfa-romeo_147_2001_3stars.pdf, hoy en 404)</t>
        </is>
      </c>
      <c r="I277" s="4" t="inlineStr">
        <is>
          <t>https://www.autocentrum.pl/euroncap/alfa-romeo/147-2001/</t>
        </is>
      </c>
    </row>
    <row r="278">
      <c r="A278" s="2" t="inlineStr">
        <is>
          <t>Alfa Romeo 159</t>
        </is>
      </c>
      <c r="B278" s="2" t="n">
        <v>2005</v>
      </c>
      <c r="C278" s="2" t="n">
        <v>2011</v>
      </c>
      <c r="D278" s="2" t="n">
        <v>5</v>
      </c>
      <c r="E278" s="2" t="n">
        <v>2005</v>
      </c>
      <c r="F278" s="2" t="inlineStr">
        <is>
          <t>pre-2009</t>
        </is>
      </c>
      <c r="G278" s="2" t="inlineStr">
        <is>
          <t>sí</t>
        </is>
      </c>
      <c r="H278" s="4" t="inlineStr">
        <is>
          <t>probable (VDC de serie; el ensayo es de 2005, no 2006)</t>
        </is>
      </c>
      <c r="I278" s="4" t="inlineStr">
        <is>
          <t>https://www.autocentrum.pl/euroncap/alfa-romeo/159-2005/</t>
        </is>
      </c>
    </row>
    <row r="279">
      <c r="A279" s="2" t="inlineStr">
        <is>
          <t>Peugeot 207</t>
        </is>
      </c>
      <c r="B279" s="2" t="n">
        <v>2006</v>
      </c>
      <c r="C279" s="2" t="n">
        <v>2014</v>
      </c>
      <c r="D279" s="2" t="n">
        <v>5</v>
      </c>
      <c r="E279" s="2" t="n">
        <v>2006</v>
      </c>
      <c r="F279" s="2" t="inlineStr">
        <is>
          <t>pre-2009</t>
        </is>
      </c>
      <c r="G279" s="2" t="inlineStr">
        <is>
          <t>opcional</t>
        </is>
      </c>
      <c r="H279" s="4" t="inlineStr">
        <is>
          <t>probable (opcional, 500 €, en el 1.4 Confort de 2006; de serie en el SW Active de 2009)</t>
        </is>
      </c>
      <c r="I279" s="4" t="inlineStr">
        <is>
          <t>https://www.autocentrum.pl/euroncap/peugeot/207-2006/</t>
        </is>
      </c>
    </row>
    <row r="280">
      <c r="A280" s="2" t="inlineStr">
        <is>
          <t>Suzuki Alto</t>
        </is>
      </c>
      <c r="B280" s="2" t="n">
        <v>2009</v>
      </c>
      <c r="C280" s="2" t="n">
        <v>2014</v>
      </c>
      <c r="D280" s="2" t="n">
        <v>3</v>
      </c>
      <c r="E280" s="2" t="n">
        <v>2009</v>
      </c>
      <c r="F280" s="2" t="inlineStr">
        <is>
          <t>2009+</t>
        </is>
      </c>
      <c r="G280" s="2" t="inlineStr">
        <is>
          <t>opcional</t>
        </is>
      </c>
      <c r="H280" s="4" t="inlineStr">
        <is>
          <t>probable (55/46/35/29 %; Euro NCAP: ESC opcional en unas versiones y de serie en otras; km77: 550 € en el 1.0 GA)</t>
        </is>
      </c>
      <c r="I280" s="4" t="inlineStr">
        <is>
          <t>https://www.autocentrum.pl/euroncap/suzuki/alto-1.0-gl-rhd-2009/</t>
        </is>
      </c>
    </row>
    <row r="281">
      <c r="A281" s="2" t="inlineStr">
        <is>
          <t>Mazda 2</t>
        </is>
      </c>
      <c r="B281" s="2" t="n">
        <v>2003</v>
      </c>
      <c r="C281" s="2" t="n">
        <v>2007</v>
      </c>
      <c r="D281" s="2" t="n">
        <v>4</v>
      </c>
      <c r="E281" s="2" t="n">
        <v>2003</v>
      </c>
      <c r="F281" s="2" t="inlineStr">
        <is>
          <t>pre-2009</t>
        </is>
      </c>
      <c r="G281" s="2" t="inlineStr">
        <is>
          <t>no</t>
        </is>
      </c>
      <c r="H281" s="4" t="inlineStr">
        <is>
          <t>probable (DY; ESP no disponible en el 1.2 Active de 2003 ni en el 1.4 de 2006; hay otro ensayo de 2004 con 4/3/2)</t>
        </is>
      </c>
      <c r="I281" s="4" t="inlineStr">
        <is>
          <t>https://www.autocentrum.pl/euroncap/mazda/2-2003/</t>
        </is>
      </c>
    </row>
    <row r="282">
      <c r="A282" s="2" t="inlineStr">
        <is>
          <t>Mazda 2</t>
        </is>
      </c>
      <c r="B282" s="2" t="n">
        <v>2007</v>
      </c>
      <c r="C282" s="2" t="n">
        <v>2014</v>
      </c>
      <c r="D282" s="2" t="n">
        <v>5</v>
      </c>
      <c r="E282" s="2" t="n">
        <v>2007</v>
      </c>
      <c r="F282" s="2" t="inlineStr">
        <is>
          <t>pre-2009</t>
        </is>
      </c>
      <c r="G282" s="2" t="inlineStr">
        <is>
          <t>no</t>
        </is>
      </c>
      <c r="H282" s="4" t="inlineStr">
        <is>
          <t>probable (DE; ESP no disponible en el 1.3 Active de 2011; no comprobé otras versiones)</t>
        </is>
      </c>
      <c r="I282" s="4" t="inlineStr">
        <is>
          <t>https://www.autocentrum.pl/euroncap/mazda/2-1.3-ge-2007/</t>
        </is>
      </c>
    </row>
    <row r="283">
      <c r="A283" s="2" t="inlineStr">
        <is>
          <t>Lancia Ypsilon</t>
        </is>
      </c>
      <c r="B283" s="2" t="n">
        <v>2003</v>
      </c>
      <c r="C283" s="2" t="n">
        <v>2011</v>
      </c>
      <c r="D283" s="2" t="n"/>
      <c r="E283" s="2" t="n"/>
      <c r="F283" s="2" t="inlineStr">
        <is>
          <t>PENDIENTE</t>
        </is>
      </c>
      <c r="G283" s="2" t="inlineStr">
        <is>
          <t>no</t>
        </is>
      </c>
      <c r="H283" s="4" t="inlineStr">
        <is>
          <t>PENDIENTE (Ypsilon 843: no aparece en el espejo de Euro NCAP; cars-data lo da como Not Tested; ESP no disponible en el 1.2 Argento de 2007)</t>
        </is>
      </c>
      <c r="I283" s="4" t="inlineStr">
        <is>
          <t>PENDIENTE</t>
        </is>
      </c>
    </row>
    <row r="284">
      <c r="A284" s="2" t="inlineStr">
        <is>
          <t>Lancia Ypsilon</t>
        </is>
      </c>
      <c r="B284" s="2" t="n">
        <v>2011</v>
      </c>
      <c r="C284" s="2" t="n">
        <v>2024</v>
      </c>
      <c r="D284" s="2" t="n">
        <v>2</v>
      </c>
      <c r="E284" s="2" t="n">
        <v>2015</v>
      </c>
      <c r="F284" s="2" t="inlineStr">
        <is>
          <t>2009+</t>
        </is>
      </c>
      <c r="G284" s="2" t="inlineStr">
        <is>
          <t>sí</t>
        </is>
      </c>
      <c r="H284" s="4" t="inlineStr">
        <is>
          <t>probable (44/79/64/38 %; no se ensayó en 2011, el primer ensayo es de 2015; Euro NCAP: ESC de serie)</t>
        </is>
      </c>
      <c r="I284" s="4" t="inlineStr">
        <is>
          <t>https://www.autocentrum.pl/euroncap/lancia/ypsilon-1.2-gold-lhd-2015/</t>
        </is>
      </c>
    </row>
    <row r="285">
      <c r="A285" s="2" t="inlineStr">
        <is>
          <t>Dacia Sandero</t>
        </is>
      </c>
      <c r="B285" s="2" t="n">
        <v>2008</v>
      </c>
      <c r="C285" s="2" t="n">
        <v>2012</v>
      </c>
      <c r="D285" s="2" t="n">
        <v>3</v>
      </c>
      <c r="E285" s="2" t="n">
        <v>2008</v>
      </c>
      <c r="F285" s="2" t="inlineStr">
        <is>
          <t>pre-2009</t>
        </is>
      </c>
      <c r="G285" s="2" t="inlineStr">
        <is>
          <t>no</t>
        </is>
      </c>
      <c r="H285" s="4" t="inlineStr">
        <is>
          <t>probable (ESP no disponible en el 1.2 Ambiance de 2008 ni en el Stepway de 2009)</t>
        </is>
      </c>
      <c r="I285" s="4" t="inlineStr">
        <is>
          <t>https://www.autocentrum.pl/euroncap/dacia/sandero-1.5-dci-2008/</t>
        </is>
      </c>
    </row>
    <row r="286">
      <c r="A286" s="2" t="inlineStr">
        <is>
          <t>Renault Laguna</t>
        </is>
      </c>
      <c r="B286" s="2" t="n">
        <v>2001</v>
      </c>
      <c r="C286" s="2" t="n">
        <v>2007</v>
      </c>
      <c r="D286" s="2" t="n">
        <v>5</v>
      </c>
      <c r="E286" s="2" t="n">
        <v>2001</v>
      </c>
      <c r="F286" s="2" t="inlineStr">
        <is>
          <t>pre-2009</t>
        </is>
      </c>
      <c r="G286" s="2" t="inlineStr">
        <is>
          <t>sí</t>
        </is>
      </c>
      <c r="H286" s="4" t="inlineStr">
        <is>
          <t>probable (Laguna II; ESP de serie en el 1.6 Authentique de 2001 y en el GT Expression de 2005; reensayo de 2003, también 5★)</t>
        </is>
      </c>
      <c r="I286" s="4" t="inlineStr">
        <is>
          <t>https://www.autocentrum.pl/euroncap/renault/laguna-2001/</t>
        </is>
      </c>
    </row>
    <row r="287">
      <c r="A287" s="2" t="inlineStr">
        <is>
          <t>Renault Laguna</t>
        </is>
      </c>
      <c r="B287" s="2" t="n">
        <v>2007</v>
      </c>
      <c r="C287" s="2" t="n">
        <v>2015</v>
      </c>
      <c r="D287" s="2" t="n">
        <v>5</v>
      </c>
      <c r="E287" s="2" t="n">
        <v>2007</v>
      </c>
      <c r="F287" s="2" t="inlineStr">
        <is>
          <t>pre-2009</t>
        </is>
      </c>
      <c r="G287" s="2" t="inlineStr">
        <is>
          <t>sí</t>
        </is>
      </c>
      <c r="H287" s="4" t="inlineStr">
        <is>
          <t>probable (Laguna III; ESP de serie en el Authentique 1.5 dCi)</t>
        </is>
      </c>
      <c r="I287" s="4" t="inlineStr">
        <is>
          <t>https://www.autocentrum.pl/euroncap/renault/laguna-2007/</t>
        </is>
      </c>
    </row>
    <row r="288">
      <c r="A288" s="2" t="inlineStr">
        <is>
          <t>Opel Corsa</t>
        </is>
      </c>
      <c r="B288" s="2" t="n">
        <v>2000</v>
      </c>
      <c r="C288" s="2" t="n">
        <v>2006</v>
      </c>
      <c r="D288" s="2" t="n">
        <v>4</v>
      </c>
      <c r="E288" s="2" t="n">
        <v>2002</v>
      </c>
      <c r="F288" s="2" t="inlineStr">
        <is>
          <t>pre-2009</t>
        </is>
      </c>
      <c r="G288" s="2" t="inlineStr">
        <is>
          <t>no</t>
        </is>
      </c>
      <c r="H288" s="4" t="inlineStr">
        <is>
          <t>probable (Corsa C; ESP no disponible en el 1.2 Blue Line de 2004; la ficha de 2001 no trae el campo ESP)</t>
        </is>
      </c>
      <c r="I288" s="4" t="inlineStr">
        <is>
          <t>https://www.autocentrum.pl/euroncap/opel/corsa-2002-2002/</t>
        </is>
      </c>
    </row>
    <row r="289">
      <c r="A289" s="2" t="inlineStr">
        <is>
          <t>Opel Corsa</t>
        </is>
      </c>
      <c r="B289" s="2" t="n">
        <v>2006</v>
      </c>
      <c r="C289" s="2" t="n">
        <v>2014</v>
      </c>
      <c r="D289" s="2" t="n">
        <v>5</v>
      </c>
      <c r="E289" s="2" t="n">
        <v>2007</v>
      </c>
      <c r="F289" s="2" t="inlineStr">
        <is>
          <t>pre-2009</t>
        </is>
      </c>
      <c r="G289" s="2" t="inlineStr">
        <is>
          <t>opcional</t>
        </is>
      </c>
      <c r="H289" s="4" t="inlineStr">
        <is>
          <t>probable (Corsa D; ESP opcional, 305 €; el espejo fecha el ensayo en 2007, no 2006)</t>
        </is>
      </c>
      <c r="I289" s="4" t="inlineStr">
        <is>
          <t>https://www.autocentrum.pl/euroncap/opel/corsa-2007/</t>
        </is>
      </c>
    </row>
    <row r="290">
      <c r="A290" s="2" t="inlineStr">
        <is>
          <t>Citroën C2</t>
        </is>
      </c>
      <c r="B290" s="2" t="n">
        <v>2003</v>
      </c>
      <c r="C290" s="2" t="n">
        <v>2009</v>
      </c>
      <c r="D290" s="2" t="n">
        <v>4</v>
      </c>
      <c r="E290" s="2" t="n">
        <v>2003</v>
      </c>
      <c r="F290" s="2" t="inlineStr">
        <is>
          <t>pre-2009</t>
        </is>
      </c>
      <c r="G290" s="2" t="inlineStr">
        <is>
          <t>no</t>
        </is>
      </c>
      <c r="H290" s="4" t="inlineStr">
        <is>
          <t>probable (ESP no disponible en el 1.1i Audace; solo comprobé esa versión)</t>
        </is>
      </c>
      <c r="I290" s="4" t="inlineStr">
        <is>
          <t>https://www.autocentrum.pl/euroncap/citroen/c2-2003/</t>
        </is>
      </c>
    </row>
    <row r="291">
      <c r="A291" s="2" t="inlineStr">
        <is>
          <t>Seat Ibiza</t>
        </is>
      </c>
      <c r="B291" s="2" t="n">
        <v>2002</v>
      </c>
      <c r="C291" s="2" t="n">
        <v>2008</v>
      </c>
      <c r="D291" s="2" t="n">
        <v>4</v>
      </c>
      <c r="E291" s="2" t="n">
        <v>2003</v>
      </c>
      <c r="F291" s="2" t="inlineStr">
        <is>
          <t>pre-2009</t>
        </is>
      </c>
      <c r="G291" s="2" t="inlineStr">
        <is>
          <t>no</t>
        </is>
      </c>
      <c r="H291" s="4" t="inlineStr">
        <is>
          <t>probable (6L; ESP no disponible en el 1.2 Cool de 2002 ni en el Reference de 2006; el espejo fecha el ensayo en 2003)</t>
        </is>
      </c>
      <c r="I291" s="4" t="inlineStr">
        <is>
          <t>https://www.autocentrum.pl/euroncap/seat/ibiza-2003/</t>
        </is>
      </c>
    </row>
    <row r="292">
      <c r="A292" s="2" t="inlineStr">
        <is>
          <t>Seat Ibiza</t>
        </is>
      </c>
      <c r="B292" s="2" t="n">
        <v>2008</v>
      </c>
      <c r="C292" s="2" t="n">
        <v>2017</v>
      </c>
      <c r="D292" s="2" t="n">
        <v>5</v>
      </c>
      <c r="E292" s="2" t="n">
        <v>2008</v>
      </c>
      <c r="F292" s="2" t="inlineStr">
        <is>
          <t>pre-2009</t>
        </is>
      </c>
      <c r="G292" s="2" t="inlineStr">
        <is>
          <t>sí</t>
        </is>
      </c>
      <c r="H292" s="4" t="inlineStr">
        <is>
          <t>probable (6J; ESP de serie en el 1.6 Reference y el 1.4 Sport de 2008 y en el ST 1.0 de 2015; no comprobé el 1.2 de entrada)</t>
        </is>
      </c>
      <c r="I292" s="4" t="inlineStr">
        <is>
          <t>https://www.autocentrum.pl/euroncap/seat/ibiza-1.4-reference-2008/</t>
        </is>
      </c>
    </row>
    <row r="293">
      <c r="A293" s="2" t="inlineStr">
        <is>
          <t>Toyota Yaris</t>
        </is>
      </c>
      <c r="B293" s="2" t="n">
        <v>2005</v>
      </c>
      <c r="C293" s="2" t="n">
        <v>2011</v>
      </c>
      <c r="D293" s="2" t="n">
        <v>5</v>
      </c>
      <c r="E293" s="2" t="n">
        <v>2005</v>
      </c>
      <c r="F293" s="2" t="inlineStr">
        <is>
          <t>pre-2009</t>
        </is>
      </c>
      <c r="G293" s="2" t="inlineStr">
        <is>
          <t>opcional</t>
        </is>
      </c>
      <c r="H293" s="4" t="inlineStr">
        <is>
          <t>probable (VSC opcional: 600 € en 2006, solo con Pack Aire; 450 € en 2010)</t>
        </is>
      </c>
      <c r="I293" s="4" t="inlineStr">
        <is>
          <t>https://www.autocentrum.pl/euroncap/toyota/yaris-2005/</t>
        </is>
      </c>
    </row>
    <row r="294">
      <c r="A294" s="2" t="inlineStr">
        <is>
          <t>Ford Fiesta</t>
        </is>
      </c>
      <c r="B294" s="2" t="n">
        <v>2002</v>
      </c>
      <c r="C294" s="2" t="n">
        <v>2008</v>
      </c>
      <c r="D294" s="2" t="n">
        <v>4</v>
      </c>
      <c r="E294" s="2" t="n">
        <v>2003</v>
      </c>
      <c r="F294" s="2" t="inlineStr">
        <is>
          <t>pre-2009</t>
        </is>
      </c>
      <c r="G294" s="2" t="inlineStr">
        <is>
          <t>no</t>
        </is>
      </c>
      <c r="H294" s="4" t="inlineStr">
        <is>
          <t>probable (Mk6; ESP no disponible en el 1.3 Ambiente de 2002 ni de 2006; el espejo fecha el ensayo en 2003)</t>
        </is>
      </c>
      <c r="I294" s="4" t="inlineStr">
        <is>
          <t>https://www.autocentrum.pl/euroncap/ford/fiesta-2003/</t>
        </is>
      </c>
    </row>
    <row r="295">
      <c r="A295" s="2" t="inlineStr">
        <is>
          <t>Ford Fiesta</t>
        </is>
      </c>
      <c r="B295" s="2" t="n">
        <v>2008</v>
      </c>
      <c r="C295" s="2" t="n">
        <v>2017</v>
      </c>
      <c r="D295" s="2" t="n">
        <v>5</v>
      </c>
      <c r="E295" s="2" t="n">
        <v>2008</v>
      </c>
      <c r="F295" s="2" t="inlineStr">
        <is>
          <t>pre-2009</t>
        </is>
      </c>
      <c r="G295" s="2" t="inlineStr">
        <is>
          <t>opcional</t>
        </is>
      </c>
      <c r="H295" s="4" t="inlineStr">
        <is>
          <t>probable (Mk7; ESP opcional, 450 €, en el Ambiente de 2008; de serie en el ST-Line de 2013)</t>
        </is>
      </c>
      <c r="I295" s="4" t="inlineStr">
        <is>
          <t>https://www.autocentrum.pl/euroncap/ford/fiesta-1.25-trend-2008/</t>
        </is>
      </c>
    </row>
    <row r="296">
      <c r="A296" s="2" t="inlineStr">
        <is>
          <t>Renault Clio</t>
        </is>
      </c>
      <c r="B296" s="2" t="n">
        <v>2005</v>
      </c>
      <c r="C296" s="2" t="n">
        <v>2012</v>
      </c>
      <c r="D296" s="2" t="n">
        <v>5</v>
      </c>
      <c r="E296" s="2" t="n">
        <v>2005</v>
      </c>
      <c r="F296" s="2" t="inlineStr">
        <is>
          <t>pre-2009</t>
        </is>
      </c>
      <c r="G296" s="2" t="inlineStr">
        <is>
          <t>opcional</t>
        </is>
      </c>
      <c r="H296" s="4" t="inlineStr">
        <is>
          <t>probable (Clio III; ESP opcional: 600 € en 2006, 362 € en 2009)</t>
        </is>
      </c>
      <c r="I296" s="4" t="inlineStr">
        <is>
          <t>https://www.autocentrum.pl/euroncap/renault/clio-2005/</t>
        </is>
      </c>
    </row>
    <row r="297">
      <c r="A297" s="2" t="inlineStr">
        <is>
          <t>Volkswagen Polo</t>
        </is>
      </c>
      <c r="B297" s="2" t="n">
        <v>2002</v>
      </c>
      <c r="C297" s="2" t="n">
        <v>2009</v>
      </c>
      <c r="D297" s="2" t="n">
        <v>4</v>
      </c>
      <c r="E297" s="2" t="n">
        <v>2002</v>
      </c>
      <c r="F297" s="2" t="inlineStr">
        <is>
          <t>pre-2009</t>
        </is>
      </c>
      <c r="G297" s="2" t="inlineStr">
        <is>
          <t>opcional</t>
        </is>
      </c>
      <c r="H297" s="4" t="inlineStr">
        <is>
          <t>probable (9N; ESP+ASR+HBA opcional por 970 € en 2002; 605 € en el CrossPolo de 2006)</t>
        </is>
      </c>
      <c r="I297" s="4" t="inlineStr">
        <is>
          <t>https://www.autocentrum.pl/euroncap/volkswagen/polo-2002-2002/</t>
        </is>
      </c>
    </row>
    <row r="298">
      <c r="A298" s="2" t="inlineStr">
        <is>
          <t>Volkswagen Polo</t>
        </is>
      </c>
      <c r="B298" s="2" t="n">
        <v>2009</v>
      </c>
      <c r="C298" s="2" t="n">
        <v>2017</v>
      </c>
      <c r="D298" s="2" t="n">
        <v>5</v>
      </c>
      <c r="E298" s="2" t="n">
        <v>2009</v>
      </c>
      <c r="F298" s="2" t="inlineStr">
        <is>
          <t>2009+</t>
        </is>
      </c>
      <c r="G298" s="2" t="inlineStr">
        <is>
          <t>opcional</t>
        </is>
      </c>
      <c r="H298" s="4" t="inlineStr">
        <is>
          <t>probable (90/86/41/71 %; Euro NCAP 2009: ESC opcional, de serie solo en algunas versiones; km77: de serie en el Polo Cross de 2015)</t>
        </is>
      </c>
      <c r="I298" s="4" t="inlineStr">
        <is>
          <t>https://www.autocentrum.pl/euroncap/volkswagen/vw-polo-1.2-trendline-lhd-2009/</t>
        </is>
      </c>
    </row>
    <row r="299">
      <c r="A299" s="2" t="inlineStr">
        <is>
          <t>Ford Focus</t>
        </is>
      </c>
      <c r="B299" s="2" t="n">
        <v>2004</v>
      </c>
      <c r="C299" s="2" t="n">
        <v>2011</v>
      </c>
      <c r="D299" s="2" t="n">
        <v>5</v>
      </c>
      <c r="E299" s="2" t="n">
        <v>2004</v>
      </c>
      <c r="F299" s="2" t="inlineStr">
        <is>
          <t>pre-2009</t>
        </is>
      </c>
      <c r="G299" s="2" t="inlineStr">
        <is>
          <t>opcional</t>
        </is>
      </c>
      <c r="H299" s="4" t="inlineStr">
        <is>
          <t>probable (ESP opcional, 650 €, incluso en el Ghia 1.6 TDCi de 2005)</t>
        </is>
      </c>
      <c r="I299" s="4" t="inlineStr">
        <is>
          <t>https://www.autocentrum.pl/euroncap/ford/focus-2004/</t>
        </is>
      </c>
    </row>
    <row r="300">
      <c r="A300" s="2" t="inlineStr">
        <is>
          <t>Renault Mégane</t>
        </is>
      </c>
      <c r="B300" s="2" t="n">
        <v>2002</v>
      </c>
      <c r="C300" s="2" t="n">
        <v>2008</v>
      </c>
      <c r="D300" s="2" t="n">
        <v>5</v>
      </c>
      <c r="E300" s="2" t="n">
        <v>2003</v>
      </c>
      <c r="F300" s="2" t="inlineStr">
        <is>
          <t>pre-2009</t>
        </is>
      </c>
      <c r="G300" s="2" t="inlineStr">
        <is>
          <t>opcional</t>
        </is>
      </c>
      <c r="H300" s="4" t="inlineStr">
        <is>
          <t>probable (Mégane II; ESP opcional, 600 €, en el Pack Authentique y el Confort Authentique; el espejo fecha el ensayo en 2003 y no da estrellas de niño)</t>
        </is>
      </c>
      <c r="I300" s="4" t="inlineStr">
        <is>
          <t>https://www.autocentrum.pl/euroncap/renault/megane-2003/</t>
        </is>
      </c>
    </row>
    <row r="301">
      <c r="A301" s="2" t="inlineStr">
        <is>
          <t>Opel Astra</t>
        </is>
      </c>
      <c r="B301" s="2" t="n">
        <v>2004</v>
      </c>
      <c r="C301" s="2" t="n">
        <v>2010</v>
      </c>
      <c r="D301" s="2" t="n">
        <v>5</v>
      </c>
      <c r="E301" s="2" t="n">
        <v>2004</v>
      </c>
      <c r="F301" s="2" t="inlineStr">
        <is>
          <t>pre-2009</t>
        </is>
      </c>
      <c r="G301" s="2" t="inlineStr">
        <is>
          <t>opcional</t>
        </is>
      </c>
      <c r="H301" s="4" t="inlineStr">
        <is>
          <t>probable (Astra H; ESP opcional, 590 €, en el Cosmo 1.7 CDTI de 2004; ESP Plus de serie en el TwinTop de 2007)</t>
        </is>
      </c>
      <c r="I301" s="4" t="inlineStr">
        <is>
          <t>https://www.autocentrum.pl/euroncap/opel/vauxhall-astra-1.6-enjoy-lhd-2004/</t>
        </is>
      </c>
    </row>
    <row r="302">
      <c r="A302" s="2" t="inlineStr">
        <is>
          <t>Peugeot 307</t>
        </is>
      </c>
      <c r="B302" s="2" t="n">
        <v>2001</v>
      </c>
      <c r="C302" s="2" t="n">
        <v>2008</v>
      </c>
      <c r="D302" s="2" t="n">
        <v>4</v>
      </c>
      <c r="E302" s="2" t="n">
        <v>2001</v>
      </c>
      <c r="F302" s="2" t="inlineStr">
        <is>
          <t>pre-2009</t>
        </is>
      </c>
      <c r="G302" s="2" t="inlineStr">
        <is>
          <t>opcional</t>
        </is>
      </c>
      <c r="H302" s="4" t="inlineStr">
        <is>
          <t>probable (de serie en el HDi 136 Speedup, una versión alta, y opcional, 573 €, en el SW D-Sign de 2006; no comprobé las versiones de entrada)</t>
        </is>
      </c>
      <c r="I302" s="4" t="inlineStr">
        <is>
          <t>https://www.autocentrum.pl/euroncap/peugeot/307-2001/</t>
        </is>
      </c>
    </row>
    <row r="303">
      <c r="A303" s="2" t="inlineStr">
        <is>
          <t>Peugeot 308</t>
        </is>
      </c>
      <c r="B303" s="2" t="n">
        <v>2007</v>
      </c>
      <c r="C303" s="2" t="n">
        <v>2013</v>
      </c>
      <c r="D303" s="2" t="n">
        <v>5</v>
      </c>
      <c r="E303" s="2" t="n">
        <v>2007</v>
      </c>
      <c r="F303" s="2" t="inlineStr">
        <is>
          <t>pre-2009</t>
        </is>
      </c>
      <c r="G303" s="2" t="inlineStr">
        <is>
          <t>sí</t>
        </is>
      </c>
      <c r="H303" s="4" t="inlineStr">
        <is>
          <t>probable (ESP de serie en el 1.4 VTi Confort de 2008 y en el SW Access de 2011; hay otro ensayo de 2009, 5★, con el protocolo nuevo)</t>
        </is>
      </c>
      <c r="I303" s="4" t="inlineStr">
        <is>
          <t>https://www.autocentrum.pl/euroncap/peugeot/308-2007/</t>
        </is>
      </c>
    </row>
    <row r="304">
      <c r="A304" s="2" t="inlineStr">
        <is>
          <t>Citroën C3</t>
        </is>
      </c>
      <c r="B304" s="2" t="n">
        <v>2002</v>
      </c>
      <c r="C304" s="2" t="n">
        <v>2009</v>
      </c>
      <c r="D304" s="2" t="n">
        <v>4</v>
      </c>
      <c r="E304" s="2" t="n">
        <v>2003</v>
      </c>
      <c r="F304" s="2" t="inlineStr">
        <is>
          <t>pre-2009</t>
        </is>
      </c>
      <c r="G304" s="2" t="inlineStr">
        <is>
          <t>no</t>
        </is>
      </c>
      <c r="H304" s="4" t="inlineStr">
        <is>
          <t>probable (C3 I; ESP no disponible en el 1.1i Furio de 2002 ni en el Cool de 2006)</t>
        </is>
      </c>
      <c r="I304" s="4" t="inlineStr">
        <is>
          <t>https://www.autocentrum.pl/euroncap/citroen/c3-2003/</t>
        </is>
      </c>
    </row>
    <row r="305">
      <c r="A305" s="2" t="inlineStr">
        <is>
          <t>Citroën C3</t>
        </is>
      </c>
      <c r="B305" s="2" t="n">
        <v>2009</v>
      </c>
      <c r="C305" s="2" t="n">
        <v>2016</v>
      </c>
      <c r="D305" s="2" t="n">
        <v>4</v>
      </c>
      <c r="E305" s="2" t="n">
        <v>2009</v>
      </c>
      <c r="F305" s="2" t="inlineStr">
        <is>
          <t>2009+</t>
        </is>
      </c>
      <c r="G305" s="2" t="inlineStr">
        <is>
          <t>opcional</t>
        </is>
      </c>
      <c r="H305" s="4" t="inlineStr">
        <is>
          <t>probable (83/74/33/40 %; Euro NCAP 2009: ESC disponible pero no de serie en suficientes unidades; km77: de serie en el Attraction BlueHDi de 2013)</t>
        </is>
      </c>
      <c r="I305" s="4" t="inlineStr">
        <is>
          <t>https://www.autocentrum.pl/euroncap/citroen/c3-1.4-diesel-lhd-2009/</t>
        </is>
      </c>
    </row>
    <row r="306">
      <c r="A306" s="2" t="inlineStr">
        <is>
          <t>Toyota Corolla</t>
        </is>
      </c>
      <c r="B306" s="2" t="n">
        <v>2002</v>
      </c>
      <c r="C306" s="2" t="n">
        <v>2007</v>
      </c>
      <c r="D306" s="2" t="n">
        <v>4</v>
      </c>
      <c r="E306" s="2" t="n">
        <v>2003</v>
      </c>
      <c r="F306" s="2" t="inlineStr">
        <is>
          <t>pre-2009</t>
        </is>
      </c>
      <c r="G306" s="2" t="inlineStr">
        <is>
          <t>PENDIENTE</t>
        </is>
      </c>
      <c r="H306" s="4" t="inlineStr">
        <is>
          <t>probable para las estrellas (el espejo fecha el ensayo en 2003; el resumen habla de un coche sin airbags laterales). ESP: la ficha base de 2002 no trae el campo; de serie en el Wagon Luna de 2006</t>
        </is>
      </c>
      <c r="I306" s="4" t="inlineStr">
        <is>
          <t>https://www.autocentrum.pl/euroncap/toyota/corolla-2003/</t>
        </is>
      </c>
    </row>
    <row r="307">
      <c r="A307" s="2" t="inlineStr">
        <is>
          <t>Toyota Auris</t>
        </is>
      </c>
      <c r="B307" s="2" t="n">
        <v>2007</v>
      </c>
      <c r="C307" s="2" t="n">
        <v>2012</v>
      </c>
      <c r="D307" s="2" t="n">
        <v>5</v>
      </c>
      <c r="E307" s="2" t="n">
        <v>2007</v>
      </c>
      <c r="F307" s="2" t="inlineStr">
        <is>
          <t>pre-2009</t>
        </is>
      </c>
      <c r="G307" s="2" t="inlineStr">
        <is>
          <t>opcional</t>
        </is>
      </c>
      <c r="H307" s="4" t="inlineStr">
        <is>
          <t>probable (VSC+TRC opcional, 520 €, en el 1.33 Active de 2010)</t>
        </is>
      </c>
      <c r="I307" s="4" t="inlineStr">
        <is>
          <t>https://www.autocentrum.pl/euroncap/toyota/auris-2007/</t>
        </is>
      </c>
    </row>
    <row r="308">
      <c r="A308" s="2" t="inlineStr">
        <is>
          <t>Honda Jazz</t>
        </is>
      </c>
      <c r="B308" s="2" t="n">
        <v>2002</v>
      </c>
      <c r="C308" s="2" t="n">
        <v>2008</v>
      </c>
      <c r="D308" s="2" t="n">
        <v>4</v>
      </c>
      <c r="E308" s="2" t="n">
        <v>2004</v>
      </c>
      <c r="F308" s="2" t="inlineStr">
        <is>
          <t>pre-2009</t>
        </is>
      </c>
      <c r="G308" s="2" t="inlineStr">
        <is>
          <t>no</t>
        </is>
      </c>
      <c r="H308" s="4" t="inlineStr">
        <is>
          <t>probable (Jazz II; el espejo fecha el ensayo en 2004; ESP no disponible en 2002 ni en 2005)</t>
        </is>
      </c>
      <c r="I308" s="4" t="inlineStr">
        <is>
          <t>https://www.autocentrum.pl/euroncap/honda/jazz-1.4-se-rhd-2004/</t>
        </is>
      </c>
    </row>
    <row r="309">
      <c r="A309" s="2" t="inlineStr">
        <is>
          <t>Honda Jazz</t>
        </is>
      </c>
      <c r="B309" s="2" t="n">
        <v>2008</v>
      </c>
      <c r="C309" s="2" t="n">
        <v>2015</v>
      </c>
      <c r="D309" s="2" t="n">
        <v>5</v>
      </c>
      <c r="E309" s="2" t="n">
        <v>2009</v>
      </c>
      <c r="F309" s="2" t="inlineStr">
        <is>
          <t>2009+</t>
        </is>
      </c>
      <c r="G309" s="2" t="inlineStr">
        <is>
          <t>sí</t>
        </is>
      </c>
      <c r="H309" s="4" t="inlineStr">
        <is>
          <t>probable (78/79/60/71 %; Euro NCAP 2009: ESC opcional en la mayoría de países y de serie en toda Europa desde enero de 2010; km77: VSA de serie en el Elegance de 2009 y en el 1.2 de 2011)</t>
        </is>
      </c>
      <c r="I309" s="4" t="inlineStr">
        <is>
          <t>https://www.autocentrum.pl/euroncap/honda/jazz-1.4-es-lhd-2009/</t>
        </is>
      </c>
    </row>
    <row r="310">
      <c r="A310" s="2" t="inlineStr">
        <is>
          <t>Kia Rio</t>
        </is>
      </c>
      <c r="B310" s="2" t="n">
        <v>2005</v>
      </c>
      <c r="C310" s="2" t="n">
        <v>2011</v>
      </c>
      <c r="D310" s="2" t="n">
        <v>4</v>
      </c>
      <c r="E310" s="2" t="n">
        <v>2005</v>
      </c>
      <c r="F310" s="2" t="inlineStr">
        <is>
          <t>pre-2009</t>
        </is>
      </c>
      <c r="G310" s="2" t="inlineStr">
        <is>
          <t>no</t>
        </is>
      </c>
      <c r="H310" s="4" t="inlineStr">
        <is>
          <t>probable (ESP no disponible en el 1.4 EX1 de 2005)</t>
        </is>
      </c>
      <c r="I310" s="4" t="inlineStr">
        <is>
          <t>https://www.autocentrum.pl/euroncap/kia/rio-2005/</t>
        </is>
      </c>
    </row>
    <row r="311">
      <c r="A311" s="2" t="inlineStr">
        <is>
          <t>Hyundai i20</t>
        </is>
      </c>
      <c r="B311" s="2" t="n">
        <v>2008</v>
      </c>
      <c r="C311" s="2" t="n">
        <v>2014</v>
      </c>
      <c r="D311" s="2" t="n">
        <v>5</v>
      </c>
      <c r="E311" s="2" t="n">
        <v>2009</v>
      </c>
      <c r="F311" s="2" t="inlineStr">
        <is>
          <t>2009+</t>
        </is>
      </c>
      <c r="G311" s="2" t="inlineStr">
        <is>
          <t>no/opcional</t>
        </is>
      </c>
      <c r="H311" s="4" t="inlineStr">
        <is>
          <t>probable (88/83/64/86 %; Euro NCAP: ESC de serie en unas versiones y opcional en otras; km77: no disponible en el Classic de 2009, de serie en el City S de 2012)</t>
        </is>
      </c>
      <c r="I311" s="4" t="inlineStr">
        <is>
          <t>https://www.autocentrum.pl/euroncap/hyundai/i20-1.4-gl-lhd-2009/</t>
        </is>
      </c>
    </row>
    <row r="312">
      <c r="A312" s="2" t="inlineStr">
        <is>
          <t>Fiat Punto</t>
        </is>
      </c>
      <c r="B312" s="2" t="n">
        <v>2005</v>
      </c>
      <c r="C312" s="2" t="n">
        <v>2012</v>
      </c>
      <c r="D312" s="2" t="n">
        <v>5</v>
      </c>
      <c r="E312" s="2" t="n">
        <v>2005</v>
      </c>
      <c r="F312" s="2" t="inlineStr">
        <is>
          <t>pre-2009</t>
        </is>
      </c>
      <c r="G312" s="2" t="inlineStr">
        <is>
          <t>no</t>
        </is>
      </c>
      <c r="H312" s="4" t="inlineStr">
        <is>
          <t>probable (Grande Punto; ESP no disponible en el 1.2 Active de 2006; no comprobé versiones altas ni el Punto Evo)</t>
        </is>
      </c>
      <c r="I312" s="4" t="inlineStr">
        <is>
          <t>https://www.autocentrum.pl/euroncap/fiat/punto-2005/</t>
        </is>
      </c>
    </row>
    <row r="313">
      <c r="A313" s="2" t="inlineStr">
        <is>
          <t>Skoda Fabia</t>
        </is>
      </c>
      <c r="B313" s="2" t="n">
        <v>2000</v>
      </c>
      <c r="C313" s="2" t="n">
        <v>2007</v>
      </c>
      <c r="D313" s="2" t="n">
        <v>4</v>
      </c>
      <c r="E313" s="2" t="n">
        <v>2000</v>
      </c>
      <c r="F313" s="2" t="inlineStr">
        <is>
          <t>pre-2009</t>
        </is>
      </c>
      <c r="G313" s="2" t="inlineStr">
        <is>
          <t>PENDIENTE</t>
        </is>
      </c>
      <c r="H313" s="4" t="inlineStr">
        <is>
          <t>probable para las estrellas (Fabia I); ESP PENDIENTE: no encontré la generación en km77</t>
        </is>
      </c>
      <c r="I313" s="4" t="inlineStr">
        <is>
          <t>https://www.autocentrum.pl/euroncap/skoda/fabia-1.4-classic-2000/</t>
        </is>
      </c>
    </row>
    <row r="314">
      <c r="A314" s="2" t="inlineStr">
        <is>
          <t>Skoda Fabia</t>
        </is>
      </c>
      <c r="B314" s="2" t="n">
        <v>2007</v>
      </c>
      <c r="C314" s="2" t="n">
        <v>2014</v>
      </c>
      <c r="D314" s="2" t="n">
        <v>4</v>
      </c>
      <c r="E314" s="2" t="n">
        <v>2007</v>
      </c>
      <c r="F314" s="2" t="inlineStr">
        <is>
          <t>pre-2009</t>
        </is>
      </c>
      <c r="G314" s="2" t="inlineStr">
        <is>
          <t>opcional</t>
        </is>
      </c>
      <c r="H314" s="4" t="inlineStr">
        <is>
          <t>probable (Fabia II; ESP opcional, 385 €, en el 1.2 60 CV Urban)</t>
        </is>
      </c>
      <c r="I314" s="4" t="inlineStr">
        <is>
          <t>https://www.autocentrum.pl/euroncap/skoda/fabia-2007/</t>
        </is>
      </c>
    </row>
    <row r="315">
      <c r="A315" s="2" t="inlineStr">
        <is>
          <t>Ford Mondeo</t>
        </is>
      </c>
      <c r="B315" s="2" t="n">
        <v>2000</v>
      </c>
      <c r="C315" s="2" t="n">
        <v>2007</v>
      </c>
      <c r="D315" s="2" t="n">
        <v>4</v>
      </c>
      <c r="E315" s="2" t="n">
        <v>2001</v>
      </c>
      <c r="F315" s="2" t="inlineStr">
        <is>
          <t>pre-2009</t>
        </is>
      </c>
      <c r="G315" s="2" t="inlineStr">
        <is>
          <t>opcional</t>
        </is>
      </c>
      <c r="H315" s="4" t="inlineStr">
        <is>
          <t>probable (Mondeo III; ESP opcional, 650 €, en 2001 y en 2005; hay otro ensayo de 2002 con 4/2)</t>
        </is>
      </c>
      <c r="I315" s="4" t="inlineStr">
        <is>
          <t>https://www.autocentrum.pl/euroncap/ford/mondeo-2001/</t>
        </is>
      </c>
    </row>
    <row r="316">
      <c r="A316" s="2" t="inlineStr">
        <is>
          <t>Ford Mondeo</t>
        </is>
      </c>
      <c r="B316" s="2" t="n">
        <v>2007</v>
      </c>
      <c r="C316" s="2" t="n">
        <v>2014</v>
      </c>
      <c r="D316" s="2" t="n">
        <v>5</v>
      </c>
      <c r="E316" s="2" t="n">
        <v>2007</v>
      </c>
      <c r="F316" s="2" t="inlineStr">
        <is>
          <t>pre-2009</t>
        </is>
      </c>
      <c r="G316" s="2" t="inlineStr">
        <is>
          <t>sí</t>
        </is>
      </c>
      <c r="H316" s="4" t="inlineStr">
        <is>
          <t>probable (Mondeo IV; ESP/IVD de serie en el Ambiente 1.6 de 2007)</t>
        </is>
      </c>
      <c r="I316" s="4" t="inlineStr">
        <is>
          <t>https://www.autocentrum.pl/euroncap/ford/mondeo-2007/</t>
        </is>
      </c>
    </row>
    <row r="317">
      <c r="A317" s="2" t="inlineStr">
        <is>
          <t>Renault Twingo</t>
        </is>
      </c>
      <c r="B317" s="2" t="n">
        <v>2007</v>
      </c>
      <c r="C317" s="2" t="n">
        <v>2014</v>
      </c>
      <c r="D317" s="2" t="n">
        <v>4</v>
      </c>
      <c r="E317" s="2" t="n">
        <v>2007</v>
      </c>
      <c r="F317" s="2" t="inlineStr">
        <is>
          <t>pre-2009</t>
        </is>
      </c>
      <c r="G317" s="2" t="inlineStr">
        <is>
          <t>no/opcional</t>
        </is>
      </c>
      <c r="H317" s="4" t="inlineStr">
        <is>
          <t>probable (el espejo no muestra estrellas de niño, raro para 2007: conviene verificarlo; ESP no disponible en el Access de 2007, opcional por 465 € en el Emotion de 2012)</t>
        </is>
      </c>
      <c r="I317" s="4" t="inlineStr">
        <is>
          <t>https://www.autocentrum.pl/euroncap/renault/twingo-2007/</t>
        </is>
      </c>
    </row>
    <row r="318">
      <c r="A318" s="2" t="inlineStr">
        <is>
          <t>Fiat Panda</t>
        </is>
      </c>
      <c r="B318" s="2" t="n">
        <v>2003</v>
      </c>
      <c r="C318" s="2" t="n">
        <v>2012</v>
      </c>
      <c r="D318" s="2" t="n">
        <v>3</v>
      </c>
      <c r="E318" s="2" t="n">
        <v>2004</v>
      </c>
      <c r="F318" s="2" t="inlineStr">
        <is>
          <t>pre-2009</t>
        </is>
      </c>
      <c r="G318" s="2" t="inlineStr">
        <is>
          <t>no</t>
        </is>
      </c>
      <c r="H318" s="4" t="inlineStr">
        <is>
          <t>probable (Panda II; el espejo fecha el ensayo en 2004; ESP no disponible en el 1.2 Dynamic; solo comprobé esa versión)</t>
        </is>
      </c>
      <c r="I318" s="4" t="inlineStr">
        <is>
          <t>https://www.autocentrum.pl/euroncap/fiat/panda-2004/</t>
        </is>
      </c>
    </row>
    <row r="319">
      <c r="A319" s="2" t="inlineStr">
        <is>
          <t>Hyundai i10</t>
        </is>
      </c>
      <c r="B319" s="2" t="n">
        <v>2008</v>
      </c>
      <c r="C319" s="2" t="n">
        <v>2013</v>
      </c>
      <c r="D319" s="2" t="n">
        <v>4</v>
      </c>
      <c r="E319" s="2" t="n">
        <v>2008</v>
      </c>
      <c r="F319" s="2" t="inlineStr">
        <is>
          <t>pre-2009</t>
        </is>
      </c>
      <c r="G319" s="2" t="inlineStr">
        <is>
          <t>no</t>
        </is>
      </c>
      <c r="H319" s="4" t="inlineStr">
        <is>
          <t>probable (ESP no disponible en el 1.1 Classic de 2008 ni de 2011)</t>
        </is>
      </c>
      <c r="I319" s="4" t="inlineStr">
        <is>
          <t>https://www.autocentrum.pl/euroncap/hyundai/i10-1.1-gls-2008/</t>
        </is>
      </c>
    </row>
    <row r="320">
      <c r="A320" s="2" t="inlineStr">
        <is>
          <t>Kia Picanto</t>
        </is>
      </c>
      <c r="B320" s="2" t="n">
        <v>2004</v>
      </c>
      <c r="C320" s="2" t="n">
        <v>2011</v>
      </c>
      <c r="D320" s="2" t="n">
        <v>3</v>
      </c>
      <c r="E320" s="2" t="n">
        <v>2004</v>
      </c>
      <c r="F320" s="2" t="inlineStr">
        <is>
          <t>pre-2009</t>
        </is>
      </c>
      <c r="G320" s="2" t="inlineStr">
        <is>
          <t>no</t>
        </is>
      </c>
      <c r="H320" s="4" t="inlineStr">
        <is>
          <t>probable (ESP no disponible en el 1.0 Concept de 2004 ni de 2010)</t>
        </is>
      </c>
      <c r="I320" s="4" t="inlineStr">
        <is>
          <t>https://www.autocentrum.pl/euroncap/kia/picanto-2004/</t>
        </is>
      </c>
    </row>
    <row r="321">
      <c r="A321" s="2" t="inlineStr">
        <is>
          <t>Kia Picanto</t>
        </is>
      </c>
      <c r="B321" s="2" t="n">
        <v>2011</v>
      </c>
      <c r="C321" s="2" t="n">
        <v>2017</v>
      </c>
      <c r="D321" s="2" t="n">
        <v>4</v>
      </c>
      <c r="E321" s="2" t="n">
        <v>2011</v>
      </c>
      <c r="F321" s="2" t="inlineStr">
        <is>
          <t>2009+</t>
        </is>
      </c>
      <c r="G321" s="2" t="inlineStr">
        <is>
          <t>opcional</t>
        </is>
      </c>
      <c r="H321" s="4" t="inlineStr">
        <is>
          <t>probable (86/83/47/43 %; Euro NCAP: ESC solo opcional y no puntuado; km77: 461 € en el Basic de 2011, de serie en 2015)</t>
        </is>
      </c>
      <c r="I321" s="4" t="inlineStr">
        <is>
          <t>https://www.autocentrum.pl/euroncap/kia/picanto-1.0-lx-lhd-2011/</t>
        </is>
      </c>
    </row>
    <row r="322">
      <c r="A322" s="2" t="inlineStr">
        <is>
          <t>Chevrolet Aveo</t>
        </is>
      </c>
      <c r="B322" s="2" t="n">
        <v>2006</v>
      </c>
      <c r="C322" s="2" t="n">
        <v>2011</v>
      </c>
      <c r="D322" s="2" t="n">
        <v>2</v>
      </c>
      <c r="E322" s="2" t="n">
        <v>2006</v>
      </c>
      <c r="F322" s="2" t="inlineStr">
        <is>
          <t>pre-2009</t>
        </is>
      </c>
      <c r="G322" s="2" t="inlineStr">
        <is>
          <t>no</t>
        </is>
      </c>
      <c r="H322" s="4" t="inlineStr">
        <is>
          <t>probable (Aveo sedán T200/T250: 2★ de adulto con una tachada por riesgo en el pecho del conductor, según la prensa de 2006; autocentrum lo muestra como 1★. El Kalos/Aveo 5p de 2006 sacó 3/3/2. ESP no disponible ni en 2006 ni en 2008)</t>
        </is>
      </c>
      <c r="I322" s="4" t="inlineStr">
        <is>
          <t>https://www.autocentrum.pl/euroncap/chevrolet/aveo-2006/</t>
        </is>
      </c>
    </row>
    <row r="323">
      <c r="A323" s="2" t="inlineStr">
        <is>
          <t>Chevrolet Aveo</t>
        </is>
      </c>
      <c r="B323" s="2" t="n">
        <v>2011</v>
      </c>
      <c r="C323" s="2" t="n">
        <v>2015</v>
      </c>
      <c r="D323" s="2" t="n">
        <v>5</v>
      </c>
      <c r="E323" s="2" t="n">
        <v>2011</v>
      </c>
      <c r="F323" s="2" t="inlineStr">
        <is>
          <t>2009+</t>
        </is>
      </c>
      <c r="G323" s="2" t="inlineStr">
        <is>
          <t>sí</t>
        </is>
      </c>
      <c r="H323" s="4" t="inlineStr">
        <is>
          <t>probable (T300; 95/87/54/93 %; Euro NCAP: ESC de serie)</t>
        </is>
      </c>
      <c r="I323" s="4" t="inlineStr">
        <is>
          <t>https://www.autocentrum.pl/euroncap/chevrolet/aveo-1.2-lt-lhd-2011/</t>
        </is>
      </c>
    </row>
    <row r="324">
      <c r="A324" s="2" t="inlineStr">
        <is>
          <t>Nissan Micra</t>
        </is>
      </c>
      <c r="B324" s="2" t="n">
        <v>2003</v>
      </c>
      <c r="C324" s="2" t="n">
        <v>2010</v>
      </c>
      <c r="D324" s="2" t="n">
        <v>4</v>
      </c>
      <c r="E324" s="2" t="n">
        <v>2003</v>
      </c>
      <c r="F324" s="2" t="inlineStr">
        <is>
          <t>pre-2009</t>
        </is>
      </c>
      <c r="G324" s="2" t="inlineStr">
        <is>
          <t>no</t>
        </is>
      </c>
      <c r="H324" s="4" t="inlineStr">
        <is>
          <t>probable (K12; ESP no disponible en el Visia de 2003 ni en el 25 Aniversario de 2008)</t>
        </is>
      </c>
      <c r="I324" s="4" t="inlineStr">
        <is>
          <t>https://www.autocentrum.pl/euroncap/nissan/micra-2003/</t>
        </is>
      </c>
    </row>
    <row r="325">
      <c r="A325" s="2" t="inlineStr">
        <is>
          <t>Citroën C4</t>
        </is>
      </c>
      <c r="B325" s="2" t="n">
        <v>2004</v>
      </c>
      <c r="C325" s="2" t="n">
        <v>2010</v>
      </c>
      <c r="D325" s="2" t="n">
        <v>5</v>
      </c>
      <c r="E325" s="2" t="n">
        <v>2004</v>
      </c>
      <c r="F325" s="2" t="inlineStr">
        <is>
          <t>pre-2009</t>
        </is>
      </c>
      <c r="G325" s="2" t="inlineStr">
        <is>
          <t>opcional</t>
        </is>
      </c>
      <c r="H325" s="4" t="inlineStr">
        <is>
          <t>probable (ESP opcional, 300 €, en el 1.4 Collection de 2005; no disponible en el C4 Sedán 1.6 Collection de 2008)</t>
        </is>
      </c>
      <c r="I325" s="4" t="inlineStr">
        <is>
          <t>https://www.autocentrum.pl/euroncap/citroen/c4-2004/</t>
        </is>
      </c>
    </row>
    <row r="326">
      <c r="A326" s="2" t="inlineStr">
        <is>
          <t>Seat Altea</t>
        </is>
      </c>
      <c r="B326" s="2" t="n">
        <v>2004</v>
      </c>
      <c r="C326" s="2" t="n">
        <v>2015</v>
      </c>
      <c r="D326" s="2" t="n">
        <v>5</v>
      </c>
      <c r="E326" s="2" t="n">
        <v>2004</v>
      </c>
      <c r="F326" s="2" t="inlineStr">
        <is>
          <t>pre-2009</t>
        </is>
      </c>
      <c r="G326" s="2" t="inlineStr">
        <is>
          <t>opcional</t>
        </is>
      </c>
      <c r="H326" s="4" t="inlineStr">
        <is>
          <t>probable (ESP opcional, 540 €, en el 1.4 Sunrise de 2004; años posteriores sin comprobar)</t>
        </is>
      </c>
      <c r="I326" s="4" t="inlineStr">
        <is>
          <t>https://www.autocentrum.pl/euroncap/seat/altea-2004/</t>
        </is>
      </c>
    </row>
    <row r="327">
      <c r="A327" s="2" t="inlineStr">
        <is>
          <t>Opel Meriva</t>
        </is>
      </c>
      <c r="B327" s="2" t="n">
        <v>2003</v>
      </c>
      <c r="C327" s="2" t="n">
        <v>2010</v>
      </c>
      <c r="D327" s="2" t="n">
        <v>4</v>
      </c>
      <c r="E327" s="2" t="n">
        <v>2003</v>
      </c>
      <c r="F327" s="2" t="inlineStr">
        <is>
          <t>pre-2009</t>
        </is>
      </c>
      <c r="G327" s="2" t="inlineStr">
        <is>
          <t>no/opcional</t>
        </is>
      </c>
      <c r="H327" s="4" t="inlineStr">
        <is>
          <t>probable (Meriva A; ESP no disponible en el Cosmo 1.3 CDTI de 2003, opcional por 420 € en el de 2006)</t>
        </is>
      </c>
      <c r="I327" s="4" t="inlineStr">
        <is>
          <t>https://www.autocentrum.pl/euroncap/opel/meriva-2003/</t>
        </is>
      </c>
    </row>
    <row r="329">
      <c r="A329" t="inlineStr">
        <is>
          <t>Diésel sin fuente de fiabilidad del motor (Mot. con fuente = 0): la fiabilidad del modelo se limita a NEUTRO (tratamiento de dato pendiente); además se aplica el ajuste por combustible (DPF).</t>
        </is>
      </c>
    </row>
    <row r="331">
      <c r="A331" s="8" t="inlineStr">
        <is>
          <t>Consumo real de gasolina (l/100 km) — aproximado (registros individuales de Spritmonitor/Autokostencheck vistos en resúmenes de búsqueda; no hay media oficial por modelo). IDAE: PENDIENTE</t>
        </is>
      </c>
    </row>
    <row r="332">
      <c r="A332" t="inlineStr">
        <is>
          <t>Consumo: referencia para 100 puntos (l/100 km)</t>
        </is>
      </c>
      <c r="B332" s="2" t="n">
        <v>5.5</v>
      </c>
      <c r="C332" t="inlineStr">
        <is>
          <t>criterio</t>
        </is>
      </c>
      <c r="D332" t="inlineStr">
        <is>
          <t>fiscal.yaml → consumo_estimado</t>
        </is>
      </c>
    </row>
    <row r="333">
      <c r="A333" t="inlineStr">
        <is>
          <t>Consumo: referencia para 0 puntos (l/100 km)</t>
        </is>
      </c>
      <c r="B333" s="2" t="n">
        <v>9</v>
      </c>
      <c r="C333" t="inlineStr">
        <is>
          <t>criterio</t>
        </is>
      </c>
      <c r="D333" t="inlineStr">
        <is>
          <t>fiscal.yaml → consumo_estimado</t>
        </is>
      </c>
    </row>
    <row r="334">
      <c r="A334" s="7" t="inlineStr">
        <is>
          <t>Modelo</t>
        </is>
      </c>
      <c r="B334" s="7" t="inlineStr">
        <is>
          <t>l/100 km</t>
        </is>
      </c>
      <c r="C334" s="7" t="inlineStr">
        <is>
          <t>Estado</t>
        </is>
      </c>
      <c r="D334" s="7" t="inlineStr">
        <is>
          <t>Fuente</t>
        </is>
      </c>
    </row>
    <row r="335">
      <c r="A335" s="2" t="inlineStr">
        <is>
          <t>Toyota Avensis</t>
        </is>
      </c>
      <c r="B335" s="2" t="n">
        <v>7</v>
      </c>
      <c r="C335" t="inlineStr">
        <is>
          <t>aproximado</t>
        </is>
      </c>
      <c r="D335" t="inlineStr">
        <is>
          <t>Spritmonitor 1.8 2003-06: 6,52 (177.281 km) y 7,38 https://www.spritmonitor.de/de/detailansicht/712367.html</t>
        </is>
      </c>
    </row>
    <row r="336">
      <c r="A336" s="2" t="inlineStr">
        <is>
          <t>Mazda 6</t>
        </is>
      </c>
      <c r="B336" s="2" t="n">
        <v>7.8</v>
      </c>
      <c r="C336" t="inlineStr">
        <is>
          <t>aproximado</t>
        </is>
      </c>
      <c r="D336" t="inlineStr">
        <is>
          <t>Spritmonitor 2.0 GG/GY: 7,74 / 8,18 / 7,62 https://www.spritmonitor.de/de/detailansicht/532407.html</t>
        </is>
      </c>
    </row>
    <row r="337">
      <c r="A337" s="2" t="inlineStr">
        <is>
          <t>Honda Accord</t>
        </is>
      </c>
      <c r="B337" s="2" t="n">
        <v>8.300000000000001</v>
      </c>
      <c r="C337" t="inlineStr">
        <is>
          <t>aproximado</t>
        </is>
      </c>
      <c r="D337" t="inlineStr">
        <is>
          <t>Spritmonitor 2.0 manual 2005-07: 8,23-8,42 (automático 8,65-10,0) https://www.spritmonitor.de/de/detailansicht/1417606.html</t>
        </is>
      </c>
    </row>
    <row r="338">
      <c r="A338" s="2" t="inlineStr">
        <is>
          <t>Audi A4</t>
        </is>
      </c>
      <c r="B338" s="2" t="n">
        <v>8.4</v>
      </c>
      <c r="C338" t="inlineStr">
        <is>
          <t>aproximado</t>
        </is>
      </c>
      <c r="D338" t="inlineStr">
        <is>
          <t>Spritmonitor 2.0 TFSI B7: 7,91 / 8,86 / 8,39 https://www.spritmonitor.de/de/detailansicht/655121.html (2.0 atmosférico 130 CV: PENDIENTE)</t>
        </is>
      </c>
    </row>
    <row r="339">
      <c r="A339" s="2" t="inlineStr">
        <is>
          <t>Skoda Octavia</t>
        </is>
      </c>
      <c r="B339" s="2" t="n">
        <v>6.9</v>
      </c>
      <c r="C339" t="inlineStr">
        <is>
          <t>aproximado</t>
        </is>
      </c>
      <c r="D339" t="inlineStr">
        <is>
          <t>Spritmonitor 1.6 MPI: 6,41 / 6,92 / 7,41 https://www.spritmonitor.de/de/detailansicht/669392.html</t>
        </is>
      </c>
    </row>
    <row r="340">
      <c r="A340" s="7" t="inlineStr">
        <is>
          <t>Segmento</t>
        </is>
      </c>
      <c r="B340" s="7" t="inlineStr">
        <is>
          <t>l/100 km</t>
        </is>
      </c>
      <c r="C340" s="7" t="inlineStr">
        <is>
          <t>Estado</t>
        </is>
      </c>
      <c r="D340" s="7" t="inlineStr">
        <is>
          <t>Fuente</t>
        </is>
      </c>
    </row>
    <row r="341">
      <c r="A341" s="2" t="inlineStr">
        <is>
          <t>utilitario</t>
        </is>
      </c>
      <c r="B341" s="2" t="n">
        <v>6.3</v>
      </c>
      <c r="C341" t="inlineStr">
        <is>
          <t>aproximado</t>
        </is>
      </c>
      <c r="D341" t="inlineStr">
        <is>
          <t>Spritmonitor Ibiza 1.4 16V 5,93-6,41 (https://www.spritmonitor.de/en/detail/957697.html); Yaris 1.3 6,56-7,61 (https://www.spritmonitor.de/de/detailansicht/628459.html)</t>
        </is>
      </c>
    </row>
    <row r="342">
      <c r="A342" s="2" t="inlineStr">
        <is>
          <t>compacto</t>
        </is>
      </c>
      <c r="B342" s="2" t="n">
        <v>7.4</v>
      </c>
      <c r="C342" t="inlineStr">
        <is>
          <t>aproximado</t>
        </is>
      </c>
      <c r="D342" t="inlineStr">
        <is>
          <t>Spritmonitor León 1P 1.6 6,99-7,72; Autokostencheck 7,90 (https://www.autokostencheck.de/Seat/Seat-Leon/Leon/leon-1-6-1p_20752/verbrauch/)</t>
        </is>
      </c>
    </row>
    <row r="343">
      <c r="A343" s="2" t="inlineStr">
        <is>
          <t>berlina</t>
        </is>
      </c>
      <c r="B343" s="2" t="n">
        <v>7.4</v>
      </c>
      <c r="C343" t="inlineStr">
        <is>
          <t>aproximado</t>
        </is>
      </c>
      <c r="D343" t="inlineStr">
        <is>
          <t>Igual que compacto (misma mecánica en versión de 4 puertas): supuesto</t>
        </is>
      </c>
    </row>
    <row r="344">
      <c r="A344" s="2" t="inlineStr">
        <is>
          <t>berlina_d</t>
        </is>
      </c>
      <c r="B344" s="2" t="n">
        <v>8</v>
      </c>
      <c r="C344" t="inlineStr">
        <is>
          <t>aproximado</t>
        </is>
      </c>
      <c r="D344" t="inlineStr">
        <is>
          <t>Media aproximada de Avensis 1.8 (~6,5-7,4), Mazda 6 2.0 (7,6-8,2), Accord 2.0 (8,2-8,4) y A4 2.0 TFSI (7,9-8,9), ver 'modelos'</t>
        </is>
      </c>
    </row>
    <row r="345">
      <c r="A345" s="2" t="inlineStr">
        <is>
          <t>familiar</t>
        </is>
      </c>
      <c r="B345" s="2" t="n">
        <v>7.6</v>
      </c>
      <c r="C345" t="inlineStr">
        <is>
          <t>aproximado</t>
        </is>
      </c>
      <c r="D345" t="inlineStr">
        <is>
          <t>Supuesto: compacto + 0,2</t>
        </is>
      </c>
    </row>
    <row r="346">
      <c r="A346" s="2" t="inlineStr">
        <is>
          <t>monovolumen_pequeno</t>
        </is>
      </c>
      <c r="B346" s="2" t="n">
        <v>7.6</v>
      </c>
      <c r="C346" t="inlineStr">
        <is>
          <t>aproximado</t>
        </is>
      </c>
      <c r="D346" t="inlineStr">
        <is>
          <t>Supuesto: compacto + 0,2</t>
        </is>
      </c>
    </row>
    <row r="347">
      <c r="A347" t="inlineStr">
        <is>
          <t>Solo gasolina: diésel, híbridos y GLP sin dato -&gt; NEUTRO. Primero se busca el modelo y, si no está, el segmento.</t>
        </is>
      </c>
    </row>
    <row r="349">
      <c r="A349" s="8" t="inlineStr">
        <is>
          <t>Seguro estimado (€/año) — Terceros ampliado, conductor de 29 años, Mislata (46920), sin siniestros, coche en la calle, valor &lt; 5.000 €</t>
        </is>
      </c>
    </row>
    <row r="350">
      <c r="A350" s="7" t="inlineStr">
        <is>
          <t>Segmento</t>
        </is>
      </c>
      <c r="B350" s="7" t="inlineStr">
        <is>
          <t>Mínimo</t>
        </is>
      </c>
      <c r="C350" s="7" t="inlineStr">
        <is>
          <t>Estimación central</t>
        </is>
      </c>
      <c r="D350" s="7" t="inlineStr">
        <is>
          <t>Máximo</t>
        </is>
      </c>
      <c r="E350" s="7" t="inlineStr">
        <is>
          <t>Estado</t>
        </is>
      </c>
      <c r="F350" s="7" t="inlineStr">
        <is>
          <t>Fuentes</t>
        </is>
      </c>
    </row>
    <row r="351">
      <c r="A351" s="2" t="inlineStr">
        <is>
          <t>utilitario</t>
        </is>
      </c>
      <c r="B351" s="2" t="n">
        <v>170</v>
      </c>
      <c r="C351" s="2" t="n">
        <v>300</v>
      </c>
      <c r="D351" s="2" t="n">
        <v>420</v>
      </c>
      <c r="E351" t="inlineStr">
        <is>
          <t>aproximado (estimación por segmento; no se han pedido presupuestos con datos personales)</t>
        </is>
      </c>
      <c r="F351" t="inlineStr">
        <is>
          <t>Rastreator, Índice mayo 2026 (vía Europa Press/Bolsamanía 14-05-2026): terceros ampliado 25-34 años 378 €/año; 35-44 años 302 €/año. https://www.bolsamania.com/noticias/mercados/economiafinanzas--el-seguro-de-coche-sube-un-3-en-2026-segun-el-comparador-rastreator--22488948.html | Roams, abril 2026: terceros ampliado medio en Valencia 296,65 €. https://roams.es/seguros/seguro-coche/mejor-seguro-coche-valencia/ | Rankia, octubre 2026: ofertas en Valencia desde 157 € (Prima) y 179 € (Tuio). https://www.rankia.com/blog/mejores-seguros/7530927-precio-seguro-valencia</t>
        </is>
      </c>
    </row>
    <row r="352">
      <c r="A352" s="2" t="inlineStr">
        <is>
          <t>compacto</t>
        </is>
      </c>
      <c r="B352" s="2" t="n">
        <v>190</v>
      </c>
      <c r="C352" s="2" t="n">
        <v>340</v>
      </c>
      <c r="D352" s="2" t="n">
        <v>480</v>
      </c>
      <c r="E352" t="inlineStr">
        <is>
          <t>aproximado (estimación por segmento; no se han pedido presupuestos con datos personales)</t>
        </is>
      </c>
      <c r="F352" t="inlineStr">
        <is>
          <t>Rastreator, Índice mayo 2026 (vía Europa Press/Bolsamanía 14-05-2026): terceros ampliado 25-34 años 378 €/año; 35-44 años 302 €/año. https://www.bolsamania.com/noticias/mercados/economiafinanzas--el-seguro-de-coche-sube-un-3-en-2026-segun-el-comparador-rastreator--22488948.html | Roams, abril 2026: terceros ampliado medio en Valencia 296,65 €. https://roams.es/seguros/seguro-coche/mejor-seguro-coche-valencia/ | Rankia, octubre 2026: ofertas en Valencia desde 157 € (Prima) y 179 € (Tuio). https://www.rankia.com/blog/mejores-seguros/7530927-precio-seguro-valencia</t>
        </is>
      </c>
    </row>
    <row r="353">
      <c r="A353" s="2" t="inlineStr">
        <is>
          <t>berlina</t>
        </is>
      </c>
      <c r="B353" s="2" t="n">
        <v>190</v>
      </c>
      <c r="C353" s="2" t="n">
        <v>350</v>
      </c>
      <c r="D353" s="2" t="n">
        <v>500</v>
      </c>
      <c r="E353" t="inlineStr">
        <is>
          <t>aproximado (estimación por segmento; no se han pedido presupuestos con datos personales)</t>
        </is>
      </c>
      <c r="F353" t="inlineStr">
        <is>
          <t>Rastreator, Índice mayo 2026 (vía Europa Press/Bolsamanía 14-05-2026): terceros ampliado 25-34 años 378 €/año; 35-44 años 302 €/año. https://www.bolsamania.com/noticias/mercados/economiafinanzas--el-seguro-de-coche-sube-un-3-en-2026-segun-el-comparador-rastreator--22488948.html | Roams, abril 2026: terceros ampliado medio en Valencia 296,65 €. https://roams.es/seguros/seguro-coche/mejor-seguro-coche-valencia/ | Rankia, octubre 2026: ofertas en Valencia desde 157 € (Prima) y 179 € (Tuio). https://www.rankia.com/blog/mejores-seguros/7530927-precio-seguro-valencia</t>
        </is>
      </c>
    </row>
    <row r="354">
      <c r="A354" s="2" t="inlineStr">
        <is>
          <t>berlina_d</t>
        </is>
      </c>
      <c r="B354" s="2" t="n">
        <v>200</v>
      </c>
      <c r="C354" s="2" t="n">
        <v>380</v>
      </c>
      <c r="D354" s="2" t="n">
        <v>540</v>
      </c>
      <c r="E354" t="inlineStr">
        <is>
          <t>aproximado (estimación por segmento; no se han pedido presupuestos con datos personales)</t>
        </is>
      </c>
      <c r="F354" t="inlineStr">
        <is>
          <t>Rastreator, Índice mayo 2026 (vía Europa Press/Bolsamanía 14-05-2026): terceros ampliado 25-34 años 378 €/año; 35-44 años 302 €/año. https://www.bolsamania.com/noticias/mercados/economiafinanzas--el-seguro-de-coche-sube-un-3-en-2026-segun-el-comparador-rastreator--22488948.html | Roams, abril 2026: terceros ampliado medio en Valencia 296,65 €. https://roams.es/seguros/seguro-coche/mejor-seguro-coche-valencia/ | Rankia, octubre 2026: ofertas en Valencia desde 157 € (Prima) y 179 € (Tuio). https://www.rankia.com/blog/mejores-seguros/7530927-precio-seguro-valencia</t>
        </is>
      </c>
    </row>
    <row r="355">
      <c r="A355" t="inlineStr">
        <is>
          <t>Nota: A los 29 años el precio debería quedar entre la media de 25-34 (378 €, que incluye recargos de jóvenes) y la de 35-44 (302 €): inferencia, no cifra publicada. La diferencia utilitario/compacto y el efecto de aparcar en la calle no están cuantificados en ninguna fuente encontrada (PENDIENTE): el +40 € del compacto es un supuesto. Cifras por modelo: no fiables/antiguas, no se usan.</t>
        </is>
      </c>
    </row>
    <row r="356">
      <c r="A356" t="inlineStr">
        <is>
          <t>Seguro: referencia para 100 puntos (mínimo de la tabla)</t>
        </is>
      </c>
      <c r="B356" s="4">
        <f>MIN(B351:B354)</f>
        <v/>
      </c>
      <c r="C356" t="inlineStr">
        <is>
          <t>calculado</t>
        </is>
      </c>
      <c r="D356" t="inlineStr"/>
    </row>
    <row r="357">
      <c r="A357" t="inlineStr">
        <is>
          <t>Seguro: referencia para 0 puntos (máximo de la tabla)</t>
        </is>
      </c>
      <c r="B357" s="4">
        <f>MAX(D351:D354)</f>
        <v/>
      </c>
      <c r="C357" t="inlineStr">
        <is>
          <t>calculado</t>
        </is>
      </c>
      <c r="D357" t="inlineStr"/>
    </row>
    <row r="359">
      <c r="A359" s="6" t="inlineStr">
        <is>
          <t>5. Fiabilidad: medias TÜV por franja de edad</t>
        </is>
      </c>
    </row>
    <row r="360">
      <c r="A360" s="7" t="inlineStr">
        <is>
          <t>Franja</t>
        </is>
      </c>
      <c r="B360" s="7" t="inlineStr">
        <is>
          <t>Mängelquote media (%)</t>
        </is>
      </c>
      <c r="C360" s="7" t="inlineStr">
        <is>
          <t>Estado</t>
        </is>
      </c>
      <c r="D360" s="7" t="inlineStr">
        <is>
          <t>Fuente</t>
        </is>
      </c>
    </row>
    <row r="361">
      <c r="A361" s="2" t="inlineStr">
        <is>
          <t>10-11</t>
        </is>
      </c>
      <c r="B361" s="2" t="n">
        <v>22.9</v>
      </c>
      <c r="C361" t="inlineStr">
        <is>
          <t>probable</t>
        </is>
      </c>
      <c r="D361" t="inlineStr">
        <is>
          <t>https://www.tuev-verband.de/presse/publikationen/reporte/tuev-report-autobild</t>
        </is>
      </c>
    </row>
    <row r="362">
      <c r="A362" s="2" t="inlineStr">
        <is>
          <t>12-13</t>
        </is>
      </c>
      <c r="B362" s="2" t="n">
        <v>28.4</v>
      </c>
      <c r="C362" t="inlineStr">
        <is>
          <t>probable</t>
        </is>
      </c>
      <c r="D362" t="inlineStr">
        <is>
          <t>https://www.tuev-verband.de/presse/publikationen/reporte/tuev-report-autobild</t>
        </is>
      </c>
    </row>
    <row r="364">
      <c r="A364" s="6" t="inlineStr">
        <is>
          <t>6. Fiabilidad: índice OCU 2026 por marca</t>
        </is>
      </c>
    </row>
    <row r="365">
      <c r="A365" s="7" t="inlineStr">
        <is>
          <t>Marca</t>
        </is>
      </c>
      <c r="B365" s="7" t="inlineStr">
        <is>
          <t>Índice OCU (0-100)</t>
        </is>
      </c>
      <c r="C365" s="7" t="inlineStr">
        <is>
          <t>Estado</t>
        </is>
      </c>
      <c r="D365" s="7" t="inlineStr">
        <is>
          <t>Fuente</t>
        </is>
      </c>
    </row>
    <row r="366">
      <c r="A366" s="2" t="inlineStr">
        <is>
          <t>Lexus</t>
        </is>
      </c>
      <c r="B366" s="2" t="n">
        <v>93</v>
      </c>
      <c r="C366" t="inlineStr">
        <is>
          <t>probable</t>
        </is>
      </c>
      <c r="D366" t="inlineStr">
        <is>
          <t>https://www.ocu.org/organizacion/prensa/notas-de-prensa/2026/fiabcoches020326 ; https://es.motor1.com/news/789821/ocu-fiabilidad-2026-japoneses-tesla/</t>
        </is>
      </c>
    </row>
    <row r="367">
      <c r="A367" s="2" t="inlineStr">
        <is>
          <t>Subaru</t>
        </is>
      </c>
      <c r="B367" s="2" t="n">
        <v>91</v>
      </c>
      <c r="C367" t="inlineStr">
        <is>
          <t>probable</t>
        </is>
      </c>
      <c r="D367" t="inlineStr">
        <is>
          <t>https://www.ocu.org/organizacion/prensa/notas-de-prensa/2026/fiabcoches020326 ; https://es.motor1.com/news/789821/ocu-fiabilidad-2026-japoneses-tesla/</t>
        </is>
      </c>
    </row>
    <row r="368">
      <c r="A368" s="2" t="inlineStr">
        <is>
          <t>Toyota</t>
        </is>
      </c>
      <c r="B368" s="2" t="n">
        <v>91</v>
      </c>
      <c r="C368" t="inlineStr">
        <is>
          <t>probable</t>
        </is>
      </c>
      <c r="D368" t="inlineStr">
        <is>
          <t>https://www.ocu.org/organizacion/prensa/notas-de-prensa/2026/fiabcoches020326 ; https://es.motor1.com/news/789821/ocu-fiabilidad-2026-japoneses-tesla/</t>
        </is>
      </c>
    </row>
    <row r="369">
      <c r="A369" s="2" t="inlineStr">
        <is>
          <t>Suzuki</t>
        </is>
      </c>
      <c r="B369" s="2" t="n">
        <v>91</v>
      </c>
      <c r="C369" t="inlineStr">
        <is>
          <t>probable</t>
        </is>
      </c>
      <c r="D369" t="inlineStr">
        <is>
          <t>https://www.ocu.org/organizacion/prensa/notas-de-prensa/2026/fiabcoches020326 ; https://es.motor1.com/news/789821/ocu-fiabilidad-2026-japoneses-tesla/</t>
        </is>
      </c>
    </row>
    <row r="371">
      <c r="A371" s="6" t="inlineStr">
        <is>
          <t>6b. Fiabilidad: ADAC Pannenstatistik 2025 — averías por 1.000 vehículos, matriculación 2015</t>
        </is>
      </c>
    </row>
    <row r="372">
      <c r="A372" s="7" t="inlineStr">
        <is>
          <t>Fila ADAC</t>
        </is>
      </c>
      <c r="B372" s="7" t="inlineStr">
        <is>
          <t>Pannenkennziffer EZ 2015</t>
        </is>
      </c>
      <c r="C372" s="7" t="inlineStr">
        <is>
          <t>Estado</t>
        </is>
      </c>
      <c r="D372" s="7" t="inlineStr">
        <is>
          <t>Fuente</t>
        </is>
      </c>
    </row>
    <row r="373">
      <c r="A373" s="2" t="inlineStr">
        <is>
          <t>Audi A1</t>
        </is>
      </c>
      <c r="B373" s="2" t="n">
        <v>6</v>
      </c>
      <c r="C373" t="inlineStr">
        <is>
          <t>confirmado (PDF original descargado el 31-10-2026; extraído con tools/adac_extract.py, último valor de cada fila; C3/DS3 y Mégane revisados a mano)</t>
        </is>
      </c>
      <c r="D373" t="inlineStr">
        <is>
          <t>https://assets.adac.de/image/upload/v1744279730/ADAC-eV/KOR/Text/PDF/Pannenstatistik_2025_final_nrmvls.pdf</t>
        </is>
      </c>
    </row>
    <row r="374">
      <c r="A374" s="2" t="inlineStr">
        <is>
          <t>Audi A4</t>
        </is>
      </c>
      <c r="B374" s="2" t="n">
        <v>7.6</v>
      </c>
      <c r="C374" t="inlineStr"/>
      <c r="D374" t="inlineStr"/>
    </row>
    <row r="375">
      <c r="A375" s="2" t="inlineStr">
        <is>
          <t>Audi A5</t>
        </is>
      </c>
      <c r="B375" s="2" t="n">
        <v>11.1</v>
      </c>
      <c r="C375" t="inlineStr"/>
      <c r="D375" t="inlineStr"/>
    </row>
    <row r="376">
      <c r="A376" s="2" t="inlineStr">
        <is>
          <t>Audi Q5</t>
        </is>
      </c>
      <c r="B376" s="2" t="n">
        <v>13.8</v>
      </c>
      <c r="C376" t="inlineStr"/>
      <c r="D376" t="inlineStr"/>
    </row>
    <row r="377">
      <c r="A377" s="2" t="inlineStr">
        <is>
          <t>BMW 3er-Reihe</t>
        </is>
      </c>
      <c r="B377" s="2" t="n">
        <v>9.1</v>
      </c>
      <c r="C377" t="inlineStr"/>
      <c r="D377" t="inlineStr"/>
    </row>
    <row r="378">
      <c r="A378" s="2" t="inlineStr">
        <is>
          <t>BMW 4er-Reihe</t>
        </is>
      </c>
      <c r="B378" s="2" t="n">
        <v>7.5</v>
      </c>
      <c r="C378" t="inlineStr"/>
      <c r="D378" t="inlineStr"/>
    </row>
    <row r="379">
      <c r="A379" s="2" t="inlineStr">
        <is>
          <t>BMW 5er-Reihe</t>
        </is>
      </c>
      <c r="B379" s="2" t="n">
        <v>10.3</v>
      </c>
      <c r="C379" t="inlineStr"/>
      <c r="D379" t="inlineStr"/>
    </row>
    <row r="380">
      <c r="A380" s="2" t="inlineStr">
        <is>
          <t>BMW X1</t>
        </is>
      </c>
      <c r="B380" s="2" t="n">
        <v>14.2</v>
      </c>
      <c r="C380" t="inlineStr"/>
      <c r="D380" t="inlineStr"/>
    </row>
    <row r="381">
      <c r="A381" s="2" t="inlineStr">
        <is>
          <t>BMW X3</t>
        </is>
      </c>
      <c r="B381" s="2" t="n">
        <v>4.2</v>
      </c>
      <c r="C381" t="inlineStr"/>
      <c r="D381" t="inlineStr"/>
    </row>
    <row r="382">
      <c r="A382" s="2" t="inlineStr">
        <is>
          <t>BMW X5</t>
        </is>
      </c>
      <c r="B382" s="2" t="n">
        <v>14.1</v>
      </c>
      <c r="C382" t="inlineStr"/>
      <c r="D382" t="inlineStr"/>
    </row>
    <row r="383">
      <c r="A383" s="2" t="inlineStr">
        <is>
          <t>Citroen Berlingo, Fiat Doblò, Peugeot Partner/Rifter</t>
        </is>
      </c>
      <c r="B383" s="2" t="n">
        <v>19.5</v>
      </c>
      <c r="C383" t="inlineStr"/>
      <c r="D383" t="inlineStr"/>
    </row>
    <row r="384">
      <c r="A384" s="2" t="inlineStr">
        <is>
          <t>Citroen C3/DS 3</t>
        </is>
      </c>
      <c r="B384" s="2" t="n">
        <v>23.7</v>
      </c>
      <c r="C384" t="inlineStr"/>
      <c r="D384" t="inlineStr"/>
    </row>
    <row r="385">
      <c r="A385" s="2" t="inlineStr">
        <is>
          <t>DS Automobiles DS3, Citroen C3/DS 3</t>
        </is>
      </c>
      <c r="B385" s="2" t="n">
        <v>23.7</v>
      </c>
      <c r="C385" t="inlineStr"/>
      <c r="D385" t="inlineStr"/>
    </row>
    <row r="386">
      <c r="A386" s="2" t="inlineStr">
        <is>
          <t>Dacia Dokker</t>
        </is>
      </c>
      <c r="B386" s="2" t="n">
        <v>7.5</v>
      </c>
      <c r="C386" t="inlineStr"/>
      <c r="D386" t="inlineStr"/>
    </row>
    <row r="387">
      <c r="A387" s="2" t="inlineStr">
        <is>
          <t>Dacia Duster</t>
        </is>
      </c>
      <c r="B387" s="2" t="n">
        <v>22.9</v>
      </c>
      <c r="C387" t="inlineStr"/>
      <c r="D387" t="inlineStr"/>
    </row>
    <row r="388">
      <c r="A388" s="2" t="inlineStr">
        <is>
          <t>Dacia Logan</t>
        </is>
      </c>
      <c r="B388" s="2" t="n">
        <v>23.1</v>
      </c>
      <c r="C388" t="inlineStr"/>
      <c r="D388" t="inlineStr"/>
    </row>
    <row r="389">
      <c r="A389" s="2" t="inlineStr">
        <is>
          <t>Dacia Sandero</t>
        </is>
      </c>
      <c r="B389" s="2" t="n">
        <v>14.1</v>
      </c>
      <c r="C389" t="inlineStr"/>
      <c r="D389" t="inlineStr"/>
    </row>
    <row r="390">
      <c r="A390" s="2" t="inlineStr">
        <is>
          <t>Fiat 500</t>
        </is>
      </c>
      <c r="B390" s="2" t="n">
        <v>23.6</v>
      </c>
      <c r="C390" t="inlineStr"/>
      <c r="D390" t="inlineStr"/>
    </row>
    <row r="391">
      <c r="A391" s="2" t="inlineStr">
        <is>
          <t>Fiat Ducato</t>
        </is>
      </c>
      <c r="B391" s="2" t="n">
        <v>45.6</v>
      </c>
      <c r="C391" t="inlineStr"/>
      <c r="D391" t="inlineStr"/>
    </row>
    <row r="392">
      <c r="A392" s="2" t="inlineStr">
        <is>
          <t>Fiat Panda</t>
        </is>
      </c>
      <c r="B392" s="2" t="n">
        <v>16.5</v>
      </c>
      <c r="C392" t="inlineStr"/>
      <c r="D392" t="inlineStr"/>
    </row>
    <row r="393">
      <c r="A393" s="2" t="inlineStr">
        <is>
          <t>Ford B-MAX</t>
        </is>
      </c>
      <c r="B393" s="2" t="n">
        <v>17.7</v>
      </c>
      <c r="C393" t="inlineStr"/>
      <c r="D393" t="inlineStr"/>
    </row>
    <row r="394">
      <c r="A394" s="2" t="inlineStr">
        <is>
          <t>Ford C-MAX</t>
        </is>
      </c>
      <c r="B394" s="2" t="n">
        <v>25</v>
      </c>
      <c r="C394" t="inlineStr"/>
      <c r="D394" t="inlineStr"/>
    </row>
    <row r="395">
      <c r="A395" s="2" t="inlineStr">
        <is>
          <t>Ford Fiesta (Courier)</t>
        </is>
      </c>
      <c r="B395" s="2" t="n">
        <v>20.4</v>
      </c>
      <c r="C395" t="inlineStr"/>
      <c r="D395" t="inlineStr"/>
    </row>
    <row r="396">
      <c r="A396" s="2" t="inlineStr">
        <is>
          <t>Ford Focus</t>
        </is>
      </c>
      <c r="B396" s="2" t="n">
        <v>25.2</v>
      </c>
      <c r="C396" t="inlineStr"/>
      <c r="D396" t="inlineStr"/>
    </row>
    <row r="397">
      <c r="A397" s="2" t="inlineStr">
        <is>
          <t>Ford Kuga</t>
        </is>
      </c>
      <c r="B397" s="2" t="n">
        <v>23.6</v>
      </c>
      <c r="C397" t="inlineStr"/>
      <c r="D397" t="inlineStr"/>
    </row>
    <row r="398">
      <c r="A398" s="2" t="inlineStr">
        <is>
          <t>Ford Ranger</t>
        </is>
      </c>
      <c r="B398" s="2" t="n">
        <v>16.7</v>
      </c>
      <c r="C398" t="inlineStr"/>
      <c r="D398" t="inlineStr"/>
    </row>
    <row r="399">
      <c r="A399" s="2" t="inlineStr">
        <is>
          <t>Ford Tourneo/Transit Connect</t>
        </is>
      </c>
      <c r="B399" s="2" t="n">
        <v>23.5</v>
      </c>
      <c r="C399" t="inlineStr"/>
      <c r="D399" t="inlineStr"/>
    </row>
    <row r="400">
      <c r="A400" s="2" t="inlineStr">
        <is>
          <t>Ford Tourneo/Transit Custom</t>
        </is>
      </c>
      <c r="B400" s="2" t="n">
        <v>18.6</v>
      </c>
      <c r="C400" t="inlineStr"/>
      <c r="D400" t="inlineStr"/>
    </row>
    <row r="401">
      <c r="A401" s="2" t="inlineStr">
        <is>
          <t>Hyundai Tucson</t>
        </is>
      </c>
      <c r="B401" s="2" t="n">
        <v>18.2</v>
      </c>
      <c r="C401" t="inlineStr"/>
      <c r="D401" t="inlineStr"/>
    </row>
    <row r="402">
      <c r="A402" s="2" t="inlineStr">
        <is>
          <t>Hyundai i10</t>
        </is>
      </c>
      <c r="B402" s="2" t="n">
        <v>18.6</v>
      </c>
      <c r="C402" t="inlineStr"/>
      <c r="D402" t="inlineStr"/>
    </row>
    <row r="403">
      <c r="A403" s="2" t="inlineStr">
        <is>
          <t>Hyundai i20</t>
        </is>
      </c>
      <c r="B403" s="2" t="n">
        <v>21.1</v>
      </c>
      <c r="C403" t="inlineStr"/>
      <c r="D403" t="inlineStr"/>
    </row>
    <row r="404">
      <c r="A404" s="2" t="inlineStr">
        <is>
          <t>Hyundai i30</t>
        </is>
      </c>
      <c r="B404" s="2" t="n">
        <v>16.8</v>
      </c>
      <c r="C404" t="inlineStr"/>
      <c r="D404" t="inlineStr"/>
    </row>
    <row r="405">
      <c r="A405" s="2" t="inlineStr">
        <is>
          <t>Hyundai ix20</t>
        </is>
      </c>
      <c r="B405" s="2" t="n">
        <v>21.1</v>
      </c>
      <c r="C405" t="inlineStr"/>
      <c r="D405" t="inlineStr"/>
    </row>
    <row r="406">
      <c r="A406" s="2" t="inlineStr">
        <is>
          <t>KIA Ceed/XCeed</t>
        </is>
      </c>
      <c r="B406" s="2" t="n">
        <v>15.4</v>
      </c>
      <c r="C406" t="inlineStr"/>
      <c r="D406" t="inlineStr"/>
    </row>
    <row r="407">
      <c r="A407" s="2" t="inlineStr">
        <is>
          <t>Kia Picanto</t>
        </is>
      </c>
      <c r="B407" s="2" t="n">
        <v>24.4</v>
      </c>
      <c r="C407" t="inlineStr"/>
      <c r="D407" t="inlineStr"/>
    </row>
    <row r="408">
      <c r="A408" s="2" t="inlineStr">
        <is>
          <t>Kia Sportage</t>
        </is>
      </c>
      <c r="B408" s="2" t="n">
        <v>19.7</v>
      </c>
      <c r="C408" t="inlineStr"/>
      <c r="D408" t="inlineStr"/>
    </row>
    <row r="409">
      <c r="A409" s="2" t="inlineStr">
        <is>
          <t>MINI MINI</t>
        </is>
      </c>
      <c r="B409" s="2" t="n">
        <v>11.6</v>
      </c>
      <c r="C409" t="inlineStr"/>
      <c r="D409" t="inlineStr"/>
    </row>
    <row r="410">
      <c r="A410" s="2" t="inlineStr">
        <is>
          <t>Mazda 2</t>
        </is>
      </c>
      <c r="B410" s="2" t="n">
        <v>6.6</v>
      </c>
      <c r="C410" t="inlineStr"/>
      <c r="D410" t="inlineStr"/>
    </row>
    <row r="411">
      <c r="A411" s="2" t="inlineStr">
        <is>
          <t>Mazda 3</t>
        </is>
      </c>
      <c r="B411" s="2" t="n">
        <v>12.3</v>
      </c>
      <c r="C411" t="inlineStr"/>
      <c r="D411" t="inlineStr"/>
    </row>
    <row r="412">
      <c r="A412" s="2" t="inlineStr">
        <is>
          <t>Mazda CX-3</t>
        </is>
      </c>
      <c r="B412" s="2" t="n">
        <v>9.1</v>
      </c>
      <c r="C412" t="inlineStr"/>
      <c r="D412" t="inlineStr"/>
    </row>
    <row r="413">
      <c r="A413" s="2" t="inlineStr">
        <is>
          <t>Mazda CX-5</t>
        </is>
      </c>
      <c r="B413" s="2" t="n">
        <v>15.1</v>
      </c>
      <c r="C413" t="inlineStr"/>
      <c r="D413" t="inlineStr"/>
    </row>
    <row r="414">
      <c r="A414" s="2" t="inlineStr">
        <is>
          <t>Mercedes-Benz A-Klasse</t>
        </is>
      </c>
      <c r="B414" s="2" t="n">
        <v>13.9</v>
      </c>
      <c r="C414" t="inlineStr"/>
      <c r="D414" t="inlineStr"/>
    </row>
    <row r="415">
      <c r="A415" s="2" t="inlineStr">
        <is>
          <t>Mercedes-Benz B-Klasse</t>
        </is>
      </c>
      <c r="B415" s="2" t="n">
        <v>12.8</v>
      </c>
      <c r="C415" t="inlineStr"/>
      <c r="D415" t="inlineStr"/>
    </row>
    <row r="416">
      <c r="A416" s="2" t="inlineStr">
        <is>
          <t>Mercedes-Benz C-Klasse</t>
        </is>
      </c>
      <c r="B416" s="2" t="n">
        <v>11.4</v>
      </c>
      <c r="C416" t="inlineStr"/>
      <c r="D416" t="inlineStr"/>
    </row>
    <row r="417">
      <c r="A417" s="2" t="inlineStr">
        <is>
          <t>Mercedes-Benz CLA</t>
        </is>
      </c>
      <c r="B417" s="2" t="n">
        <v>19.3</v>
      </c>
      <c r="C417" t="inlineStr"/>
      <c r="D417" t="inlineStr"/>
    </row>
    <row r="418">
      <c r="A418" s="2" t="inlineStr">
        <is>
          <t>Mercedes-Benz Citan</t>
        </is>
      </c>
      <c r="B418" s="2" t="n">
        <v>21.9</v>
      </c>
      <c r="C418" t="inlineStr"/>
      <c r="D418" t="inlineStr"/>
    </row>
    <row r="419">
      <c r="A419" s="2" t="inlineStr">
        <is>
          <t>Mercedes-Benz E-Klasse</t>
        </is>
      </c>
      <c r="B419" s="2" t="n">
        <v>19.5</v>
      </c>
      <c r="C419" t="inlineStr"/>
      <c r="D419" t="inlineStr"/>
    </row>
    <row r="420">
      <c r="A420" s="2" t="inlineStr">
        <is>
          <t>Mercedes-Benz GLA</t>
        </is>
      </c>
      <c r="B420" s="2" t="n">
        <v>10.7</v>
      </c>
      <c r="C420" t="inlineStr"/>
      <c r="D420" t="inlineStr"/>
    </row>
    <row r="421">
      <c r="A421" s="2" t="inlineStr">
        <is>
          <t>Mercedes-Benz GLE</t>
        </is>
      </c>
      <c r="B421" s="2" t="n">
        <v>13</v>
      </c>
      <c r="C421" t="inlineStr"/>
      <c r="D421" t="inlineStr"/>
    </row>
    <row r="422">
      <c r="A422" s="2" t="inlineStr">
        <is>
          <t>Mitsubishi ASX</t>
        </is>
      </c>
      <c r="B422" s="2" t="n">
        <v>8.800000000000001</v>
      </c>
      <c r="C422" t="inlineStr"/>
      <c r="D422" t="inlineStr"/>
    </row>
    <row r="423">
      <c r="A423" s="2" t="inlineStr">
        <is>
          <t>Mitsubishi Space Star</t>
        </is>
      </c>
      <c r="B423" s="2" t="n">
        <v>25.9</v>
      </c>
      <c r="C423" t="inlineStr"/>
      <c r="D423" t="inlineStr"/>
    </row>
    <row r="424">
      <c r="A424" s="2" t="inlineStr">
        <is>
          <t>Nissan Micra</t>
        </is>
      </c>
      <c r="B424" s="2" t="n">
        <v>18.4</v>
      </c>
      <c r="C424" t="inlineStr"/>
      <c r="D424" t="inlineStr"/>
    </row>
    <row r="425">
      <c r="A425" s="2" t="inlineStr">
        <is>
          <t>Nissan Qashqai</t>
        </is>
      </c>
      <c r="B425" s="2" t="n">
        <v>24.9</v>
      </c>
      <c r="C425" t="inlineStr"/>
      <c r="D425" t="inlineStr"/>
    </row>
    <row r="426">
      <c r="A426" s="2" t="inlineStr">
        <is>
          <t>Opel ADAM</t>
        </is>
      </c>
      <c r="B426" s="2" t="n">
        <v>21</v>
      </c>
      <c r="C426" t="inlineStr"/>
      <c r="D426" t="inlineStr"/>
    </row>
    <row r="427">
      <c r="A427" s="2" t="inlineStr">
        <is>
          <t>Opel Astra</t>
        </is>
      </c>
      <c r="B427" s="2" t="n">
        <v>22.2</v>
      </c>
      <c r="C427" t="inlineStr"/>
      <c r="D427" t="inlineStr"/>
    </row>
    <row r="428">
      <c r="A428" s="2" t="inlineStr">
        <is>
          <t>Opel Corsa</t>
        </is>
      </c>
      <c r="B428" s="2" t="n">
        <v>20.2</v>
      </c>
      <c r="C428" t="inlineStr"/>
      <c r="D428" t="inlineStr"/>
    </row>
    <row r="429">
      <c r="A429" s="2" t="inlineStr">
        <is>
          <t>Opel KARL</t>
        </is>
      </c>
      <c r="B429" s="2" t="n">
        <v>20.4</v>
      </c>
      <c r="C429" t="inlineStr"/>
      <c r="D429" t="inlineStr"/>
    </row>
    <row r="430">
      <c r="A430" s="2" t="inlineStr">
        <is>
          <t>Opel Meriva</t>
        </is>
      </c>
      <c r="B430" s="2" t="n">
        <v>26.2</v>
      </c>
      <c r="C430" t="inlineStr"/>
      <c r="D430" t="inlineStr"/>
    </row>
    <row r="431">
      <c r="A431" s="2" t="inlineStr">
        <is>
          <t>Opel Mokka</t>
        </is>
      </c>
      <c r="B431" s="2" t="n">
        <v>20.4</v>
      </c>
      <c r="C431" t="inlineStr"/>
      <c r="D431" t="inlineStr"/>
    </row>
    <row r="432">
      <c r="A432" s="2" t="inlineStr">
        <is>
          <t>Opel Zafira</t>
        </is>
      </c>
      <c r="B432" s="2" t="n">
        <v>30.2</v>
      </c>
      <c r="C432" t="inlineStr"/>
      <c r="D432" t="inlineStr"/>
    </row>
    <row r="433">
      <c r="A433" s="2" t="inlineStr">
        <is>
          <t>Peugeot 2008</t>
        </is>
      </c>
      <c r="B433" s="2" t="n">
        <v>13.4</v>
      </c>
      <c r="C433" t="inlineStr"/>
      <c r="D433" t="inlineStr"/>
    </row>
    <row r="434">
      <c r="A434" s="2" t="inlineStr">
        <is>
          <t>Peugeot 208</t>
        </is>
      </c>
      <c r="B434" s="2" t="n">
        <v>20.4</v>
      </c>
      <c r="C434" t="inlineStr"/>
      <c r="D434" t="inlineStr"/>
    </row>
    <row r="435">
      <c r="A435" s="2" t="inlineStr">
        <is>
          <t>Peugeot 308</t>
        </is>
      </c>
      <c r="B435" s="2" t="n">
        <v>25.6</v>
      </c>
      <c r="C435" t="inlineStr"/>
      <c r="D435" t="inlineStr"/>
    </row>
    <row r="436">
      <c r="A436" s="2" t="inlineStr">
        <is>
          <t>Renault Clio/Captur</t>
        </is>
      </c>
      <c r="B436" s="2" t="n">
        <v>26</v>
      </c>
      <c r="C436" t="inlineStr"/>
      <c r="D436" t="inlineStr"/>
    </row>
    <row r="437">
      <c r="A437" s="2" t="inlineStr">
        <is>
          <t>Renault Kangoo/Rapid</t>
        </is>
      </c>
      <c r="B437" s="2" t="n">
        <v>26.8</v>
      </c>
      <c r="C437" t="inlineStr"/>
      <c r="D437" t="inlineStr"/>
    </row>
    <row r="438">
      <c r="A438" s="2" t="inlineStr">
        <is>
          <t>Renault Master</t>
        </is>
      </c>
      <c r="B438" s="2" t="n">
        <v>19.5</v>
      </c>
      <c r="C438" t="inlineStr"/>
      <c r="D438" t="inlineStr"/>
    </row>
    <row r="439">
      <c r="A439" s="2" t="inlineStr">
        <is>
          <t>Renault Mégane</t>
        </is>
      </c>
      <c r="B439" s="2" t="n">
        <v>28.1</v>
      </c>
      <c r="C439" t="inlineStr"/>
      <c r="D439" t="inlineStr"/>
    </row>
    <row r="440">
      <c r="A440" s="2" t="inlineStr">
        <is>
          <t>Renault Scénic</t>
        </is>
      </c>
      <c r="B440" s="2" t="n">
        <v>29.1</v>
      </c>
      <c r="C440" t="inlineStr"/>
      <c r="D440" t="inlineStr"/>
    </row>
    <row r="441">
      <c r="A441" s="2" t="inlineStr">
        <is>
          <t>Renault Twingo</t>
        </is>
      </c>
      <c r="B441" s="2" t="n">
        <v>20.7</v>
      </c>
      <c r="C441" t="inlineStr"/>
      <c r="D441" t="inlineStr"/>
    </row>
    <row r="442">
      <c r="A442" s="2" t="inlineStr">
        <is>
          <t>SEAT Ibiza</t>
        </is>
      </c>
      <c r="B442" s="2" t="n">
        <v>16.8</v>
      </c>
      <c r="C442" t="inlineStr"/>
      <c r="D442" t="inlineStr"/>
    </row>
    <row r="443">
      <c r="A443" s="2" t="inlineStr">
        <is>
          <t>SEAT Leon</t>
        </is>
      </c>
      <c r="B443" s="2" t="n">
        <v>10</v>
      </c>
      <c r="C443" t="inlineStr"/>
      <c r="D443" t="inlineStr"/>
    </row>
    <row r="444">
      <c r="A444" s="2" t="inlineStr">
        <is>
          <t>Skoda Fabia</t>
        </is>
      </c>
      <c r="B444" s="2" t="n">
        <v>12.8</v>
      </c>
      <c r="C444" t="inlineStr"/>
      <c r="D444" t="inlineStr"/>
    </row>
    <row r="445">
      <c r="A445" s="2" t="inlineStr">
        <is>
          <t>Skoda Octavia</t>
        </is>
      </c>
      <c r="B445" s="2" t="n">
        <v>10.4</v>
      </c>
      <c r="C445" t="inlineStr"/>
      <c r="D445" t="inlineStr"/>
    </row>
    <row r="446">
      <c r="A446" s="2" t="inlineStr">
        <is>
          <t>Skoda Rapid</t>
        </is>
      </c>
      <c r="B446" s="2" t="n">
        <v>15.1</v>
      </c>
      <c r="C446" t="inlineStr"/>
      <c r="D446" t="inlineStr"/>
    </row>
    <row r="447">
      <c r="A447" s="2" t="inlineStr">
        <is>
          <t>Skoda Yeti</t>
        </is>
      </c>
      <c r="B447" s="2" t="n">
        <v>14</v>
      </c>
      <c r="C447" t="inlineStr"/>
      <c r="D447" t="inlineStr"/>
    </row>
    <row r="448">
      <c r="A448" s="2" t="inlineStr">
        <is>
          <t>Suzuki Swift</t>
        </is>
      </c>
      <c r="B448" s="2" t="n">
        <v>12</v>
      </c>
      <c r="C448" t="inlineStr"/>
      <c r="D448" t="inlineStr"/>
    </row>
    <row r="449">
      <c r="A449" s="2" t="inlineStr">
        <is>
          <t>Toyota Auris</t>
        </is>
      </c>
      <c r="B449" s="2" t="n">
        <v>19.3</v>
      </c>
      <c r="C449" t="inlineStr"/>
      <c r="D449" t="inlineStr"/>
    </row>
    <row r="450">
      <c r="A450" s="2" t="inlineStr">
        <is>
          <t>Toyota Aygo</t>
        </is>
      </c>
      <c r="B450" s="2" t="n">
        <v>12</v>
      </c>
      <c r="C450" t="inlineStr"/>
      <c r="D450" t="inlineStr"/>
    </row>
    <row r="451">
      <c r="A451" s="2" t="inlineStr">
        <is>
          <t>Toyota Yaris</t>
        </is>
      </c>
      <c r="B451" s="2" t="n">
        <v>22.8</v>
      </c>
      <c r="C451" t="inlineStr"/>
      <c r="D451" t="inlineStr"/>
    </row>
    <row r="452">
      <c r="A452" s="2" t="inlineStr">
        <is>
          <t>VW Beetle</t>
        </is>
      </c>
      <c r="B452" s="2" t="n">
        <v>11.8</v>
      </c>
      <c r="C452" t="inlineStr"/>
      <c r="D452" t="inlineStr"/>
    </row>
    <row r="453">
      <c r="A453" s="2" t="inlineStr">
        <is>
          <t>VW Golf</t>
        </is>
      </c>
      <c r="B453" s="2" t="n">
        <v>10.5</v>
      </c>
      <c r="C453" t="inlineStr"/>
      <c r="D453" t="inlineStr"/>
    </row>
    <row r="454">
      <c r="A454" s="2" t="inlineStr">
        <is>
          <t>VW Nutzfahrzeuge Caddy</t>
        </is>
      </c>
      <c r="B454" s="2" t="n">
        <v>16.4</v>
      </c>
      <c r="C454" t="inlineStr"/>
      <c r="D454" t="inlineStr"/>
    </row>
    <row r="455">
      <c r="A455" s="2" t="inlineStr">
        <is>
          <t>VW Polo</t>
        </is>
      </c>
      <c r="B455" s="2" t="n">
        <v>14.9</v>
      </c>
      <c r="C455" t="inlineStr"/>
      <c r="D455" t="inlineStr"/>
    </row>
    <row r="456">
      <c r="A456" s="2" t="inlineStr">
        <is>
          <t>VW Tiguan</t>
        </is>
      </c>
      <c r="B456" s="2" t="n">
        <v>11.4</v>
      </c>
      <c r="C456" t="inlineStr"/>
      <c r="D456" t="inlineStr"/>
    </row>
    <row r="457">
      <c r="A457" s="2" t="inlineStr">
        <is>
          <t>VW Touran</t>
        </is>
      </c>
      <c r="B457" s="2" t="n">
        <v>20.3</v>
      </c>
      <c r="C457" t="inlineStr"/>
      <c r="D457" t="inlineStr"/>
    </row>
    <row r="458">
      <c r="A458" s="2" t="inlineStr">
        <is>
          <t>smart forfour</t>
        </is>
      </c>
      <c r="B458" s="2" t="n">
        <v>27.5</v>
      </c>
      <c r="C458" t="inlineStr"/>
      <c r="D458" t="inlineStr"/>
    </row>
    <row r="459">
      <c r="A459" s="2" t="inlineStr">
        <is>
          <t>smart fortwo</t>
        </is>
      </c>
      <c r="B459" s="2" t="n">
        <v>21</v>
      </c>
      <c r="C459" t="inlineStr"/>
      <c r="D459" t="inlineStr"/>
    </row>
    <row r="460">
      <c r="A460" t="inlineStr">
        <is>
          <t>ADAC: mediana de la tabla (referencia 50 puntos)</t>
        </is>
      </c>
      <c r="B460" s="4">
        <f>MEDIAN(B373:B459)</f>
        <v/>
      </c>
      <c r="C460" t="inlineStr">
        <is>
          <t>calculado</t>
        </is>
      </c>
      <c r="D460" t="inlineStr">
        <is>
          <t>punt_ADAC = 50 + 100·(mediana − PKZ)/mediana, acotado 0-100; mediana de todas las filas de la tabla</t>
        </is>
      </c>
    </row>
    <row r="462">
      <c r="A462" s="6" t="inlineStr">
        <is>
          <t>7. Fiabilidad por modelo (punt. TÜV = 50 + 100·(media − MQ)/media; punt. ADAC = 50 + 100·(ref − PKZ)/ref; punt. modelo = media de TÜV, ADAC y OCU marca)</t>
        </is>
      </c>
    </row>
    <row r="463">
      <c r="A463" s="7" t="inlineStr">
        <is>
          <t>Modelo</t>
        </is>
      </c>
      <c r="B463" s="7" t="inlineStr">
        <is>
          <t>Marca</t>
        </is>
      </c>
      <c r="C463" s="7" t="inlineStr">
        <is>
          <t>TÜV Mängelquote (%)</t>
        </is>
      </c>
      <c r="D463" s="7" t="inlineStr">
        <is>
          <t>Franja</t>
        </is>
      </c>
      <c r="E463" s="7" t="inlineStr">
        <is>
          <t>Media franja (%)</t>
        </is>
      </c>
      <c r="F463" s="7" t="inlineStr">
        <is>
          <t>Punt. TÜV</t>
        </is>
      </c>
      <c r="G463" s="7" t="inlineStr">
        <is>
          <t>Fila ADAC</t>
        </is>
      </c>
      <c r="H463" s="7" t="inlineStr">
        <is>
          <t>ADAC PKZ 2015</t>
        </is>
      </c>
      <c r="I463" s="7" t="inlineStr">
        <is>
          <t>Punt. ADAC</t>
        </is>
      </c>
      <c r="J463" s="7" t="inlineStr">
        <is>
          <t>Punt. OCU marca</t>
        </is>
      </c>
      <c r="K463" s="7" t="inlineStr">
        <is>
          <t>Punt. modelo</t>
        </is>
      </c>
      <c r="L463" s="7" t="inlineStr">
        <is>
          <t>Pendiente</t>
        </is>
      </c>
      <c r="M463" s="7" t="inlineStr">
        <is>
          <t>Estado</t>
        </is>
      </c>
      <c r="N463" s="7" t="inlineStr">
        <is>
          <t>Fuente</t>
        </is>
      </c>
      <c r="O463" s="7" t="inlineStr">
        <is>
          <t>Gemelo de plataforma</t>
        </is>
      </c>
      <c r="P463" s="7" t="inlineStr">
        <is>
          <t>Punt. efectiva</t>
        </is>
      </c>
      <c r="Q463" s="7" t="inlineStr">
        <is>
          <t>Por plataforma</t>
        </is>
      </c>
    </row>
    <row r="464">
      <c r="A464" s="2" t="inlineStr">
        <is>
          <t>Renault Clio</t>
        </is>
      </c>
      <c r="B464" s="2" t="inlineStr">
        <is>
          <t>Renault</t>
        </is>
      </c>
      <c r="C464" s="2" t="n">
        <v>40.4</v>
      </c>
      <c r="D464" s="2" t="inlineStr">
        <is>
          <t>12-13</t>
        </is>
      </c>
      <c r="E464" s="4">
        <f>VLOOKUP(D464,TUV_MEDIAS,2,0)</f>
        <v/>
      </c>
      <c r="F464" s="4">
        <f>IF(C464="","",MAX(0,MIN(100,50+100*(E464-C464)/E464)))</f>
        <v/>
      </c>
      <c r="G464" s="2" t="inlineStr">
        <is>
          <t>Renault Clio/Captur</t>
        </is>
      </c>
      <c r="H464" s="4">
        <f>IF(G464="","",IFERROR(VLOOKUP(G464,ADAC_TBL,2,0),""))</f>
        <v/>
      </c>
      <c r="I464" s="4">
        <f>IF(H464="","",MAX(0,MIN(100,50+100*(ADAC_REF-H464)/ADAC_REF)))</f>
        <v/>
      </c>
      <c r="J464" s="4">
        <f>IFERROR(VLOOKUP(B464,OCU_TBL,2,0),"")</f>
        <v/>
      </c>
      <c r="K464" s="4">
        <f>IF(COUNT(F464,I464,J464)=0,NEUTRO,AVERAGE(F464,I464,J464))</f>
        <v/>
      </c>
      <c r="L464" s="4">
        <f>IF(COUNT(F464,I464,J464)=0,"PENDIENTE","")</f>
        <v/>
      </c>
      <c r="M464" t="inlineStr">
        <is>
          <t>probable</t>
        </is>
      </c>
      <c r="N464" t="inlineStr">
        <is>
          <t>TÜV Report 2026 vía https://www.autobild.de/artikel/tuev-report-2026-gewinner-verlierer-28424531.html (peor de su franja)</t>
        </is>
      </c>
      <c r="P464" s="4">
        <f>IF(AND(L464="PENDIENTE",O464&lt;&gt;""),IFERROR(IF(VLOOKUP(O464,$A$464:$L$514,12,0)="",VLOOKUP(O464,$A$464:$L$514,11,0),K464),K464),K464)</f>
        <v/>
      </c>
      <c r="Q464" s="4">
        <f>IF(AND(L464="PENDIENTE",O464&lt;&gt;""),IFERROR(IF(VLOOKUP(O464,$A$464:$L$514,12,0)="","sí","no"),"no"),"no")</f>
        <v/>
      </c>
    </row>
    <row r="465">
      <c r="A465" s="2" t="inlineStr">
        <is>
          <t>Dacia Sandero</t>
        </is>
      </c>
      <c r="B465" s="2" t="inlineStr">
        <is>
          <t>Dacia</t>
        </is>
      </c>
      <c r="C465" s="2" t="n">
        <v>31.5</v>
      </c>
      <c r="D465" s="2" t="inlineStr">
        <is>
          <t>10-11</t>
        </is>
      </c>
      <c r="E465" s="4">
        <f>VLOOKUP(D465,TUV_MEDIAS,2,0)</f>
        <v/>
      </c>
      <c r="F465" s="4">
        <f>IF(C465="","",MAX(0,MIN(100,50+100*(E465-C465)/E465)))</f>
        <v/>
      </c>
      <c r="G465" s="2" t="inlineStr">
        <is>
          <t>Dacia Sandero</t>
        </is>
      </c>
      <c r="H465" s="4">
        <f>IF(G465="","",IFERROR(VLOOKUP(G465,ADAC_TBL,2,0),""))</f>
        <v/>
      </c>
      <c r="I465" s="4">
        <f>IF(H465="","",MAX(0,MIN(100,50+100*(ADAC_REF-H465)/ADAC_REF)))</f>
        <v/>
      </c>
      <c r="J465" s="4">
        <f>IFERROR(VLOOKUP(B465,OCU_TBL,2,0),"")</f>
        <v/>
      </c>
      <c r="K465" s="4">
        <f>IF(COUNT(F465,I465,J465)=0,NEUTRO,AVERAGE(F465,I465,J465))</f>
        <v/>
      </c>
      <c r="L465" s="4">
        <f>IF(COUNT(F465,I465,J465)=0,"PENDIENTE","")</f>
        <v/>
      </c>
      <c r="M465" t="inlineStr">
        <is>
          <t>probable (edición no fechada en el resumen)</t>
        </is>
      </c>
      <c r="N465" t="inlineStr">
        <is>
          <t>https://www.tuev-verband.de/presse/publikationen/reporte/tuev-report-autobild</t>
        </is>
      </c>
      <c r="P465" s="4">
        <f>IF(AND(L465="PENDIENTE",O465&lt;&gt;""),IFERROR(IF(VLOOKUP(O465,$A$464:$L$514,12,0)="",VLOOKUP(O465,$A$464:$L$514,11,0),K465),K465),K465)</f>
        <v/>
      </c>
      <c r="Q465" s="4">
        <f>IF(AND(L465="PENDIENTE",O465&lt;&gt;""),IFERROR(IF(VLOOKUP(O465,$A$464:$L$514,12,0)="","sí","no"),"no"),"no")</f>
        <v/>
      </c>
    </row>
    <row r="466">
      <c r="A466" s="2" t="inlineStr">
        <is>
          <t>Renault Mégane</t>
        </is>
      </c>
      <c r="B466" s="2" t="inlineStr">
        <is>
          <t>Renault</t>
        </is>
      </c>
      <c r="C466" s="2" t="n">
        <v>31.7</v>
      </c>
      <c r="D466" s="2" t="inlineStr">
        <is>
          <t>10-11</t>
        </is>
      </c>
      <c r="E466" s="4">
        <f>VLOOKUP(D466,TUV_MEDIAS,2,0)</f>
        <v/>
      </c>
      <c r="F466" s="4">
        <f>IF(C466="","",MAX(0,MIN(100,50+100*(E466-C466)/E466)))</f>
        <v/>
      </c>
      <c r="G466" s="2" t="inlineStr">
        <is>
          <t>Renault Mégane</t>
        </is>
      </c>
      <c r="H466" s="4">
        <f>IF(G466="","",IFERROR(VLOOKUP(G466,ADAC_TBL,2,0),""))</f>
        <v/>
      </c>
      <c r="I466" s="4">
        <f>IF(H466="","",MAX(0,MIN(100,50+100*(ADAC_REF-H466)/ADAC_REF)))</f>
        <v/>
      </c>
      <c r="J466" s="4">
        <f>IFERROR(VLOOKUP(B466,OCU_TBL,2,0),"")</f>
        <v/>
      </c>
      <c r="K466" s="4">
        <f>IF(COUNT(F466,I466,J466)=0,NEUTRO,AVERAGE(F466,I466,J466))</f>
        <v/>
      </c>
      <c r="L466" s="4">
        <f>IF(COUNT(F466,I466,J466)=0,"PENDIENTE","")</f>
        <v/>
      </c>
      <c r="M466" t="inlineStr">
        <is>
          <t>probable (edición no fechada en el resumen)</t>
        </is>
      </c>
      <c r="N466" t="inlineStr">
        <is>
          <t>https://www.tuev-verband.de/presse/publikationen/reporte/tuev-report-autobild</t>
        </is>
      </c>
      <c r="P466" s="4">
        <f>IF(AND(L466="PENDIENTE",O466&lt;&gt;""),IFERROR(IF(VLOOKUP(O466,$A$464:$L$514,12,0)="",VLOOKUP(O466,$A$464:$L$514,11,0),K466),K466),K466)</f>
        <v/>
      </c>
      <c r="Q466" s="4">
        <f>IF(AND(L466="PENDIENTE",O466&lt;&gt;""),IFERROR(IF(VLOOKUP(O466,$A$464:$L$514,12,0)="","sí","no"),"no"),"no")</f>
        <v/>
      </c>
    </row>
    <row r="467">
      <c r="A467" s="2" t="inlineStr">
        <is>
          <t>Ford Focus</t>
        </is>
      </c>
      <c r="B467" s="2" t="inlineStr">
        <is>
          <t>Ford</t>
        </is>
      </c>
      <c r="C467" s="2" t="n">
        <v>34.8</v>
      </c>
      <c r="D467" s="2" t="inlineStr">
        <is>
          <t>12-13</t>
        </is>
      </c>
      <c r="E467" s="2" t="n">
        <v>28.1</v>
      </c>
      <c r="F467" s="4">
        <f>IF(C467="","",MAX(0,MIN(100,50+100*(E467-C467)/E467)))</f>
        <v/>
      </c>
      <c r="G467" s="2" t="inlineStr">
        <is>
          <t>Ford Focus</t>
        </is>
      </c>
      <c r="H467" s="4">
        <f>IF(G467="","",IFERROR(VLOOKUP(G467,ADAC_TBL,2,0),""))</f>
        <v/>
      </c>
      <c r="I467" s="4">
        <f>IF(H467="","",MAX(0,MIN(100,50+100*(ADAC_REF-H467)/ADAC_REF)))</f>
        <v/>
      </c>
      <c r="J467" s="4">
        <f>IFERROR(VLOOKUP(B467,OCU_TBL,2,0),"")</f>
        <v/>
      </c>
      <c r="K467" s="4">
        <f>IF(COUNT(F467,I467,J467)=0,NEUTRO,AVERAGE(F467,I467,J467))</f>
        <v/>
      </c>
      <c r="L467" s="4">
        <f>IF(COUNT(F467,I467,J467)=0,"PENDIENTE","")</f>
        <v/>
      </c>
      <c r="M467" t="inlineStr">
        <is>
          <t>probable (TÜV 2025; media de franja 28,1 % en esa edición)</t>
        </is>
      </c>
      <c r="N467" t="inlineStr">
        <is>
          <t>https://www.t-online.de/mobilitaet/aktuelles/id_100543260/tuev-report-das-sind-die-schlechtesten-kompakten-gebrauchten.html</t>
        </is>
      </c>
      <c r="P467" s="4">
        <f>IF(AND(L467="PENDIENTE",O467&lt;&gt;""),IFERROR(IF(VLOOKUP(O467,$A$464:$L$514,12,0)="",VLOOKUP(O467,$A$464:$L$514,11,0),K467),K467),K467)</f>
        <v/>
      </c>
      <c r="Q467" s="4">
        <f>IF(AND(L467="PENDIENTE",O467&lt;&gt;""),IFERROR(IF(VLOOKUP(O467,$A$464:$L$514,12,0)="","sí","no"),"no"),"no")</f>
        <v/>
      </c>
    </row>
    <row r="468">
      <c r="A468" s="2" t="inlineStr">
        <is>
          <t>Volkswagen Golf</t>
        </is>
      </c>
      <c r="B468" s="2" t="inlineStr">
        <is>
          <t>Volkswagen</t>
        </is>
      </c>
      <c r="C468" s="2" t="n">
        <v>17.4</v>
      </c>
      <c r="D468" s="2" t="inlineStr">
        <is>
          <t>10-11</t>
        </is>
      </c>
      <c r="E468" s="4">
        <f>VLOOKUP(D468,TUV_MEDIAS,2,0)</f>
        <v/>
      </c>
      <c r="F468" s="4">
        <f>IF(C468="","",MAX(0,MIN(100,50+100*(E468-C468)/E468)))</f>
        <v/>
      </c>
      <c r="G468" s="2" t="inlineStr">
        <is>
          <t>VW Golf</t>
        </is>
      </c>
      <c r="H468" s="4">
        <f>IF(G468="","",IFERROR(VLOOKUP(G468,ADAC_TBL,2,0),""))</f>
        <v/>
      </c>
      <c r="I468" s="4">
        <f>IF(H468="","",MAX(0,MIN(100,50+100*(ADAC_REF-H468)/ADAC_REF)))</f>
        <v/>
      </c>
      <c r="J468" s="4">
        <f>IFERROR(VLOOKUP(B468,OCU_TBL,2,0),"")</f>
        <v/>
      </c>
      <c r="K468" s="4">
        <f>IF(COUNT(F468,I468,J468)=0,NEUTRO,AVERAGE(F468,I468,J468))</f>
        <v/>
      </c>
      <c r="L468" s="4">
        <f>IF(COUNT(F468,I468,J468)=0,"PENDIENTE","")</f>
        <v/>
      </c>
      <c r="M468" t="inlineStr">
        <is>
          <t>probable (el resumen lo marcó dudoso)</t>
        </is>
      </c>
      <c r="N468" t="inlineStr">
        <is>
          <t>https://www.tuvsud.com/de-de/publikationen/tuev-report/maengelzwerge-und-fehlerriesen</t>
        </is>
      </c>
      <c r="P468" s="4">
        <f>IF(AND(L468="PENDIENTE",O468&lt;&gt;""),IFERROR(IF(VLOOKUP(O468,$A$464:$L$514,12,0)="",VLOOKUP(O468,$A$464:$L$514,11,0),K468),K468),K468)</f>
        <v/>
      </c>
      <c r="Q468" s="4">
        <f>IF(AND(L468="PENDIENTE",O468&lt;&gt;""),IFERROR(IF(VLOOKUP(O468,$A$464:$L$514,12,0)="","sí","no"),"no"),"no")</f>
        <v/>
      </c>
    </row>
    <row r="469">
      <c r="A469" s="2" t="inlineStr">
        <is>
          <t>Mazda 3</t>
        </is>
      </c>
      <c r="B469" s="2" t="inlineStr">
        <is>
          <t>Mazda</t>
        </is>
      </c>
      <c r="C469" s="2" t="n">
        <v>20.9</v>
      </c>
      <c r="D469" s="2" t="inlineStr">
        <is>
          <t>12-13</t>
        </is>
      </c>
      <c r="E469" s="4">
        <f>VLOOKUP(D469,TUV_MEDIAS,2,0)</f>
        <v/>
      </c>
      <c r="F469" s="4">
        <f>IF(C469="","",MAX(0,MIN(100,50+100*(E469-C469)/E469)))</f>
        <v/>
      </c>
      <c r="G469" s="2" t="inlineStr">
        <is>
          <t>Mazda 3</t>
        </is>
      </c>
      <c r="H469" s="4">
        <f>IF(G469="","",IFERROR(VLOOKUP(G469,ADAC_TBL,2,0),""))</f>
        <v/>
      </c>
      <c r="I469" s="4">
        <f>IF(H469="","",MAX(0,MIN(100,50+100*(ADAC_REF-H469)/ADAC_REF)))</f>
        <v/>
      </c>
      <c r="J469" s="4">
        <f>IFERROR(VLOOKUP(B469,OCU_TBL,2,0),"")</f>
        <v/>
      </c>
      <c r="K469" s="4">
        <f>IF(COUNT(F469,I469,J469)=0,NEUTRO,AVERAGE(F469,I469,J469))</f>
        <v/>
      </c>
      <c r="L469" s="4">
        <f>IF(COUNT(F469,I469,J469)=0,"PENDIENTE","")</f>
        <v/>
      </c>
      <c r="M469" t="inlineStr">
        <is>
          <t>probable (sin verificar)</t>
        </is>
      </c>
      <c r="N469" t="inlineStr">
        <is>
          <t>https://www.tuvsud.com/de-de/publikationen/tuev-report/maengelzwerge-und-fehlerriesen</t>
        </is>
      </c>
      <c r="P469" s="4">
        <f>IF(AND(L469="PENDIENTE",O469&lt;&gt;""),IFERROR(IF(VLOOKUP(O469,$A$464:$L$514,12,0)="",VLOOKUP(O469,$A$464:$L$514,11,0),K469),K469),K469)</f>
        <v/>
      </c>
      <c r="Q469" s="4">
        <f>IF(AND(L469="PENDIENTE",O469&lt;&gt;""),IFERROR(IF(VLOOKUP(O469,$A$464:$L$514,12,0)="","sí","no"),"no"),"no")</f>
        <v/>
      </c>
    </row>
    <row r="470">
      <c r="A470" s="2" t="inlineStr">
        <is>
          <t>Mitsubishi Space Star</t>
        </is>
      </c>
      <c r="B470" s="2" t="inlineStr">
        <is>
          <t>Mitsubishi</t>
        </is>
      </c>
      <c r="F470" s="4">
        <f>IF(C470="","",MAX(0,MIN(100,50+100*(E470-C470)/E470)))</f>
        <v/>
      </c>
      <c r="G470" s="2" t="inlineStr">
        <is>
          <t>Mitsubishi Space Star</t>
        </is>
      </c>
      <c r="H470" s="4">
        <f>IF(G470="","",IFERROR(VLOOKUP(G470,ADAC_TBL,2,0),""))</f>
        <v/>
      </c>
      <c r="I470" s="4">
        <f>IF(H470="","",MAX(0,MIN(100,50+100*(ADAC_REF-H470)/ADAC_REF)))</f>
        <v/>
      </c>
      <c r="J470" s="4">
        <f>IFERROR(VLOOKUP(B470,OCU_TBL,2,0),"")</f>
        <v/>
      </c>
      <c r="K470" s="4">
        <f>IF(COUNT(F470,I470,J470)=0,NEUTRO,AVERAGE(F470,I470,J470))</f>
        <v/>
      </c>
      <c r="L470" s="4">
        <f>IF(COUNT(F470,I470,J470)=0,"PENDIENTE","")</f>
        <v/>
      </c>
      <c r="M470" t="inlineStr">
        <is>
          <t>solo ADAC</t>
        </is>
      </c>
      <c r="N470" t="inlineStr"/>
      <c r="P470" s="4">
        <f>IF(AND(L470="PENDIENTE",O470&lt;&gt;""),IFERROR(IF(VLOOKUP(O470,$A$464:$L$514,12,0)="",VLOOKUP(O470,$A$464:$L$514,11,0),K470),K470),K470)</f>
        <v/>
      </c>
      <c r="Q470" s="4">
        <f>IF(AND(L470="PENDIENTE",O470&lt;&gt;""),IFERROR(IF(VLOOKUP(O470,$A$464:$L$514,12,0)="","sí","no"),"no"),"no")</f>
        <v/>
      </c>
    </row>
    <row r="471">
      <c r="A471" s="2" t="inlineStr">
        <is>
          <t>Toyota Aygo</t>
        </is>
      </c>
      <c r="B471" s="2" t="inlineStr">
        <is>
          <t>Toyota</t>
        </is>
      </c>
      <c r="F471" s="4">
        <f>IF(C471="","",MAX(0,MIN(100,50+100*(E471-C471)/E471)))</f>
        <v/>
      </c>
      <c r="G471" s="2" t="inlineStr">
        <is>
          <t>Toyota Aygo</t>
        </is>
      </c>
      <c r="H471" s="4">
        <f>IF(G471="","",IFERROR(VLOOKUP(G471,ADAC_TBL,2,0),""))</f>
        <v/>
      </c>
      <c r="I471" s="4">
        <f>IF(H471="","",MAX(0,MIN(100,50+100*(ADAC_REF-H471)/ADAC_REF)))</f>
        <v/>
      </c>
      <c r="J471" s="4">
        <f>IFERROR(VLOOKUP(B471,OCU_TBL,2,0),"")</f>
        <v/>
      </c>
      <c r="K471" s="4">
        <f>IF(COUNT(F471,I471,J471)=0,NEUTRO,AVERAGE(F471,I471,J471))</f>
        <v/>
      </c>
      <c r="L471" s="4">
        <f>IF(COUNT(F471,I471,J471)=0,"PENDIENTE","")</f>
        <v/>
      </c>
      <c r="M471" t="inlineStr">
        <is>
          <t>solo ADAC</t>
        </is>
      </c>
      <c r="N471" t="inlineStr"/>
      <c r="P471" s="4">
        <f>IF(AND(L471="PENDIENTE",O471&lt;&gt;""),IFERROR(IF(VLOOKUP(O471,$A$464:$L$514,12,0)="",VLOOKUP(O471,$A$464:$L$514,11,0),K471),K471),K471)</f>
        <v/>
      </c>
      <c r="Q471" s="4">
        <f>IF(AND(L471="PENDIENTE",O471&lt;&gt;""),IFERROR(IF(VLOOKUP(O471,$A$464:$L$514,12,0)="","sí","no"),"no"),"no")</f>
        <v/>
      </c>
    </row>
    <row r="472">
      <c r="A472" s="2" t="inlineStr">
        <is>
          <t>Fiat Panda</t>
        </is>
      </c>
      <c r="B472" s="2" t="inlineStr">
        <is>
          <t>Fiat</t>
        </is>
      </c>
      <c r="F472" s="4">
        <f>IF(C472="","",MAX(0,MIN(100,50+100*(E472-C472)/E472)))</f>
        <v/>
      </c>
      <c r="G472" s="2" t="inlineStr">
        <is>
          <t>Fiat Panda</t>
        </is>
      </c>
      <c r="H472" s="4">
        <f>IF(G472="","",IFERROR(VLOOKUP(G472,ADAC_TBL,2,0),""))</f>
        <v/>
      </c>
      <c r="I472" s="4">
        <f>IF(H472="","",MAX(0,MIN(100,50+100*(ADAC_REF-H472)/ADAC_REF)))</f>
        <v/>
      </c>
      <c r="J472" s="4">
        <f>IFERROR(VLOOKUP(B472,OCU_TBL,2,0),"")</f>
        <v/>
      </c>
      <c r="K472" s="4">
        <f>IF(COUNT(F472,I472,J472)=0,NEUTRO,AVERAGE(F472,I472,J472))</f>
        <v/>
      </c>
      <c r="L472" s="4">
        <f>IF(COUNT(F472,I472,J472)=0,"PENDIENTE","")</f>
        <v/>
      </c>
      <c r="M472" t="inlineStr">
        <is>
          <t>solo ADAC</t>
        </is>
      </c>
      <c r="N472" t="inlineStr"/>
      <c r="P472" s="4">
        <f>IF(AND(L472="PENDIENTE",O472&lt;&gt;""),IFERROR(IF(VLOOKUP(O472,$A$464:$L$514,12,0)="",VLOOKUP(O472,$A$464:$L$514,11,0),K472),K472),K472)</f>
        <v/>
      </c>
      <c r="Q472" s="4">
        <f>IF(AND(L472="PENDIENTE",O472&lt;&gt;""),IFERROR(IF(VLOOKUP(O472,$A$464:$L$514,12,0)="","sí","no"),"no"),"no")</f>
        <v/>
      </c>
    </row>
    <row r="473">
      <c r="A473" s="2" t="inlineStr">
        <is>
          <t>Dacia Logan</t>
        </is>
      </c>
      <c r="B473" s="2" t="inlineStr">
        <is>
          <t>Dacia</t>
        </is>
      </c>
      <c r="F473" s="4">
        <f>IF(C473="","",MAX(0,MIN(100,50+100*(E473-C473)/E473)))</f>
        <v/>
      </c>
      <c r="G473" s="2" t="inlineStr">
        <is>
          <t>Dacia Logan</t>
        </is>
      </c>
      <c r="H473" s="4">
        <f>IF(G473="","",IFERROR(VLOOKUP(G473,ADAC_TBL,2,0),""))</f>
        <v/>
      </c>
      <c r="I473" s="4">
        <f>IF(H473="","",MAX(0,MIN(100,50+100*(ADAC_REF-H473)/ADAC_REF)))</f>
        <v/>
      </c>
      <c r="J473" s="4">
        <f>IFERROR(VLOOKUP(B473,OCU_TBL,2,0),"")</f>
        <v/>
      </c>
      <c r="K473" s="4">
        <f>IF(COUNT(F473,I473,J473)=0,NEUTRO,AVERAGE(F473,I473,J473))</f>
        <v/>
      </c>
      <c r="L473" s="4">
        <f>IF(COUNT(F473,I473,J473)=0,"PENDIENTE","")</f>
        <v/>
      </c>
      <c r="M473" t="inlineStr">
        <is>
          <t>solo ADAC</t>
        </is>
      </c>
      <c r="N473" t="inlineStr"/>
      <c r="P473" s="4">
        <f>IF(AND(L473="PENDIENTE",O473&lt;&gt;""),IFERROR(IF(VLOOKUP(O473,$A$464:$L$514,12,0)="",VLOOKUP(O473,$A$464:$L$514,11,0),K473),K473),K473)</f>
        <v/>
      </c>
      <c r="Q473" s="4">
        <f>IF(AND(L473="PENDIENTE",O473&lt;&gt;""),IFERROR(IF(VLOOKUP(O473,$A$464:$L$514,12,0)="","sí","no"),"no"),"no")</f>
        <v/>
      </c>
    </row>
    <row r="474">
      <c r="A474" s="2" t="inlineStr">
        <is>
          <t>Toyota Yaris</t>
        </is>
      </c>
      <c r="B474" s="2" t="inlineStr">
        <is>
          <t>Toyota</t>
        </is>
      </c>
      <c r="F474" s="4">
        <f>IF(C474="","",MAX(0,MIN(100,50+100*(E474-C474)/E474)))</f>
        <v/>
      </c>
      <c r="G474" s="2" t="inlineStr">
        <is>
          <t>Toyota Yaris</t>
        </is>
      </c>
      <c r="H474" s="4">
        <f>IF(G474="","",IFERROR(VLOOKUP(G474,ADAC_TBL,2,0),""))</f>
        <v/>
      </c>
      <c r="I474" s="4">
        <f>IF(H474="","",MAX(0,MIN(100,50+100*(ADAC_REF-H474)/ADAC_REF)))</f>
        <v/>
      </c>
      <c r="J474" s="4">
        <f>IFERROR(VLOOKUP(B474,OCU_TBL,2,0),"")</f>
        <v/>
      </c>
      <c r="K474" s="4">
        <f>IF(COUNT(F474,I474,J474)=0,NEUTRO,AVERAGE(F474,I474,J474))</f>
        <v/>
      </c>
      <c r="L474" s="4">
        <f>IF(COUNT(F474,I474,J474)=0,"PENDIENTE","")</f>
        <v/>
      </c>
      <c r="M474" t="inlineStr">
        <is>
          <t>PENDIENTE</t>
        </is>
      </c>
      <c r="N474" t="inlineStr"/>
      <c r="P474" s="4">
        <f>IF(AND(L474="PENDIENTE",O474&lt;&gt;""),IFERROR(IF(VLOOKUP(O474,$A$464:$L$514,12,0)="",VLOOKUP(O474,$A$464:$L$514,11,0),K474),K474),K474)</f>
        <v/>
      </c>
      <c r="Q474" s="4">
        <f>IF(AND(L474="PENDIENTE",O474&lt;&gt;""),IFERROR(IF(VLOOKUP(O474,$A$464:$L$514,12,0)="","sí","no"),"no"),"no")</f>
        <v/>
      </c>
    </row>
    <row r="475">
      <c r="A475" s="2" t="inlineStr">
        <is>
          <t>Toyota Auris</t>
        </is>
      </c>
      <c r="B475" s="2" t="inlineStr">
        <is>
          <t>Toyota</t>
        </is>
      </c>
      <c r="F475" s="4">
        <f>IF(C475="","",MAX(0,MIN(100,50+100*(E475-C475)/E475)))</f>
        <v/>
      </c>
      <c r="G475" s="2" t="inlineStr">
        <is>
          <t>Toyota Auris</t>
        </is>
      </c>
      <c r="H475" s="4">
        <f>IF(G475="","",IFERROR(VLOOKUP(G475,ADAC_TBL,2,0),""))</f>
        <v/>
      </c>
      <c r="I475" s="4">
        <f>IF(H475="","",MAX(0,MIN(100,50+100*(ADAC_REF-H475)/ADAC_REF)))</f>
        <v/>
      </c>
      <c r="J475" s="4">
        <f>IFERROR(VLOOKUP(B475,OCU_TBL,2,0),"")</f>
        <v/>
      </c>
      <c r="K475" s="4">
        <f>IF(COUNT(F475,I475,J475)=0,NEUTRO,AVERAGE(F475,I475,J475))</f>
        <v/>
      </c>
      <c r="L475" s="4">
        <f>IF(COUNT(F475,I475,J475)=0,"PENDIENTE","")</f>
        <v/>
      </c>
      <c r="M475" t="inlineStr">
        <is>
          <t>PENDIENTE</t>
        </is>
      </c>
      <c r="N475" t="inlineStr"/>
      <c r="P475" s="4">
        <f>IF(AND(L475="PENDIENTE",O475&lt;&gt;""),IFERROR(IF(VLOOKUP(O475,$A$464:$L$514,12,0)="",VLOOKUP(O475,$A$464:$L$514,11,0),K475),K475),K475)</f>
        <v/>
      </c>
      <c r="Q475" s="4">
        <f>IF(AND(L475="PENDIENTE",O475&lt;&gt;""),IFERROR(IF(VLOOKUP(O475,$A$464:$L$514,12,0)="","sí","no"),"no"),"no")</f>
        <v/>
      </c>
    </row>
    <row r="476">
      <c r="A476" s="2" t="inlineStr">
        <is>
          <t>Toyota Corolla</t>
        </is>
      </c>
      <c r="B476" s="2" t="inlineStr">
        <is>
          <t>Toyota</t>
        </is>
      </c>
      <c r="F476" s="4">
        <f>IF(C476="","",MAX(0,MIN(100,50+100*(E476-C476)/E476)))</f>
        <v/>
      </c>
      <c r="H476" s="4">
        <f>IF(G476="","",IFERROR(VLOOKUP(G476,ADAC_TBL,2,0),""))</f>
        <v/>
      </c>
      <c r="I476" s="4">
        <f>IF(H476="","",MAX(0,MIN(100,50+100*(ADAC_REF-H476)/ADAC_REF)))</f>
        <v/>
      </c>
      <c r="J476" s="4">
        <f>IFERROR(VLOOKUP(B476,OCU_TBL,2,0),"")</f>
        <v/>
      </c>
      <c r="K476" s="4">
        <f>IF(COUNT(F476,I476,J476)=0,NEUTRO,AVERAGE(F476,I476,J476))</f>
        <v/>
      </c>
      <c r="L476" s="4">
        <f>IF(COUNT(F476,I476,J476)=0,"PENDIENTE","")</f>
        <v/>
      </c>
      <c r="M476" t="inlineStr">
        <is>
          <t>PENDIENTE</t>
        </is>
      </c>
      <c r="N476" t="inlineStr"/>
      <c r="P476" s="4">
        <f>IF(AND(L476="PENDIENTE",O476&lt;&gt;""),IFERROR(IF(VLOOKUP(O476,$A$464:$L$514,12,0)="",VLOOKUP(O476,$A$464:$L$514,11,0),K476),K476),K476)</f>
        <v/>
      </c>
      <c r="Q476" s="4">
        <f>IF(AND(L476="PENDIENTE",O476&lt;&gt;""),IFERROR(IF(VLOOKUP(O476,$A$464:$L$514,12,0)="","sí","no"),"no"),"no")</f>
        <v/>
      </c>
    </row>
    <row r="477">
      <c r="A477" s="2" t="inlineStr">
        <is>
          <t>Honda Jazz</t>
        </is>
      </c>
      <c r="B477" s="2" t="inlineStr">
        <is>
          <t>Honda</t>
        </is>
      </c>
      <c r="F477" s="4">
        <f>IF(C477="","",MAX(0,MIN(100,50+100*(E477-C477)/E477)))</f>
        <v/>
      </c>
      <c r="H477" s="4">
        <f>IF(G477="","",IFERROR(VLOOKUP(G477,ADAC_TBL,2,0),""))</f>
        <v/>
      </c>
      <c r="I477" s="4">
        <f>IF(H477="","",MAX(0,MIN(100,50+100*(ADAC_REF-H477)/ADAC_REF)))</f>
        <v/>
      </c>
      <c r="J477" s="4">
        <f>IFERROR(VLOOKUP(B477,OCU_TBL,2,0),"")</f>
        <v/>
      </c>
      <c r="K477" s="4">
        <f>IF(COUNT(F477,I477,J477)=0,NEUTRO,AVERAGE(F477,I477,J477))</f>
        <v/>
      </c>
      <c r="L477" s="4">
        <f>IF(COUNT(F477,I477,J477)=0,"PENDIENTE","")</f>
        <v/>
      </c>
      <c r="M477" t="inlineStr">
        <is>
          <t>PENDIENTE</t>
        </is>
      </c>
      <c r="N477" t="inlineStr"/>
      <c r="P477" s="4">
        <f>IF(AND(L477="PENDIENTE",O477&lt;&gt;""),IFERROR(IF(VLOOKUP(O477,$A$464:$L$514,12,0)="",VLOOKUP(O477,$A$464:$L$514,11,0),K477),K477),K477)</f>
        <v/>
      </c>
      <c r="Q477" s="4">
        <f>IF(AND(L477="PENDIENTE",O477&lt;&gt;""),IFERROR(IF(VLOOKUP(O477,$A$464:$L$514,12,0)="","sí","no"),"no"),"no")</f>
        <v/>
      </c>
    </row>
    <row r="478">
      <c r="A478" s="2" t="inlineStr">
        <is>
          <t>Honda Civic</t>
        </is>
      </c>
      <c r="B478" s="2" t="inlineStr">
        <is>
          <t>Honda</t>
        </is>
      </c>
      <c r="F478" s="4">
        <f>IF(C478="","",MAX(0,MIN(100,50+100*(E478-C478)/E478)))</f>
        <v/>
      </c>
      <c r="H478" s="4">
        <f>IF(G478="","",IFERROR(VLOOKUP(G478,ADAC_TBL,2,0),""))</f>
        <v/>
      </c>
      <c r="I478" s="4">
        <f>IF(H478="","",MAX(0,MIN(100,50+100*(ADAC_REF-H478)/ADAC_REF)))</f>
        <v/>
      </c>
      <c r="J478" s="4">
        <f>IFERROR(VLOOKUP(B478,OCU_TBL,2,0),"")</f>
        <v/>
      </c>
      <c r="K478" s="4">
        <f>IF(COUNT(F478,I478,J478)=0,NEUTRO,AVERAGE(F478,I478,J478))</f>
        <v/>
      </c>
      <c r="L478" s="4">
        <f>IF(COUNT(F478,I478,J478)=0,"PENDIENTE","")</f>
        <v/>
      </c>
      <c r="M478" t="inlineStr">
        <is>
          <t>PENDIENTE (8.ª gen: sin Mängelquote; ADAC 2023 por encima de la media casi todos los años, sobre todo batería; TÜV: rótulas, discos, luces)</t>
        </is>
      </c>
      <c r="N478" t="inlineStr">
        <is>
          <t>https://assets.adac.de/Autodatenbank/GWInfo/gw0135-honda-civic-2005-2011-bericht.pdf</t>
        </is>
      </c>
      <c r="P478" s="4">
        <f>IF(AND(L478="PENDIENTE",O478&lt;&gt;""),IFERROR(IF(VLOOKUP(O478,$A$464:$L$514,12,0)="",VLOOKUP(O478,$A$464:$L$514,11,0),K478),K478),K478)</f>
        <v/>
      </c>
      <c r="Q478" s="4">
        <f>IF(AND(L478="PENDIENTE",O478&lt;&gt;""),IFERROR(IF(VLOOKUP(O478,$A$464:$L$514,12,0)="","sí","no"),"no"),"no")</f>
        <v/>
      </c>
    </row>
    <row r="479">
      <c r="A479" s="2" t="inlineStr">
        <is>
          <t>Mazda 2</t>
        </is>
      </c>
      <c r="B479" s="2" t="inlineStr">
        <is>
          <t>Mazda</t>
        </is>
      </c>
      <c r="F479" s="4">
        <f>IF(C479="","",MAX(0,MIN(100,50+100*(E479-C479)/E479)))</f>
        <v/>
      </c>
      <c r="G479" s="2" t="inlineStr">
        <is>
          <t>Mazda 2</t>
        </is>
      </c>
      <c r="H479" s="4">
        <f>IF(G479="","",IFERROR(VLOOKUP(G479,ADAC_TBL,2,0),""))</f>
        <v/>
      </c>
      <c r="I479" s="4">
        <f>IF(H479="","",MAX(0,MIN(100,50+100*(ADAC_REF-H479)/ADAC_REF)))</f>
        <v/>
      </c>
      <c r="J479" s="4">
        <f>IFERROR(VLOOKUP(B479,OCU_TBL,2,0),"")</f>
        <v/>
      </c>
      <c r="K479" s="4">
        <f>IF(COUNT(F479,I479,J479)=0,NEUTRO,AVERAGE(F479,I479,J479))</f>
        <v/>
      </c>
      <c r="L479" s="4">
        <f>IF(COUNT(F479,I479,J479)=0,"PENDIENTE","")</f>
        <v/>
      </c>
      <c r="M479" t="inlineStr">
        <is>
          <t>PENDIENTE (TÜV 2026 solo da franjas jóvenes: 2,9 % a 2-3 años; ADAC 2026 lo pone entre los mejores Kleinwagen 2016-2023)</t>
        </is>
      </c>
      <c r="N479" t="inlineStr"/>
      <c r="P479" s="4">
        <f>IF(AND(L479="PENDIENTE",O479&lt;&gt;""),IFERROR(IF(VLOOKUP(O479,$A$464:$L$514,12,0)="",VLOOKUP(O479,$A$464:$L$514,11,0),K479),K479),K479)</f>
        <v/>
      </c>
      <c r="Q479" s="4">
        <f>IF(AND(L479="PENDIENTE",O479&lt;&gt;""),IFERROR(IF(VLOOKUP(O479,$A$464:$L$514,12,0)="","sí","no"),"no"),"no")</f>
        <v/>
      </c>
    </row>
    <row r="480">
      <c r="A480" s="2" t="inlineStr">
        <is>
          <t>Kia Rio</t>
        </is>
      </c>
      <c r="B480" s="2" t="inlineStr">
        <is>
          <t>Kia</t>
        </is>
      </c>
      <c r="F480" s="4">
        <f>IF(C480="","",MAX(0,MIN(100,50+100*(E480-C480)/E480)))</f>
        <v/>
      </c>
      <c r="H480" s="4">
        <f>IF(G480="","",IFERROR(VLOOKUP(G480,ADAC_TBL,2,0),""))</f>
        <v/>
      </c>
      <c r="I480" s="4">
        <f>IF(H480="","",MAX(0,MIN(100,50+100*(ADAC_REF-H480)/ADAC_REF)))</f>
        <v/>
      </c>
      <c r="J480" s="4">
        <f>IFERROR(VLOOKUP(B480,OCU_TBL,2,0),"")</f>
        <v/>
      </c>
      <c r="K480" s="4">
        <f>IF(COUNT(F480,I480,J480)=0,NEUTRO,AVERAGE(F480,I480,J480))</f>
        <v/>
      </c>
      <c r="L480" s="4">
        <f>IF(COUNT(F480,I480,J480)=0,"PENDIENTE","")</f>
        <v/>
      </c>
      <c r="M480" t="inlineStr">
        <is>
          <t>PENDIENTE</t>
        </is>
      </c>
      <c r="N480" t="inlineStr"/>
      <c r="P480" s="4">
        <f>IF(AND(L480="PENDIENTE",O480&lt;&gt;""),IFERROR(IF(VLOOKUP(O480,$A$464:$L$514,12,0)="",VLOOKUP(O480,$A$464:$L$514,11,0),K480),K480),K480)</f>
        <v/>
      </c>
      <c r="Q480" s="4">
        <f>IF(AND(L480="PENDIENTE",O480&lt;&gt;""),IFERROR(IF(VLOOKUP(O480,$A$464:$L$514,12,0)="","sí","no"),"no"),"no")</f>
        <v/>
      </c>
    </row>
    <row r="481">
      <c r="A481" s="2" t="inlineStr">
        <is>
          <t>Kia Ceed</t>
        </is>
      </c>
      <c r="B481" s="2" t="inlineStr">
        <is>
          <t>Kia</t>
        </is>
      </c>
      <c r="F481" s="4">
        <f>IF(C481="","",MAX(0,MIN(100,50+100*(E481-C481)/E481)))</f>
        <v/>
      </c>
      <c r="G481" s="2" t="inlineStr">
        <is>
          <t>KIA Ceed/XCeed</t>
        </is>
      </c>
      <c r="H481" s="4">
        <f>IF(G481="","",IFERROR(VLOOKUP(G481,ADAC_TBL,2,0),""))</f>
        <v/>
      </c>
      <c r="I481" s="4">
        <f>IF(H481="","",MAX(0,MIN(100,50+100*(ADAC_REF-H481)/ADAC_REF)))</f>
        <v/>
      </c>
      <c r="J481" s="4">
        <f>IFERROR(VLOOKUP(B481,OCU_TBL,2,0),"")</f>
        <v/>
      </c>
      <c r="K481" s="4">
        <f>IF(COUNT(F481,I481,J481)=0,NEUTRO,AVERAGE(F481,I481,J481))</f>
        <v/>
      </c>
      <c r="L481" s="4">
        <f>IF(COUNT(F481,I481,J481)=0,"PENDIENTE","")</f>
        <v/>
      </c>
      <c r="M481" t="inlineStr">
        <is>
          <t>PENDIENTE</t>
        </is>
      </c>
      <c r="N481" t="inlineStr"/>
      <c r="P481" s="4">
        <f>IF(AND(L481="PENDIENTE",O481&lt;&gt;""),IFERROR(IF(VLOOKUP(O481,$A$464:$L$514,12,0)="",VLOOKUP(O481,$A$464:$L$514,11,0),K481),K481),K481)</f>
        <v/>
      </c>
      <c r="Q481" s="4">
        <f>IF(AND(L481="PENDIENTE",O481&lt;&gt;""),IFERROR(IF(VLOOKUP(O481,$A$464:$L$514,12,0)="","sí","no"),"no"),"no")</f>
        <v/>
      </c>
    </row>
    <row r="482">
      <c r="A482" s="2" t="inlineStr">
        <is>
          <t>Kia Picanto</t>
        </is>
      </c>
      <c r="B482" s="2" t="inlineStr">
        <is>
          <t>Kia</t>
        </is>
      </c>
      <c r="F482" s="4">
        <f>IF(C482="","",MAX(0,MIN(100,50+100*(E482-C482)/E482)))</f>
        <v/>
      </c>
      <c r="G482" s="2" t="inlineStr">
        <is>
          <t>Kia Picanto</t>
        </is>
      </c>
      <c r="H482" s="4">
        <f>IF(G482="","",IFERROR(VLOOKUP(G482,ADAC_TBL,2,0),""))</f>
        <v/>
      </c>
      <c r="I482" s="4">
        <f>IF(H482="","",MAX(0,MIN(100,50+100*(ADAC_REF-H482)/ADAC_REF)))</f>
        <v/>
      </c>
      <c r="J482" s="4">
        <f>IFERROR(VLOOKUP(B482,OCU_TBL,2,0),"")</f>
        <v/>
      </c>
      <c r="K482" s="4">
        <f>IF(COUNT(F482,I482,J482)=0,NEUTRO,AVERAGE(F482,I482,J482))</f>
        <v/>
      </c>
      <c r="L482" s="4">
        <f>IF(COUNT(F482,I482,J482)=0,"PENDIENTE","")</f>
        <v/>
      </c>
      <c r="M482" t="inlineStr">
        <is>
          <t>PENDIENTE</t>
        </is>
      </c>
      <c r="N482" t="inlineStr"/>
      <c r="P482" s="4">
        <f>IF(AND(L482="PENDIENTE",O482&lt;&gt;""),IFERROR(IF(VLOOKUP(O482,$A$464:$L$514,12,0)="",VLOOKUP(O482,$A$464:$L$514,11,0),K482),K482),K482)</f>
        <v/>
      </c>
      <c r="Q482" s="4">
        <f>IF(AND(L482="PENDIENTE",O482&lt;&gt;""),IFERROR(IF(VLOOKUP(O482,$A$464:$L$514,12,0)="","sí","no"),"no"),"no")</f>
        <v/>
      </c>
    </row>
    <row r="483">
      <c r="A483" s="2" t="inlineStr">
        <is>
          <t>Audi A3</t>
        </is>
      </c>
      <c r="B483" s="2" t="inlineStr">
        <is>
          <t>Audi</t>
        </is>
      </c>
      <c r="F483" s="4">
        <f>IF(C483="","",MAX(0,MIN(100,50+100*(E483-C483)/E483)))</f>
        <v/>
      </c>
      <c r="H483" s="4">
        <f>IF(G483="","",IFERROR(VLOOKUP(G483,ADAC_TBL,2,0),""))</f>
        <v/>
      </c>
      <c r="I483" s="4">
        <f>IF(H483="","",MAX(0,MIN(100,50+100*(ADAC_REF-H483)/ADAC_REF)))</f>
        <v/>
      </c>
      <c r="J483" s="4">
        <f>IFERROR(VLOOKUP(B483,OCU_TBL,2,0),"")</f>
        <v/>
      </c>
      <c r="K483" s="4">
        <f>IF(COUNT(F483,I483,J483)=0,NEUTRO,AVERAGE(F483,I483,J483))</f>
        <v/>
      </c>
      <c r="L483" s="4">
        <f>IF(COUNT(F483,I483,J483)=0,"PENDIENTE","")</f>
        <v/>
      </c>
      <c r="M483" t="inlineStr">
        <is>
          <t>PENDIENTE de Mängelquote por franja (A3 8P: ADAC 2021 'nivel muy bajo de defectos y averías', TÜV mejor que la media; TÜV 2015 4,9 % sin franja clara)</t>
        </is>
      </c>
      <c r="N483" t="inlineStr">
        <is>
          <t>https://assets.adac.de/Autodatenbank/GWInfo/gw0091-audi-a3-2003-2013-benziner-bericht.pdf</t>
        </is>
      </c>
      <c r="P483" s="4">
        <f>IF(AND(L483="PENDIENTE",O483&lt;&gt;""),IFERROR(IF(VLOOKUP(O483,$A$464:$L$514,12,0)="",VLOOKUP(O483,$A$464:$L$514,11,0),K483),K483),K483)</f>
        <v/>
      </c>
      <c r="Q483" s="4">
        <f>IF(AND(L483="PENDIENTE",O483&lt;&gt;""),IFERROR(IF(VLOOKUP(O483,$A$464:$L$514,12,0)="","sí","no"),"no"),"no")</f>
        <v/>
      </c>
    </row>
    <row r="484">
      <c r="A484" s="2" t="inlineStr">
        <is>
          <t>Alfa Romeo 147</t>
        </is>
      </c>
      <c r="B484" s="2" t="inlineStr">
        <is>
          <t>Alfa</t>
        </is>
      </c>
      <c r="C484" s="2" t="n">
        <v>30.7</v>
      </c>
      <c r="D484" s="2" t="inlineStr">
        <is>
          <t>9 años (TÜV 2012)</t>
        </is>
      </c>
      <c r="E484" s="2" t="n">
        <v>22.2</v>
      </c>
      <c r="F484" s="4">
        <f>IF(C484="","",MAX(0,MIN(100,50+100*(E484-C484)/E484)))</f>
        <v/>
      </c>
      <c r="H484" s="4">
        <f>IF(G484="","",IFERROR(VLOOKUP(G484,ADAC_TBL,2,0),""))</f>
        <v/>
      </c>
      <c r="I484" s="4">
        <f>IF(H484="","",MAX(0,MIN(100,50+100*(ADAC_REF-H484)/ADAC_REF)))</f>
        <v/>
      </c>
      <c r="J484" s="4">
        <f>IFERROR(VLOOKUP(B484,OCU_TBL,2,0),"")</f>
        <v/>
      </c>
      <c r="K484" s="4">
        <f>IF(COUNT(F484,I484,J484)=0,NEUTRO,AVERAGE(F484,I484,J484))</f>
        <v/>
      </c>
      <c r="L484" s="4">
        <f>IF(COUNT(F484,I484,J484)=0,"PENDIENTE","")</f>
        <v/>
      </c>
      <c r="M484" t="inlineStr">
        <is>
          <t>confirmado (TÜV Report 2012: puesto 78 de 85 a 9 años, media 22,2 %)</t>
        </is>
      </c>
      <c r="N484" t="inlineStr">
        <is>
          <t>https://autoflotte.de/downloadfile/1085776/TUEV_Report_2012.pdf ; eje trasero 3 veces peor que la media, electrónica: https://www.autobild.de/artikel/gebrauchtwagen-test-alfa-147-ab-2001--53500.html</t>
        </is>
      </c>
      <c r="P484" s="4">
        <f>IF(AND(L484="PENDIENTE",O484&lt;&gt;""),IFERROR(IF(VLOOKUP(O484,$A$464:$L$514,12,0)="",VLOOKUP(O484,$A$464:$L$514,11,0),K484),K484),K484)</f>
        <v/>
      </c>
      <c r="Q484" s="4">
        <f>IF(AND(L484="PENDIENTE",O484&lt;&gt;""),IFERROR(IF(VLOOKUP(O484,$A$464:$L$514,12,0)="","sí","no"),"no"),"no")</f>
        <v/>
      </c>
    </row>
    <row r="485">
      <c r="A485" s="2" t="inlineStr">
        <is>
          <t>Alfa Romeo 159</t>
        </is>
      </c>
      <c r="B485" s="2" t="inlineStr">
        <is>
          <t>Alfa</t>
        </is>
      </c>
      <c r="C485" s="2" t="n">
        <v>9.4</v>
      </c>
      <c r="D485" s="2" t="inlineStr">
        <is>
          <t>3 años (TÜV 2012)</t>
        </is>
      </c>
      <c r="E485" s="2" t="n">
        <v>5.9</v>
      </c>
      <c r="F485" s="4">
        <f>IF(C485="","",MAX(0,MIN(100,50+100*(E485-C485)/E485)))</f>
        <v/>
      </c>
      <c r="H485" s="4">
        <f>IF(G485="","",IFERROR(VLOOKUP(G485,ADAC_TBL,2,0),""))</f>
        <v/>
      </c>
      <c r="I485" s="4">
        <f>IF(H485="","",MAX(0,MIN(100,50+100*(ADAC_REF-H485)/ADAC_REF)))</f>
        <v/>
      </c>
      <c r="J485" s="4">
        <f>IFERROR(VLOOKUP(B485,OCU_TBL,2,0),"")</f>
        <v/>
      </c>
      <c r="K485" s="4">
        <f>IF(COUNT(F485,I485,J485)=0,NEUTRO,AVERAGE(F485,I485,J485))</f>
        <v/>
      </c>
      <c r="L485" s="4">
        <f>IF(COUNT(F485,I485,J485)=0,"PENDIENTE","")</f>
        <v/>
      </c>
      <c r="M485" t="inlineStr">
        <is>
          <t>confirmado (TÜV Report 2012: puesto 119 de 127 a 3 años, media 5,9 %; AUTO BILD 2016: solo el 58,5 % de los de 7 años pasa sin defectos)</t>
        </is>
      </c>
      <c r="N485" t="inlineStr">
        <is>
          <t>https://autoflotte.de/downloadfile/1085776/TUEV_Report_2012.pdf ; https://www.autobild.de/artikel/alfa-romeo-159-gebrauchtwagen-test-10615563.html</t>
        </is>
      </c>
      <c r="P485" s="4">
        <f>IF(AND(L485="PENDIENTE",O485&lt;&gt;""),IFERROR(IF(VLOOKUP(O485,$A$464:$L$514,12,0)="",VLOOKUP(O485,$A$464:$L$514,11,0),K485),K485),K485)</f>
        <v/>
      </c>
      <c r="Q485" s="4">
        <f>IF(AND(L485="PENDIENTE",O485&lt;&gt;""),IFERROR(IF(VLOOKUP(O485,$A$464:$L$514,12,0)="","sí","no"),"no"),"no")</f>
        <v/>
      </c>
    </row>
    <row r="486">
      <c r="A486" s="2" t="inlineStr">
        <is>
          <t>Honda Accord</t>
        </is>
      </c>
      <c r="B486" s="2" t="inlineStr">
        <is>
          <t>Honda</t>
        </is>
      </c>
      <c r="F486" s="4">
        <f>IF(C486="","",MAX(0,MIN(100,50+100*(E486-C486)/E486)))</f>
        <v/>
      </c>
      <c r="H486" s="4">
        <f>IF(G486="","",IFERROR(VLOOKUP(G486,ADAC_TBL,2,0),""))</f>
        <v/>
      </c>
      <c r="I486" s="4">
        <f>IF(H486="","",MAX(0,MIN(100,50+100*(ADAC_REF-H486)/ADAC_REF)))</f>
        <v/>
      </c>
      <c r="J486" s="4">
        <f>IFERROR(VLOOKUP(B486,OCU_TBL,2,0),"")</f>
        <v/>
      </c>
      <c r="K486" s="4">
        <f>IF(COUNT(F486,I486,J486)=0,NEUTRO,AVERAGE(F486,I486,J486))</f>
        <v/>
      </c>
      <c r="L486" s="4">
        <f>IF(COUNT(F486,I486,J486)=0,"PENDIENTE","")</f>
        <v/>
      </c>
      <c r="M486" t="inlineStr">
        <is>
          <t>PENDIENTE (TÜV 2014/2016: cualitativo 'fiable'; rótulas y muelles por encima de la media desde ~9-11 años; sin cifra por franja)</t>
        </is>
      </c>
      <c r="N486" t="inlineStr">
        <is>
          <t>https://www.handelsblatt.com/mobilitaet/motor/der-honda-accord-als-gebrauchter-solide-aber-selten-/14733658.html ; https://www.wz.de/auto/gebrauchtwagen/purer-durchschnitt-tuev-report-zu-honda-accord_aid-29389651</t>
        </is>
      </c>
      <c r="P486" s="4">
        <f>IF(AND(L486="PENDIENTE",O486&lt;&gt;""),IFERROR(IF(VLOOKUP(O486,$A$464:$L$514,12,0)="",VLOOKUP(O486,$A$464:$L$514,11,0),K486),K486),K486)</f>
        <v/>
      </c>
      <c r="Q486" s="4">
        <f>IF(AND(L486="PENDIENTE",O486&lt;&gt;""),IFERROR(IF(VLOOKUP(O486,$A$464:$L$514,12,0)="","sí","no"),"no"),"no")</f>
        <v/>
      </c>
    </row>
    <row r="487">
      <c r="A487" s="2" t="inlineStr">
        <is>
          <t>Toyota Avensis</t>
        </is>
      </c>
      <c r="B487" s="2" t="inlineStr">
        <is>
          <t>Toyota</t>
        </is>
      </c>
      <c r="F487" s="4">
        <f>IF(C487="","",MAX(0,MIN(100,50+100*(E487-C487)/E487)))</f>
        <v/>
      </c>
      <c r="H487" s="4">
        <f>IF(G487="","",IFERROR(VLOOKUP(G487,ADAC_TBL,2,0),""))</f>
        <v/>
      </c>
      <c r="I487" s="4">
        <f>IF(H487="","",MAX(0,MIN(100,50+100*(ADAC_REF-H487)/ADAC_REF)))</f>
        <v/>
      </c>
      <c r="J487" s="4">
        <f>IFERROR(VLOOKUP(B487,OCU_TBL,2,0),"")</f>
        <v/>
      </c>
      <c r="K487" s="4">
        <f>IF(COUNT(F487,I487,J487)=0,NEUTRO,AVERAGE(F487,I487,J487))</f>
        <v/>
      </c>
      <c r="L487" s="4">
        <f>IF(COUNT(F487,I487,J487)=0,"PENDIENTE","")</f>
        <v/>
      </c>
      <c r="M487" t="inlineStr">
        <is>
          <t>PENDIENTE (T25: 2.º de su franja 8-9 años en el TÜV 2013, sin porcentaje; puntúa por el índice OCU de Toyota)</t>
        </is>
      </c>
      <c r="N487" t="inlineStr">
        <is>
          <t>https://autocreative.wordpress.com/2012/12/07/toyota-beim-tuv-report-ganz-vorne/</t>
        </is>
      </c>
      <c r="P487" s="4">
        <f>IF(AND(L487="PENDIENTE",O487&lt;&gt;""),IFERROR(IF(VLOOKUP(O487,$A$464:$L$514,12,0)="",VLOOKUP(O487,$A$464:$L$514,11,0),K487),K487),K487)</f>
        <v/>
      </c>
      <c r="Q487" s="4">
        <f>IF(AND(L487="PENDIENTE",O487&lt;&gt;""),IFERROR(IF(VLOOKUP(O487,$A$464:$L$514,12,0)="","sí","no"),"no"),"no")</f>
        <v/>
      </c>
    </row>
    <row r="488">
      <c r="A488" s="2" t="inlineStr">
        <is>
          <t>Mazda 6</t>
        </is>
      </c>
      <c r="B488" s="2" t="inlineStr">
        <is>
          <t>Mazda</t>
        </is>
      </c>
      <c r="F488" s="4">
        <f>IF(C488="","",MAX(0,MIN(100,50+100*(E488-C488)/E488)))</f>
        <v/>
      </c>
      <c r="H488" s="4">
        <f>IF(G488="","",IFERROR(VLOOKUP(G488,ADAC_TBL,2,0),""))</f>
        <v/>
      </c>
      <c r="I488" s="4">
        <f>IF(H488="","",MAX(0,MIN(100,50+100*(ADAC_REF-H488)/ADAC_REF)))</f>
        <v/>
      </c>
      <c r="J488" s="4">
        <f>IFERROR(VLOOKUP(B488,OCU_TBL,2,0),"")</f>
        <v/>
      </c>
      <c r="K488" s="4">
        <f>IF(COUNT(F488,I488,J488)=0,NEUTRO,AVERAGE(F488,I488,J488))</f>
        <v/>
      </c>
      <c r="L488" s="4">
        <f>IF(COUNT(F488,I488,J488)=0,"PENDIENTE","")</f>
        <v/>
      </c>
      <c r="M488" t="inlineStr">
        <is>
          <t>PENDIENTE (GG/GY 2002-2008: sin cifra TÜV/ADAC encontrada)</t>
        </is>
      </c>
      <c r="N488" t="inlineStr"/>
      <c r="P488" s="4">
        <f>IF(AND(L488="PENDIENTE",O488&lt;&gt;""),IFERROR(IF(VLOOKUP(O488,$A$464:$L$514,12,0)="",VLOOKUP(O488,$A$464:$L$514,11,0),K488),K488),K488)</f>
        <v/>
      </c>
      <c r="Q488" s="4">
        <f>IF(AND(L488="PENDIENTE",O488&lt;&gt;""),IFERROR(IF(VLOOKUP(O488,$A$464:$L$514,12,0)="","sí","no"),"no"),"no")</f>
        <v/>
      </c>
    </row>
    <row r="489">
      <c r="A489" s="2" t="inlineStr">
        <is>
          <t>Volkswagen Jetta</t>
        </is>
      </c>
      <c r="B489" s="2" t="inlineStr">
        <is>
          <t>Volkswagen</t>
        </is>
      </c>
      <c r="F489" s="4">
        <f>IF(C489="","",MAX(0,MIN(100,50+100*(E489-C489)/E489)))</f>
        <v/>
      </c>
      <c r="H489" s="4">
        <f>IF(G489="","",IFERROR(VLOOKUP(G489,ADAC_TBL,2,0),""))</f>
        <v/>
      </c>
      <c r="I489" s="4">
        <f>IF(H489="","",MAX(0,MIN(100,50+100*(ADAC_REF-H489)/ADAC_REF)))</f>
        <v/>
      </c>
      <c r="J489" s="4">
        <f>IFERROR(VLOOKUP(B489,OCU_TBL,2,0),"")</f>
        <v/>
      </c>
      <c r="K489" s="4">
        <f>IF(COUNT(F489,I489,J489)=0,NEUTRO,AVERAGE(F489,I489,J489))</f>
        <v/>
      </c>
      <c r="L489" s="4">
        <f>IF(COUNT(F489,I489,J489)=0,"PENDIENTE","")</f>
        <v/>
      </c>
      <c r="M489" t="inlineStr">
        <is>
          <t>PENDIENTE (Jetta V: sin dato TÜV/ADAC/OCU)</t>
        </is>
      </c>
      <c r="N489" t="inlineStr"/>
      <c r="P489" s="4">
        <f>IF(AND(L489="PENDIENTE",O489&lt;&gt;""),IFERROR(IF(VLOOKUP(O489,$A$464:$L$514,12,0)="",VLOOKUP(O489,$A$464:$L$514,11,0),K489),K489),K489)</f>
        <v/>
      </c>
      <c r="Q489" s="4">
        <f>IF(AND(L489="PENDIENTE",O489&lt;&gt;""),IFERROR(IF(VLOOKUP(O489,$A$464:$L$514,12,0)="","sí","no"),"no"),"no")</f>
        <v/>
      </c>
    </row>
    <row r="490">
      <c r="A490" s="2" t="inlineStr">
        <is>
          <t>Audi A4</t>
        </is>
      </c>
      <c r="B490" s="2" t="inlineStr">
        <is>
          <t>Audi</t>
        </is>
      </c>
      <c r="F490" s="4">
        <f>IF(C490="","",MAX(0,MIN(100,50+100*(E490-C490)/E490)))</f>
        <v/>
      </c>
      <c r="H490" s="4">
        <f>IF(G490="","",IFERROR(VLOOKUP(G490,ADAC_TBL,2,0),""))</f>
        <v/>
      </c>
      <c r="I490" s="4">
        <f>IF(H490="","",MAX(0,MIN(100,50+100*(ADAC_REF-H490)/ADAC_REF)))</f>
        <v/>
      </c>
      <c r="J490" s="4">
        <f>IFERROR(VLOOKUP(B490,OCU_TBL,2,0),"")</f>
        <v/>
      </c>
      <c r="K490" s="4">
        <f>IF(COUNT(F490,I490,J490)=0,NEUTRO,AVERAGE(F490,I490,J490))</f>
        <v/>
      </c>
      <c r="L490" s="4">
        <f>IF(COUNT(F490,I490,J490)=0,"PENDIENTE","")</f>
        <v/>
      </c>
      <c r="M490" t="inlineStr">
        <is>
          <t>PENDIENTE (B7 2004-2008: el TÜV 2026 de Auto Bild (20,8 % a 8-9 años) es del B9; no se usa. El dato ADAC 'Audi A4' es de matriculaciones 2015 y no se aplica al B7)</t>
        </is>
      </c>
      <c r="N490" t="inlineStr">
        <is>
          <t>https://www.autobild.de/artikel/audi-a4-a5-schwachstellen-maengel-staerken-28217247.html</t>
        </is>
      </c>
      <c r="P490" s="4">
        <f>IF(AND(L490="PENDIENTE",O490&lt;&gt;""),IFERROR(IF(VLOOKUP(O490,$A$464:$L$514,12,0)="",VLOOKUP(O490,$A$464:$L$514,11,0),K490),K490),K490)</f>
        <v/>
      </c>
      <c r="Q490" s="4">
        <f>IF(AND(L490="PENDIENTE",O490&lt;&gt;""),IFERROR(IF(VLOOKUP(O490,$A$464:$L$514,12,0)="","sí","no"),"no"),"no")</f>
        <v/>
      </c>
    </row>
    <row r="491">
      <c r="A491" s="2" t="inlineStr">
        <is>
          <t>Seat Exeo</t>
        </is>
      </c>
      <c r="B491" s="2" t="inlineStr">
        <is>
          <t>Seat</t>
        </is>
      </c>
      <c r="F491" s="4">
        <f>IF(C491="","",MAX(0,MIN(100,50+100*(E491-C491)/E491)))</f>
        <v/>
      </c>
      <c r="H491" s="4">
        <f>IF(G491="","",IFERROR(VLOOKUP(G491,ADAC_TBL,2,0),""))</f>
        <v/>
      </c>
      <c r="I491" s="4">
        <f>IF(H491="","",MAX(0,MIN(100,50+100*(ADAC_REF-H491)/ADAC_REF)))</f>
        <v/>
      </c>
      <c r="J491" s="4">
        <f>IFERROR(VLOOKUP(B491,OCU_TBL,2,0),"")</f>
        <v/>
      </c>
      <c r="K491" s="4">
        <f>IF(COUNT(F491,I491,J491)=0,NEUTRO,AVERAGE(F491,I491,J491))</f>
        <v/>
      </c>
      <c r="L491" s="4">
        <f>IF(COUNT(F491,I491,J491)=0,"PENDIENTE","")</f>
        <v/>
      </c>
      <c r="M491" t="inlineStr">
        <is>
          <t>PENDIENTE (gemelo del Audi A4 B7, que tampoco tiene cifra)</t>
        </is>
      </c>
      <c r="N491" t="inlineStr"/>
      <c r="P491" s="4">
        <f>IF(AND(L491="PENDIENTE",O491&lt;&gt;""),IFERROR(IF(VLOOKUP(O491,$A$464:$L$514,12,0)="",VLOOKUP(O491,$A$464:$L$514,11,0),K491),K491),K491)</f>
        <v/>
      </c>
      <c r="Q491" s="4">
        <f>IF(AND(L491="PENDIENTE",O491&lt;&gt;""),IFERROR(IF(VLOOKUP(O491,$A$464:$L$514,12,0)="","sí","no"),"no"),"no")</f>
        <v/>
      </c>
    </row>
    <row r="492">
      <c r="A492" s="2" t="inlineStr">
        <is>
          <t>Hyundai i10</t>
        </is>
      </c>
      <c r="B492" s="2" t="inlineStr">
        <is>
          <t>Hyundai</t>
        </is>
      </c>
      <c r="F492" s="4">
        <f>IF(C492="","",MAX(0,MIN(100,50+100*(E492-C492)/E492)))</f>
        <v/>
      </c>
      <c r="G492" s="2" t="inlineStr">
        <is>
          <t>Hyundai i10</t>
        </is>
      </c>
      <c r="H492" s="4">
        <f>IF(G492="","",IFERROR(VLOOKUP(G492,ADAC_TBL,2,0),""))</f>
        <v/>
      </c>
      <c r="I492" s="4">
        <f>IF(H492="","",MAX(0,MIN(100,50+100*(ADAC_REF-H492)/ADAC_REF)))</f>
        <v/>
      </c>
      <c r="J492" s="4">
        <f>IFERROR(VLOOKUP(B492,OCU_TBL,2,0),"")</f>
        <v/>
      </c>
      <c r="K492" s="4">
        <f>IF(COUNT(F492,I492,J492)=0,NEUTRO,AVERAGE(F492,I492,J492))</f>
        <v/>
      </c>
      <c r="L492" s="4">
        <f>IF(COUNT(F492,I492,J492)=0,"PENDIENTE","")</f>
        <v/>
      </c>
      <c r="M492" t="inlineStr">
        <is>
          <t>PENDIENTE</t>
        </is>
      </c>
      <c r="N492" t="inlineStr"/>
      <c r="P492" s="4">
        <f>IF(AND(L492="PENDIENTE",O492&lt;&gt;""),IFERROR(IF(VLOOKUP(O492,$A$464:$L$514,12,0)="",VLOOKUP(O492,$A$464:$L$514,11,0),K492),K492),K492)</f>
        <v/>
      </c>
      <c r="Q492" s="4">
        <f>IF(AND(L492="PENDIENTE",O492&lt;&gt;""),IFERROR(IF(VLOOKUP(O492,$A$464:$L$514,12,0)="","sí","no"),"no"),"no")</f>
        <v/>
      </c>
    </row>
    <row r="493">
      <c r="A493" s="2" t="inlineStr">
        <is>
          <t>Hyundai i20</t>
        </is>
      </c>
      <c r="B493" s="2" t="inlineStr">
        <is>
          <t>Hyundai</t>
        </is>
      </c>
      <c r="F493" s="4">
        <f>IF(C493="","",MAX(0,MIN(100,50+100*(E493-C493)/E493)))</f>
        <v/>
      </c>
      <c r="G493" s="2" t="inlineStr">
        <is>
          <t>Hyundai i20</t>
        </is>
      </c>
      <c r="H493" s="4">
        <f>IF(G493="","",IFERROR(VLOOKUP(G493,ADAC_TBL,2,0),""))</f>
        <v/>
      </c>
      <c r="I493" s="4">
        <f>IF(H493="","",MAX(0,MIN(100,50+100*(ADAC_REF-H493)/ADAC_REF)))</f>
        <v/>
      </c>
      <c r="J493" s="4">
        <f>IFERROR(VLOOKUP(B493,OCU_TBL,2,0),"")</f>
        <v/>
      </c>
      <c r="K493" s="4">
        <f>IF(COUNT(F493,I493,J493)=0,NEUTRO,AVERAGE(F493,I493,J493))</f>
        <v/>
      </c>
      <c r="L493" s="4">
        <f>IF(COUNT(F493,I493,J493)=0,"PENDIENTE","")</f>
        <v/>
      </c>
      <c r="M493" t="inlineStr">
        <is>
          <t>PENDIENTE</t>
        </is>
      </c>
      <c r="N493" t="inlineStr"/>
      <c r="P493" s="4">
        <f>IF(AND(L493="PENDIENTE",O493&lt;&gt;""),IFERROR(IF(VLOOKUP(O493,$A$464:$L$514,12,0)="",VLOOKUP(O493,$A$464:$L$514,11,0),K493),K493),K493)</f>
        <v/>
      </c>
      <c r="Q493" s="4">
        <f>IF(AND(L493="PENDIENTE",O493&lt;&gt;""),IFERROR(IF(VLOOKUP(O493,$A$464:$L$514,12,0)="","sí","no"),"no"),"no")</f>
        <v/>
      </c>
    </row>
    <row r="494">
      <c r="A494" s="2" t="inlineStr">
        <is>
          <t>Hyundai i30</t>
        </is>
      </c>
      <c r="B494" s="2" t="inlineStr">
        <is>
          <t>Hyundai</t>
        </is>
      </c>
      <c r="F494" s="4">
        <f>IF(C494="","",MAX(0,MIN(100,50+100*(E494-C494)/E494)))</f>
        <v/>
      </c>
      <c r="G494" s="2" t="inlineStr">
        <is>
          <t>Hyundai i30</t>
        </is>
      </c>
      <c r="H494" s="4">
        <f>IF(G494="","",IFERROR(VLOOKUP(G494,ADAC_TBL,2,0),""))</f>
        <v/>
      </c>
      <c r="I494" s="4">
        <f>IF(H494="","",MAX(0,MIN(100,50+100*(ADAC_REF-H494)/ADAC_REF)))</f>
        <v/>
      </c>
      <c r="J494" s="4">
        <f>IFERROR(VLOOKUP(B494,OCU_TBL,2,0),"")</f>
        <v/>
      </c>
      <c r="K494" s="4">
        <f>IF(COUNT(F494,I494,J494)=0,NEUTRO,AVERAGE(F494,I494,J494))</f>
        <v/>
      </c>
      <c r="L494" s="4">
        <f>IF(COUNT(F494,I494,J494)=0,"PENDIENTE","")</f>
        <v/>
      </c>
      <c r="M494" t="inlineStr">
        <is>
          <t>PENDIENTE</t>
        </is>
      </c>
      <c r="N494" t="inlineStr"/>
      <c r="P494" s="4">
        <f>IF(AND(L494="PENDIENTE",O494&lt;&gt;""),IFERROR(IF(VLOOKUP(O494,$A$464:$L$514,12,0)="",VLOOKUP(O494,$A$464:$L$514,11,0),K494),K494),K494)</f>
        <v/>
      </c>
      <c r="Q494" s="4">
        <f>IF(AND(L494="PENDIENTE",O494&lt;&gt;""),IFERROR(IF(VLOOKUP(O494,$A$464:$L$514,12,0)="","sí","no"),"no"),"no")</f>
        <v/>
      </c>
    </row>
    <row r="495">
      <c r="A495" s="2" t="inlineStr">
        <is>
          <t>Skoda Fabia</t>
        </is>
      </c>
      <c r="B495" s="2" t="inlineStr">
        <is>
          <t>Skoda</t>
        </is>
      </c>
      <c r="F495" s="4">
        <f>IF(C495="","",MAX(0,MIN(100,50+100*(E495-C495)/E495)))</f>
        <v/>
      </c>
      <c r="G495" s="2" t="inlineStr">
        <is>
          <t>Skoda Fabia</t>
        </is>
      </c>
      <c r="H495" s="4">
        <f>IF(G495="","",IFERROR(VLOOKUP(G495,ADAC_TBL,2,0),""))</f>
        <v/>
      </c>
      <c r="I495" s="4">
        <f>IF(H495="","",MAX(0,MIN(100,50+100*(ADAC_REF-H495)/ADAC_REF)))</f>
        <v/>
      </c>
      <c r="J495" s="4">
        <f>IFERROR(VLOOKUP(B495,OCU_TBL,2,0),"")</f>
        <v/>
      </c>
      <c r="K495" s="4">
        <f>IF(COUNT(F495,I495,J495)=0,NEUTRO,AVERAGE(F495,I495,J495))</f>
        <v/>
      </c>
      <c r="L495" s="4">
        <f>IF(COUNT(F495,I495,J495)=0,"PENDIENTE","")</f>
        <v/>
      </c>
      <c r="M495" t="inlineStr">
        <is>
          <t>PENDIENTE (ADAC 2026 entre los mejores Kleinwagen 2016-2023, sin cifra)</t>
        </is>
      </c>
      <c r="N495" t="inlineStr"/>
      <c r="P495" s="4">
        <f>IF(AND(L495="PENDIENTE",O495&lt;&gt;""),IFERROR(IF(VLOOKUP(O495,$A$464:$L$514,12,0)="",VLOOKUP(O495,$A$464:$L$514,11,0),K495),K495),K495)</f>
        <v/>
      </c>
      <c r="Q495" s="4">
        <f>IF(AND(L495="PENDIENTE",O495&lt;&gt;""),IFERROR(IF(VLOOKUP(O495,$A$464:$L$514,12,0)="","sí","no"),"no"),"no")</f>
        <v/>
      </c>
    </row>
    <row r="496">
      <c r="A496" s="2" t="inlineStr">
        <is>
          <t>Skoda Octavia</t>
        </is>
      </c>
      <c r="B496" s="2" t="inlineStr">
        <is>
          <t>Skoda</t>
        </is>
      </c>
      <c r="F496" s="4">
        <f>IF(C496="","",MAX(0,MIN(100,50+100*(E496-C496)/E496)))</f>
        <v/>
      </c>
      <c r="G496" s="2" t="inlineStr">
        <is>
          <t>Skoda Octavia</t>
        </is>
      </c>
      <c r="H496" s="4">
        <f>IF(G496="","",IFERROR(VLOOKUP(G496,ADAC_TBL,2,0),""))</f>
        <v/>
      </c>
      <c r="I496" s="4">
        <f>IF(H496="","",MAX(0,MIN(100,50+100*(ADAC_REF-H496)/ADAC_REF)))</f>
        <v/>
      </c>
      <c r="J496" s="4">
        <f>IFERROR(VLOOKUP(B496,OCU_TBL,2,0),"")</f>
        <v/>
      </c>
      <c r="K496" s="4">
        <f>IF(COUNT(F496,I496,J496)=0,NEUTRO,AVERAGE(F496,I496,J496))</f>
        <v/>
      </c>
      <c r="L496" s="4">
        <f>IF(COUNT(F496,I496,J496)=0,"PENDIENTE","")</f>
        <v/>
      </c>
      <c r="M496" t="inlineStr">
        <is>
          <t>PENDIENTE</t>
        </is>
      </c>
      <c r="N496" t="inlineStr"/>
      <c r="P496" s="4">
        <f>IF(AND(L496="PENDIENTE",O496&lt;&gt;""),IFERROR(IF(VLOOKUP(O496,$A$464:$L$514,12,0)="",VLOOKUP(O496,$A$464:$L$514,11,0),K496),K496),K496)</f>
        <v/>
      </c>
      <c r="Q496" s="4">
        <f>IF(AND(L496="PENDIENTE",O496&lt;&gt;""),IFERROR(IF(VLOOKUP(O496,$A$464:$L$514,12,0)="","sí","no"),"no"),"no")</f>
        <v/>
      </c>
    </row>
    <row r="497">
      <c r="A497" s="2" t="inlineStr">
        <is>
          <t>Seat Ibiza</t>
        </is>
      </c>
      <c r="B497" s="2" t="inlineStr">
        <is>
          <t>Seat</t>
        </is>
      </c>
      <c r="F497" s="4">
        <f>IF(C497="","",MAX(0,MIN(100,50+100*(E497-C497)/E497)))</f>
        <v/>
      </c>
      <c r="G497" s="2" t="inlineStr">
        <is>
          <t>SEAT Ibiza</t>
        </is>
      </c>
      <c r="H497" s="4">
        <f>IF(G497="","",IFERROR(VLOOKUP(G497,ADAC_TBL,2,0),""))</f>
        <v/>
      </c>
      <c r="I497" s="4">
        <f>IF(H497="","",MAX(0,MIN(100,50+100*(ADAC_REF-H497)/ADAC_REF)))</f>
        <v/>
      </c>
      <c r="J497" s="4">
        <f>IFERROR(VLOOKUP(B497,OCU_TBL,2,0),"")</f>
        <v/>
      </c>
      <c r="K497" s="4">
        <f>IF(COUNT(F497,I497,J497)=0,NEUTRO,AVERAGE(F497,I497,J497))</f>
        <v/>
      </c>
      <c r="L497" s="4">
        <f>IF(COUNT(F497,I497,J497)=0,"PENDIENTE","")</f>
        <v/>
      </c>
      <c r="M497" t="inlineStr">
        <is>
          <t>PENDIENTE (ADAC 2026 entre los mejores Kleinwagen 2016-2023, sin cifra)</t>
        </is>
      </c>
      <c r="N497" t="inlineStr"/>
      <c r="P497" s="4">
        <f>IF(AND(L497="PENDIENTE",O497&lt;&gt;""),IFERROR(IF(VLOOKUP(O497,$A$464:$L$514,12,0)="",VLOOKUP(O497,$A$464:$L$514,11,0),K497),K497),K497)</f>
        <v/>
      </c>
      <c r="Q497" s="4">
        <f>IF(AND(L497="PENDIENTE",O497&lt;&gt;""),IFERROR(IF(VLOOKUP(O497,$A$464:$L$514,12,0)="","sí","no"),"no"),"no")</f>
        <v/>
      </c>
    </row>
    <row r="498">
      <c r="A498" s="2" t="inlineStr">
        <is>
          <t>Seat León</t>
        </is>
      </c>
      <c r="B498" s="2" t="inlineStr">
        <is>
          <t>Seat</t>
        </is>
      </c>
      <c r="F498" s="4">
        <f>IF(C498="","",MAX(0,MIN(100,50+100*(E498-C498)/E498)))</f>
        <v/>
      </c>
      <c r="G498" s="2" t="inlineStr">
        <is>
          <t>SEAT Leon</t>
        </is>
      </c>
      <c r="H498" s="4">
        <f>IF(G498="","",IFERROR(VLOOKUP(G498,ADAC_TBL,2,0),""))</f>
        <v/>
      </c>
      <c r="I498" s="4">
        <f>IF(H498="","",MAX(0,MIN(100,50+100*(ADAC_REF-H498)/ADAC_REF)))</f>
        <v/>
      </c>
      <c r="J498" s="4">
        <f>IFERROR(VLOOKUP(B498,OCU_TBL,2,0),"")</f>
        <v/>
      </c>
      <c r="K498" s="4">
        <f>IF(COUNT(F498,I498,J498)=0,NEUTRO,AVERAGE(F498,I498,J498))</f>
        <v/>
      </c>
      <c r="L498" s="4">
        <f>IF(COUNT(F498,I498,J498)=0,"PENDIENTE","")</f>
        <v/>
      </c>
      <c r="M498" t="inlineStr">
        <is>
          <t>PENDIENTE de Mängelquote (León II 1P: ADAC 2023 'muy buena estadística de averías', TÜV en la media; iluminación por encima de la media)</t>
        </is>
      </c>
      <c r="N498" t="inlineStr">
        <is>
          <t>https://assets.adac.de/Autodatenbank/GWInfo/gw0516-seat-leon-2005-2012-benziner-bericht.pdf ; https://www.autozeitung.de/seat-leon-erfahrungen-kaufberatung-i-ii-91760.html</t>
        </is>
      </c>
      <c r="P498" s="4">
        <f>IF(AND(L498="PENDIENTE",O498&lt;&gt;""),IFERROR(IF(VLOOKUP(O498,$A$464:$L$514,12,0)="",VLOOKUP(O498,$A$464:$L$514,11,0),K498),K498),K498)</f>
        <v/>
      </c>
      <c r="Q498" s="4">
        <f>IF(AND(L498="PENDIENTE",O498&lt;&gt;""),IFERROR(IF(VLOOKUP(O498,$A$464:$L$514,12,0)="","sí","no"),"no"),"no")</f>
        <v/>
      </c>
    </row>
    <row r="499">
      <c r="A499" s="2" t="inlineStr">
        <is>
          <t>Volkswagen Polo</t>
        </is>
      </c>
      <c r="B499" s="2" t="inlineStr">
        <is>
          <t>Volkswagen</t>
        </is>
      </c>
      <c r="F499" s="4">
        <f>IF(C499="","",MAX(0,MIN(100,50+100*(E499-C499)/E499)))</f>
        <v/>
      </c>
      <c r="G499" s="2" t="inlineStr">
        <is>
          <t>VW Polo</t>
        </is>
      </c>
      <c r="H499" s="4">
        <f>IF(G499="","",IFERROR(VLOOKUP(G499,ADAC_TBL,2,0),""))</f>
        <v/>
      </c>
      <c r="I499" s="4">
        <f>IF(H499="","",MAX(0,MIN(100,50+100*(ADAC_REF-H499)/ADAC_REF)))</f>
        <v/>
      </c>
      <c r="J499" s="4">
        <f>IFERROR(VLOOKUP(B499,OCU_TBL,2,0),"")</f>
        <v/>
      </c>
      <c r="K499" s="4">
        <f>IF(COUNT(F499,I499,J499)=0,NEUTRO,AVERAGE(F499,I499,J499))</f>
        <v/>
      </c>
      <c r="L499" s="4">
        <f>IF(COUNT(F499,I499,J499)=0,"PENDIENTE","")</f>
        <v/>
      </c>
      <c r="M499" t="inlineStr">
        <is>
          <t>PENDIENTE (ADAC 2026 entre los mejores Kleinwagen 2016-2023, sin cifra)</t>
        </is>
      </c>
      <c r="N499" t="inlineStr"/>
      <c r="P499" s="4">
        <f>IF(AND(L499="PENDIENTE",O499&lt;&gt;""),IFERROR(IF(VLOOKUP(O499,$A$464:$L$514,12,0)="",VLOOKUP(O499,$A$464:$L$514,11,0),K499),K499),K499)</f>
        <v/>
      </c>
      <c r="Q499" s="4">
        <f>IF(AND(L499="PENDIENTE",O499&lt;&gt;""),IFERROR(IF(VLOOKUP(O499,$A$464:$L$514,12,0)="","sí","no"),"no"),"no")</f>
        <v/>
      </c>
    </row>
    <row r="500">
      <c r="A500" s="2" t="inlineStr">
        <is>
          <t>Opel Corsa</t>
        </is>
      </c>
      <c r="B500" s="2" t="inlineStr">
        <is>
          <t>Opel</t>
        </is>
      </c>
      <c r="F500" s="4">
        <f>IF(C500="","",MAX(0,MIN(100,50+100*(E500-C500)/E500)))</f>
        <v/>
      </c>
      <c r="G500" s="2" t="inlineStr">
        <is>
          <t>Opel Corsa</t>
        </is>
      </c>
      <c r="H500" s="4">
        <f>IF(G500="","",IFERROR(VLOOKUP(G500,ADAC_TBL,2,0),""))</f>
        <v/>
      </c>
      <c r="I500" s="4">
        <f>IF(H500="","",MAX(0,MIN(100,50+100*(ADAC_REF-H500)/ADAC_REF)))</f>
        <v/>
      </c>
      <c r="J500" s="4">
        <f>IFERROR(VLOOKUP(B500,OCU_TBL,2,0),"")</f>
        <v/>
      </c>
      <c r="K500" s="4">
        <f>IF(COUNT(F500,I500,J500)=0,NEUTRO,AVERAGE(F500,I500,J500))</f>
        <v/>
      </c>
      <c r="L500" s="4">
        <f>IF(COUNT(F500,I500,J500)=0,"PENDIENTE","")</f>
        <v/>
      </c>
      <c r="M500" t="inlineStr">
        <is>
          <t>PENDIENTE</t>
        </is>
      </c>
      <c r="N500" t="inlineStr"/>
      <c r="P500" s="4">
        <f>IF(AND(L500="PENDIENTE",O500&lt;&gt;""),IFERROR(IF(VLOOKUP(O500,$A$464:$L$514,12,0)="",VLOOKUP(O500,$A$464:$L$514,11,0),K500),K500),K500)</f>
        <v/>
      </c>
      <c r="Q500" s="4">
        <f>IF(AND(L500="PENDIENTE",O500&lt;&gt;""),IFERROR(IF(VLOOKUP(O500,$A$464:$L$514,12,0)="","sí","no"),"no"),"no")</f>
        <v/>
      </c>
    </row>
    <row r="501">
      <c r="A501" s="2" t="inlineStr">
        <is>
          <t>Opel Astra</t>
        </is>
      </c>
      <c r="B501" s="2" t="inlineStr">
        <is>
          <t>Opel</t>
        </is>
      </c>
      <c r="F501" s="4">
        <f>IF(C501="","",MAX(0,MIN(100,50+100*(E501-C501)/E501)))</f>
        <v/>
      </c>
      <c r="G501" s="2" t="inlineStr">
        <is>
          <t>Opel Astra</t>
        </is>
      </c>
      <c r="H501" s="4">
        <f>IF(G501="","",IFERROR(VLOOKUP(G501,ADAC_TBL,2,0),""))</f>
        <v/>
      </c>
      <c r="I501" s="4">
        <f>IF(H501="","",MAX(0,MIN(100,50+100*(ADAC_REF-H501)/ADAC_REF)))</f>
        <v/>
      </c>
      <c r="J501" s="4">
        <f>IFERROR(VLOOKUP(B501,OCU_TBL,2,0),"")</f>
        <v/>
      </c>
      <c r="K501" s="4">
        <f>IF(COUNT(F501,I501,J501)=0,NEUTRO,AVERAGE(F501,I501,J501))</f>
        <v/>
      </c>
      <c r="L501" s="4">
        <f>IF(COUNT(F501,I501,J501)=0,"PENDIENTE","")</f>
        <v/>
      </c>
      <c r="M501" t="inlineStr">
        <is>
          <t>PENDIENTE</t>
        </is>
      </c>
      <c r="N501" t="inlineStr"/>
      <c r="P501" s="4">
        <f>IF(AND(L501="PENDIENTE",O501&lt;&gt;""),IFERROR(IF(VLOOKUP(O501,$A$464:$L$514,12,0)="",VLOOKUP(O501,$A$464:$L$514,11,0),K501),K501),K501)</f>
        <v/>
      </c>
      <c r="Q501" s="4">
        <f>IF(AND(L501="PENDIENTE",O501&lt;&gt;""),IFERROR(IF(VLOOKUP(O501,$A$464:$L$514,12,0)="","sí","no"),"no"),"no")</f>
        <v/>
      </c>
    </row>
    <row r="502">
      <c r="A502" s="2" t="inlineStr">
        <is>
          <t>Peugeot 107</t>
        </is>
      </c>
      <c r="B502" s="2" t="inlineStr">
        <is>
          <t>Peugeot</t>
        </is>
      </c>
      <c r="F502" s="4">
        <f>IF(C502="","",MAX(0,MIN(100,50+100*(E502-C502)/E502)))</f>
        <v/>
      </c>
      <c r="H502" s="4">
        <f>IF(G502="","",IFERROR(VLOOKUP(G502,ADAC_TBL,2,0),""))</f>
        <v/>
      </c>
      <c r="I502" s="4">
        <f>IF(H502="","",MAX(0,MIN(100,50+100*(ADAC_REF-H502)/ADAC_REF)))</f>
        <v/>
      </c>
      <c r="J502" s="4">
        <f>IFERROR(VLOOKUP(B502,OCU_TBL,2,0),"")</f>
        <v/>
      </c>
      <c r="K502" s="4">
        <f>IF(COUNT(F502,I502,J502)=0,NEUTRO,AVERAGE(F502,I502,J502))</f>
        <v/>
      </c>
      <c r="L502" s="4">
        <f>IF(COUNT(F502,I502,J502)=0,"PENDIENTE","")</f>
        <v/>
      </c>
      <c r="M502" t="inlineStr">
        <is>
          <t>PENDIENTE</t>
        </is>
      </c>
      <c r="N502" t="inlineStr"/>
      <c r="O502" s="2" t="inlineStr">
        <is>
          <t>Toyota Aygo</t>
        </is>
      </c>
      <c r="P502" s="4">
        <f>IF(AND(L502="PENDIENTE",O502&lt;&gt;""),IFERROR(IF(VLOOKUP(O502,$A$464:$L$514,12,0)="",VLOOKUP(O502,$A$464:$L$514,11,0),K502),K502),K502)</f>
        <v/>
      </c>
      <c r="Q502" s="4">
        <f>IF(AND(L502="PENDIENTE",O502&lt;&gt;""),IFERROR(IF(VLOOKUP(O502,$A$464:$L$514,12,0)="","sí","no"),"no"),"no")</f>
        <v/>
      </c>
    </row>
    <row r="503">
      <c r="A503" s="2" t="inlineStr">
        <is>
          <t>Citroën C1</t>
        </is>
      </c>
      <c r="B503" s="2" t="inlineStr">
        <is>
          <t>Citroën</t>
        </is>
      </c>
      <c r="F503" s="4">
        <f>IF(C503="","",MAX(0,MIN(100,50+100*(E503-C503)/E503)))</f>
        <v/>
      </c>
      <c r="H503" s="4">
        <f>IF(G503="","",IFERROR(VLOOKUP(G503,ADAC_TBL,2,0),""))</f>
        <v/>
      </c>
      <c r="I503" s="4">
        <f>IF(H503="","",MAX(0,MIN(100,50+100*(ADAC_REF-H503)/ADAC_REF)))</f>
        <v/>
      </c>
      <c r="J503" s="4">
        <f>IFERROR(VLOOKUP(B503,OCU_TBL,2,0),"")</f>
        <v/>
      </c>
      <c r="K503" s="4">
        <f>IF(COUNT(F503,I503,J503)=0,NEUTRO,AVERAGE(F503,I503,J503))</f>
        <v/>
      </c>
      <c r="L503" s="4">
        <f>IF(COUNT(F503,I503,J503)=0,"PENDIENTE","")</f>
        <v/>
      </c>
      <c r="M503" t="inlineStr">
        <is>
          <t>PENDIENTE</t>
        </is>
      </c>
      <c r="N503" t="inlineStr"/>
      <c r="O503" s="2" t="inlineStr">
        <is>
          <t>Toyota Aygo</t>
        </is>
      </c>
      <c r="P503" s="4">
        <f>IF(AND(L503="PENDIENTE",O503&lt;&gt;""),IFERROR(IF(VLOOKUP(O503,$A$464:$L$514,12,0)="",VLOOKUP(O503,$A$464:$L$514,11,0),K503),K503),K503)</f>
        <v/>
      </c>
      <c r="Q503" s="4">
        <f>IF(AND(L503="PENDIENTE",O503&lt;&gt;""),IFERROR(IF(VLOOKUP(O503,$A$464:$L$514,12,0)="","sí","no"),"no"),"no")</f>
        <v/>
      </c>
    </row>
    <row r="504">
      <c r="A504" s="2" t="inlineStr">
        <is>
          <t>Seat Córdoba</t>
        </is>
      </c>
      <c r="B504" s="2" t="inlineStr">
        <is>
          <t>Seat</t>
        </is>
      </c>
      <c r="F504" s="4">
        <f>IF(C504="","",MAX(0,MIN(100,50+100*(E504-C504)/E504)))</f>
        <v/>
      </c>
      <c r="H504" s="4">
        <f>IF(G504="","",IFERROR(VLOOKUP(G504,ADAC_TBL,2,0),""))</f>
        <v/>
      </c>
      <c r="I504" s="4">
        <f>IF(H504="","",MAX(0,MIN(100,50+100*(ADAC_REF-H504)/ADAC_REF)))</f>
        <v/>
      </c>
      <c r="J504" s="4">
        <f>IFERROR(VLOOKUP(B504,OCU_TBL,2,0),"")</f>
        <v/>
      </c>
      <c r="K504" s="4">
        <f>IF(COUNT(F504,I504,J504)=0,NEUTRO,AVERAGE(F504,I504,J504))</f>
        <v/>
      </c>
      <c r="L504" s="4">
        <f>IF(COUNT(F504,I504,J504)=0,"PENDIENTE","")</f>
        <v/>
      </c>
      <c r="M504" t="inlineStr">
        <is>
          <t>PENDIENTE</t>
        </is>
      </c>
      <c r="N504" t="inlineStr"/>
      <c r="O504" s="2" t="inlineStr">
        <is>
          <t>Seat Ibiza</t>
        </is>
      </c>
      <c r="P504" s="4">
        <f>IF(AND(L504="PENDIENTE",O504&lt;&gt;""),IFERROR(IF(VLOOKUP(O504,$A$464:$L$514,12,0)="",VLOOKUP(O504,$A$464:$L$514,11,0),K504),K504),K504)</f>
        <v/>
      </c>
      <c r="Q504" s="4">
        <f>IF(AND(L504="PENDIENTE",O504&lt;&gt;""),IFERROR(IF(VLOOKUP(O504,$A$464:$L$514,12,0)="","sí","no"),"no"),"no")</f>
        <v/>
      </c>
    </row>
    <row r="505">
      <c r="A505" s="2" t="inlineStr">
        <is>
          <t>Peugeot 208</t>
        </is>
      </c>
      <c r="B505" s="2" t="inlineStr">
        <is>
          <t>Peugeot</t>
        </is>
      </c>
      <c r="F505" s="4">
        <f>IF(C505="","",MAX(0,MIN(100,50+100*(E505-C505)/E505)))</f>
        <v/>
      </c>
      <c r="G505" s="2" t="inlineStr">
        <is>
          <t>Peugeot 208</t>
        </is>
      </c>
      <c r="H505" s="4">
        <f>IF(G505="","",IFERROR(VLOOKUP(G505,ADAC_TBL,2,0),""))</f>
        <v/>
      </c>
      <c r="I505" s="4">
        <f>IF(H505="","",MAX(0,MIN(100,50+100*(ADAC_REF-H505)/ADAC_REF)))</f>
        <v/>
      </c>
      <c r="J505" s="4">
        <f>IFERROR(VLOOKUP(B505,OCU_TBL,2,0),"")</f>
        <v/>
      </c>
      <c r="K505" s="4">
        <f>IF(COUNT(F505,I505,J505)=0,NEUTRO,AVERAGE(F505,I505,J505))</f>
        <v/>
      </c>
      <c r="L505" s="4">
        <f>IF(COUNT(F505,I505,J505)=0,"PENDIENTE","")</f>
        <v/>
      </c>
      <c r="M505" t="inlineStr">
        <is>
          <t>PENDIENTE</t>
        </is>
      </c>
      <c r="N505" t="inlineStr"/>
      <c r="P505" s="4">
        <f>IF(AND(L505="PENDIENTE",O505&lt;&gt;""),IFERROR(IF(VLOOKUP(O505,$A$464:$L$514,12,0)="",VLOOKUP(O505,$A$464:$L$514,11,0),K505),K505),K505)</f>
        <v/>
      </c>
      <c r="Q505" s="4">
        <f>IF(AND(L505="PENDIENTE",O505&lt;&gt;""),IFERROR(IF(VLOOKUP(O505,$A$464:$L$514,12,0)="","sí","no"),"no"),"no")</f>
        <v/>
      </c>
    </row>
    <row r="506">
      <c r="A506" s="2" t="inlineStr">
        <is>
          <t>Peugeot 308</t>
        </is>
      </c>
      <c r="B506" s="2" t="inlineStr">
        <is>
          <t>Peugeot</t>
        </is>
      </c>
      <c r="F506" s="4">
        <f>IF(C506="","",MAX(0,MIN(100,50+100*(E506-C506)/E506)))</f>
        <v/>
      </c>
      <c r="G506" s="2" t="inlineStr">
        <is>
          <t>Peugeot 308</t>
        </is>
      </c>
      <c r="H506" s="4">
        <f>IF(G506="","",IFERROR(VLOOKUP(G506,ADAC_TBL,2,0),""))</f>
        <v/>
      </c>
      <c r="I506" s="4">
        <f>IF(H506="","",MAX(0,MIN(100,50+100*(ADAC_REF-H506)/ADAC_REF)))</f>
        <v/>
      </c>
      <c r="J506" s="4">
        <f>IFERROR(VLOOKUP(B506,OCU_TBL,2,0),"")</f>
        <v/>
      </c>
      <c r="K506" s="4">
        <f>IF(COUNT(F506,I506,J506)=0,NEUTRO,AVERAGE(F506,I506,J506))</f>
        <v/>
      </c>
      <c r="L506" s="4">
        <f>IF(COUNT(F506,I506,J506)=0,"PENDIENTE","")</f>
        <v/>
      </c>
      <c r="M506" t="inlineStr">
        <is>
          <t>PENDIENTE</t>
        </is>
      </c>
      <c r="N506" t="inlineStr"/>
      <c r="P506" s="4">
        <f>IF(AND(L506="PENDIENTE",O506&lt;&gt;""),IFERROR(IF(VLOOKUP(O506,$A$464:$L$514,12,0)="",VLOOKUP(O506,$A$464:$L$514,11,0),K506),K506),K506)</f>
        <v/>
      </c>
      <c r="Q506" s="4">
        <f>IF(AND(L506="PENDIENTE",O506&lt;&gt;""),IFERROR(IF(VLOOKUP(O506,$A$464:$L$514,12,0)="","sí","no"),"no"),"no")</f>
        <v/>
      </c>
    </row>
    <row r="507">
      <c r="A507" s="2" t="inlineStr">
        <is>
          <t>Citroën C3</t>
        </is>
      </c>
      <c r="B507" s="2" t="inlineStr">
        <is>
          <t>Citroën</t>
        </is>
      </c>
      <c r="F507" s="4">
        <f>IF(C507="","",MAX(0,MIN(100,50+100*(E507-C507)/E507)))</f>
        <v/>
      </c>
      <c r="G507" s="2" t="inlineStr">
        <is>
          <t>Citroen C3/DS 3</t>
        </is>
      </c>
      <c r="H507" s="4">
        <f>IF(G507="","",IFERROR(VLOOKUP(G507,ADAC_TBL,2,0),""))</f>
        <v/>
      </c>
      <c r="I507" s="4">
        <f>IF(H507="","",MAX(0,MIN(100,50+100*(ADAC_REF-H507)/ADAC_REF)))</f>
        <v/>
      </c>
      <c r="J507" s="4">
        <f>IFERROR(VLOOKUP(B507,OCU_TBL,2,0),"")</f>
        <v/>
      </c>
      <c r="K507" s="4">
        <f>IF(COUNT(F507,I507,J507)=0,NEUTRO,AVERAGE(F507,I507,J507))</f>
        <v/>
      </c>
      <c r="L507" s="4">
        <f>IF(COUNT(F507,I507,J507)=0,"PENDIENTE","")</f>
        <v/>
      </c>
      <c r="M507" t="inlineStr">
        <is>
          <t>PENDIENTE</t>
        </is>
      </c>
      <c r="N507" t="inlineStr"/>
      <c r="P507" s="4">
        <f>IF(AND(L507="PENDIENTE",O507&lt;&gt;""),IFERROR(IF(VLOOKUP(O507,$A$464:$L$514,12,0)="",VLOOKUP(O507,$A$464:$L$514,11,0),K507),K507),K507)</f>
        <v/>
      </c>
      <c r="Q507" s="4">
        <f>IF(AND(L507="PENDIENTE",O507&lt;&gt;""),IFERROR(IF(VLOOKUP(O507,$A$464:$L$514,12,0)="","sí","no"),"no"),"no")</f>
        <v/>
      </c>
    </row>
    <row r="508">
      <c r="A508" s="2" t="inlineStr">
        <is>
          <t>Citroën C4</t>
        </is>
      </c>
      <c r="B508" s="2" t="inlineStr">
        <is>
          <t>Citroën</t>
        </is>
      </c>
      <c r="F508" s="4">
        <f>IF(C508="","",MAX(0,MIN(100,50+100*(E508-C508)/E508)))</f>
        <v/>
      </c>
      <c r="H508" s="4">
        <f>IF(G508="","",IFERROR(VLOOKUP(G508,ADAC_TBL,2,0),""))</f>
        <v/>
      </c>
      <c r="I508" s="4">
        <f>IF(H508="","",MAX(0,MIN(100,50+100*(ADAC_REF-H508)/ADAC_REF)))</f>
        <v/>
      </c>
      <c r="J508" s="4">
        <f>IFERROR(VLOOKUP(B508,OCU_TBL,2,0),"")</f>
        <v/>
      </c>
      <c r="K508" s="4">
        <f>IF(COUNT(F508,I508,J508)=0,NEUTRO,AVERAGE(F508,I508,J508))</f>
        <v/>
      </c>
      <c r="L508" s="4">
        <f>IF(COUNT(F508,I508,J508)=0,"PENDIENTE","")</f>
        <v/>
      </c>
      <c r="M508" t="inlineStr">
        <is>
          <t>PENDIENTE</t>
        </is>
      </c>
      <c r="N508" t="inlineStr"/>
      <c r="P508" s="4">
        <f>IF(AND(L508="PENDIENTE",O508&lt;&gt;""),IFERROR(IF(VLOOKUP(O508,$A$464:$L$514,12,0)="",VLOOKUP(O508,$A$464:$L$514,11,0),K508),K508),K508)</f>
        <v/>
      </c>
      <c r="Q508" s="4">
        <f>IF(AND(L508="PENDIENTE",O508&lt;&gt;""),IFERROR(IF(VLOOKUP(O508,$A$464:$L$514,12,0)="","sí","no"),"no"),"no")</f>
        <v/>
      </c>
    </row>
    <row r="509">
      <c r="A509" s="2" t="inlineStr">
        <is>
          <t>Ford Fiesta</t>
        </is>
      </c>
      <c r="B509" s="2" t="inlineStr">
        <is>
          <t>Ford</t>
        </is>
      </c>
      <c r="F509" s="4">
        <f>IF(C509="","",MAX(0,MIN(100,50+100*(E509-C509)/E509)))</f>
        <v/>
      </c>
      <c r="G509" s="2" t="inlineStr">
        <is>
          <t>Ford Fiesta (Courier)</t>
        </is>
      </c>
      <c r="H509" s="4">
        <f>IF(G509="","",IFERROR(VLOOKUP(G509,ADAC_TBL,2,0),""))</f>
        <v/>
      </c>
      <c r="I509" s="4">
        <f>IF(H509="","",MAX(0,MIN(100,50+100*(ADAC_REF-H509)/ADAC_REF)))</f>
        <v/>
      </c>
      <c r="J509" s="4">
        <f>IFERROR(VLOOKUP(B509,OCU_TBL,2,0),"")</f>
        <v/>
      </c>
      <c r="K509" s="4">
        <f>IF(COUNT(F509,I509,J509)=0,NEUTRO,AVERAGE(F509,I509,J509))</f>
        <v/>
      </c>
      <c r="L509" s="4">
        <f>IF(COUNT(F509,I509,J509)=0,"PENDIENTE","")</f>
        <v/>
      </c>
      <c r="M509" t="inlineStr">
        <is>
          <t>PENDIENTE</t>
        </is>
      </c>
      <c r="N509" t="inlineStr"/>
      <c r="P509" s="4">
        <f>IF(AND(L509="PENDIENTE",O509&lt;&gt;""),IFERROR(IF(VLOOKUP(O509,$A$464:$L$514,12,0)="",VLOOKUP(O509,$A$464:$L$514,11,0),K509),K509),K509)</f>
        <v/>
      </c>
      <c r="Q509" s="4">
        <f>IF(AND(L509="PENDIENTE",O509&lt;&gt;""),IFERROR(IF(VLOOKUP(O509,$A$464:$L$514,12,0)="","sí","no"),"no"),"no")</f>
        <v/>
      </c>
    </row>
    <row r="510">
      <c r="A510" s="2" t="inlineStr">
        <is>
          <t>Fiat Punto</t>
        </is>
      </c>
      <c r="B510" s="2" t="inlineStr">
        <is>
          <t>Fiat</t>
        </is>
      </c>
      <c r="F510" s="4">
        <f>IF(C510="","",MAX(0,MIN(100,50+100*(E510-C510)/E510)))</f>
        <v/>
      </c>
      <c r="H510" s="4">
        <f>IF(G510="","",IFERROR(VLOOKUP(G510,ADAC_TBL,2,0),""))</f>
        <v/>
      </c>
      <c r="I510" s="4">
        <f>IF(H510="","",MAX(0,MIN(100,50+100*(ADAC_REF-H510)/ADAC_REF)))</f>
        <v/>
      </c>
      <c r="J510" s="4">
        <f>IFERROR(VLOOKUP(B510,OCU_TBL,2,0),"")</f>
        <v/>
      </c>
      <c r="K510" s="4">
        <f>IF(COUNT(F510,I510,J510)=0,NEUTRO,AVERAGE(F510,I510,J510))</f>
        <v/>
      </c>
      <c r="L510" s="4">
        <f>IF(COUNT(F510,I510,J510)=0,"PENDIENTE","")</f>
        <v/>
      </c>
      <c r="M510" t="inlineStr">
        <is>
          <t>PENDIENTE</t>
        </is>
      </c>
      <c r="N510" t="inlineStr"/>
      <c r="P510" s="4">
        <f>IF(AND(L510="PENDIENTE",O510&lt;&gt;""),IFERROR(IF(VLOOKUP(O510,$A$464:$L$514,12,0)="",VLOOKUP(O510,$A$464:$L$514,11,0),K510),K510),K510)</f>
        <v/>
      </c>
      <c r="Q510" s="4">
        <f>IF(AND(L510="PENDIENTE",O510&lt;&gt;""),IFERROR(IF(VLOOKUP(O510,$A$464:$L$514,12,0)="","sí","no"),"no"),"no")</f>
        <v/>
      </c>
    </row>
    <row r="511">
      <c r="A511" s="2" t="inlineStr">
        <is>
          <t>Fiat 500</t>
        </is>
      </c>
      <c r="B511" s="2" t="inlineStr">
        <is>
          <t>Fiat</t>
        </is>
      </c>
      <c r="F511" s="4">
        <f>IF(C511="","",MAX(0,MIN(100,50+100*(E511-C511)/E511)))</f>
        <v/>
      </c>
      <c r="G511" s="2" t="inlineStr">
        <is>
          <t>Fiat 500</t>
        </is>
      </c>
      <c r="H511" s="4">
        <f>IF(G511="","",IFERROR(VLOOKUP(G511,ADAC_TBL,2,0),""))</f>
        <v/>
      </c>
      <c r="I511" s="4">
        <f>IF(H511="","",MAX(0,MIN(100,50+100*(ADAC_REF-H511)/ADAC_REF)))</f>
        <v/>
      </c>
      <c r="J511" s="4">
        <f>IFERROR(VLOOKUP(B511,OCU_TBL,2,0),"")</f>
        <v/>
      </c>
      <c r="K511" s="4">
        <f>IF(COUNT(F511,I511,J511)=0,NEUTRO,AVERAGE(F511,I511,J511))</f>
        <v/>
      </c>
      <c r="L511" s="4">
        <f>IF(COUNT(F511,I511,J511)=0,"PENDIENTE","")</f>
        <v/>
      </c>
      <c r="M511" t="inlineStr">
        <is>
          <t>PENDIENTE</t>
        </is>
      </c>
      <c r="N511" t="inlineStr"/>
      <c r="P511" s="4">
        <f>IF(AND(L511="PENDIENTE",O511&lt;&gt;""),IFERROR(IF(VLOOKUP(O511,$A$464:$L$514,12,0)="",VLOOKUP(O511,$A$464:$L$514,11,0),K511),K511),K511)</f>
        <v/>
      </c>
      <c r="Q511" s="4">
        <f>IF(AND(L511="PENDIENTE",O511&lt;&gt;""),IFERROR(IF(VLOOKUP(O511,$A$464:$L$514,12,0)="","sí","no"),"no"),"no")</f>
        <v/>
      </c>
    </row>
    <row r="512">
      <c r="A512" s="2" t="inlineStr">
        <is>
          <t>Nissan Micra</t>
        </is>
      </c>
      <c r="B512" s="2" t="inlineStr">
        <is>
          <t>Nissan</t>
        </is>
      </c>
      <c r="F512" s="4">
        <f>IF(C512="","",MAX(0,MIN(100,50+100*(E512-C512)/E512)))</f>
        <v/>
      </c>
      <c r="G512" s="2" t="inlineStr">
        <is>
          <t>Nissan Micra</t>
        </is>
      </c>
      <c r="H512" s="4">
        <f>IF(G512="","",IFERROR(VLOOKUP(G512,ADAC_TBL,2,0),""))</f>
        <v/>
      </c>
      <c r="I512" s="4">
        <f>IF(H512="","",MAX(0,MIN(100,50+100*(ADAC_REF-H512)/ADAC_REF)))</f>
        <v/>
      </c>
      <c r="J512" s="4">
        <f>IFERROR(VLOOKUP(B512,OCU_TBL,2,0),"")</f>
        <v/>
      </c>
      <c r="K512" s="4">
        <f>IF(COUNT(F512,I512,J512)=0,NEUTRO,AVERAGE(F512,I512,J512))</f>
        <v/>
      </c>
      <c r="L512" s="4">
        <f>IF(COUNT(F512,I512,J512)=0,"PENDIENTE","")</f>
        <v/>
      </c>
      <c r="M512" t="inlineStr">
        <is>
          <t>PENDIENTE</t>
        </is>
      </c>
      <c r="N512" t="inlineStr"/>
      <c r="P512" s="4">
        <f>IF(AND(L512="PENDIENTE",O512&lt;&gt;""),IFERROR(IF(VLOOKUP(O512,$A$464:$L$514,12,0)="",VLOOKUP(O512,$A$464:$L$514,11,0),K512),K512),K512)</f>
        <v/>
      </c>
      <c r="Q512" s="4">
        <f>IF(AND(L512="PENDIENTE",O512&lt;&gt;""),IFERROR(IF(VLOOKUP(O512,$A$464:$L$514,12,0)="","sí","no"),"no"),"no")</f>
        <v/>
      </c>
    </row>
    <row r="513">
      <c r="A513" s="2" t="inlineStr">
        <is>
          <t>Suzuki Swift</t>
        </is>
      </c>
      <c r="B513" s="2" t="inlineStr">
        <is>
          <t>Suzuki</t>
        </is>
      </c>
      <c r="F513" s="4">
        <f>IF(C513="","",MAX(0,MIN(100,50+100*(E513-C513)/E513)))</f>
        <v/>
      </c>
      <c r="G513" s="2" t="inlineStr">
        <is>
          <t>Suzuki Swift</t>
        </is>
      </c>
      <c r="H513" s="4">
        <f>IF(G513="","",IFERROR(VLOOKUP(G513,ADAC_TBL,2,0),""))</f>
        <v/>
      </c>
      <c r="I513" s="4">
        <f>IF(H513="","",MAX(0,MIN(100,50+100*(ADAC_REF-H513)/ADAC_REF)))</f>
        <v/>
      </c>
      <c r="J513" s="4">
        <f>IFERROR(VLOOKUP(B513,OCU_TBL,2,0),"")</f>
        <v/>
      </c>
      <c r="K513" s="4">
        <f>IF(COUNT(F513,I513,J513)=0,NEUTRO,AVERAGE(F513,I513,J513))</f>
        <v/>
      </c>
      <c r="L513" s="4">
        <f>IF(COUNT(F513,I513,J513)=0,"PENDIENTE","")</f>
        <v/>
      </c>
      <c r="M513" t="inlineStr">
        <is>
          <t>PENDIENTE (ADAC 2026 entre los mejores Kleinwagen 2016-2023, sin cifra)</t>
        </is>
      </c>
      <c r="N513" t="inlineStr"/>
      <c r="P513" s="4">
        <f>IF(AND(L513="PENDIENTE",O513&lt;&gt;""),IFERROR(IF(VLOOKUP(O513,$A$464:$L$514,12,0)="",VLOOKUP(O513,$A$464:$L$514,11,0),K513),K513),K513)</f>
        <v/>
      </c>
      <c r="Q513" s="4">
        <f>IF(AND(L513="PENDIENTE",O513&lt;&gt;""),IFERROR(IF(VLOOKUP(O513,$A$464:$L$514,12,0)="","sí","no"),"no"),"no")</f>
        <v/>
      </c>
    </row>
    <row r="514">
      <c r="A514" s="2" t="inlineStr">
        <is>
          <t>Mitsubishi Colt</t>
        </is>
      </c>
      <c r="B514" s="2" t="inlineStr">
        <is>
          <t>Mitsubishi</t>
        </is>
      </c>
      <c r="F514" s="4">
        <f>IF(C514="","",MAX(0,MIN(100,50+100*(E514-C514)/E514)))</f>
        <v/>
      </c>
      <c r="H514" s="4">
        <f>IF(G514="","",IFERROR(VLOOKUP(G514,ADAC_TBL,2,0),""))</f>
        <v/>
      </c>
      <c r="I514" s="4">
        <f>IF(H514="","",MAX(0,MIN(100,50+100*(ADAC_REF-H514)/ADAC_REF)))</f>
        <v/>
      </c>
      <c r="J514" s="4">
        <f>IFERROR(VLOOKUP(B514,OCU_TBL,2,0),"")</f>
        <v/>
      </c>
      <c r="K514" s="4">
        <f>IF(COUNT(F514,I514,J514)=0,NEUTRO,AVERAGE(F514,I514,J514))</f>
        <v/>
      </c>
      <c r="L514" s="4">
        <f>IF(COUNT(F514,I514,J514)=0,"PENDIENTE","")</f>
        <v/>
      </c>
      <c r="M514" t="inlineStr">
        <is>
          <t>PENDIENTE</t>
        </is>
      </c>
      <c r="N514" t="inlineStr"/>
      <c r="P514" s="4">
        <f>IF(AND(L514="PENDIENTE",O514&lt;&gt;""),IFERROR(IF(VLOOKUP(O514,$A$464:$L$514,12,0)="",VLOOKUP(O514,$A$464:$L$514,11,0),K514),K514),K514)</f>
        <v/>
      </c>
      <c r="Q514" s="4">
        <f>IF(AND(L514="PENDIENTE",O514&lt;&gt;""),IFERROR(IF(VLOOKUP(O514,$A$464:$L$514,12,0)="","sí","no"),"no"),"no")</f>
        <v/>
      </c>
    </row>
    <row r="515">
      <c r="A515" t="inlineStr">
        <is>
          <t>Plataforma: Toyota Aygo, Peugeot 107, Citroën C1</t>
        </is>
      </c>
      <c r="B515" t="inlineStr">
        <is>
          <t>Proyecto B-Zero de Toyota y PSA: plataforma común, fabricados en TPCA Kolín desde 2005; mismo motor de gasolina 1.0 (1KR)</t>
        </is>
      </c>
      <c r="C515" t="inlineStr">
        <is>
          <t>confirmado</t>
        </is>
      </c>
      <c r="D515" t="inlineStr">
        <is>
          <t>Nota de prensa de Toyota, 01-12-2004: https://global.toyota/en/detail/221659 ("Developed on a common platform, all three cars will begin rolling off the line at the TPCA plant in Kolín")</t>
        </is>
      </c>
    </row>
    <row r="516">
      <c r="A516" t="inlineStr">
        <is>
          <t>Plataforma: Seat Ibiza, Seat Córdoba, Volkswagen Polo, Skoda Fabia</t>
        </is>
      </c>
      <c r="B516" t="inlineStr">
        <is>
          <t>Ibiza 6L (2002-2008), Córdoba 6L (2002-2009), Polo 9N (2001-2009) y Fabia I: plataforma PQ24 del grupo VW</t>
        </is>
      </c>
      <c r="C516" t="inlineStr">
        <is>
          <t>confirmado (Ibiza 6L-Polo 9N-Fabia); probable (Córdoba = Ibiza 6L berlina)</t>
        </is>
      </c>
      <c r="D516" t="inlineStr">
        <is>
          <t>Auto Bild, 'Gebrauchtwagen Seat Ibiza (ab 2002)': https://www.autobild.de/artikel/gebrauchtwagen-seat-ibiza-ab-2002--53502.html ("Teilt sich der Ibiza ... 6L ... seine Plattform mit dem Polo 9N und dem Skoda Fabia")</t>
        </is>
      </c>
    </row>
    <row r="517">
      <c r="A517" t="inlineStr">
        <is>
          <t>Plataforma: Audi A4, Seat Exeo</t>
        </is>
      </c>
      <c r="B517" t="inlineStr">
        <is>
          <t>Seat Exeo (2008-2013) = Audi A4 B7 (plataforma PL46, motores 2.0 TFSI/TDI del A4); la línea de montaje del B7 se trasladó de Ingolstadt a Martorell</t>
        </is>
      </c>
      <c r="C517" t="inlineStr">
        <is>
          <t>confirmado</t>
        </is>
      </c>
      <c r="D517" t="inlineStr">
        <is>
          <t>Nota de prensa de SEAT (02-10-2008) reproducida en https://www2020.theautochannel.com/news/2008/10/02/146068.html ; Auto Bild (10-2008): https://www.autobild.de/artikel/seat-exeo-in-paris-789600.html ; https://paultan.org/2008/10/06/seat-exeo-official-photos-and-details/</t>
        </is>
      </c>
    </row>
    <row r="519">
      <c r="A519" s="6" t="inlineStr">
        <is>
          <t>8. Ajustes por motor con problemas conocidos (el problema tiene fuente; la magnitud es criterio)</t>
        </is>
      </c>
    </row>
    <row r="520">
      <c r="A520" s="7" t="inlineStr">
        <is>
          <t>Marca</t>
        </is>
      </c>
      <c r="B520" s="7" t="inlineStr">
        <is>
          <t>Motor</t>
        </is>
      </c>
      <c r="C520" s="7" t="inlineStr">
        <is>
          <t>Año desde</t>
        </is>
      </c>
      <c r="D520" s="7" t="inlineStr">
        <is>
          <t>Año hasta</t>
        </is>
      </c>
      <c r="E520" s="7" t="inlineStr">
        <is>
          <t>Ajuste (puntos)</t>
        </is>
      </c>
      <c r="F520" s="7" t="inlineStr">
        <is>
          <t>Problema</t>
        </is>
      </c>
      <c r="G520" s="7" t="inlineStr">
        <is>
          <t>Qué revisar</t>
        </is>
      </c>
      <c r="H520" s="7" t="inlineStr">
        <is>
          <t>Estado</t>
        </is>
      </c>
      <c r="I520" s="7" t="inlineStr">
        <is>
          <t>Fuente</t>
        </is>
      </c>
    </row>
    <row r="521">
      <c r="A521" s="2" t="inlineStr">
        <is>
          <t>(todas)</t>
        </is>
      </c>
      <c r="B521" s="2" t="inlineStr">
        <is>
          <t>1.2 PureTech</t>
        </is>
      </c>
      <c r="C521" s="2" t="n">
        <v>2012</v>
      </c>
      <c r="D521" s="2" t="n">
        <v>2022</v>
      </c>
      <c r="E521" s="2" t="n">
        <v>-25</v>
      </c>
      <c r="F521" t="inlineStr">
        <is>
          <t>Correa de distribución húmeda que se degrada y consumo de aceite; Stellantis amplió garantía a 10 años/175.000 km con condiciones</t>
        </is>
      </c>
      <c r="G521" t="inlineStr">
        <is>
          <t>Factura de cambio de correa y del tamiz/bomba de aceite; nivel de aceite; testigo de presión; si entra en la ampliación de garantía Stellantis</t>
        </is>
      </c>
      <c r="H521" t="inlineStr">
        <is>
          <t>probable</t>
        </is>
      </c>
      <c r="I521" t="inlineStr">
        <is>
          <t>https://www.km77.com/revista/engendro-mecanico/stellantis-compensacion-afectados-puretech/ ; https://www.motorpasion.com/industria/stellantis-fin-responde-al-problema-motores-puretech-10-anos-garantia-retroactiva</t>
        </is>
      </c>
    </row>
    <row r="522">
      <c r="A522" s="2" t="inlineStr">
        <is>
          <t>(todas)</t>
        </is>
      </c>
      <c r="B522" s="2" t="inlineStr">
        <is>
          <t>1.0 PureTech</t>
        </is>
      </c>
      <c r="C522" s="2" t="n">
        <v>2012</v>
      </c>
      <c r="D522" s="2" t="n">
        <v>2022</v>
      </c>
      <c r="E522" s="2" t="n">
        <v>-25</v>
      </c>
      <c r="F522" t="inlineStr">
        <is>
          <t>Igual que 1.2 PureTech (familia EB)</t>
        </is>
      </c>
      <c r="G522" t="inlineStr">
        <is>
          <t>Igual que 1.2 PureTech</t>
        </is>
      </c>
      <c r="H522" t="inlineStr">
        <is>
          <t>probable</t>
        </is>
      </c>
      <c r="I522" t="inlineStr">
        <is>
          <t>https://www.km77.com/revista/engendro-mecanico/stellantis-compensacion-afectados-puretech/</t>
        </is>
      </c>
    </row>
    <row r="523">
      <c r="A523" s="2" t="inlineStr">
        <is>
          <t>(todas)</t>
        </is>
      </c>
      <c r="B523" s="2" t="inlineStr">
        <is>
          <t>1.2 VTi</t>
        </is>
      </c>
      <c r="C523" s="2" t="n">
        <v>2012</v>
      </c>
      <c r="D523" s="2" t="n">
        <v>2022</v>
      </c>
      <c r="E523" s="2" t="n">
        <v>-25</v>
      </c>
      <c r="F523" t="inlineStr">
        <is>
          <t>1.2 VTi atmosférico = PureTech EB2 (correa húmeda)</t>
        </is>
      </c>
      <c r="G523" t="inlineStr">
        <is>
          <t>Igual que 1.2 PureTech</t>
        </is>
      </c>
      <c r="H523" t="inlineStr">
        <is>
          <t>probable</t>
        </is>
      </c>
      <c r="I523" t="inlineStr">
        <is>
          <t>https://www.km77.com/revista/engendro-mecanico/stellantis-compensacion-afectados-puretech/</t>
        </is>
      </c>
    </row>
    <row r="524">
      <c r="A524" s="2" t="inlineStr">
        <is>
          <t>(todas)</t>
        </is>
      </c>
      <c r="B524" s="2" t="inlineStr">
        <is>
          <t>1.2 TSI</t>
        </is>
      </c>
      <c r="C524" s="2" t="n">
        <v>2008</v>
      </c>
      <c r="D524" s="2" t="n">
        <v>2012</v>
      </c>
      <c r="E524" s="2" t="n">
        <v>-20</v>
      </c>
      <c r="F524" t="inlineStr">
        <is>
          <t>EA111: cadena de distribución que se alarga y tensor que falla; puede saltar y romper el motor</t>
        </is>
      </c>
      <c r="G524" t="inlineStr">
        <is>
          <t>Ruido metálico en arranque en frío (primeros segundos); factura de cambio de cadena y tensor</t>
        </is>
      </c>
      <c r="H524" t="inlineStr">
        <is>
          <t>probable</t>
        </is>
      </c>
      <c r="I524" t="inlineStr">
        <is>
          <t>https://www.autobild.de/artikel/vw-steuerketten-kulanz-2892135.html</t>
        </is>
      </c>
    </row>
    <row r="525">
      <c r="A525" s="2" t="inlineStr">
        <is>
          <t>(todas)</t>
        </is>
      </c>
      <c r="B525" s="2" t="inlineStr">
        <is>
          <t>1.4 TSI</t>
        </is>
      </c>
      <c r="C525" s="2" t="n">
        <v>2008</v>
      </c>
      <c r="D525" s="2" t="n">
        <v>2012</v>
      </c>
      <c r="E525" s="2" t="n">
        <v>-20</v>
      </c>
      <c r="F525" t="inlineStr">
        <is>
          <t>EA111: cadena de distribución que se alarga y tensor que falla</t>
        </is>
      </c>
      <c r="G525" t="inlineStr">
        <is>
          <t>Ruido de cadena en frío; factura de cadena/tensor; consumo de aceite</t>
        </is>
      </c>
      <c r="H525" t="inlineStr">
        <is>
          <t>probable</t>
        </is>
      </c>
      <c r="I525" t="inlineStr">
        <is>
          <t>https://www.autobild.de/artikel/vw-steuerketten-kulanz-2892135.html</t>
        </is>
      </c>
    </row>
    <row r="526">
      <c r="A526" s="2" t="inlineStr">
        <is>
          <t>(todas)</t>
        </is>
      </c>
      <c r="B526" s="2" t="inlineStr">
        <is>
          <t>1.0 EcoBoost</t>
        </is>
      </c>
      <c r="C526" s="2" t="n">
        <v>2012</v>
      </c>
      <c r="D526" s="2" t="n">
        <v>2018</v>
      </c>
      <c r="E526" s="2" t="n">
        <v>-20</v>
      </c>
      <c r="F526" t="inlineStr">
        <is>
          <t>Correa bañada en aceite que se degrada; fallos de refrigeración y sobrecalentamiento (≈2012-2014)</t>
        </is>
      </c>
      <c r="G526" t="inlineStr">
        <is>
          <t>Fugas y nivel de refrigerante, manguitos, historial de sobrecalentamiento, factura de correa</t>
        </is>
      </c>
      <c r="H526" t="inlineStr">
        <is>
          <t>probable</t>
        </is>
      </c>
      <c r="I526" t="inlineStr">
        <is>
          <t>https://www.motor.es/noticias/ford-10-ecoboost-tricilindricos-correas-banadas-2026115650.html ; https://www.whatcar.com/news/ford-ecoboost-engine-recall-%E2%80%93-what-you-need-to-know/n17972</t>
        </is>
      </c>
    </row>
    <row r="527">
      <c r="A527" s="2" t="inlineStr">
        <is>
          <t>(todas)</t>
        </is>
      </c>
      <c r="B527" s="2" t="inlineStr">
        <is>
          <t>1.2 TCe</t>
        </is>
      </c>
      <c r="C527" s="2" t="n">
        <v>2012</v>
      </c>
      <c r="D527" s="2" t="n">
        <v>2016</v>
      </c>
      <c r="E527" s="2" t="n">
        <v>-20</v>
      </c>
      <c r="F527" t="inlineStr">
        <is>
          <t>H5Ft: consumo excesivo de aceite (fabricados 10/2012-07/2016); recalibración desde 06/2015</t>
        </is>
      </c>
      <c r="G527" t="inlineStr">
        <is>
          <t>Consumo de aceite, humo azul, si se le hizo la actualización de software/campaña</t>
        </is>
      </c>
      <c r="H527" t="inlineStr">
        <is>
          <t>probable</t>
        </is>
      </c>
      <c r="I527" t="inlineStr">
        <is>
          <t>https://questions.assemblee-nationale.fr/dyn/15/questions/QANR5L15QOSD963.pdf</t>
        </is>
      </c>
    </row>
    <row r="528">
      <c r="A528" s="2" t="inlineStr">
        <is>
          <t>Opel</t>
        </is>
      </c>
      <c r="B528" s="2" t="inlineStr">
        <is>
          <t>1.4 Turbo</t>
        </is>
      </c>
      <c r="C528" s="2" t="n">
        <v>2010</v>
      </c>
      <c r="D528" s="2" t="n">
        <v>2018</v>
      </c>
      <c r="E528" s="2" t="n">
        <v>-10</v>
      </c>
      <c r="F528" t="inlineStr">
        <is>
          <t>A14NET: pistones/segmentos (consumo de aceite, preencendido), ventilación del cárter, cadena. Fuentes secundarias</t>
        </is>
      </c>
      <c r="G528" t="inlineStr">
        <is>
          <t>Consumo de aceite, tirones, ruido de cadena</t>
        </is>
      </c>
      <c r="H528" t="inlineStr">
        <is>
          <t>probable (fuente secundaria)</t>
        </is>
      </c>
      <c r="I528" t="inlineStr">
        <is>
          <t>https://carwiki.de/opel-a14net-motor</t>
        </is>
      </c>
    </row>
    <row r="529">
      <c r="A529" s="2" t="inlineStr">
        <is>
          <t>(todas)</t>
        </is>
      </c>
      <c r="B529" s="2" t="inlineStr">
        <is>
          <t>1.6 THP</t>
        </is>
      </c>
      <c r="C529" s="2" t="n">
        <v>2007</v>
      </c>
      <c r="D529" s="2" t="n">
        <v>2018</v>
      </c>
      <c r="E529" s="2" t="n">
        <v>-10</v>
      </c>
      <c r="F529" t="inlineStr">
        <is>
          <t>Familia Prince EP6 turbo (PSA/BMW): estiramiento de la cadena de distribución, consumo de aceite y carbonilla en admisión. Solo fuentes secundarias</t>
        </is>
      </c>
      <c r="G529" t="inlineStr">
        <is>
          <t>Traqueteo de cadena en arranque en frío, consumo de aceite, facturas de cadena/tensor</t>
        </is>
      </c>
      <c r="H529" t="inlineStr">
        <is>
          <t>probable (fuente secundaria)</t>
        </is>
      </c>
      <c r="I529" t="inlineStr">
        <is>
          <t>https://autoscore.pro/engine/1.6-thp-ep6</t>
        </is>
      </c>
    </row>
    <row r="530">
      <c r="A530" s="2" t="inlineStr">
        <is>
          <t>(todas)</t>
        </is>
      </c>
      <c r="B530" s="2" t="inlineStr">
        <is>
          <t>1.6 VTi</t>
        </is>
      </c>
      <c r="C530" s="2" t="n">
        <v>2006</v>
      </c>
      <c r="D530" s="2" t="n">
        <v>2015</v>
      </c>
      <c r="E530" s="2" t="n">
        <v>-10</v>
      </c>
      <c r="F530" t="inlineStr">
        <is>
          <t>Familia Prince EP6 atmosférico (= MINI N12/N16): tensor y guías de la cadena de distribución; los boletines de MINI (SI M11 03 11) cubren también los atmosféricos producidos hasta 11-2011</t>
        </is>
      </c>
      <c r="G530" t="inlineStr">
        <is>
          <t>Ruido de cadena en arranque en frío (primeros segundos), consumo de aceite, factura de cadena/tensor</t>
        </is>
      </c>
      <c r="H530" t="inlineStr">
        <is>
          <t>probable (boletines de servicio MINI recogidos por australiancar.reviews)</t>
        </is>
      </c>
      <c r="I530" t="inlineStr">
        <is>
          <t>https://australiancar.reviews/recalls-faults-mini-r56-cooper-2007-13/</t>
        </is>
      </c>
    </row>
    <row r="531">
      <c r="A531" s="2" t="inlineStr">
        <is>
          <t>(todas)</t>
        </is>
      </c>
      <c r="B531" s="2" t="inlineStr">
        <is>
          <t>1.4 VTi</t>
        </is>
      </c>
      <c r="C531" s="2" t="n">
        <v>2006</v>
      </c>
      <c r="D531" s="2" t="n">
        <v>2015</v>
      </c>
      <c r="E531" s="2" t="n">
        <v>-10</v>
      </c>
      <c r="F531" t="inlineStr">
        <is>
          <t>PSA 1.4 VTi (EP3) = familia Prince (como el MINI 1.4 N12B14): tensor y guías de la cadena de distribución</t>
        </is>
      </c>
      <c r="G531" t="inlineStr">
        <is>
          <t>Ruido de cadena en arranque en frío, consumo de aceite, factura de cadena/tensor</t>
        </is>
      </c>
      <c r="H531" t="inlineStr">
        <is>
          <t>probable (boletines de servicio MINI de la familia Prince recogidos por australiancar.reviews)</t>
        </is>
      </c>
      <c r="I531" t="inlineStr">
        <is>
          <t>https://australiancar.reviews/recalls-faults-mini-r56-cooper-2007-13/</t>
        </is>
      </c>
    </row>
    <row r="532">
      <c r="A532" s="2" t="inlineStr">
        <is>
          <t>MINI</t>
        </is>
      </c>
      <c r="B532" s="2" t="inlineStr">
        <is>
          <t>(cualquiera)</t>
        </is>
      </c>
      <c r="C532" s="2" t="n">
        <v>2006</v>
      </c>
      <c r="D532" s="2" t="n">
        <v>2013</v>
      </c>
      <c r="E532" s="2" t="n">
        <v>-10</v>
      </c>
      <c r="F532" t="inlineStr">
        <is>
          <t>MINI R56 1.4/1.6 con motores Prince (N12/N16 atmosféricos, N14/N18 turbo): tensor de la cadena de distribución (boletines SI M11 02 07 y SI M11 03 11; producidos antes de 11-2011)</t>
        </is>
      </c>
      <c r="G532" t="inlineStr">
        <is>
          <t>Cascabeleo de cadena en frío, historial de cambio de tensor/cadena, consumo de aceite (N14)</t>
        </is>
      </c>
      <c r="H532" t="inlineStr">
        <is>
          <t>probable (boletines de servicio MINI recogidos por australiancar.reviews)</t>
        </is>
      </c>
      <c r="I532" t="inlineStr">
        <is>
          <t>https://australiancar.reviews/recalls-faults-mini-r56-cooper-2007-13/</t>
        </is>
      </c>
    </row>
    <row r="533">
      <c r="A533" s="2" t="inlineStr">
        <is>
          <t>Alfa Romeo</t>
        </is>
      </c>
      <c r="B533" s="2" t="inlineStr">
        <is>
          <t>1.6</t>
        </is>
      </c>
      <c r="C533" s="2" t="n">
        <v>2000</v>
      </c>
      <c r="D533" s="2" t="n">
        <v>2010</v>
      </c>
      <c r="E533" s="2" t="n">
        <v>-10</v>
      </c>
      <c r="F533" t="inlineStr">
        <is>
          <t>1.6 Twin Spark: correa de distribución con roturas conocidas y daño grave; intervalo oficial reducido a ~58.000 km (36.000 millas) o 3 años desde el 13-11-2006</t>
        </is>
      </c>
      <c r="G533" t="inlineStr">
        <is>
          <t>Factura con fecha de correa, tensor y bomba; si no la hay, cambiarla al comprar</t>
        </is>
      </c>
      <c r="H533" t="inlineStr">
        <is>
          <t>confirmado</t>
        </is>
      </c>
      <c r="I533" t="inlineStr">
        <is>
          <t>https://whatcar.com/alfa-romeo/147/hatchback/used-review/n207/reliability ; https://alfaworkshop.co.uk/alfa_romeo_timing_belts.shtml</t>
        </is>
      </c>
    </row>
    <row r="534">
      <c r="A534" s="2" t="inlineStr">
        <is>
          <t>Alfa Romeo</t>
        </is>
      </c>
      <c r="B534" s="2" t="inlineStr">
        <is>
          <t>2.0</t>
        </is>
      </c>
      <c r="C534" s="2" t="n">
        <v>2000</v>
      </c>
      <c r="D534" s="2" t="n">
        <v>2010</v>
      </c>
      <c r="E534" s="2" t="n">
        <v>-10</v>
      </c>
      <c r="F534" t="inlineStr">
        <is>
          <t>2.0 Twin Spark: misma correa de intervalo corto que el 1.6 TS</t>
        </is>
      </c>
      <c r="G534" t="inlineStr">
        <is>
          <t>Igual que 1.6 TS</t>
        </is>
      </c>
      <c r="H534" t="inlineStr">
        <is>
          <t>confirmado</t>
        </is>
      </c>
      <c r="I534" t="inlineStr">
        <is>
          <t>https://whatcar.com/alfa-romeo/147/hatchback/used-review/n207/reliability ; https://alfaworkshop.co.uk/alfa_romeo_timing_belts.shtml</t>
        </is>
      </c>
    </row>
    <row r="535">
      <c r="A535" s="2" t="inlineStr">
        <is>
          <t>Alfa Romeo</t>
        </is>
      </c>
      <c r="B535" s="2" t="inlineStr">
        <is>
          <t>1.6</t>
        </is>
      </c>
      <c r="C535" s="2" t="n">
        <v>2000</v>
      </c>
      <c r="D535" s="2" t="n">
        <v>2010</v>
      </c>
      <c r="E535" s="2" t="n">
        <v>-5</v>
      </c>
      <c r="F535" t="inlineStr">
        <is>
          <t>Twin Spark: variador de fase (reparación habitual de precio fijo en especialista; no es una estadística)</t>
        </is>
      </c>
      <c r="G535" t="inlineStr">
        <is>
          <t>Ruido tipo diésel al ralentí en caliente; si se cambió con la correa</t>
        </is>
      </c>
      <c r="H535" t="inlineStr">
        <is>
          <t>probable (taller especialista)</t>
        </is>
      </c>
      <c r="I535" t="inlineStr">
        <is>
          <t>https://alfa.studio.silvertoad.co.uk/?p=37543</t>
        </is>
      </c>
    </row>
    <row r="536">
      <c r="A536" s="2" t="inlineStr">
        <is>
          <t>Alfa Romeo</t>
        </is>
      </c>
      <c r="B536" s="2" t="inlineStr">
        <is>
          <t>2.0</t>
        </is>
      </c>
      <c r="C536" s="2" t="n">
        <v>2000</v>
      </c>
      <c r="D536" s="2" t="n">
        <v>2010</v>
      </c>
      <c r="E536" s="2" t="n">
        <v>-5</v>
      </c>
      <c r="F536" t="inlineStr">
        <is>
          <t>Twin Spark: variador de fase</t>
        </is>
      </c>
      <c r="G536" t="inlineStr">
        <is>
          <t>Igual que 1.6 TS</t>
        </is>
      </c>
      <c r="H536" t="inlineStr">
        <is>
          <t>probable (taller especialista)</t>
        </is>
      </c>
      <c r="I536" t="inlineStr">
        <is>
          <t>https://alfa.studio.silvertoad.co.uk/?p=37543</t>
        </is>
      </c>
    </row>
    <row r="537">
      <c r="A537" s="2" t="inlineStr">
        <is>
          <t>Alfa Romeo</t>
        </is>
      </c>
      <c r="B537" s="2" t="inlineStr">
        <is>
          <t>1.9</t>
        </is>
      </c>
      <c r="C537" s="2" t="n">
        <v>2005</v>
      </c>
      <c r="D537" s="2" t="n">
        <v>2011</v>
      </c>
      <c r="E537" s="2" t="n">
        <v>-15</v>
      </c>
      <c r="F537" t="inlineStr">
        <is>
          <t>1.9 JTS: cadena de distribución y de equilibrado que se estiran (desde ~64.000 km); cadena, guías y tensores ~999 GBP en especialista</t>
        </is>
      </c>
      <c r="G537" t="inlineStr">
        <is>
          <t>Factura de cadena; ruido en arranque en frío; códigos de sincronización leva/cigüeñal</t>
        </is>
      </c>
      <c r="H537" t="inlineStr">
        <is>
          <t>probable (taller especialista)</t>
        </is>
      </c>
      <c r="I537" t="inlineStr">
        <is>
          <t>https://alfaworkshop.co.uk/alfa_romeo_timing_belts.shtml</t>
        </is>
      </c>
    </row>
    <row r="538">
      <c r="A538" s="2" t="inlineStr">
        <is>
          <t>Alfa Romeo</t>
        </is>
      </c>
      <c r="B538" s="2" t="inlineStr">
        <is>
          <t>2.2</t>
        </is>
      </c>
      <c r="C538" s="2" t="n">
        <v>2005</v>
      </c>
      <c r="D538" s="2" t="n">
        <v>2011</v>
      </c>
      <c r="E538" s="2" t="n">
        <v>-15</v>
      </c>
      <c r="F538" t="inlineStr">
        <is>
          <t>2.2 JTS: cadenas de distribución y equilibrado que se estiran (desde ~64.000 km)</t>
        </is>
      </c>
      <c r="G538" t="inlineStr">
        <is>
          <t>Igual que 1.9 JTS</t>
        </is>
      </c>
      <c r="H538" t="inlineStr">
        <is>
          <t>probable (taller especialista)</t>
        </is>
      </c>
      <c r="I538" t="inlineStr">
        <is>
          <t>https://alfaworkshop.co.uk/alfa_romeo_timing_belts.shtml</t>
        </is>
      </c>
    </row>
    <row r="539">
      <c r="A539" s="2" t="inlineStr">
        <is>
          <t>Alfa Romeo</t>
        </is>
      </c>
      <c r="B539" s="2" t="inlineStr">
        <is>
          <t>2.2</t>
        </is>
      </c>
      <c r="C539" s="2" t="n">
        <v>2005</v>
      </c>
      <c r="D539" s="2" t="n">
        <v>2011</v>
      </c>
      <c r="E539" s="2" t="n">
        <v>-5</v>
      </c>
      <c r="F539" t="inlineStr">
        <is>
          <t>2.2 JTS: lodos en el aceite que colapsan el filtro; aceite y filtro cada año</t>
        </is>
      </c>
      <c r="G539" t="inlineStr">
        <is>
          <t>Historial de cambios de aceite anuales</t>
        </is>
      </c>
      <c r="H539" t="inlineStr">
        <is>
          <t>probable (taller especialista)</t>
        </is>
      </c>
      <c r="I539" t="inlineStr">
        <is>
          <t>https://alfa.studio.silvertoad.co.uk/?p=37541</t>
        </is>
      </c>
    </row>
    <row r="540">
      <c r="A540" s="2" t="inlineStr">
        <is>
          <t>Alfa Romeo</t>
        </is>
      </c>
      <c r="B540" s="2" t="inlineStr">
        <is>
          <t>2.4 Multijet</t>
        </is>
      </c>
      <c r="C540" s="2" t="n">
        <v>2005</v>
      </c>
      <c r="D540" s="2" t="n">
        <v>2011</v>
      </c>
      <c r="E540" s="2" t="n">
        <v>-20</v>
      </c>
      <c r="F540" t="inlineStr">
        <is>
          <t>2.4 JTDm: averías de motor por bielas rotas, correa rota o sobrecalentamiento 'no son la excepción'</t>
        </is>
      </c>
      <c r="G540" t="inlineStr">
        <is>
          <t>Historial completo, factura de correa, temperatura</t>
        </is>
      </c>
      <c r="H540" t="inlineStr">
        <is>
          <t>confirmado</t>
        </is>
      </c>
      <c r="I540" t="inlineStr">
        <is>
          <t>https://www.autobild.de/artikel/alfa-romeo-159-gebrauchtwagen-test-10615563.html</t>
        </is>
      </c>
    </row>
    <row r="541">
      <c r="A541" s="2" t="inlineStr">
        <is>
          <t>(todas)</t>
        </is>
      </c>
      <c r="B541" s="2" t="inlineStr">
        <is>
          <t>1.8 TFSI</t>
        </is>
      </c>
      <c r="C541" s="2" t="n">
        <v>2007</v>
      </c>
      <c r="D541" s="2" t="n">
        <v>2012</v>
      </c>
      <c r="E541" s="2" t="n">
        <v>-20</v>
      </c>
      <c r="F541" t="inlineStr">
        <is>
          <t>EA888 de 1.ª generación (CDHA/CDAB...): consumo excesivo de aceite por segmentos rascadores demasiado estrechos; la solución suele ser cambiar pistones y segmentos (Auto Bild: ~1 l/1.000 km). Sin programa europeo oficial de Kulanz</t>
        </is>
      </c>
      <c r="G541" t="inlineStr">
        <is>
          <t>Consumo de aceite (pedir registro o prueba de consumo), humo azul, factura de pistones/segmentos o de la ventilación del cárter</t>
        </is>
      </c>
      <c r="H541" t="inlineStr">
        <is>
          <t>probable (Auto Bild; boletín Audi 11-24 del 11-11-2011)</t>
        </is>
      </c>
      <c r="I541" t="inlineStr">
        <is>
          <t>https://www.autobild.de/artikel/oel-saufende-tfsi-motoren-11525331.html ; https://static.nhtsa.gov/odi/tsbs/2013/MC-10121325-9999.pdf</t>
        </is>
      </c>
    </row>
    <row r="542">
      <c r="A542" s="2" t="inlineStr">
        <is>
          <t>(todas)</t>
        </is>
      </c>
      <c r="B542" s="2" t="inlineStr">
        <is>
          <t>1.8 TSI</t>
        </is>
      </c>
      <c r="C542" s="2" t="n">
        <v>2007</v>
      </c>
      <c r="D542" s="2" t="n">
        <v>2012</v>
      </c>
      <c r="E542" s="2" t="n">
        <v>-20</v>
      </c>
      <c r="F542" t="inlineStr">
        <is>
          <t>Mismo motor que el 1.8 TFSI (EA888 de 1.ª generación): consumo excesivo de aceite (segmentos)</t>
        </is>
      </c>
      <c r="G542" t="inlineStr">
        <is>
          <t>Igual que 1.8 TFSI</t>
        </is>
      </c>
      <c r="H542" t="inlineStr">
        <is>
          <t>probable (mismo motor)</t>
        </is>
      </c>
      <c r="I542" t="inlineStr">
        <is>
          <t>https://www.autobild.de/artikel/oel-saufende-tfsi-motoren-11525331.html</t>
        </is>
      </c>
    </row>
    <row r="543">
      <c r="A543" s="2" t="inlineStr">
        <is>
          <t>Audi</t>
        </is>
      </c>
      <c r="B543" s="2" t="inlineStr">
        <is>
          <t>2.0 TFSI</t>
        </is>
      </c>
      <c r="C543" s="2" t="n">
        <v>2009</v>
      </c>
      <c r="D543" s="2" t="n">
        <v>2012</v>
      </c>
      <c r="E543" s="2" t="n">
        <v>-20</v>
      </c>
      <c r="F543" t="inlineStr">
        <is>
          <t>EA888 2.0 TFSI (CAEB/CDNC, A4 B8/A5/Q5): consumo excesivo de aceite. En EE. UU., demanda Asghari v. Volkswagen (sentencia final 29-05-2015): garantía ampliada a 8 años/80.000 millas para el CAEB (A4 2009-11, A5 2010-11, Q5 2011). Boletín Audi 11-24 (11-11-2011): presión del cárter, corregido en producción desde el MY2012. El A4 B7 2.0 TFSI (EA113, BGB/BWE) NO es EA888 y no tiene este ajuste</t>
        </is>
      </c>
      <c r="G543" t="inlineStr">
        <is>
          <t>Consumo de aceite, humo azul, si se hizo el cambio de pistones/segmentos o la válvula PCV; en un A4 de 2008 confirmar si es B7 (EA113) o B8 (EA888)</t>
        </is>
      </c>
      <c r="H543" t="inlineStr">
        <is>
          <t>confirmado (EE. UU.); probable (Europa, Auto Bild)</t>
        </is>
      </c>
      <c r="I543" t="inlineStr">
        <is>
          <t>https://cases.justia.com/federal/district-courts/california/cacdce/2:2013cv02529/559084/186/0.pdf (29-05-2015) ; https://static.nhtsa.gov/odi/tsbs/2013/MC-10121325-9999.pdf ; https://www.autobild.de/artikel/oel-saufende-tfsi-motoren-11525331.html</t>
        </is>
      </c>
    </row>
    <row r="544">
      <c r="A544" s="2" t="inlineStr">
        <is>
          <t>(todas)</t>
        </is>
      </c>
      <c r="B544" s="2" t="inlineStr">
        <is>
          <t>1.4 TSI Twincharger</t>
        </is>
      </c>
      <c r="C544" s="2" t="n">
        <v>2005</v>
      </c>
      <c r="D544" s="2" t="n">
        <v>2014</v>
      </c>
      <c r="E544" s="2" t="n">
        <v>-25</v>
      </c>
      <c r="F544" t="inlineStr">
        <is>
          <t>1.4 TSI con turbo + compresor (BMY, BLG, CAVD, CAVE): familia EA111 con estiramiento y salto de la cadena de distribución reconocido por VW (casos de Kulanz). Rotura/fisura de pistones por carga térmica: solo fuentes de taller (baja confianza). Embrague del compresor: PENDIENTE</t>
        </is>
      </c>
      <c r="G544" t="inlineStr">
        <is>
          <t>Ruido de cadena en frío, factura de cadena/tensor, compresión de cilindros, consumo de aceite, tirones o ruido del compresor</t>
        </is>
      </c>
      <c r="H544" t="inlineStr">
        <is>
          <t>probable (cadena, Auto Bild); pistones: fuente secundaria</t>
        </is>
      </c>
      <c r="I544" t="inlineStr">
        <is>
          <t>https://www.autobild.de/artikel/vw-steuerketten-kulanz-2892135.html ; pistones: https://gebrauchtwagenberater.de/probleme-beim-tsi/</t>
        </is>
      </c>
    </row>
    <row r="545">
      <c r="A545" s="2" t="inlineStr">
        <is>
          <t>(todas)</t>
        </is>
      </c>
      <c r="B545" s="2" t="inlineStr">
        <is>
          <t>1.6 HDi</t>
        </is>
      </c>
      <c r="C545" s="2" t="n">
        <v>2004</v>
      </c>
      <c r="D545" s="2" t="n">
        <v>2010</v>
      </c>
      <c r="E545" s="2" t="n">
        <v>-20</v>
      </c>
      <c r="F545" t="inlineStr">
        <is>
          <t>PSA DV6 16v (producido hasta 2010): fallos de inyectores, volante motor, turbo y embrague</t>
        </is>
      </c>
      <c r="G545" t="inlineStr">
        <is>
          <t>Humo y silbido de turbo, juntas de inyector (carbonilla), volante bimasa (vibración al ralentí), factura de turbo/embrague</t>
        </is>
      </c>
      <c r="H545" t="inlineStr">
        <is>
          <t>confirmado</t>
        </is>
      </c>
      <c r="I545" t="inlineStr">
        <is>
          <t>L'argus, 'Diesel : la liste des pannes récurrentes des moteurs HDi, dCi, TDI...' (28-10-2014): https://www.largus.fr/actualite-automobile/diesel-la-liste-des-pannes-recurrentes-5287380_p_2.html</t>
        </is>
      </c>
    </row>
    <row r="546">
      <c r="A546" s="2" t="inlineStr">
        <is>
          <t>(todas)</t>
        </is>
      </c>
      <c r="B546" s="2" t="inlineStr">
        <is>
          <t>1.6 HDi</t>
        </is>
      </c>
      <c r="C546" s="2" t="n">
        <v>2011</v>
      </c>
      <c r="D546" s="2" t="n">
        <v>2014</v>
      </c>
      <c r="E546" s="2" t="n">
        <v>-10</v>
      </c>
      <c r="F546" t="inlineStr">
        <is>
          <t>PSA DV6 8v: inyectores Continental con tirones hasta abril de 2014; la polea del cigüeñal desgasta la correa de distribución</t>
        </is>
      </c>
      <c r="G546" t="inlineStr">
        <is>
          <t>Tirones en aceleración, estado de la correa y de la polea del cigüeñal, factura de distribución</t>
        </is>
      </c>
      <c r="H546" t="inlineStr">
        <is>
          <t>confirmado</t>
        </is>
      </c>
      <c r="I546" t="inlineStr">
        <is>
          <t>L'argus, 'Diesel : la liste des pannes récurrentes des moteurs HDi, dCi, TDI...' (28-10-2014): https://www.largus.fr/actualite-automobile/diesel-la-liste-des-pannes-recurrentes-5287380_p_2.html</t>
        </is>
      </c>
    </row>
    <row r="547">
      <c r="A547" s="2" t="inlineStr">
        <is>
          <t>(todas)</t>
        </is>
      </c>
      <c r="B547" s="2" t="inlineStr">
        <is>
          <t>1.6 HDi</t>
        </is>
      </c>
      <c r="C547" s="2" t="n">
        <v>2015</v>
      </c>
      <c r="D547" s="2" t="n">
        <v>2020</v>
      </c>
      <c r="E547" s="2" t="n">
        <v>-5</v>
      </c>
      <c r="F547" t="inlineStr">
        <is>
          <t>1.6 BlueHDi: depósito de AdBlue defectuoso; Stellantis amplió la garantía de sustitución a 8 años (acuerdo OCU/BEUC)</t>
        </is>
      </c>
      <c r="G547" t="inlineStr">
        <is>
          <t>Testigo de AdBlue/anticontaminación; si se cambió el depósito, factura o si entra en la ampliación</t>
        </is>
      </c>
      <c r="H547" t="inlineStr">
        <is>
          <t>confirmado</t>
        </is>
      </c>
      <c r="I547" t="inlineStr">
        <is>
          <t>OCU, nota de prensa 27-12-2024: https://www.ocu.org/organizacion/prensa/notas-de-prensa/2024/adblue271224</t>
        </is>
      </c>
    </row>
    <row r="548">
      <c r="A548" s="2" t="inlineStr">
        <is>
          <t>(todas)</t>
        </is>
      </c>
      <c r="B548" s="2" t="inlineStr">
        <is>
          <t>1.6 TDCi</t>
        </is>
      </c>
      <c r="C548" s="2" t="n">
        <v>2004</v>
      </c>
      <c r="D548" s="2" t="n">
        <v>2010</v>
      </c>
      <c r="E548" s="2" t="n">
        <v>-20</v>
      </c>
      <c r="F548" t="inlineStr">
        <is>
          <t>Ford 1.6 TDCi = PSA DV6 16v: mismos fallos de inyectores, turbo y volante motor</t>
        </is>
      </c>
      <c r="G548" t="inlineStr">
        <is>
          <t>Igual que 1.6 HDi 16v</t>
        </is>
      </c>
      <c r="H548" t="inlineStr">
        <is>
          <t>probable (mismo motor que el 1.6 HDi; la fuente habla de PSA)</t>
        </is>
      </c>
      <c r="I548" t="inlineStr">
        <is>
          <t>L'argus, 'Diesel : la liste des pannes récurrentes des moteurs HDi, dCi, TDI...' (28-10-2014): https://www.largus.fr/actualite-automobile/diesel-la-liste-des-pannes-recurrentes-5287380_p_2.html</t>
        </is>
      </c>
    </row>
    <row r="549">
      <c r="A549" s="2" t="inlineStr">
        <is>
          <t>(todas)</t>
        </is>
      </c>
      <c r="B549" s="2" t="inlineStr">
        <is>
          <t>1.6 TDCi</t>
        </is>
      </c>
      <c r="C549" s="2" t="n">
        <v>2011</v>
      </c>
      <c r="D549" s="2" t="n">
        <v>2014</v>
      </c>
      <c r="E549" s="2" t="n">
        <v>-10</v>
      </c>
      <c r="F549" t="inlineStr">
        <is>
          <t>Ford 1.6 TDCi = PSA DV6 8v: inyectores y desgaste de la correa por la polea</t>
        </is>
      </c>
      <c r="G549" t="inlineStr">
        <is>
          <t>Igual que 1.6 HDi 8v</t>
        </is>
      </c>
      <c r="H549" t="inlineStr">
        <is>
          <t>probable (mismo motor)</t>
        </is>
      </c>
      <c r="I549" t="inlineStr">
        <is>
          <t>L'argus, 'Diesel : la liste des pannes récurrentes des moteurs HDi, dCi, TDI...' (28-10-2014): https://www.largus.fr/actualite-automobile/diesel-la-liste-des-pannes-recurrentes-5287380_p_2.html</t>
        </is>
      </c>
    </row>
    <row r="550">
      <c r="A550" s="2" t="inlineStr">
        <is>
          <t>(todas)</t>
        </is>
      </c>
      <c r="B550" s="2" t="inlineStr">
        <is>
          <t>1.4 HDi</t>
        </is>
      </c>
      <c r="C550" s="2" t="n">
        <v>2001</v>
      </c>
      <c r="D550" s="2" t="n">
        <v>2008</v>
      </c>
      <c r="E550" s="2" t="n">
        <v>-10</v>
      </c>
      <c r="F550" t="inlineStr">
        <is>
          <t>PSA DV4: fugas en inyectores (juntas hasta 01-04-2004, tubos rígidos hasta 31-01-2008)</t>
        </is>
      </c>
      <c r="G550" t="inlineStr">
        <is>
          <t>Olor a gasóleo, fugas en inyectores, arranque en caliente</t>
        </is>
      </c>
      <c r="H550" t="inlineStr">
        <is>
          <t>confirmado</t>
        </is>
      </c>
      <c r="I550" t="inlineStr">
        <is>
          <t>L'argus, 'Diesel : la liste des pannes récurrentes des moteurs HDi, dCi, TDI...' (28-10-2014): https://www.largus.fr/actualite-automobile/diesel-la-liste-des-pannes-recurrentes-5287380_p_2.html</t>
        </is>
      </c>
    </row>
    <row r="551">
      <c r="A551" s="2" t="inlineStr">
        <is>
          <t>(todas)</t>
        </is>
      </c>
      <c r="B551" s="2" t="inlineStr">
        <is>
          <t>1.4 HDi</t>
        </is>
      </c>
      <c r="C551" s="2" t="n">
        <v>2009</v>
      </c>
      <c r="D551" s="2" t="n">
        <v>2013</v>
      </c>
      <c r="E551" s="2" t="n">
        <v>-5</v>
      </c>
      <c r="F551" t="inlineStr">
        <is>
          <t>1.4 HDi 68 FAP Euro 5: riesgo de obstrucción del filtro de partículas hasta julio de 2013 (regeneración)</t>
        </is>
      </c>
      <c r="G551" t="inlineStr">
        <is>
          <t>Testigo de FAP, regeneraciones frecuentes</t>
        </is>
      </c>
      <c r="H551" t="inlineStr">
        <is>
          <t>confirmado</t>
        </is>
      </c>
      <c r="I551" t="inlineStr">
        <is>
          <t>L'argus, 'Diesel : la liste des pannes récurrentes des moteurs HDi, dCi, TDI...' (28-10-2014): https://www.largus.fr/actualite-automobile/diesel-la-liste-des-pannes-recurrentes-5287380_p_2.html</t>
        </is>
      </c>
    </row>
    <row r="552">
      <c r="A552" s="2" t="inlineStr">
        <is>
          <t>(todas)</t>
        </is>
      </c>
      <c r="B552" s="2" t="inlineStr">
        <is>
          <t>1.4 TDCi</t>
        </is>
      </c>
      <c r="C552" s="2" t="n">
        <v>2001</v>
      </c>
      <c r="D552" s="2" t="n">
        <v>2008</v>
      </c>
      <c r="E552" s="2" t="n">
        <v>-10</v>
      </c>
      <c r="F552" t="inlineStr">
        <is>
          <t>Ford 1.4 TDCi = PSA DV4: fugas en inyectores</t>
        </is>
      </c>
      <c r="G552" t="inlineStr">
        <is>
          <t>Igual que 1.4 HDi</t>
        </is>
      </c>
      <c r="H552" t="inlineStr">
        <is>
          <t>probable (mismo motor)</t>
        </is>
      </c>
      <c r="I552" t="inlineStr">
        <is>
          <t>L'argus, 'Diesel : la liste des pannes récurrentes des moteurs HDi, dCi, TDI...' (28-10-2014): https://www.largus.fr/actualite-automobile/diesel-la-liste-des-pannes-recurrentes-5287380_p_2.html</t>
        </is>
      </c>
    </row>
    <row r="553">
      <c r="A553" s="2" t="inlineStr">
        <is>
          <t>(todas)</t>
        </is>
      </c>
      <c r="B553" s="2" t="inlineStr">
        <is>
          <t>1.5 dCi</t>
        </is>
      </c>
      <c r="C553" s="2" t="n">
        <v>2001</v>
      </c>
      <c r="D553" s="2" t="n">
        <v>2007</v>
      </c>
      <c r="E553" s="2" t="n">
        <v>-25</v>
      </c>
      <c r="F553" t="inlineStr">
        <is>
          <t>Renault K9K: desgaste anormal de los cojinetes de biela que puede acabar en rotura del motor (afectó a cerca del 1 % hasta 2007)</t>
        </is>
      </c>
      <c r="G553" t="inlineStr">
        <is>
          <t>Ruido de bielas en caliente, presión de aceite, facturas de cambio de aceite cada 10-15.000 km; si se cambiaron cojinetes</t>
        </is>
      </c>
      <c r="H553" t="inlineStr">
        <is>
          <t>confirmado</t>
        </is>
      </c>
      <c r="I553" t="inlineStr">
        <is>
          <t>L'argus, 'Diesel : la liste des pannes récurrentes des moteurs HDi, dCi, TDI...' (28-10-2014): https://www.largus.fr/actualite-automobile/diesel-la-liste-des-pannes-recurrentes-5287380_p_3.html</t>
        </is>
      </c>
    </row>
    <row r="554">
      <c r="A554" s="2" t="inlineStr">
        <is>
          <t>(todas)</t>
        </is>
      </c>
      <c r="B554" s="2" t="inlineStr">
        <is>
          <t>1.5 dCi</t>
        </is>
      </c>
      <c r="C554" s="2" t="n">
        <v>2008</v>
      </c>
      <c r="D554" s="2" t="n">
        <v>2018</v>
      </c>
      <c r="E554" s="2" t="n">
        <v>0</v>
      </c>
      <c r="F554" t="inlineStr">
        <is>
          <t>La fuente sitúa el problema de los cojinetes hasta 2007; después no señala fallos graves específicos</t>
        </is>
      </c>
      <c r="G554" t="inlineStr">
        <is>
          <t>Historial de cambios de aceite, EGR y FAP en uso urbano</t>
        </is>
      </c>
      <c r="H554" t="inlineStr">
        <is>
          <t>probable</t>
        </is>
      </c>
      <c r="I554" t="inlineStr">
        <is>
          <t>L'argus, 'Diesel : la liste des pannes récurrentes des moteurs HDi, dCi, TDI...' (28-10-2014): https://www.largus.fr/actualite-automobile/diesel-la-liste-des-pannes-recurrentes-5287380_p_3.html</t>
        </is>
      </c>
    </row>
    <row r="555">
      <c r="A555" s="2" t="inlineStr">
        <is>
          <t>(todas)</t>
        </is>
      </c>
      <c r="B555" s="2" t="inlineStr">
        <is>
          <t>1.3 Multijet</t>
        </is>
      </c>
      <c r="C555" s="2" t="n">
        <v>2005</v>
      </c>
      <c r="D555" s="2" t="n">
        <v>2018</v>
      </c>
      <c r="E555" s="2" t="n">
        <v>-15</v>
      </c>
      <c r="F555" t="inlineStr">
        <is>
          <t>Fiat 1.3 JTD/Multijet (también Ford Ka, Suzuki Splash y Swift): riesgo de rotura del motor por dilución del aceite</t>
        </is>
      </c>
      <c r="G555" t="inlineStr">
        <is>
          <t>Nivel de aceite que SUBE (dilución por gasóleo), regeneraciones del FAP, cambios de aceite frecuentes</t>
        </is>
      </c>
      <c r="H555" t="inlineStr">
        <is>
          <t>confirmado</t>
        </is>
      </c>
      <c r="I555" t="inlineStr">
        <is>
          <t>L'argus, 'Diesel : la liste des pannes récurrentes des moteurs HDi, dCi, TDI...' (28-10-2014): https://www.largus.fr/actualite-automobile/diesel-la-liste-des-pannes-recurrentes-5287380_p_5.html</t>
        </is>
      </c>
    </row>
    <row r="556">
      <c r="A556" s="2" t="inlineStr">
        <is>
          <t>Ford</t>
        </is>
      </c>
      <c r="B556" s="2" t="inlineStr">
        <is>
          <t>1.3 TDCi</t>
        </is>
      </c>
      <c r="C556" s="2" t="n">
        <v>2008</v>
      </c>
      <c r="D556" s="2" t="n">
        <v>2016</v>
      </c>
      <c r="E556" s="2" t="n">
        <v>-15</v>
      </c>
      <c r="F556" t="inlineStr">
        <is>
          <t>Ford Ka 1.3 TDCi = Fiat 1.3 Multijet: riesgo de rotura por dilución del aceite</t>
        </is>
      </c>
      <c r="G556" t="inlineStr">
        <is>
          <t>Igual que 1.3 Multijet</t>
        </is>
      </c>
      <c r="H556" t="inlineStr">
        <is>
          <t>confirmado (la fuente cita el Ford Ka)</t>
        </is>
      </c>
      <c r="I556" t="inlineStr">
        <is>
          <t>L'argus (28-10-2014): https://www.largus.fr/actualite-automobile/diesel-la-liste-des-pannes-recurrentes-5287380_p_5.html</t>
        </is>
      </c>
    </row>
    <row r="557">
      <c r="A557" s="2" t="inlineStr">
        <is>
          <t>(todas)</t>
        </is>
      </c>
      <c r="B557" s="2" t="inlineStr">
        <is>
          <t>1.3 CDTi</t>
        </is>
      </c>
      <c r="C557" s="2" t="n">
        <v>2003</v>
      </c>
      <c r="D557" s="2" t="n">
        <v>2009</v>
      </c>
      <c r="E557" s="2" t="n">
        <v>-5</v>
      </c>
      <c r="F557" t="inlineStr">
        <is>
          <t>Opel 1.3 CDTI: olor a gasóleo por soportes o juntas de inyectores hasta junio de 2009</t>
        </is>
      </c>
      <c r="G557" t="inlineStr">
        <is>
          <t>Olor a gasóleo en el habitáculo, juntas de inyector</t>
        </is>
      </c>
      <c r="H557" t="inlineStr">
        <is>
          <t>confirmado</t>
        </is>
      </c>
      <c r="I557" t="inlineStr">
        <is>
          <t>L'argus, 'Diesel : la liste des pannes récurrentes des moteurs HDi, dCi, TDI...' (28-10-2014): https://www.largus.fr/actualite-automobile/diesel-la-liste-des-pannes-recurrentes-5287380_p_5.html</t>
        </is>
      </c>
    </row>
    <row r="558">
      <c r="A558" s="2" t="inlineStr">
        <is>
          <t>(todas)</t>
        </is>
      </c>
      <c r="B558" s="2" t="inlineStr">
        <is>
          <t>1.6 TDI</t>
        </is>
      </c>
      <c r="C558" s="2" t="n">
        <v>2009</v>
      </c>
      <c r="D558" s="2" t="n">
        <v>2015</v>
      </c>
      <c r="E558" s="2" t="n">
        <v>-10</v>
      </c>
      <c r="F558" t="inlineStr">
        <is>
          <t>VAG EA189: fuga de refrigerante por la bomba de agua (L'argus) y campaña de emisiones (dieselgate) con actualización de software y rectificador de flujo</t>
        </is>
      </c>
      <c r="G558" t="inlineStr">
        <is>
          <t>Nivel de refrigerante; comprobar con el bastidor que la campaña EA189 está hecha (si no, puede afectar a la ITV)</t>
        </is>
      </c>
      <c r="H558" t="inlineStr">
        <is>
          <t>confirmado</t>
        </is>
      </c>
      <c r="I558" t="inlineStr">
        <is>
          <t>L'argus, 'Diesel : la liste des pannes récurrentes des moteurs HDi, dCi, TDI...' (28-10-2014): https://www.largus.fr/actualite-automobile/diesel-la-liste-des-pannes-recurrentes-5287380_p_4.html ; campaña EA189 en España: https://www.autofacil.es/lista-coches-afectados-fraude-volkswagen-asciende-683626-unidades-espana</t>
        </is>
      </c>
    </row>
    <row r="559">
      <c r="A559" s="2" t="inlineStr">
        <is>
          <t>(todas)</t>
        </is>
      </c>
      <c r="B559" s="2" t="inlineStr">
        <is>
          <t>1.2 TDI</t>
        </is>
      </c>
      <c r="C559" s="2" t="n">
        <v>2009</v>
      </c>
      <c r="D559" s="2" t="n">
        <v>2014</v>
      </c>
      <c r="E559" s="2" t="n">
        <v>-5</v>
      </c>
      <c r="F559" t="inlineStr">
        <is>
          <t>VAG 1.2 TDI EA189: incluido en la campaña de emisiones (actualización de software)</t>
        </is>
      </c>
      <c r="G559" t="inlineStr">
        <is>
          <t>Comprobar con el bastidor que la campaña EA189 está hecha; FAP en uso urbano</t>
        </is>
      </c>
      <c r="H559" t="inlineStr">
        <is>
          <t>confirmado (campaña); fiabilidad mecánica PENDIENTE</t>
        </is>
      </c>
      <c r="I559" t="inlineStr">
        <is>
          <t>https://www.motor.es/noticias/deberia-llevar-tdi-revision-dieselgate-201630418.html</t>
        </is>
      </c>
    </row>
    <row r="560">
      <c r="A560" t="inlineStr">
        <is>
          <t>Motores con buena fama: PENDIENTE de fuente de autoridad; sin ajuste positivo.</t>
        </is>
      </c>
    </row>
    <row r="562">
      <c r="A562" s="6" t="inlineStr">
        <is>
          <t>9. Ajustes por combustible</t>
        </is>
      </c>
    </row>
    <row r="563">
      <c r="A563" s="7" t="inlineStr">
        <is>
          <t>Combustible</t>
        </is>
      </c>
      <c r="B563" s="7" t="inlineStr">
        <is>
          <t>Ajuste (puntos)</t>
        </is>
      </c>
      <c r="C563" s="7" t="inlineStr">
        <is>
          <t>Problema</t>
        </is>
      </c>
      <c r="D563" s="7" t="inlineStr">
        <is>
          <t>Qué revisar</t>
        </is>
      </c>
      <c r="E563" s="7" t="inlineStr">
        <is>
          <t>Estado</t>
        </is>
      </c>
      <c r="F563" s="7" t="inlineStr">
        <is>
          <t>Fuente</t>
        </is>
      </c>
    </row>
    <row r="564">
      <c r="A564" s="2" t="inlineStr">
        <is>
          <t>diesel</t>
        </is>
      </c>
      <c r="B564" s="2" t="n">
        <v>-15</v>
      </c>
      <c r="C564" t="inlineStr">
        <is>
          <t>Filtro de partículas (DPF): en uso urbano no regenera y se colmata; sustitución &gt;1.000-1.500 €</t>
        </is>
      </c>
      <c r="D564" t="inlineStr">
        <is>
          <t>Testigo DPF, regeneraciones frecuentes, EGR, si se ha anulado el filtro (ilegal en ITV)</t>
        </is>
      </c>
      <c r="E564" t="inlineStr">
        <is>
          <t>probable</t>
        </is>
      </c>
      <c r="F564" t="inlineStr">
        <is>
          <t>https://www.motor16.com/las-ultimas-noticias/filtro-particulas-diesel-averia-1500/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2026-10-31T20:48:00Z</dcterms:created>
  <dcterms:modified xmlns:dcterms="http://purl.org/dc/terms/" xmlns:xsi="http://www.w3.org/2001/XMLSchema-instance" xsi:type="dcterms:W3CDTF">2026-10-31T20:48:03Z</dcterms:modified>
</cp:coreProperties>
</file>
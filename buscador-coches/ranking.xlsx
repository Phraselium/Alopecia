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ETIQUETA">Supuestos!$B$13</definedName>
    <definedName name="W_SUMA">Supuestos!$B$14</definedName>
    <definedName name="ANIO_ACTUAL">Supuestos!$B$18</definedName>
    <definedName name="ANIO_MIN">Supuestos!$B$19</definedName>
    <definedName name="KM_MAX">Supuestos!$B$20</definedName>
    <definedName name="PRECIO_MAX">Supuestos!$B$21</definedName>
    <definedName name="TOTAL_MAX">Supuestos!$B$22</definedName>
    <definedName name="MARGEN_NEG">Supuestos!$B$23</definedName>
    <definedName name="SEG_ANIO">Supuestos!$B$24</definedName>
    <definedName name="SEG_KM">Supuestos!$B$25</definedName>
    <definedName name="MIN_N">Supuestos!$B$26</definedName>
    <definedName name="PRECIO_PEND">Supuestos!$B$27</definedName>
    <definedName name="KM_TOPE_DESDE">Supuestos!$B$28</definedName>
    <definedName name="KM_TOPE_PTS">Supuestos!$B$29</definedName>
    <definedName name="ROB_PEN">Supuestos!$B$30</definedName>
    <definedName name="KMA_IDEAL_MAX">Supuestos!$B$31</definedName>
    <definedName name="KMA_CERO">Supuestos!$B$32</definedName>
    <definedName name="KMA_SOSP">Supuestos!$B$33</definedName>
    <definedName name="KMA_PEN">Supuestos!$B$34</definedName>
    <definedName name="W_KMT">Supuestos!$B$35</definedName>
    <definedName name="W_KMA">Supuestos!$B$36</definedName>
    <definedName name="W_EDAD">Supuestos!$B$37</definedName>
    <definedName name="P_ITV">Supuestos!$B$38</definedName>
    <definedName name="P_LIBRO">Supuestos!$B$39</definedName>
    <definedName name="P_CORREA">Supuestos!$B$40</definedName>
    <definedName name="P_PROP">Supuestos!$B$41</definedName>
    <definedName name="P_GAR">Supuestos!$B$42</definedName>
    <definedName name="P_FOTOS">Supuestos!$B$43</definedName>
    <definedName name="FOTOS_OBJ">Supuestos!$B$44</definedName>
    <definedName name="W_ET">Supuestos!$B$45</definedName>
    <definedName name="W_CONS">Supuestos!$B$46</definedName>
    <definedName name="W_SEG">Supuestos!$B$47</definedName>
    <definedName name="NEUTRO">Supuestos!$B$48</definedName>
    <definedName name="SG_GAR">Supuestos!$B$49</definedName>
    <definedName name="SG_GAR_FULL">Supuestos!$B$50</definedName>
    <definedName name="SG_AMPL">Supuestos!$B$51</definedName>
    <definedName name="SG_KMC">Supuestos!$B$52</definedName>
    <definedName name="SG_REV">Supuestos!$B$53</definedName>
    <definedName name="SG_DEV">Supuestos!$B$54</definedName>
    <definedName name="SG_DEV_FULL">Supuestos!$B$55</definedName>
    <definedName name="SG_HIST">Supuestos!$B$56</definedName>
    <definedName name="SG_LEGAL_ON">Supuestos!$B$57</definedName>
    <definedName name="GAR_LEGAL">Supuestos!$B$58</definedName>
    <definedName name="ITP_TIPO">Supuestos!$B$62</definedName>
    <definedName name="CUOTA_VALOR_MAX">Supuestos!$B$63</definedName>
    <definedName name="TASA_DGT">Supuestos!$B$64</definedName>
    <definedName name="INFORME_DGT">Supuestos!$B$65</definedName>
    <definedName name="ITP_TRAMO_ALTO">Supuestos!$B$66</definedName>
    <definedName name="ITP_TRAMO_BAJO">Supuestos!$B$67</definedName>
    <definedName name="CF_MAS">Supuestos!$A$73:$A$78</definedName>
    <definedName name="CF_CCMIN">Supuestos!$B$73:$B$78</definedName>
    <definedName name="CF_CCMAX">Supuestos!$C$73:$C$78</definedName>
    <definedName name="CF_CUOTA">Supuestos!$D$73:$D$78</definedName>
    <definedName name="GAS_B_YM">Supuestos!$B$85</definedName>
    <definedName name="GAS_C_YM">Supuestos!$B$86</definedName>
    <definedName name="DIE_B_YM">Supuestos!$B$87</definedName>
    <definedName name="DIE_C_YM">Supuestos!$B$88</definedName>
    <definedName name="FR_FUEL">Supuestos!$A$96:$A$100</definedName>
    <definedName name="FR_YEAR">Supuestos!$B$96:$B$100</definedName>
    <definedName name="ETQ_TBL">Supuestos!$A$122:$B$126</definedName>
    <definedName name="ETQ_PEN_DUD">Supuestos!$B$127</definedName>
    <definedName name="ETQ_PEN_REGLA">Supuestos!$B$128</definedName>
    <definedName name="CARR_PEN_TBL">Supuestos!$A$131:$B$133</definedName>
    <definedName name="SEGURO_TBL">Supuestos!$A$139:$D$140</definedName>
    <definedName name="SEG_REF_MIN">Supuestos!$B$142</definedName>
    <definedName name="SEG_REF_MAX">Supuestos!$B$143</definedName>
    <definedName name="TUV_MEDIAS">Supuestos!$A$147:$B$148</definedName>
    <definedName name="OCU_TBL">Supuestos!$A$152:$B$155</definedName>
    <definedName name="ADAC_TBL">Supuestos!$A$159:$B$245</definedName>
    <definedName name="ADAC_REF">Supuestos!$B$246</definedName>
    <definedName name="MOD_TBL">Supuestos!$A$250:$Q$291</definedName>
    <definedName name="MOT_MARCA">Supuestos!$A$297:$A$323</definedName>
    <definedName name="MOT_MOTOR">Supuestos!$B$297:$B$323</definedName>
    <definedName name="MOT_DESDE">Supuestos!$C$297:$C$323</definedName>
    <definedName name="MOT_HASTA">Supuestos!$D$297:$D$323</definedName>
    <definedName name="MOT_AJUSTE">Supuestos!$E$297:$E$323</definedName>
    <definedName name="COMB_COMB">Supuestos!$A$328:$A$328</definedName>
    <definedName name="COMB_AJUSTE">Supuestos!$B$328:$B$328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Año que aparece en la URL o el título y no coincide con la fecha de matriculación.</t>
      </text>
    </comment>
    <comment ref="AV1" authorId="0" shapeId="0">
      <text>
        <t>Detectada en título/versión con el patrón de reliability.yaml → cajas_robotizadas.</t>
      </text>
    </comment>
    <comment ref="AW1" authorId="0" shapeId="0">
      <text>
        <t>Calculada en Python (src/scoring.py: market_medians) con los anuncios vistos en los listados de las plataformas (tabla 'mercado' de data/listings.sqlite), mismo esquema de segmentos.</t>
      </text>
    </comment>
    <comment ref="BL1" authorId="0" shapeId="0">
      <text>
        <t>Si hay MIN_N o más anuncios de mercado del segmento (todos los vistos en los listados, también &gt; precio máx.), usa la mediana de mercado; si no, fórmula matricial con la mediana de esta hoja (modelo+año+km, subiendo de nivel).</t>
      </text>
    </comment>
    <comment ref="CR1" authorId="0" shapeId="0">
      <text>
        <t>Cuota fija CV por antigüedad y cilindrada si valor &lt; CUOTA_VALOR_MAX; si no, tipo porcentual. Profesional: 0.</t>
      </text>
    </comment>
    <comment ref="CY1" authorId="0" shapeId="0">
      <text>
        <t>Desempate por orden de fila.</t>
      </text>
    </comment>
    <comment ref="BS2" authorId="0" shapeId="0">
      <text>
        <t>Fichero oficial DGT de distintivos (código 16TB, matrícula 8611GSH)</t>
      </text>
    </comment>
    <comment ref="BS3" authorId="0" shapeId="0">
      <text>
        <t>Fichero oficial DGT de distintivos (código 16TC, matrícula 8408GBN)</t>
      </text>
    </comment>
    <comment ref="BS4" authorId="0" shapeId="0">
      <text>
        <t>Fichero oficial DGT de distintivos (código 16TC, matrícula 2715GGP)</t>
      </text>
    </comment>
    <comment ref="BS5" authorId="0" shapeId="0">
      <text>
        <t>Publicada en el anuncio (cochesnet): https://www.coches.net/toyota-aygo-10-vvti-live-5p-gasolina-2010-en-valencia-71691745-covo.aspx</t>
      </text>
    </comment>
    <comment ref="BS6" authorId="0" shapeId="0">
      <text>
        <t>Publicada en el anuncio (cochesnet): https://www.coches.net/mazda-mazda2-active-14-crtd-5p-diesel-2007-en-valencia-71265682-covo.aspx</t>
      </text>
    </comment>
    <comment ref="BS7" authorId="0" shapeId="0">
      <text>
        <t>Publicada en el anuncio (cochesnet): https://www.coches.net/kia-picanto-10-sohc-concept-5p-gasolina-2010-en-valencia-71817386-covo.aspx</t>
      </text>
    </comment>
    <comment ref="BS8" authorId="0" shapeId="0">
      <text>
        <t>Publicada en el anuncio (cochesnet): https://www.coches.net/hyundai-i10-11-comfort-5p-gasolina-2008-en-valencia-71571543-covo.aspx</t>
      </text>
    </comment>
    <comment ref="BS9" authorId="0" shapeId="0">
      <text>
        <t>Publicada en el anuncio (cochesnet): https://www.coches.net/opel-corsa-10-essentia-3p-gasolina-2011-en-valencia-71625576-covo.aspx</t>
      </text>
    </comment>
    <comment ref="BS10" authorId="0" shapeId="0">
      <text>
        <t>Publicada en el anuncio (cochesnet): https://www.coches.net/opel-astra-gtc-14-16v-essentia-3p-gasolina-2009-en-valencia-71876224-covo.aspx</t>
      </text>
    </comment>
    <comment ref="BS11" authorId="0" shapeId="0">
      <text>
        <t>Publicada en el anuncio (cochesnet): https://www.coches.net/opel-astra-13-ecoflex-ss-selective-5p-diesel-2013-en-valencia-71339047-covo.aspx</t>
      </text>
    </comment>
    <comment ref="BS12" authorId="0" shapeId="0">
      <text>
        <t>Publicada en el anuncio (cochesnet): https://www.coches.net/renault-megane-emotion-2008-14-16v-5p-gasolina-2008-en-valencia-71399209-covo.aspx</t>
      </text>
    </comment>
    <comment ref="BS13" authorId="0" shapeId="0">
      <text>
        <t>Publicada en el anuncio (cochesnet): https://www.coches.net/renault-megane-dynamique-15dci85-eco2-5p-diesel-2008-en-valencia-71622320-covo.aspx</t>
      </text>
    </comment>
    <comment ref="BS14" authorId="0" shapeId="0">
      <text>
        <t>Publicada en el anuncio (cochesnet): https://www.coches.net/renault-megane-dynamique-16-16v-110-e5-5p-gasolina-2010-en-valencia-71224992-covo.aspx</t>
      </text>
    </comment>
    <comment ref="BS15" authorId="0" shapeId="0">
      <text>
        <t>Publicada en el anuncio (cochesnet): https://www.coches.net/dacia-sandero-ambiance-12-75cv-5p-gasolina-2012-en-valencia-70507667-covo.aspx</t>
      </text>
    </comment>
    <comment ref="BS16" authorId="0" shapeId="0">
      <text>
        <t>Publicada en el anuncio (cochesnet): https://www.coches.net/dacia-logan-laureate-14-4p-gasolina-2007-en-valencia-71571620-covo.aspx</t>
      </text>
    </comment>
    <comment ref="BS17" authorId="0" shapeId="0">
      <text>
        <t>Publicada en el anuncio (cochesnet): https://www.coches.net/peugeot-207-confort-14-75-5p-gasolina-2009-en-valencia-71833160-covo.aspx</t>
      </text>
    </comment>
    <comment ref="BS18" authorId="0" shapeId="0">
      <text>
        <t>Publicada en el anuncio (cochesnet): https://www.coches.net/peugeot-208-5p-active-14-hdi-68-5p-diesel-2014-en-valencia-71521071-covo.aspx</t>
      </text>
    </comment>
    <comment ref="BS19" authorId="0" shapeId="0">
      <text>
        <t>Publicada en el anuncio (cochesnet): https://www.coches.net/ford-ka-12-trend-3p-gasolina-2010-en-valencia-71569576-covo.aspx</t>
      </text>
    </comment>
    <comment ref="BS20" authorId="0" shapeId="0">
      <text>
        <t>Publicada en el anuncio (cochesnet): https://www.coches.net/ford-fiesta-14-tdci-trend-5p-diesel-2011-en-valencia-70592187-covo.aspx</t>
      </text>
    </comment>
    <comment ref="BS21" authorId="0" shapeId="0">
      <text>
        <t>Publicada en el anuncio (cochesnet): https://www.coches.net/ford-fiesta-14-tdci-trend-5p-diesel-2011-en-valencia-71146219-covo.aspx</t>
      </text>
    </comment>
    <comment ref="BS22" authorId="0" shapeId="0">
      <text>
        <t>Publicada en el anuncio (cochesnet): https://www.coches.net/fiat-punto-12-active-e5-5p-gasolina-2009-en-valencia-71816544-covo.aspx</t>
      </text>
    </comment>
    <comment ref="BS23" authorId="0" shapeId="0">
      <text>
        <t>Publicada en el anuncio (cochesnet): https://www.coches.net/chevrolet-aveo-14-16v-lt-4p-gasolina-2008-en-valencia-71651301-covo.aspx</t>
      </text>
    </comment>
    <comment ref="BS24" authorId="0" shapeId="0">
      <text>
        <t>Publicada en el anuncio (cochesnet): https://www.coches.net/chevrolet-aveo-14-16v-ls-5p-gasolina-2010-en-valencia-71533850-covo.aspx</t>
      </text>
    </comment>
    <comment ref="BS25" authorId="0" shapeId="0">
      <text>
        <t>Fichero oficial DGT de distintivos (código 16TC, matrícula 8775FTG)</t>
      </text>
    </comment>
    <comment ref="BS26" authorId="0" shapeId="0">
      <text>
        <t>Fichero oficial DGT de distintivos (código 16TC, matrícula 9616FMR)</t>
      </text>
    </comment>
    <comment ref="BS27" authorId="0" shapeId="0">
      <text>
        <t>Fichero oficial DGT de distintivos (código 16TC, matrícula 9285FGY)</t>
      </text>
    </comment>
    <comment ref="BS28" authorId="0" shapeId="0">
      <text>
        <t>Fichero oficial DGT de distintivos (código 16TB, matrícula 8191FSH)</t>
      </text>
    </comment>
    <comment ref="BS29" authorId="0" shapeId="0">
      <text>
        <t>Fichero oficial DGT de distintivos (código 16TB, matrícula 8157DVD)</t>
      </text>
    </comment>
    <comment ref="BS30" authorId="0" shapeId="0">
      <text>
        <t>Fichero oficial DGT de distintivos (código 16TC, matrícula 8323DYB)</t>
      </text>
    </comment>
    <comment ref="BS31" authorId="0" shapeId="0">
      <text>
        <t>Fichero oficial DGT de distintivos (código 16TC, matrícula 0220FKN)</t>
      </text>
    </comment>
    <comment ref="BS32" authorId="0" shapeId="0">
      <text>
        <t>Fichero oficial DGT de distintivos (código 16TC, matrícula 9605FDM)</t>
      </text>
    </comment>
    <comment ref="BS33" authorId="0" shapeId="0">
      <text>
        <t>Fichero oficial DGT de distintivos (código 16TB, matrícula 1000KMS)</t>
      </text>
    </comment>
    <comment ref="BS34" authorId="0" shapeId="0">
      <text>
        <t>Publicada en el anuncio (cochesnet): https://www.coches.net/toyota-aygo-10-vvti-aygo-5p-gasolina-2007-en-valencia-71488801-covo.aspx</t>
      </text>
    </comment>
    <comment ref="BS35" authorId="0" shapeId="0">
      <text>
        <t>Publicada en el anuncio (cochesnet): https://www.coches.net/mazda-mazda2-active-14-crtd-5p-diesel-2007-en-valencia-71732041-covo.aspx</t>
      </text>
    </comment>
    <comment ref="BS36" authorId="0" shapeId="0">
      <text>
        <t>Publicada en el anuncio (cochesnet): https://www.coches.net/kia-picanto-11-sohc-lx-5p-gasolina-2007-en-valencia-71778568-covo.aspx</t>
      </text>
    </comment>
    <comment ref="BS37" authorId="0" shapeId="0">
      <text>
        <t>Publicada en el anuncio (cochesnet): https://www.coches.net/kia-picanto-11-sohc-ex-5p-gasolina-2006-en-valencia-71687938-covo.aspx</t>
      </text>
    </comment>
    <comment ref="BS38" authorId="0" shapeId="0">
      <text>
        <t>Publicada en el anuncio (cochesnet): https://www.coches.net/kia-ceed-16-crdi-115cv-emotion-5p-diesel-2009-en-valencia-71704887-covo.aspx</t>
      </text>
    </comment>
    <comment ref="BS39" authorId="0" shapeId="0">
      <text>
        <t>Publicada en el anuncio (cochesnet): https://www.coches.net/skoda-citigo-10-mpi-60cv-ambition-3p-gasolina-2015-en-valencia-71648429-covo.aspx</t>
      </text>
    </comment>
    <comment ref="BS40" authorId="0" shapeId="0">
      <text>
        <t>Publicada en el anuncio (cochesnet): https://www.coches.net/skoda-fabia-sedan-14-tdi-80cv-comfort-4p-diesel-2006-en-valencia-71619015-covo.aspx</t>
      </text>
    </comment>
    <comment ref="BS41" authorId="0" shapeId="0">
      <text>
        <t>Publicada en el anuncio (cochesnet): https://www.coches.net/seat-ibiza-19-tdi-100cv-sport-5p-diesel-2008-en-valencia-71867781-covo.aspx</t>
      </text>
    </comment>
    <comment ref="BS42" authorId="0" shapeId="0">
      <text>
        <t>Publicada en el anuncio (cochesnet): https://www.coches.net/volkswagen-polo-12-edition-70cv-5p-gasolina-2008-en-valencia-71866787-covo.aspx</t>
      </text>
    </comment>
    <comment ref="BS43" authorId="0" shapeId="0">
      <text>
        <t>Publicada en el anuncio (cochesnet): https://www.coches.net/opel-corsa-enjoy-12-5p-gasolina-2008-en-valencia-71806576-covo.aspx</t>
      </text>
    </comment>
    <comment ref="BS44" authorId="0" shapeId="0">
      <text>
        <t>Publicada en el anuncio (cochesnet): https://www.coches.net/opel-corsa-enjoy-12-3p-gasolina-2007-en-valencia-71790451-covo.aspx</t>
      </text>
    </comment>
    <comment ref="BS45" authorId="0" shapeId="0">
      <text>
        <t>Publicada en el anuncio (cochesnet): https://www.coches.net/opel-corsa-13-cdti-color-edition-3p-diesel-2012-en-valencia-71248981-covo.aspx</t>
      </text>
    </comment>
    <comment ref="BS46" authorId="0" shapeId="0">
      <text>
        <t>Fichero oficial DGT de distintivos (código 16TB, matrícula 1000KMS)</t>
      </text>
    </comment>
    <comment ref="BS47" authorId="0" shapeId="0">
      <text>
        <t>Fichero oficial DGT de distintivos (código 16TB, matrícula 1000KMS)</t>
      </text>
    </comment>
    <comment ref="BS48" authorId="0" shapeId="0">
      <text>
        <t>Fichero oficial DGT de distintivos (código 16TB, matrícula 1000KMS)</t>
      </text>
    </comment>
    <comment ref="BS49" authorId="0" shapeId="0">
      <text>
        <t>Fichero oficial DGT de distintivos (código 16TB, matrícula 1000KMS)</t>
      </text>
    </comment>
    <comment ref="BS50" authorId="0" shapeId="0">
      <text>
        <t>Fichero oficial DGT de distintivos (código 16TB, matrícula 1000KMS)</t>
      </text>
    </comment>
    <comment ref="BS51" authorId="0" shapeId="0">
      <text>
        <t>Fichero oficial DGT de distintivos (código 16TB, matrícula 1000KMS)</t>
      </text>
    </comment>
    <comment ref="BS52" authorId="0" shapeId="0">
      <text>
        <t>Publicada en el anuncio (cochesnet): https://www.coches.net/opel-astra-13-cdti-111-years-gtc-3p-diesel-2011-en-valencia-71799024-covo.aspx</t>
      </text>
    </comment>
    <comment ref="BS53" authorId="0" shapeId="0">
      <text>
        <t>Publicada en el anuncio (cochesnet): https://www.coches.net/opel-astra-19-cdti-enjoy-120-cv-5p-diesel-2007-en-valencia-71599225-covo.aspx</t>
      </text>
    </comment>
    <comment ref="BS54" authorId="0" shapeId="0">
      <text>
        <t>Publicada en el anuncio (cochesnet): https://www.coches.net/opel-astra-14-enjoy-5p-gasolina-2006-en-valencia-71722524-covo.aspx</t>
      </text>
    </comment>
    <comment ref="BS55" authorId="0" shapeId="0">
      <text>
        <t>Publicada en el anuncio (cochesnet): https://www.coches.net/opel-astra-17-cdti-enjoy-sw-5p-diesel-2007-en-valencia-71241892-covo.aspx</t>
      </text>
    </comment>
    <comment ref="BS56" authorId="0" shapeId="0">
      <text>
        <t>Publicada en el anuncio (cochesnet): https://www.coches.net/opel-meriva-17-cdti-110-cv-cosmo-5p-diesel-2012-en-valencia-71555949-covo.aspx</t>
      </text>
    </comment>
    <comment ref="BS57" authorId="0" shapeId="0">
      <text>
        <t>Publicada en el anuncio (cochesnet): https://www.coches.net/renault-megane-coupecabrio-dynamique-16-16v-2p-gasolina-2007-en-valencia-71508169-covo.aspx</t>
      </text>
    </comment>
    <comment ref="BS58" authorId="0" shapeId="0">
      <text>
        <t>Publicada en el anuncio (cochesnet): https://www.coches.net/renault-megane-coupecabrio-dynamique-16-16v-2p-gasolina-2007-en-valencia-71662456-covo.aspx</t>
      </text>
    </comment>
    <comment ref="BS59" authorId="0" shapeId="0">
      <text>
        <t>Publicada en el anuncio (cochesnet): https://www.coches.net/renault-clio-grand-tour-tom-tom-ed-15dci-85cv-eco2-5p-diesel-2009-en-valencia-71813489-covo.aspx</t>
      </text>
    </comment>
    <comment ref="BS60" authorId="0" shapeId="0">
      <text>
        <t>Publicada en el anuncio (cochesnet): https://www.coches.net/renault-clio-expression-12-16v-5p-gasolina-2007-en-valencia-71693535-covo.aspx</t>
      </text>
    </comment>
    <comment ref="BS61" authorId="0" shapeId="0">
      <text>
        <t>Publicada en el anuncio (cochesnet): https://www.coches.net/renault-megane-business-dci-110-5p-diesel-2012-en-valencia-71684364-covo.aspx</t>
      </text>
    </comment>
    <comment ref="BS62" authorId="0" shapeId="0">
      <text>
        <t>Publicada en el anuncio (cochesnet): https://www.coches.net/renault-megane-dynamique-energy-dci-110-ss-eco2-3p-diesel-2012-en-valencia-71537820-covo.aspx</t>
      </text>
    </comment>
    <comment ref="BS63" authorId="0" shapeId="0">
      <text>
        <t>Publicada en el anuncio (cochesnet): https://www.coches.net/renault-megane-sport-tourer-dynamique-15dci-105cv-eco2-5p-diesel-2009-en-valencia-71783816-covo.aspx</t>
      </text>
    </comment>
    <comment ref="BS64" authorId="0" shapeId="0">
      <text>
        <t>Publicada en el anuncio (cochesnet): https://www.coches.net/renault-modus-confort-dynamique-14-16v-5p-gasolina-2006-en-valencia-70833355-covo.aspx</t>
      </text>
    </comment>
    <comment ref="BS65" authorId="0" shapeId="0">
      <text>
        <t>Publicada en el anuncio (cochesnet): https://www.coches.net/dacia-sandero-laureate-12-16v-75cv-5p-gasolina-2009-en-valencia-71749298-covo.aspx</t>
      </text>
    </comment>
    <comment ref="BS66" authorId="0" shapeId="0">
      <text>
        <t>Publicada en el anuncio (cochesnet): https://www.coches.net/peugeot-207-confort-14-vti-16v-95-5p-gasolina-2008-en-valencia-71858806-covo.aspx</t>
      </text>
    </comment>
    <comment ref="BS67" authorId="0" shapeId="0">
      <text>
        <t>Publicada en el anuncio (cochesnet): https://www.coches.net/peugeot-207-14-16v-xt-5p-gasolina-2006-en-valencia-71828437-covo.aspx</t>
      </text>
    </comment>
    <comment ref="BS68" authorId="0" shapeId="0">
      <text>
        <t>Publicada en el anuncio (cochesnet): https://www.coches.net/peugeot-207-confort-14-vti-16v-95-5p-gasolina-2008-en-valencia-71618681-covo.aspx</t>
      </text>
    </comment>
    <comment ref="BS69" authorId="0" shapeId="0">
      <text>
        <t>Publicada en el anuncio (cochesnet): https://www.coches.net/citroen-c3-picasso-hdi-110cv-fap-airdream-exclusive-5p-diesel-2009-en-valencia-71733143-covo.aspx</t>
      </text>
    </comment>
    <comment ref="BS70" authorId="0" shapeId="0">
      <text>
        <t>Publicada en el anuncio (cochesnet): https://www.coches.net/citroen-c3-hdi-70-attraction-5p-diesel-2011-en-valencia-71041894-covo.aspx</t>
      </text>
    </comment>
    <comment ref="BS71" authorId="0" shapeId="0">
      <text>
        <t>Publicada en el anuncio (cochesnet): https://www.coches.net/citroen-c3-ehdi-115-exclusive-5p-diesel-2013-en-valencia-71039872-covo.aspx</t>
      </text>
    </comment>
    <comment ref="BS72" authorId="0" shapeId="0">
      <text>
        <t>Publicada en el anuncio (cochesnet): https://www.coches.net/citroen-c-elysee-hdi-90cv-millenium-4p-diesel-2014-en-valencia-71818180-covo.aspx</t>
      </text>
    </comment>
    <comment ref="BS73" authorId="0" shapeId="0">
      <text>
        <t>Publicada en el anuncio (cochesnet): https://www.coches.net/ford-fiesta-14-tdci-trend-5p-diesel-2010-en-valencia-71618923-covo.aspx</t>
      </text>
    </comment>
    <comment ref="BS74" authorId="0" shapeId="0">
      <text>
        <t>Publicada en el anuncio (cochesnet): https://www.coches.net/ford-focus-18-tdci-trend-5p-diesel-2007-en-valencia-71863788-covo.aspx</t>
      </text>
    </comment>
    <comment ref="BS75" authorId="0" shapeId="0">
      <text>
        <t>Publicada en el anuncio (cochesnet): https://www.coches.net/ford-ka-trend-12-duratec-autostartstop-3p-gasolina-2015-en-valencia-71847203-covo.aspx</t>
      </text>
    </comment>
    <comment ref="BS76" authorId="0" shapeId="0">
      <text>
        <t>Publicada en el anuncio (cochesnet): https://www.coches.net/ford-fiesta-13-newport-5p-gasolina-2006-en-valencia-71841456-covo.aspx</t>
      </text>
    </comment>
    <comment ref="BS77" authorId="0" shapeId="0">
      <text>
        <t>Publicada en el anuncio (cochesnet): https://www.coches.net/ford-fiesta-14-tdci-trend-5p-diesel-2012-en-valencia-71654849-covo.aspx</t>
      </text>
    </comment>
    <comment ref="BS78" authorId="0" shapeId="0">
      <text>
        <t>Publicada en el anuncio (cochesnet): https://www.coches.net/ford-fiesta-14-tdci-trend-5p-diesel-2011-en-valencia-71021675-covo.aspx</t>
      </text>
    </comment>
    <comment ref="BS79" authorId="0" shapeId="0">
      <text>
        <t>Publicada en el anuncio (cochesnet): https://www.coches.net/ford-fiesta-14-tdci-ghia-5p-diesel-2009-en-valencia-71579775-covo.aspx</t>
      </text>
    </comment>
    <comment ref="BS80" authorId="0" shapeId="0">
      <text>
        <t>Publicada en el anuncio (cochesnet): https://www.coches.net/ford-focus-18-tdci-ghia-4p-diesel-2007-en-valencia-71753984-covo.aspx</t>
      </text>
    </comment>
    <comment ref="BS81" authorId="0" shapeId="0">
      <text>
        <t>Publicada en el anuncio (cochesnet): https://www.coches.net/ford-focus-18-tdci-ghia-5p-diesel-2007-en-valencia-71021526-covo.aspx</t>
      </text>
    </comment>
    <comment ref="BS82" authorId="0" shapeId="0">
      <text>
        <t>Publicada en el anuncio (cochesnet): https://www.coches.net/ford-fusion-14-tdci-ambiente-5p-diesel-2009-en-valencia-71793171-covo.aspx</t>
      </text>
    </comment>
    <comment ref="BS83" authorId="0" shapeId="0">
      <text>
        <t>Publicada en el anuncio (cochesnet): https://www.coches.net/fiat-linea-14-16v-tjet-120cv-dynamic-4p-gasolina-2007-en-valencia-70514152-covo.aspx</t>
      </text>
    </comment>
    <comment ref="BS84" authorId="0" shapeId="0">
      <text>
        <t>Publicada en el anuncio (cochesnet): https://www.coches.net/fiat-500-12-8v-69-cv-lounge-3p-gasolina-2014-en-valencia-62365434-covo.aspx</t>
      </text>
    </comment>
    <comment ref="BS85" authorId="0" shapeId="0">
      <text>
        <t>Publicada en el anuncio (cochesnet): https://www.coches.net/nissan-pixo-5p-10g-68cv-acenta-pack-safety-5p-gasolina-2011-en-valencia-71849245-covo.aspx</t>
      </text>
    </comment>
    <comment ref="BS86" authorId="0" shapeId="0">
      <text>
        <t>Publicada en el anuncio (cochesnet): https://www.coches.net/suzuki-alto-10-gl-5p-gasolina-2009-en-valencia-71530109-covo.aspx</t>
      </text>
    </comment>
    <comment ref="BS87" authorId="0" shapeId="0">
      <text>
        <t>Publicada en el anuncio (cochesnet): https://www.coches.net/mini-mini-one-3p-gasolina-2009-en-valencia-71332504-covo.aspx</t>
      </text>
    </comment>
    <comment ref="BS88" authorId="0" shapeId="0">
      <text>
        <t>Publicada en el anuncio (cochesnet): https://www.coches.net/chevrolet-aveo-12-16v-ls-5p-gasolina-2010-en-valencia-71527060-covo.aspx</t>
      </text>
    </comment>
    <comment ref="BS89" authorId="0" shapeId="0">
      <text>
        <t>Publicada en el anuncio (cochesnet): https://www.coches.net/chevrolet-cruze-20-vcdi-lt-5p-diesel-2013-en-valencia-71786529-covo.aspx</t>
      </text>
    </comment>
    <comment ref="BS90" authorId="0" shapeId="0">
      <text>
        <t>Publicada en el anuncio (cochesnet): https://www.coches.net/chevrolet-kalos-14-16v-sx-5p-gasolina-2007-en-valencia-71757437-covo.aspx</t>
      </text>
    </comment>
    <comment ref="BS91" authorId="0" shapeId="0">
      <text>
        <t>Publicada en el anuncio (cochesnet): https://www.coches.net/chevrolet-aveo-12-ls-5p-gasolina-2012-en-valencia-71574866-covo.aspx</t>
      </text>
    </comment>
    <comment ref="BS92" authorId="0" shapeId="0">
      <text>
        <t>Publicada en el anuncio (cochesnet): https://www.coches.net/chevrolet-epica-20-vcdi-16v-lt-4p-diesel-2008-en-valencia-71536876-covo.aspx</t>
      </text>
    </comment>
    <comment ref="BS93" authorId="0" shapeId="0">
      <text>
        <t>Publicada en el anuncio (cochesnet): https://www.coches.net/seat-ibiza-19-tdi-100cv-hit-5p-diesel-2007-en-castellon-62641273-covo.aspx</t>
      </text>
    </comment>
    <comment ref="BS94" authorId="0" shapeId="0">
      <text>
        <t>Publicada en el anuncio (cochesnet): https://www.coches.net/opel-corsa-enjoy-12-5p-gasolina-2008-en-castellon-71526255-covo.aspx</t>
      </text>
    </comment>
    <comment ref="BS95" authorId="0" shapeId="0">
      <text>
        <t>Publicada en el anuncio (cochesnet): https://www.coches.net/renault-twingo-authentique-12-eco2-3p-gasolina-2008-en-castellon-70895846-covo.aspx</t>
      </text>
    </comment>
    <comment ref="BS96" authorId="0" shapeId="0">
      <text>
        <t>Publicada en el anuncio (cochesnet): https://www.coches.net/peugeot-207-confort-14-vti-16v-95-5p-gasolina-2009-en-castellon-71576158-covo.aspx</t>
      </text>
    </comment>
    <comment ref="BS97" authorId="0" shapeId="0">
      <text>
        <t>Publicada en el anuncio (cochesnet): https://www.coches.net/fiat-500-09-turbo-twinair-85cv-blackjack-3p-gasolina-2007-en-castellon-70833137-covo.aspx</t>
      </text>
    </comment>
    <comment ref="BS98" authorId="0" shapeId="0">
      <text>
        <t>Publicada en el anuncio (cochesnet): https://www.coches.net/smart-forfour-15-cdi-68cv-pure-5p-diesel-2006-en-castellon-70558216-covo.aspx</t>
      </text>
    </comment>
    <comment ref="BS99" authorId="0" shapeId="0">
      <text>
        <t>Publicada en el anuncio (cochesnet): https://www.coches.net/chevrolet-aveo-12-16v-ls-5p-gasolina-2011-en-castellon-71789822-covo.aspx</t>
      </text>
    </comment>
    <comment ref="BS100" authorId="0" shapeId="0">
      <text>
        <t>Publicada en el anuncio (cochesnet): https://www.coches.net/chevrolet-matiz-10-s-5p-gasolina-2006-en-castellon-71686041-covo.aspx</t>
      </text>
    </comment>
    <comment ref="BS101" authorId="0" shapeId="0">
      <text>
        <t>Publicada en el anuncio (cochesnet): https://www.coches.net/chevrolet-kalos-12-se-3p-gasolina-2006-en-castellon-71319739-covo.aspx</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opel-astra-17-cdti-edition-con-174458km-2009-b9f8hqaq" TargetMode="External" Id="rId1"/><Relationship Type="http://schemas.openxmlformats.org/officeDocument/2006/relationships/hyperlink" Target="https://www.ocasionplus.com/coches-segunda-mano/peugeot-207-14-confort-con-116183km-2008-b9auzqaa" TargetMode="External" Id="rId2"/><Relationship Type="http://schemas.openxmlformats.org/officeDocument/2006/relationships/hyperlink" Target="https://www.ocasionplus.com/coches-segunda-mano/ford-ka-13-collection-con-115071km-2008-saqsyqa5" TargetMode="External" Id="rId3"/><Relationship Type="http://schemas.openxmlformats.org/officeDocument/2006/relationships/hyperlink" Target="https://www.coches.net/toyota-aygo-10-vvti-live-5p-gasolina-2010-en-valencia-71691745-covo.aspx" TargetMode="External" Id="rId4"/><Relationship Type="http://schemas.openxmlformats.org/officeDocument/2006/relationships/hyperlink" Target="https://www.coches.net/mazda-mazda2-active-14-crtd-5p-diesel-2007-en-valencia-71265682-covo.aspx" TargetMode="External" Id="rId5"/><Relationship Type="http://schemas.openxmlformats.org/officeDocument/2006/relationships/hyperlink" Target="https://www.coches.net/kia-picanto-10-sohc-concept-5p-gasolina-2010-en-valencia-71817386-covo.aspx" TargetMode="External" Id="rId6"/><Relationship Type="http://schemas.openxmlformats.org/officeDocument/2006/relationships/hyperlink" Target="https://www.coches.net/hyundai-i10-11-comfort-5p-gasolina-2008-en-valencia-71571543-covo.aspx" TargetMode="External" Id="rId7"/><Relationship Type="http://schemas.openxmlformats.org/officeDocument/2006/relationships/hyperlink" Target="https://www.coches.net/opel-corsa-10-essentia-3p-gasolina-2011-en-valencia-71625576-covo.aspx" TargetMode="External" Id="rId8"/><Relationship Type="http://schemas.openxmlformats.org/officeDocument/2006/relationships/hyperlink" Target="https://www.coches.net/opel-astra-gtc-14-16v-essentia-3p-gasolina-2009-en-valencia-71876224-covo.aspx" TargetMode="External" Id="rId9"/><Relationship Type="http://schemas.openxmlformats.org/officeDocument/2006/relationships/hyperlink" Target="https://www.coches.net/opel-astra-13-ecoflex-ss-selective-5p-diesel-2013-en-valencia-71339047-covo.aspx" TargetMode="External" Id="rId10"/><Relationship Type="http://schemas.openxmlformats.org/officeDocument/2006/relationships/hyperlink" Target="https://www.coches.net/renault-megane-emotion-2008-14-16v-5p-gasolina-2008-en-valencia-71399209-covo.aspx" TargetMode="External" Id="rId11"/><Relationship Type="http://schemas.openxmlformats.org/officeDocument/2006/relationships/hyperlink" Target="https://www.coches.net/renault-megane-dynamique-15dci85-eco2-5p-diesel-2008-en-valencia-71622320-covo.aspx" TargetMode="External" Id="rId12"/><Relationship Type="http://schemas.openxmlformats.org/officeDocument/2006/relationships/hyperlink" Target="https://www.coches.net/renault-megane-dynamique-16-16v-110-e5-5p-gasolina-2010-en-valencia-71224992-covo.aspx" TargetMode="External" Id="rId13"/><Relationship Type="http://schemas.openxmlformats.org/officeDocument/2006/relationships/hyperlink" Target="https://www.coches.net/dacia-sandero-ambiance-12-75cv-5p-gasolina-2012-en-valencia-70507667-covo.aspx" TargetMode="External" Id="rId14"/><Relationship Type="http://schemas.openxmlformats.org/officeDocument/2006/relationships/hyperlink" Target="https://www.coches.net/dacia-logan-laureate-14-4p-gasolina-2007-en-valencia-71571620-covo.aspx" TargetMode="External" Id="rId15"/><Relationship Type="http://schemas.openxmlformats.org/officeDocument/2006/relationships/hyperlink" Target="https://www.coches.net/peugeot-207-confort-14-75-5p-gasolina-2009-en-valencia-71833160-covo.aspx" TargetMode="External" Id="rId16"/><Relationship Type="http://schemas.openxmlformats.org/officeDocument/2006/relationships/hyperlink" Target="https://www.coches.net/peugeot-208-5p-active-14-hdi-68-5p-diesel-2014-en-valencia-71521071-covo.aspx" TargetMode="External" Id="rId17"/><Relationship Type="http://schemas.openxmlformats.org/officeDocument/2006/relationships/hyperlink" Target="https://www.coches.net/ford-ka-12-trend-3p-gasolina-2010-en-valencia-71569576-covo.aspx" TargetMode="External" Id="rId18"/><Relationship Type="http://schemas.openxmlformats.org/officeDocument/2006/relationships/hyperlink" Target="https://www.coches.net/ford-fiesta-14-tdci-trend-5p-diesel-2011-en-valencia-70592187-covo.aspx" TargetMode="External" Id="rId19"/><Relationship Type="http://schemas.openxmlformats.org/officeDocument/2006/relationships/hyperlink" Target="https://www.coches.net/ford-fiesta-14-tdci-trend-5p-diesel-2011-en-valencia-71146219-covo.aspx" TargetMode="External" Id="rId20"/><Relationship Type="http://schemas.openxmlformats.org/officeDocument/2006/relationships/hyperlink" Target="https://www.coches.net/fiat-punto-12-active-e5-5p-gasolina-2009-en-valencia-71816544-covo.aspx" TargetMode="External" Id="rId21"/><Relationship Type="http://schemas.openxmlformats.org/officeDocument/2006/relationships/hyperlink" Target="https://www.coches.net/chevrolet-aveo-14-16v-lt-4p-gasolina-2008-en-valencia-71651301-covo.aspx" TargetMode="External" Id="rId22"/><Relationship Type="http://schemas.openxmlformats.org/officeDocument/2006/relationships/hyperlink" Target="https://www.coches.net/chevrolet-aveo-14-16v-ls-5p-gasolina-2010-en-valencia-71533850-covo.aspx" TargetMode="External" Id="rId23"/><Relationship Type="http://schemas.openxmlformats.org/officeDocument/2006/relationships/hyperlink" Target="https://www.ocasionplus.com/coches-segunda-mano/lancia-ypsilon-14-8v-platino-con-126555km-2007-b1himqaq" TargetMode="External" Id="rId24"/><Relationship Type="http://schemas.openxmlformats.org/officeDocument/2006/relationships/hyperlink" Target="https://www.ocasionplus.com/coches-segunda-mano/peugeot-107-10i-urban-con-150561km-2007-aynqvqai" TargetMode="External" Id="rId25"/><Relationship Type="http://schemas.openxmlformats.org/officeDocument/2006/relationships/hyperlink" Target="https://www.ocasionplus.com/coches-segunda-mano/renault-clio-14-16v-dynamique-con-106165km-2006-zgabhqan" TargetMode="External" Id="rId26"/><Relationship Type="http://schemas.openxmlformats.org/officeDocument/2006/relationships/hyperlink" Target="https://www.ocasionplus.com/coches-segunda-mano/seat-ibiza-14-tdi-reference-con-140744km-2007-ychajqan" TargetMode="External" Id="rId27"/><Relationship Type="http://schemas.openxmlformats.org/officeDocument/2006/relationships/hyperlink" Target="https://www.ocasionplus.com/coches-segunda-mano/ford-mondeo-20-tdci-ghia-con-142530km-2006-somqeqa3" TargetMode="External" Id="rId28"/><Relationship Type="http://schemas.openxmlformats.org/officeDocument/2006/relationships/hyperlink" Target="https://www.ocasionplus.com/coches-segunda-mano/seat-ibiza-14-16v-reference-con-70908km-2006-azeojqah" TargetMode="External" Id="rId29"/><Relationship Type="http://schemas.openxmlformats.org/officeDocument/2006/relationships/hyperlink" Target="https://www.ocasionplus.com/coches-segunda-mano/opel-corsa-12-enjoy-mta-con-112793km-2007-nu8qgqaj" TargetMode="External" Id="rId30"/><Relationship Type="http://schemas.openxmlformats.org/officeDocument/2006/relationships/hyperlink" Target="https://www.ocasionplus.com/coches-segunda-mano/fiat-panda-12-dynamic-con-213136km-2006" TargetMode="External" Id="rId31"/><Relationship Type="http://schemas.openxmlformats.org/officeDocument/2006/relationships/hyperlink" Target="https://www.coches.net/seat-ibiza-14-16v-75-cv-reference-5p-gasolina-2006-en-castellon-71437236-covo.aspx" TargetMode="External" Id="rId32"/><Relationship Type="http://schemas.openxmlformats.org/officeDocument/2006/relationships/hyperlink" Target="https://www.coches.net/toyota-aygo-10-vvti-aygo-5p-gasolina-2007-en-valencia-71488801-covo.aspx" TargetMode="External" Id="rId33"/><Relationship Type="http://schemas.openxmlformats.org/officeDocument/2006/relationships/hyperlink" Target="https://www.coches.net/mazda-mazda2-active-14-crtd-5p-diesel-2007-en-valencia-71732041-covo.aspx" TargetMode="External" Id="rId34"/><Relationship Type="http://schemas.openxmlformats.org/officeDocument/2006/relationships/hyperlink" Target="https://www.coches.net/kia-picanto-11-sohc-lx-5p-gasolina-2007-en-valencia-71778568-covo.aspx" TargetMode="External" Id="rId35"/><Relationship Type="http://schemas.openxmlformats.org/officeDocument/2006/relationships/hyperlink" Target="https://www.coches.net/kia-picanto-11-sohc-ex-5p-gasolina-2006-en-valencia-71687938-covo.aspx" TargetMode="External" Id="rId36"/><Relationship Type="http://schemas.openxmlformats.org/officeDocument/2006/relationships/hyperlink" Target="https://www.coches.net/kia-ceed-16-crdi-115cv-emotion-5p-diesel-2009-en-valencia-71704887-covo.aspx" TargetMode="External" Id="rId37"/><Relationship Type="http://schemas.openxmlformats.org/officeDocument/2006/relationships/hyperlink" Target="https://www.coches.net/skoda-citigo-10-mpi-60cv-ambition-3p-gasolina-2015-en-valencia-71648429-covo.aspx" TargetMode="External" Id="rId38"/><Relationship Type="http://schemas.openxmlformats.org/officeDocument/2006/relationships/hyperlink" Target="https://www.coches.net/skoda-fabia-sedan-14-tdi-80cv-comfort-4p-diesel-2006-en-valencia-71619015-covo.aspx" TargetMode="External" Id="rId39"/><Relationship Type="http://schemas.openxmlformats.org/officeDocument/2006/relationships/hyperlink" Target="https://www.coches.net/seat-ibiza-19-tdi-100cv-sport-5p-diesel-2008-en-valencia-71867781-covo.aspx" TargetMode="External" Id="rId40"/><Relationship Type="http://schemas.openxmlformats.org/officeDocument/2006/relationships/hyperlink" Target="https://www.coches.net/volkswagen-polo-12-edition-70cv-5p-gasolina-2008-en-valencia-71866787-covo.aspx" TargetMode="External" Id="rId41"/><Relationship Type="http://schemas.openxmlformats.org/officeDocument/2006/relationships/hyperlink" Target="https://www.coches.net/opel-corsa-enjoy-12-5p-gasolina-2008-en-valencia-71806576-covo.aspx" TargetMode="External" Id="rId42"/><Relationship Type="http://schemas.openxmlformats.org/officeDocument/2006/relationships/hyperlink" Target="https://www.coches.net/opel-corsa-enjoy-12-3p-gasolina-2007-en-valencia-71790451-covo.aspx" TargetMode="External" Id="rId43"/><Relationship Type="http://schemas.openxmlformats.org/officeDocument/2006/relationships/hyperlink" Target="https://www.coches.net/opel-corsa-13-cdti-color-edition-3p-diesel-2012-en-valencia-71248981-covo.aspx" TargetMode="External" Id="rId44"/><Relationship Type="http://schemas.openxmlformats.org/officeDocument/2006/relationships/hyperlink" Target="https://es.wallapop.com/item/kia-picanto-1-1-active-48-kw-65-cv-1286345810" TargetMode="External" Id="rId45"/><Relationship Type="http://schemas.openxmlformats.org/officeDocument/2006/relationships/hyperlink" Target="https://es.wallapop.com/item/opel-corsa-1-2-111-years-63-kw-85-cv-1316246339" TargetMode="External" Id="rId46"/><Relationship Type="http://schemas.openxmlformats.org/officeDocument/2006/relationships/hyperlink" Target="https://es.wallapop.com/item/opel-astra-1-7-cdti-enjoy-74-kw-100-cv-1302134212" TargetMode="External" Id="rId47"/><Relationship Type="http://schemas.openxmlformats.org/officeDocument/2006/relationships/hyperlink" Target="https://es.wallapop.com/item/renault-clio-1-6-16v-exception2-auto-82-kw-110-cv-1314881088" TargetMode="External" Id="rId48"/><Relationship Type="http://schemas.openxmlformats.org/officeDocument/2006/relationships/hyperlink" Target="https://es.wallapop.com/item/renault-megane-sport-tourer-dynamique-dci-81-kw-110-cv-1283471685" TargetMode="External" Id="rId49"/><Relationship Type="http://schemas.openxmlformats.org/officeDocument/2006/relationships/hyperlink" Target="https://es.wallapop.com/item/fiat-punto-1-4-t-jet-sport-88-kw-120-cv-1305071192" TargetMode="External" Id="rId50"/><Relationship Type="http://schemas.openxmlformats.org/officeDocument/2006/relationships/hyperlink" Target="https://www.coches.net/opel-astra-13-cdti-111-years-gtc-3p-diesel-2011-en-valencia-71799024-covo.aspx" TargetMode="External" Id="rId51"/><Relationship Type="http://schemas.openxmlformats.org/officeDocument/2006/relationships/hyperlink" Target="https://www.coches.net/opel-astra-19-cdti-enjoy-120-cv-5p-diesel-2007-en-valencia-71599225-covo.aspx" TargetMode="External" Id="rId52"/><Relationship Type="http://schemas.openxmlformats.org/officeDocument/2006/relationships/hyperlink" Target="https://www.coches.net/opel-astra-14-enjoy-5p-gasolina-2006-en-valencia-71722524-covo.aspx" TargetMode="External" Id="rId53"/><Relationship Type="http://schemas.openxmlformats.org/officeDocument/2006/relationships/hyperlink" Target="https://www.coches.net/opel-astra-17-cdti-enjoy-sw-5p-diesel-2007-en-valencia-71241892-covo.aspx" TargetMode="External" Id="rId54"/><Relationship Type="http://schemas.openxmlformats.org/officeDocument/2006/relationships/hyperlink" Target="https://www.coches.net/opel-meriva-17-cdti-110-cv-cosmo-5p-diesel-2012-en-valencia-71555949-covo.aspx" TargetMode="External" Id="rId55"/><Relationship Type="http://schemas.openxmlformats.org/officeDocument/2006/relationships/hyperlink" Target="https://www.coches.net/renault-megane-coupecabrio-dynamique-16-16v-2p-gasolina-2007-en-valencia-71508169-covo.aspx" TargetMode="External" Id="rId56"/><Relationship Type="http://schemas.openxmlformats.org/officeDocument/2006/relationships/hyperlink" Target="https://www.coches.net/renault-megane-coupecabrio-dynamique-16-16v-2p-gasolina-2007-en-valencia-71662456-covo.aspx" TargetMode="External" Id="rId57"/><Relationship Type="http://schemas.openxmlformats.org/officeDocument/2006/relationships/hyperlink" Target="https://www.coches.net/renault-clio-grand-tour-tom-tom-ed-15dci-85cv-eco2-5p-diesel-2009-en-valencia-71813489-covo.aspx" TargetMode="External" Id="rId58"/><Relationship Type="http://schemas.openxmlformats.org/officeDocument/2006/relationships/hyperlink" Target="https://www.coches.net/renault-clio-expression-12-16v-5p-gasolina-2007-en-valencia-71693535-covo.aspx" TargetMode="External" Id="rId59"/><Relationship Type="http://schemas.openxmlformats.org/officeDocument/2006/relationships/hyperlink" Target="https://www.coches.net/renault-megane-business-dci-110-5p-diesel-2012-en-valencia-71684364-covo.aspx" TargetMode="External" Id="rId60"/><Relationship Type="http://schemas.openxmlformats.org/officeDocument/2006/relationships/hyperlink" Target="https://www.coches.net/renault-megane-dynamique-energy-dci-110-ss-eco2-3p-diesel-2012-en-valencia-71537820-covo.aspx" TargetMode="External" Id="rId61"/><Relationship Type="http://schemas.openxmlformats.org/officeDocument/2006/relationships/hyperlink" Target="https://www.coches.net/renault-megane-sport-tourer-dynamique-15dci-105cv-eco2-5p-diesel-2009-en-valencia-71783816-covo.aspx" TargetMode="External" Id="rId62"/><Relationship Type="http://schemas.openxmlformats.org/officeDocument/2006/relationships/hyperlink" Target="https://www.coches.net/renault-modus-confort-dynamique-14-16v-5p-gasolina-2006-en-valencia-70833355-covo.aspx" TargetMode="External" Id="rId63"/><Relationship Type="http://schemas.openxmlformats.org/officeDocument/2006/relationships/hyperlink" Target="https://www.coches.net/dacia-sandero-laureate-12-16v-75cv-5p-gasolina-2009-en-valencia-71749298-covo.aspx" TargetMode="External" Id="rId64"/><Relationship Type="http://schemas.openxmlformats.org/officeDocument/2006/relationships/hyperlink" Target="https://www.coches.net/peugeot-207-confort-14-vti-16v-95-5p-gasolina-2008-en-valencia-71858806-covo.aspx" TargetMode="External" Id="rId65"/><Relationship Type="http://schemas.openxmlformats.org/officeDocument/2006/relationships/hyperlink" Target="https://www.coches.net/peugeot-207-14-16v-xt-5p-gasolina-2006-en-valencia-71828437-covo.aspx" TargetMode="External" Id="rId66"/><Relationship Type="http://schemas.openxmlformats.org/officeDocument/2006/relationships/hyperlink" Target="https://www.coches.net/peugeot-207-confort-14-vti-16v-95-5p-gasolina-2008-en-valencia-71618681-covo.aspx" TargetMode="External" Id="rId67"/><Relationship Type="http://schemas.openxmlformats.org/officeDocument/2006/relationships/hyperlink" Target="https://www.coches.net/citroen-c3-picasso-hdi-110cv-fap-airdream-exclusive-5p-diesel-2009-en-valencia-71733143-covo.aspx" TargetMode="External" Id="rId68"/><Relationship Type="http://schemas.openxmlformats.org/officeDocument/2006/relationships/hyperlink" Target="https://www.coches.net/citroen-c3-hdi-70-attraction-5p-diesel-2011-en-valencia-71041894-covo.aspx" TargetMode="External" Id="rId69"/><Relationship Type="http://schemas.openxmlformats.org/officeDocument/2006/relationships/hyperlink" Target="https://www.coches.net/citroen-c3-ehdi-115-exclusive-5p-diesel-2013-en-valencia-71039872-covo.aspx" TargetMode="External" Id="rId70"/><Relationship Type="http://schemas.openxmlformats.org/officeDocument/2006/relationships/hyperlink" Target="https://www.coches.net/citroen-c-elysee-hdi-90cv-millenium-4p-diesel-2014-en-valencia-71818180-covo.aspx" TargetMode="External" Id="rId71"/><Relationship Type="http://schemas.openxmlformats.org/officeDocument/2006/relationships/hyperlink" Target="https://www.coches.net/ford-fiesta-14-tdci-trend-5p-diesel-2010-en-valencia-71618923-covo.aspx" TargetMode="External" Id="rId72"/><Relationship Type="http://schemas.openxmlformats.org/officeDocument/2006/relationships/hyperlink" Target="https://www.coches.net/ford-focus-18-tdci-trend-5p-diesel-2007-en-valencia-71863788-covo.aspx" TargetMode="External" Id="rId73"/><Relationship Type="http://schemas.openxmlformats.org/officeDocument/2006/relationships/hyperlink" Target="https://www.coches.net/ford-ka-trend-12-duratec-autostartstop-3p-gasolina-2015-en-valencia-71847203-covo.aspx" TargetMode="External" Id="rId74"/><Relationship Type="http://schemas.openxmlformats.org/officeDocument/2006/relationships/hyperlink" Target="https://www.coches.net/ford-fiesta-13-newport-5p-gasolina-2006-en-valencia-71841456-covo.aspx" TargetMode="External" Id="rId75"/><Relationship Type="http://schemas.openxmlformats.org/officeDocument/2006/relationships/hyperlink" Target="https://www.coches.net/ford-fiesta-14-tdci-trend-5p-diesel-2012-en-valencia-71654849-covo.aspx" TargetMode="External" Id="rId76"/><Relationship Type="http://schemas.openxmlformats.org/officeDocument/2006/relationships/hyperlink" Target="https://www.coches.net/ford-fiesta-14-tdci-trend-5p-diesel-2011-en-valencia-71021675-covo.aspx" TargetMode="External" Id="rId77"/><Relationship Type="http://schemas.openxmlformats.org/officeDocument/2006/relationships/hyperlink" Target="https://www.coches.net/ford-fiesta-14-tdci-ghia-5p-diesel-2009-en-valencia-71579775-covo.aspx" TargetMode="External" Id="rId78"/><Relationship Type="http://schemas.openxmlformats.org/officeDocument/2006/relationships/hyperlink" Target="https://www.coches.net/ford-focus-18-tdci-ghia-4p-diesel-2007-en-valencia-71753984-covo.aspx" TargetMode="External" Id="rId79"/><Relationship Type="http://schemas.openxmlformats.org/officeDocument/2006/relationships/hyperlink" Target="https://www.coches.net/ford-focus-18-tdci-ghia-5p-diesel-2007-en-valencia-71021526-covo.aspx" TargetMode="External" Id="rId80"/><Relationship Type="http://schemas.openxmlformats.org/officeDocument/2006/relationships/hyperlink" Target="https://www.coches.net/ford-fusion-14-tdci-ambiente-5p-diesel-2009-en-valencia-71793171-covo.aspx" TargetMode="External" Id="rId81"/><Relationship Type="http://schemas.openxmlformats.org/officeDocument/2006/relationships/hyperlink" Target="https://www.coches.net/fiat-linea-14-16v-tjet-120cv-dynamic-4p-gasolina-2007-en-valencia-70514152-covo.aspx" TargetMode="External" Id="rId82"/><Relationship Type="http://schemas.openxmlformats.org/officeDocument/2006/relationships/hyperlink" Target="https://www.coches.net/fiat-500-12-8v-69-cv-lounge-3p-gasolina-2014-en-valencia-62365434-covo.aspx" TargetMode="External" Id="rId83"/><Relationship Type="http://schemas.openxmlformats.org/officeDocument/2006/relationships/hyperlink" Target="https://www.coches.net/nissan-pixo-5p-10g-68cv-acenta-pack-safety-5p-gasolina-2011-en-valencia-71849245-covo.aspx" TargetMode="External" Id="rId84"/><Relationship Type="http://schemas.openxmlformats.org/officeDocument/2006/relationships/hyperlink" Target="https://www.coches.net/suzuki-alto-10-gl-5p-gasolina-2009-en-valencia-71530109-covo.aspx" TargetMode="External" Id="rId85"/><Relationship Type="http://schemas.openxmlformats.org/officeDocument/2006/relationships/hyperlink" Target="https://www.coches.net/mini-mini-one-3p-gasolina-2009-en-valencia-71332504-covo.aspx" TargetMode="External" Id="rId86"/><Relationship Type="http://schemas.openxmlformats.org/officeDocument/2006/relationships/hyperlink" Target="https://www.coches.net/chevrolet-aveo-12-16v-ls-5p-gasolina-2010-en-valencia-71527060-covo.aspx" TargetMode="External" Id="rId87"/><Relationship Type="http://schemas.openxmlformats.org/officeDocument/2006/relationships/hyperlink" Target="https://www.coches.net/chevrolet-cruze-20-vcdi-lt-5p-diesel-2013-en-valencia-71786529-covo.aspx" TargetMode="External" Id="rId88"/><Relationship Type="http://schemas.openxmlformats.org/officeDocument/2006/relationships/hyperlink" Target="https://www.coches.net/chevrolet-kalos-14-16v-sx-5p-gasolina-2007-en-valencia-71757437-covo.aspx" TargetMode="External" Id="rId89"/><Relationship Type="http://schemas.openxmlformats.org/officeDocument/2006/relationships/hyperlink" Target="https://www.coches.net/chevrolet-aveo-12-ls-5p-gasolina-2012-en-valencia-71574866-covo.aspx" TargetMode="External" Id="rId90"/><Relationship Type="http://schemas.openxmlformats.org/officeDocument/2006/relationships/hyperlink" Target="https://www.coches.net/chevrolet-epica-20-vcdi-16v-lt-4p-diesel-2008-en-valencia-71536876-covo.aspx" TargetMode="External" Id="rId91"/><Relationship Type="http://schemas.openxmlformats.org/officeDocument/2006/relationships/hyperlink" Target="https://www.coches.net/seat-ibiza-19-tdi-100cv-hit-5p-diesel-2007-en-castellon-62641273-covo.aspx" TargetMode="External" Id="rId92"/><Relationship Type="http://schemas.openxmlformats.org/officeDocument/2006/relationships/hyperlink" Target="https://www.coches.net/opel-corsa-enjoy-12-5p-gasolina-2008-en-castellon-71526255-covo.aspx" TargetMode="External" Id="rId93"/><Relationship Type="http://schemas.openxmlformats.org/officeDocument/2006/relationships/hyperlink" Target="https://www.coches.net/renault-twingo-authentique-12-eco2-3p-gasolina-2008-en-castellon-70895846-covo.aspx" TargetMode="External" Id="rId94"/><Relationship Type="http://schemas.openxmlformats.org/officeDocument/2006/relationships/hyperlink" Target="https://www.coches.net/peugeot-207-confort-14-vti-16v-95-5p-gasolina-2009-en-castellon-71576158-covo.aspx" TargetMode="External" Id="rId95"/><Relationship Type="http://schemas.openxmlformats.org/officeDocument/2006/relationships/hyperlink" Target="https://www.coches.net/fiat-500-09-turbo-twinair-85cv-blackjack-3p-gasolina-2007-en-castellon-70833137-covo.aspx" TargetMode="External" Id="rId96"/><Relationship Type="http://schemas.openxmlformats.org/officeDocument/2006/relationships/hyperlink" Target="https://www.coches.net/smart-forfour-15-cdi-68cv-pure-5p-diesel-2006-en-castellon-70558216-covo.aspx" TargetMode="External" Id="rId97"/><Relationship Type="http://schemas.openxmlformats.org/officeDocument/2006/relationships/hyperlink" Target="https://www.coches.net/chevrolet-aveo-12-16v-ls-5p-gasolina-2011-en-castellon-71789822-covo.aspx" TargetMode="External" Id="rId98"/><Relationship Type="http://schemas.openxmlformats.org/officeDocument/2006/relationships/hyperlink" Target="https://www.coches.net/chevrolet-matiz-10-s-5p-gasolina-2006-en-castellon-71686041-covo.aspx" TargetMode="External" Id="rId99"/><Relationship Type="http://schemas.openxmlformats.org/officeDocument/2006/relationships/hyperlink" Target="https://www.coches.net/chevrolet-kalos-12-se-3p-gasolina-2006-en-castellon-71319739-covo.aspx" TargetMode="External" Id="rId10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Y101"/>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30" customWidth="1" min="52" max="52"/>
    <col width="40" customWidth="1" min="53" max="53"/>
    <col width="60" customWidth="1" min="54" max="54"/>
    <col width="30"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Año en URL/título distinto (a confirmar)</t>
        </is>
      </c>
      <c r="AU1" s="1" t="inlineStr">
        <is>
          <t>Etiqueta dudosa por año</t>
        </is>
      </c>
      <c r="AV1" s="1" t="inlineStr">
        <is>
          <t>Caja robotizada</t>
        </is>
      </c>
      <c r="AW1" s="1" t="inlineStr">
        <is>
          <t>Mediana de mercado del segmento (€)</t>
        </is>
      </c>
      <c r="AX1" s="1" t="inlineStr">
        <is>
          <t>N mercado</t>
        </is>
      </c>
      <c r="AY1" s="1" t="inlineStr">
        <is>
          <t>Nivel mediana mercado</t>
        </is>
      </c>
      <c r="AZ1" s="1" t="inlineStr">
        <is>
          <t>Duplicados fusionados</t>
        </is>
      </c>
      <c r="BA1" s="1" t="inlineStr">
        <is>
          <t>Avisos</t>
        </is>
      </c>
      <c r="BB1" s="1" t="inlineStr">
        <is>
          <t>Descripción</t>
        </is>
      </c>
      <c r="BC1" s="1" t="inlineStr">
        <is>
          <t>Fuente (fichero /raw)</t>
        </is>
      </c>
      <c r="BD1" s="1" t="inlineStr">
        <is>
          <t>Edad (años)</t>
        </is>
      </c>
      <c r="BE1" s="1" t="inlineStr">
        <is>
          <t>Km/año</t>
        </is>
      </c>
      <c r="BF1" s="1" t="inlineStr">
        <is>
          <t>Seg. modelo</t>
        </is>
      </c>
      <c r="BG1" s="1" t="inlineStr">
        <is>
          <t>Seg. modelo+año</t>
        </is>
      </c>
      <c r="BH1" s="1" t="inlineStr">
        <is>
          <t>Seg. modelo+año+km</t>
        </is>
      </c>
      <c r="BI1" s="1" t="inlineStr">
        <is>
          <t>N modelo</t>
        </is>
      </c>
      <c r="BJ1" s="1" t="inlineStr">
        <is>
          <t>N modelo+año</t>
        </is>
      </c>
      <c r="BK1" s="1" t="inlineStr">
        <is>
          <t>N modelo+año+km</t>
        </is>
      </c>
      <c r="BL1" s="1" t="inlineStr">
        <is>
          <t>Mediana segmento (€)</t>
        </is>
      </c>
      <c r="BM1" s="1" t="inlineStr">
        <is>
          <t>Nivel mediana</t>
        </is>
      </c>
      <c r="BN1" s="1" t="inlineStr">
        <is>
          <t>Descuento vs mediana</t>
        </is>
      </c>
      <c r="BO1" s="1" t="inlineStr">
        <is>
          <t>Año frontera (1/0)</t>
        </is>
      </c>
      <c r="BP1" s="1" t="inlineStr">
        <is>
          <t>Año anterior frontera (1/0)</t>
        </is>
      </c>
      <c r="BQ1" s="1" t="inlineStr">
        <is>
          <t>AAAAMM para la regla</t>
        </is>
      </c>
      <c r="BR1" s="1" t="inlineStr">
        <is>
          <t>Etiqueta por regla</t>
        </is>
      </c>
      <c r="BS1" s="1" t="inlineStr">
        <is>
          <t>ETIQUETA</t>
        </is>
      </c>
      <c r="BT1" s="1" t="inlineStr">
        <is>
          <t>Etiqueta dudosa</t>
        </is>
      </c>
      <c r="BU1" s="1" t="inlineStr">
        <is>
          <t>Fiab. base modelo</t>
        </is>
      </c>
      <c r="BV1" s="1" t="inlineStr">
        <is>
          <t>Ajuste motor</t>
        </is>
      </c>
      <c r="BW1" s="1" t="inlineStr">
        <is>
          <t>Ajuste combustible</t>
        </is>
      </c>
      <c r="BX1" s="1" t="inlineStr">
        <is>
          <t>Motor con fuente (nº entradas)</t>
        </is>
      </c>
      <c r="BY1" s="1" t="inlineStr">
        <is>
          <t>Fiab. base aplicada</t>
        </is>
      </c>
      <c r="BZ1" s="1" t="inlineStr">
        <is>
          <t>P. Fiabilidad</t>
        </is>
      </c>
      <c r="CA1" s="1" t="inlineStr">
        <is>
          <t>Tope nota precio por km</t>
        </is>
      </c>
      <c r="CB1" s="1" t="inlineStr">
        <is>
          <t>P. Precio</t>
        </is>
      </c>
      <c r="CC1" s="1" t="inlineStr">
        <is>
          <t>P. km totales</t>
        </is>
      </c>
      <c r="CD1" s="1" t="inlineStr">
        <is>
          <t>P. km/año</t>
        </is>
      </c>
      <c r="CE1" s="1" t="inlineStr">
        <is>
          <t>P. edad</t>
        </is>
      </c>
      <c r="CF1" s="1" t="inlineStr">
        <is>
          <t>P. Km y edad</t>
        </is>
      </c>
      <c r="CG1" s="1" t="inlineStr">
        <is>
          <t>P. Anuncio</t>
        </is>
      </c>
      <c r="CH1" s="1" t="inlineStr">
        <is>
          <t>P. Etiqueta y ZBE</t>
        </is>
      </c>
      <c r="CI1" s="1" t="inlineStr">
        <is>
          <t>P. consumo (PENDIENTE)</t>
        </is>
      </c>
      <c r="CJ1" s="1" t="inlineStr">
        <is>
          <t>Seguro estimado €/año (aprox.)</t>
        </is>
      </c>
      <c r="CK1" s="1" t="inlineStr">
        <is>
          <t>P. seguro</t>
        </is>
      </c>
      <c r="CL1" s="1" t="inlineStr">
        <is>
          <t>P. Coste uso</t>
        </is>
      </c>
      <c r="CM1" s="1" t="inlineStr">
        <is>
          <t>Garantía efectiva (meses)</t>
        </is>
      </c>
      <c r="CN1" s="1" t="inlineStr">
        <is>
          <t>P. Seguridad compra</t>
        </is>
      </c>
      <c r="CO1" s="1" t="inlineStr">
        <is>
          <t>Penalización carrocería (puntos)</t>
        </is>
      </c>
      <c r="CP1" s="1" t="inlineStr">
        <is>
          <t>PUNTUACIÓN</t>
        </is>
      </c>
      <c r="CQ1" s="1" t="inlineStr">
        <is>
          <t>cc para ITP</t>
        </is>
      </c>
      <c r="CR1" s="1" t="inlineStr">
        <is>
          <t>ITP (€)</t>
        </is>
      </c>
      <c r="CS1" s="1" t="inlineStr">
        <is>
          <t>Gastos vendedor en coste (€)</t>
        </is>
      </c>
      <c r="CT1" s="1" t="inlineStr">
        <is>
          <t>Tasa DGT (€)</t>
        </is>
      </c>
      <c r="CU1" s="1" t="inlineStr">
        <is>
          <t>Informe DGT (€)</t>
        </is>
      </c>
      <c r="CV1" s="1" t="inlineStr">
        <is>
          <t>COSTE TOTAL (€)</t>
        </is>
      </c>
      <c r="CW1" s="1" t="inlineStr">
        <is>
          <t>Coste 1er año con seguro (€)</t>
        </is>
      </c>
      <c r="CX1" s="1" t="inlineStr">
        <is>
          <t>Presupuesto (sí / negociar / no)</t>
        </is>
      </c>
      <c r="CY1" s="1" t="inlineStr">
        <is>
          <t>Puesto</t>
        </is>
      </c>
    </row>
    <row r="2">
      <c r="A2" s="2" t="inlineStr">
        <is>
          <t>ocasionplus:b9f8hqaq</t>
        </is>
      </c>
      <c r="B2" s="2" t="inlineStr">
        <is>
          <t>ocasionplus</t>
        </is>
      </c>
      <c r="C2" s="2" t="inlineStr">
        <is>
          <t>https://www.ocasionplus.com/coches-segunda-mano/opel-astra-17-cdti-edition-con-174458km-2009-b9f8hqaq</t>
        </is>
      </c>
      <c r="D2" s="2" t="inlineStr">
        <is>
          <t>Opel Astra 1.7 CDTI Edition (110 CV)</t>
        </is>
      </c>
      <c r="E2" s="2" t="inlineStr">
        <is>
          <t>Opel</t>
        </is>
      </c>
      <c r="F2" s="2" t="inlineStr">
        <is>
          <t>Opel Astra</t>
        </is>
      </c>
      <c r="G2" s="2" t="inlineStr">
        <is>
          <t>1.7 CDTi</t>
        </is>
      </c>
      <c r="H2" s="2" t="inlineStr">
        <is>
          <t>Opel Astra 1.7 CDTI Edition (110 CV)</t>
        </is>
      </c>
      <c r="I2" s="2" t="n">
        <v>1686</v>
      </c>
      <c r="J2" s="2" t="n">
        <v>110</v>
      </c>
      <c r="K2" s="2" t="inlineStr">
        <is>
          <t>diesel</t>
        </is>
      </c>
      <c r="L2" s="2" t="inlineStr">
        <is>
          <t>compacto</t>
        </is>
      </c>
      <c r="M2" s="2" t="n">
        <v>2009</v>
      </c>
      <c r="N2" s="2" t="n">
        <v>174458</v>
      </c>
      <c r="O2" s="2" t="n">
        <v>4480</v>
      </c>
      <c r="P2" s="2" t="inlineStr">
        <is>
          <t>manual</t>
        </is>
      </c>
      <c r="Q2" s="2" t="inlineStr">
        <is>
          <t>no</t>
        </is>
      </c>
      <c r="R2" s="2" t="inlineStr">
        <is>
          <t>profesional</t>
        </is>
      </c>
      <c r="S2" s="2" t="inlineStr">
        <is>
          <t>Valencia - Gandía (Gandía, 46702)</t>
        </is>
      </c>
      <c r="T2" s="2" t="inlineStr">
        <is>
          <t>2026-10-27T00:00:00.000Z</t>
        </is>
      </c>
      <c r="U2" s="2" t="n">
        <v>103</v>
      </c>
      <c r="V2" s="2" t="inlineStr">
        <is>
          <t>sí</t>
        </is>
      </c>
      <c r="W2" s="2" t="inlineStr">
        <is>
          <t>sí</t>
        </is>
      </c>
      <c r="X2" s="2" t="n"/>
      <c r="Y2" s="2" t="n">
        <v>1</v>
      </c>
      <c r="Z2" s="2" t="inlineStr">
        <is>
          <t>sí</t>
        </is>
      </c>
      <c r="AA2" s="2" t="n"/>
      <c r="AB2" s="2" t="n">
        <v>12</v>
      </c>
      <c r="AC2" s="2" t="inlineStr">
        <is>
          <t>sí</t>
        </is>
      </c>
      <c r="AD2" s="2" t="n">
        <v>600</v>
      </c>
      <c r="AE2" s="2" t="n">
        <v>200</v>
      </c>
      <c r="AF2" s="2" t="inlineStr">
        <is>
          <t>sí</t>
        </is>
      </c>
      <c r="AG2" s="2" t="n"/>
      <c r="AH2" s="2" t="n">
        <v>4480</v>
      </c>
      <c r="AI2" s="2" t="n">
        <v>4480</v>
      </c>
      <c r="AJ2" s="2" t="inlineStr">
        <is>
          <t>no</t>
        </is>
      </c>
      <c r="AK2" s="2" t="n">
        <v>350</v>
      </c>
      <c r="AL2" s="2" t="inlineStr">
        <is>
          <t>sí</t>
        </is>
      </c>
      <c r="AM2" s="2" t="n">
        <v>58.4</v>
      </c>
      <c r="AN2" s="2" t="inlineStr">
        <is>
          <t>8611GSH</t>
        </is>
      </c>
      <c r="AO2" s="2" t="inlineStr">
        <is>
          <t>2009-12-16</t>
        </is>
      </c>
      <c r="AP2" s="2" t="n">
        <v>2009</v>
      </c>
      <c r="AQ2" s="2" t="n">
        <v>12</v>
      </c>
      <c r="AR2" s="2" t="inlineStr">
        <is>
          <t>B</t>
        </is>
      </c>
      <c r="AS2" s="2" t="inlineStr">
        <is>
          <t>DGT</t>
        </is>
      </c>
      <c r="AT2" s="2" t="n"/>
      <c r="AU2" s="2" t="inlineStr">
        <is>
          <t>no</t>
        </is>
      </c>
      <c r="AV2" s="2" t="inlineStr">
        <is>
          <t>no</t>
        </is>
      </c>
      <c r="AW2" s="2" t="n">
        <v>4300</v>
      </c>
      <c r="AX2" s="2" t="n">
        <v>17</v>
      </c>
      <c r="AY2" s="2" t="inlineStr">
        <is>
          <t>modelo+año+km</t>
        </is>
      </c>
      <c r="AZ2" s="2" t="inlineStr">
        <is>
          <t>cochesnet:71847920 (https://www.coches.net/opel-astra-17-cdti-edition-5p-diesel-2010-en-valencia-71847920-covo.aspx); autoscout24:30a773f6-bab7-4317-b641-5999a4e84b1e (https://www.autoscout24.es/anuncios/opel-astra-1-7cdti-edition-110-diesel-negro-cat_ma54mo1916-30a773f6-bab7-4317-b641-5999a4e84b1e); wallapop:1317875143 (https://es.wallapop.com/item/opel-astra-1-7-cdti-edition-81-kw-110-cv-1317875143)</t>
        </is>
      </c>
      <c r="BA2" s="2" t="inlineStr">
        <is>
          <t>vendedor profesional: sin ITP (operación con IVA/REBU, confirmar en factura); diésel: motor sin fuente de fiabilidad (fiabilidad limitada a neutra); revisar: no menciona la ITV</t>
        </is>
      </c>
      <c r="BB2" s="2" t="inlineStr">
        <is>
          <t>Opel Astra 1.7 CDTI Edition (110 CV)</t>
        </is>
      </c>
      <c r="BC2" s="2" t="inlineStr">
        <is>
          <t>https://www.ocasionplus.com/coches-segunda-mano/opel-astra-17-cdti-edition-con-174458km-2009-b9f8hqaq (payload RSC 'vehicle') /home/user/Alopecia/buscador-coches/raw/ocasionplus/ca754db5993f1a49.json</t>
        </is>
      </c>
      <c r="BD2" s="3">
        <f>MAX(ANIO_ACTUAL-M2,0)</f>
        <v/>
      </c>
      <c r="BE2" s="4">
        <f>N2/MAX(BD2,0.5)</f>
        <v/>
      </c>
      <c r="BF2" s="4">
        <f>F2</f>
        <v/>
      </c>
      <c r="BG2" s="3">
        <f>BF2&amp;"|"&amp;INT(M2/SEG_ANIO)*SEG_ANIO</f>
        <v/>
      </c>
      <c r="BH2" s="3">
        <f>BG2&amp;"|"&amp;INT(N2/SEG_KM)*SEG_KM</f>
        <v/>
      </c>
      <c r="BI2" s="4">
        <f>COUNTIF($BF$2:$BF$101,BF2)</f>
        <v/>
      </c>
      <c r="BJ2" s="4">
        <f>COUNTIF($BG$2:$BG$101,BG2)</f>
        <v/>
      </c>
      <c r="BK2" s="4">
        <f>COUNTIF($BH$2:$BH$101,BH2)</f>
        <v/>
      </c>
      <c r="BL2" s="3">
        <f t="array" ref="BL2">IF(N(AX2)&gt;=MIN_N,AW2,IF(BK2&gt;=MIN_N,MEDIAN(IF($BH$2:$BH$101=BH2,$O$2:$O$101)),IF(BJ2&gt;=MIN_N,MEDIAN(IF($BG$2:$BG$101=BG2,$O$2:$O$101)),MEDIAN(IF($BF$2:$BF$101=BF2,$O$2:$O$101)))))</f>
        <v/>
      </c>
      <c r="BM2" s="3">
        <f>IF(N(AX2)&gt;=MIN_N,"mercado "&amp;AY2,IF(BK2&gt;=MIN_N,"modelo+año+km",IF(BJ2&gt;=MIN_N,"modelo+año","modelo")))</f>
        <v/>
      </c>
      <c r="BN2" s="4">
        <f>(BL2-O2)/BL2</f>
        <v/>
      </c>
      <c r="BO2" s="3">
        <f>IF(COUNTIFS(FR_FUEL,K2,FR_YEAR,AP2)&gt;0,1,0)</f>
        <v/>
      </c>
      <c r="BP2" s="3">
        <f>IF(COUNTIFS(FR_FUEL,K2,FR_YEAR,AP2-1)&gt;0,1,0)</f>
        <v/>
      </c>
      <c r="BQ2" s="4">
        <f>IF(N(AQ2)&gt;0,AP2*100+AQ2,IF(AND(BO2=1,BP2=1),(AP2-1)*100+1,AP2*100+1))</f>
        <v/>
      </c>
      <c r="BR2" s="3">
        <f>IF(OR(K2="hibrido",K2="glp",K2="gnc",K2="phev"),"ECO",IF(K2="electrico","CERO",IF(K2="gasolina",IF(BQ2&gt;=GAS_C_YM,"C",IF(BQ2&gt;=GAS_B_YM,"B","A")),IF(K2="diesel",IF(BQ2&gt;=DIE_C_YM,"C",IF(BQ2&gt;=DIE_B_YM,"B","A")),""))))</f>
        <v/>
      </c>
      <c r="BS2" s="2" t="inlineStr">
        <is>
          <t>B</t>
        </is>
      </c>
      <c r="BT2" s="4">
        <f>IF(AU2="sí","sí",IF(AS2="regla",IF(AND(N(AQ2)=0,BO2=1),"sí","no"),"no"))</f>
        <v/>
      </c>
      <c r="BU2" s="3">
        <f>IFERROR(VLOOKUP(F2,MOD_TBL,16,0),IFERROR(VLOOKUP(E2,OCU_TBL,2,0),NEUTRO))</f>
        <v/>
      </c>
      <c r="BV2" s="3">
        <f>SUMIFS(MOT_AJUSTE,MOT_MOTOR,G2,MOT_MARCA,E2,MOT_DESDE,"&lt;="&amp;M2,MOT_HASTA,"&gt;="&amp;M2)+SUMIFS(MOT_AJUSTE,MOT_MOTOR,G2,MOT_MARCA,"(todas)",MOT_DESDE,"&lt;="&amp;M2,MOT_HASTA,"&gt;="&amp;M2)+SUMIFS(MOT_AJUSTE,MOT_MOTOR,"(cualquiera)",MOT_MARCA,E2,MOT_DESDE,"&lt;="&amp;M2,MOT_HASTA,"&gt;="&amp;M2)</f>
        <v/>
      </c>
      <c r="BW2" s="3">
        <f>SUMIFS(COMB_AJUSTE,COMB_COMB,K2)</f>
        <v/>
      </c>
      <c r="BX2" s="3">
        <f>COUNTIFS(MOT_MOTOR,G2,MOT_MARCA,E2,MOT_DESDE,"&lt;="&amp;M2,MOT_HASTA,"&gt;="&amp;M2)+COUNTIFS(MOT_MOTOR,G2,MOT_MARCA,"(todas)",MOT_DESDE,"&lt;="&amp;M2,MOT_HASTA,"&gt;="&amp;M2)+COUNTIFS(MOT_MOTOR,"(cualquiera)",MOT_MARCA,E2,MOT_DESDE,"&lt;="&amp;M2,MOT_HASTA,"&gt;="&amp;M2)</f>
        <v/>
      </c>
      <c r="BY2" s="3">
        <f>IF(AND(K2="diesel",BX2=0),MIN(BU2,NEUTRO),BU2)</f>
        <v/>
      </c>
      <c r="BZ2" s="3">
        <f>MAX(0,MIN(100,BY2+BV2+BW2-IF(AV2="sí",ROB_PEN,0)))</f>
        <v/>
      </c>
      <c r="CA2" s="3">
        <f>100-MAX(0,N2-KM_TOPE_DESDE)/1000*KM_TOPE_PTS</f>
        <v/>
      </c>
      <c r="CB2" s="3">
        <f>MAX(0,MIN(100,50+BN2*PRECIO_PEND,CA2))</f>
        <v/>
      </c>
      <c r="CC2" s="3">
        <f>MAX(0,100*(1-N2/KM_MAX))</f>
        <v/>
      </c>
      <c r="CD2" s="3">
        <f>IF(BE2&lt;KMA_SOSP,IF(AA2="sí",100,KMA_PEN),IF(BE2&lt;=KMA_IDEAL_MAX,100,MAX(0,100*(KMA_CERO-BE2)/(KMA_CERO-KMA_IDEAL_MAX))))</f>
        <v/>
      </c>
      <c r="CE2" s="3">
        <f>MAX(0,MIN(100,100*(M2-ANIO_MIN)/(ANIO_ACTUAL-ANIO_MIN)))</f>
        <v/>
      </c>
      <c r="CF2" s="3">
        <f>W_KMT*CC2+W_KMA*CD2+W_EDAD*CE2</f>
        <v/>
      </c>
      <c r="CG2" s="3">
        <f>P_ITV*(V2="sí")+P_LIBRO*(W2="sí")+P_CORREA*(X2="sí")+P_PROP*(Y2=1)+P_GAR*(Z2="sí")+P_FOTOS*MIN(1,N(U2)/FOTOS_OBJ)</f>
        <v/>
      </c>
      <c r="CH2" s="3">
        <f>MAX(0,MIN(100,IFERROR(VLOOKUP(BS2,ETQ_TBL,2,0),0)-IF(BT2="sí",ETQ_PEN_DUD,IF(AS2="regla",ETQ_PEN_REGLA,0))))</f>
        <v/>
      </c>
      <c r="CI2" s="3">
        <f>NEUTRO</f>
        <v/>
      </c>
      <c r="CJ2" s="3">
        <f>IFERROR(VLOOKUP(L2,SEGURO_TBL,3,0),"")</f>
        <v/>
      </c>
      <c r="CK2" s="3">
        <f>IF(CJ2="",NEUTRO,MAX(0,MIN(100,100*(SEG_REF_MAX-CJ2)/(SEG_REF_MAX-SEG_REF_MIN))))</f>
        <v/>
      </c>
      <c r="CL2" s="3">
        <f>W_CONS*CI2+W_SEG*CK2</f>
        <v/>
      </c>
      <c r="CM2" s="3">
        <f>IF(N(AB2)&gt;0,AB2,IF(AND(R2="profesional",SG_LEGAL_ON=1),GAR_LEGAL,0))</f>
        <v/>
      </c>
      <c r="CN2" s="3">
        <f>SG_GAR*MIN(1,CM2/SG_GAR_FULL)+SG_AMPL*(AC2="sí")+SG_KMC*(AF2="sí")+SG_REV*(N(AE2)&gt;0)+SG_DEV*MIN(1,N(AG2)/SG_DEV_FULL)+SG_HIST*(W2="sí")</f>
        <v/>
      </c>
      <c r="CO2" s="3">
        <f>IFERROR(VLOOKUP(L2,CARR_PEN_TBL,2,0),0)</f>
        <v/>
      </c>
      <c r="CP2" s="3">
        <f>W_FIAB*BZ2+W_PRECIO*CB2+W_KMEDAD*CF2+W_ANUNCIO*CG2+W_USO*CL2+W_SEGURIDAD*CN2+W_ETIQUETA*CH2-CO2</f>
        <v/>
      </c>
      <c r="CQ2" s="4">
        <f>IF(N(I2)&gt;0,I2,IFERROR(ROUND(_xlfn.NUMBERVALUE(LEFT(G2,FIND(" ",G2&amp;" ")-1),".")*1000,0),99999))</f>
        <v/>
      </c>
      <c r="CR2" s="3">
        <f>IF(R2="profesional",0,IF(O2&lt;CUOTA_VALOR_MAX,IF(BD2&gt;ITP_TRAMO_ALTO,SUMIFS(CF_CUOTA,CF_MAS,ITP_TRAMO_ALTO,CF_CCMIN,"&lt;="&amp;CQ2,CF_CCMAX,"&gt;="&amp;CQ2),IF(BD2&gt;ITP_TRAMO_BAJO,SUMIFS(CF_CUOTA,CF_MAS,ITP_TRAMO_BAJO,CF_CCMIN,"&lt;="&amp;CQ2,CF_CCMAX,"&gt;="&amp;CQ2),O2*ITP_TIPO)),O2*ITP_TIPO))</f>
        <v/>
      </c>
      <c r="CS2" s="4">
        <f>IF(R2="profesional",N(AK2),0)</f>
        <v/>
      </c>
      <c r="CT2" s="3">
        <f>IF(AND(R2="profesional",ISNUMBER(AK2),AL2="sí"),0,TASA_DGT)</f>
        <v/>
      </c>
      <c r="CU2" s="3">
        <f>INFORME_DGT</f>
        <v/>
      </c>
      <c r="CV2" s="4">
        <f>O2+CS2+CR2+CT2+CU2</f>
        <v/>
      </c>
      <c r="CW2" s="4">
        <f>CV2+N(CJ2)</f>
        <v/>
      </c>
      <c r="CX2" s="3">
        <f>IF(CV2&lt;=TOTAL_MAX,"sí",IF(CV2&lt;=TOTAL_MAX+MARGEN_NEG,"negociar","no"))</f>
        <v/>
      </c>
      <c r="CY2" s="4">
        <f>IF(CX2&lt;&gt;"no",COUNTIFS($CX$2:$CX$101,"&lt;&gt;no",$CP$2:$CP$101,"&gt;"&amp;CP2)+COUNTIFS($CX$2:CX2,"&lt;&gt;no",$CP$2:CP2,CP2),"")</f>
        <v/>
      </c>
    </row>
    <row r="3">
      <c r="A3" s="2" t="inlineStr">
        <is>
          <t>ocasionplus:b9auzqaa</t>
        </is>
      </c>
      <c r="B3" s="2" t="inlineStr">
        <is>
          <t>ocasionplus</t>
        </is>
      </c>
      <c r="C3" s="2" t="inlineStr">
        <is>
          <t>https://www.ocasionplus.com/coches-segunda-mano/peugeot-207-14-confort-con-116183km-2008-b9auzqaa</t>
        </is>
      </c>
      <c r="D3" s="2" t="inlineStr">
        <is>
          <t>Peugeot 207 1.4 Confort (75 CV)</t>
        </is>
      </c>
      <c r="E3" s="2" t="inlineStr">
        <is>
          <t>Peugeot</t>
        </is>
      </c>
      <c r="F3" s="2" t="inlineStr">
        <is>
          <t>Peugeot 207</t>
        </is>
      </c>
      <c r="G3" s="2" t="inlineStr">
        <is>
          <t>1.4</t>
        </is>
      </c>
      <c r="H3" s="2" t="inlineStr">
        <is>
          <t>Peugeot 207 1.4 Confort (75 CV)</t>
        </is>
      </c>
      <c r="I3" s="2" t="n">
        <v>1360</v>
      </c>
      <c r="J3" s="2" t="n">
        <v>75</v>
      </c>
      <c r="K3" s="2" t="inlineStr">
        <is>
          <t>gasolina</t>
        </is>
      </c>
      <c r="L3" s="2" t="inlineStr">
        <is>
          <t>utilitario</t>
        </is>
      </c>
      <c r="M3" s="2" t="n">
        <v>2008</v>
      </c>
      <c r="N3" s="2" t="n">
        <v>116183</v>
      </c>
      <c r="O3" s="2" t="n">
        <v>2900</v>
      </c>
      <c r="P3" s="2" t="inlineStr">
        <is>
          <t>manual</t>
        </is>
      </c>
      <c r="Q3" s="2" t="inlineStr">
        <is>
          <t>no</t>
        </is>
      </c>
      <c r="R3" s="2" t="inlineStr">
        <is>
          <t>profesional</t>
        </is>
      </c>
      <c r="S3" s="2" t="inlineStr">
        <is>
          <t>Valencia - Sagunto (Sagunto, 46500)</t>
        </is>
      </c>
      <c r="T3" s="2" t="inlineStr">
        <is>
          <t>2026-10-27T00:00:00.000Z</t>
        </is>
      </c>
      <c r="U3" s="2" t="n">
        <v>25</v>
      </c>
      <c r="V3" s="2" t="inlineStr">
        <is>
          <t>sí</t>
        </is>
      </c>
      <c r="W3" s="2" t="n"/>
      <c r="X3" s="2" t="n"/>
      <c r="Y3" s="2" t="n">
        <v>0</v>
      </c>
      <c r="Z3" s="2" t="n"/>
      <c r="AA3" s="2" t="n"/>
      <c r="AB3" s="2" t="n"/>
      <c r="AC3" s="2" t="inlineStr">
        <is>
          <t>sí</t>
        </is>
      </c>
      <c r="AD3" s="2" t="n">
        <v>500</v>
      </c>
      <c r="AE3" s="2" t="n"/>
      <c r="AF3" s="2" t="inlineStr">
        <is>
          <t>sí</t>
        </is>
      </c>
      <c r="AG3" s="2" t="n"/>
      <c r="AH3" s="2" t="n">
        <v>2900</v>
      </c>
      <c r="AI3" s="2" t="n">
        <v>2900</v>
      </c>
      <c r="AJ3" s="2" t="inlineStr">
        <is>
          <t>no</t>
        </is>
      </c>
      <c r="AK3" s="2" t="n">
        <v>350</v>
      </c>
      <c r="AL3" s="2" t="inlineStr">
        <is>
          <t>sí</t>
        </is>
      </c>
      <c r="AM3" s="2" t="n">
        <v>25.5</v>
      </c>
      <c r="AN3" s="2" t="inlineStr">
        <is>
          <t>8408GBN</t>
        </is>
      </c>
      <c r="AO3" s="2" t="inlineStr">
        <is>
          <t>2008-03-03</t>
        </is>
      </c>
      <c r="AP3" s="2" t="n">
        <v>2008</v>
      </c>
      <c r="AQ3" s="2" t="n">
        <v>3</v>
      </c>
      <c r="AR3" s="2" t="inlineStr">
        <is>
          <t>C</t>
        </is>
      </c>
      <c r="AS3" s="2" t="inlineStr">
        <is>
          <t>DGT</t>
        </is>
      </c>
      <c r="AT3" s="2" t="n"/>
      <c r="AU3" s="2" t="inlineStr">
        <is>
          <t>no</t>
        </is>
      </c>
      <c r="AV3" s="2" t="inlineStr">
        <is>
          <t>no</t>
        </is>
      </c>
      <c r="AW3" s="2" t="n">
        <v>3650</v>
      </c>
      <c r="AX3" s="2" t="n">
        <v>28</v>
      </c>
      <c r="AY3" s="2" t="inlineStr">
        <is>
          <t>modelo+año+km</t>
        </is>
      </c>
      <c r="AZ3" s="2" t="n"/>
      <c r="BA3" s="2" t="inlineStr">
        <is>
          <t>vendedor profesional: sin ITP (operación con IVA/REBU, confirmar en factura); revisar: no menciona la ITV; fiabilidad del modelo PENDIENTE de fuente (puntuación neutra)</t>
        </is>
      </c>
      <c r="BB3" s="2" t="inlineStr">
        <is>
          <t>Peugeot 207 1.4 Confort (75 CV)</t>
        </is>
      </c>
      <c r="BC3" s="2" t="inlineStr">
        <is>
          <t>https://www.ocasionplus.com/coches-segunda-mano/peugeot-207-14-confort-con-116183km-2008-b9auzqaa (payload RSC 'vehicle') /home/user/Alopecia/buscador-coches/raw/ocasionplus/fc0eb20181760918.json</t>
        </is>
      </c>
      <c r="BD3" s="3">
        <f>MAX(ANIO_ACTUAL-M3,0)</f>
        <v/>
      </c>
      <c r="BE3" s="4">
        <f>N3/MAX(BD3,0.5)</f>
        <v/>
      </c>
      <c r="BF3" s="4">
        <f>F3</f>
        <v/>
      </c>
      <c r="BG3" s="3">
        <f>BF3&amp;"|"&amp;INT(M3/SEG_ANIO)*SEG_ANIO</f>
        <v/>
      </c>
      <c r="BH3" s="3">
        <f>BG3&amp;"|"&amp;INT(N3/SEG_KM)*SEG_KM</f>
        <v/>
      </c>
      <c r="BI3" s="4">
        <f>COUNTIF($BF$2:$BF$101,BF3)</f>
        <v/>
      </c>
      <c r="BJ3" s="4">
        <f>COUNTIF($BG$2:$BG$101,BG3)</f>
        <v/>
      </c>
      <c r="BK3" s="4">
        <f>COUNTIF($BH$2:$BH$101,BH3)</f>
        <v/>
      </c>
      <c r="BL3" s="3">
        <f t="array" ref="BL3">IF(N(AX3)&gt;=MIN_N,AW3,IF(BK3&gt;=MIN_N,MEDIAN(IF($BH$2:$BH$101=BH3,$O$2:$O$101)),IF(BJ3&gt;=MIN_N,MEDIAN(IF($BG$2:$BG$101=BG3,$O$2:$O$101)),MEDIAN(IF($BF$2:$BF$101=BF3,$O$2:$O$101)))))</f>
        <v/>
      </c>
      <c r="BM3" s="3">
        <f>IF(N(AX3)&gt;=MIN_N,"mercado "&amp;AY3,IF(BK3&gt;=MIN_N,"modelo+año+km",IF(BJ3&gt;=MIN_N,"modelo+año","modelo")))</f>
        <v/>
      </c>
      <c r="BN3" s="4">
        <f>(BL3-O3)/BL3</f>
        <v/>
      </c>
      <c r="BO3" s="3">
        <f>IF(COUNTIFS(FR_FUEL,K3,FR_YEAR,AP3)&gt;0,1,0)</f>
        <v/>
      </c>
      <c r="BP3" s="3">
        <f>IF(COUNTIFS(FR_FUEL,K3,FR_YEAR,AP3-1)&gt;0,1,0)</f>
        <v/>
      </c>
      <c r="BQ3" s="4">
        <f>IF(N(AQ3)&gt;0,AP3*100+AQ3,IF(AND(BO3=1,BP3=1),(AP3-1)*100+1,AP3*100+1))</f>
        <v/>
      </c>
      <c r="BR3" s="3">
        <f>IF(OR(K3="hibrido",K3="glp",K3="gnc",K3="phev"),"ECO",IF(K3="electrico","CERO",IF(K3="gasolina",IF(BQ3&gt;=GAS_C_YM,"C",IF(BQ3&gt;=GAS_B_YM,"B","A")),IF(K3="diesel",IF(BQ3&gt;=DIE_C_YM,"C",IF(BQ3&gt;=DIE_B_YM,"B","A")),""))))</f>
        <v/>
      </c>
      <c r="BS3" s="2" t="inlineStr">
        <is>
          <t>C</t>
        </is>
      </c>
      <c r="BT3" s="4">
        <f>IF(AU3="sí","sí",IF(AS3="regla",IF(AND(N(AQ3)=0,BO3=1),"sí","no"),"no"))</f>
        <v/>
      </c>
      <c r="BU3" s="3">
        <f>IFERROR(VLOOKUP(F3,MOD_TBL,16,0),IFERROR(VLOOKUP(E3,OCU_TBL,2,0),NEUTRO))</f>
        <v/>
      </c>
      <c r="BV3" s="3">
        <f>SUMIFS(MOT_AJUSTE,MOT_MOTOR,G3,MOT_MARCA,E3,MOT_DESDE,"&lt;="&amp;M3,MOT_HASTA,"&gt;="&amp;M3)+SUMIFS(MOT_AJUSTE,MOT_MOTOR,G3,MOT_MARCA,"(todas)",MOT_DESDE,"&lt;="&amp;M3,MOT_HASTA,"&gt;="&amp;M3)+SUMIFS(MOT_AJUSTE,MOT_MOTOR,"(cualquiera)",MOT_MARCA,E3,MOT_DESDE,"&lt;="&amp;M3,MOT_HASTA,"&gt;="&amp;M3)</f>
        <v/>
      </c>
      <c r="BW3" s="3">
        <f>SUMIFS(COMB_AJUSTE,COMB_COMB,K3)</f>
        <v/>
      </c>
      <c r="BX3" s="3">
        <f>COUNTIFS(MOT_MOTOR,G3,MOT_MARCA,E3,MOT_DESDE,"&lt;="&amp;M3,MOT_HASTA,"&gt;="&amp;M3)+COUNTIFS(MOT_MOTOR,G3,MOT_MARCA,"(todas)",MOT_DESDE,"&lt;="&amp;M3,MOT_HASTA,"&gt;="&amp;M3)+COUNTIFS(MOT_MOTOR,"(cualquiera)",MOT_MARCA,E3,MOT_DESDE,"&lt;="&amp;M3,MOT_HASTA,"&gt;="&amp;M3)</f>
        <v/>
      </c>
      <c r="BY3" s="3">
        <f>IF(AND(K3="diesel",BX3=0),MIN(BU3,NEUTRO),BU3)</f>
        <v/>
      </c>
      <c r="BZ3" s="3">
        <f>MAX(0,MIN(100,BY3+BV3+BW3-IF(AV3="sí",ROB_PEN,0)))</f>
        <v/>
      </c>
      <c r="CA3" s="3">
        <f>100-MAX(0,N3-KM_TOPE_DESDE)/1000*KM_TOPE_PTS</f>
        <v/>
      </c>
      <c r="CB3" s="3">
        <f>MAX(0,MIN(100,50+BN3*PRECIO_PEND,CA3))</f>
        <v/>
      </c>
      <c r="CC3" s="3">
        <f>MAX(0,100*(1-N3/KM_MAX))</f>
        <v/>
      </c>
      <c r="CD3" s="3">
        <f>IF(BE3&lt;KMA_SOSP,IF(AA3="sí",100,KMA_PEN),IF(BE3&lt;=KMA_IDEAL_MAX,100,MAX(0,100*(KMA_CERO-BE3)/(KMA_CERO-KMA_IDEAL_MAX))))</f>
        <v/>
      </c>
      <c r="CE3" s="3">
        <f>MAX(0,MIN(100,100*(M3-ANIO_MIN)/(ANIO_ACTUAL-ANIO_MIN)))</f>
        <v/>
      </c>
      <c r="CF3" s="3">
        <f>W_KMT*CC3+W_KMA*CD3+W_EDAD*CE3</f>
        <v/>
      </c>
      <c r="CG3" s="3">
        <f>P_ITV*(V3="sí")+P_LIBRO*(W3="sí")+P_CORREA*(X3="sí")+P_PROP*(Y3=1)+P_GAR*(Z3="sí")+P_FOTOS*MIN(1,N(U3)/FOTOS_OBJ)</f>
        <v/>
      </c>
      <c r="CH3" s="3">
        <f>MAX(0,MIN(100,IFERROR(VLOOKUP(BS3,ETQ_TBL,2,0),0)-IF(BT3="sí",ETQ_PEN_DUD,IF(AS3="regla",ETQ_PEN_REGLA,0))))</f>
        <v/>
      </c>
      <c r="CI3" s="3">
        <f>NEUTRO</f>
        <v/>
      </c>
      <c r="CJ3" s="3">
        <f>IFERROR(VLOOKUP(L3,SEGURO_TBL,3,0),"")</f>
        <v/>
      </c>
      <c r="CK3" s="3">
        <f>IF(CJ3="",NEUTRO,MAX(0,MIN(100,100*(SEG_REF_MAX-CJ3)/(SEG_REF_MAX-SEG_REF_MIN))))</f>
        <v/>
      </c>
      <c r="CL3" s="3">
        <f>W_CONS*CI3+W_SEG*CK3</f>
        <v/>
      </c>
      <c r="CM3" s="3">
        <f>IF(N(AB3)&gt;0,AB3,IF(AND(R3="profesional",SG_LEGAL_ON=1),GAR_LEGAL,0))</f>
        <v/>
      </c>
      <c r="CN3" s="3">
        <f>SG_GAR*MIN(1,CM3/SG_GAR_FULL)+SG_AMPL*(AC3="sí")+SG_KMC*(AF3="sí")+SG_REV*(N(AE3)&gt;0)+SG_DEV*MIN(1,N(AG3)/SG_DEV_FULL)+SG_HIST*(W3="sí")</f>
        <v/>
      </c>
      <c r="CO3" s="3">
        <f>IFERROR(VLOOKUP(L3,CARR_PEN_TBL,2,0),0)</f>
        <v/>
      </c>
      <c r="CP3" s="3">
        <f>W_FIAB*BZ3+W_PRECIO*CB3+W_KMEDAD*CF3+W_ANUNCIO*CG3+W_USO*CL3+W_SEGURIDAD*CN3+W_ETIQUETA*CH3-CO3</f>
        <v/>
      </c>
      <c r="CQ3" s="4">
        <f>IF(N(I3)&gt;0,I3,IFERROR(ROUND(_xlfn.NUMBERVALUE(LEFT(G3,FIND(" ",G3&amp;" ")-1),".")*1000,0),99999))</f>
        <v/>
      </c>
      <c r="CR3" s="3">
        <f>IF(R3="profesional",0,IF(O3&lt;CUOTA_VALOR_MAX,IF(BD3&gt;ITP_TRAMO_ALTO,SUMIFS(CF_CUOTA,CF_MAS,ITP_TRAMO_ALTO,CF_CCMIN,"&lt;="&amp;CQ3,CF_CCMAX,"&gt;="&amp;CQ3),IF(BD3&gt;ITP_TRAMO_BAJO,SUMIFS(CF_CUOTA,CF_MAS,ITP_TRAMO_BAJO,CF_CCMIN,"&lt;="&amp;CQ3,CF_CCMAX,"&gt;="&amp;CQ3),O3*ITP_TIPO)),O3*ITP_TIPO))</f>
        <v/>
      </c>
      <c r="CS3" s="4">
        <f>IF(R3="profesional",N(AK3),0)</f>
        <v/>
      </c>
      <c r="CT3" s="3">
        <f>IF(AND(R3="profesional",ISNUMBER(AK3),AL3="sí"),0,TASA_DGT)</f>
        <v/>
      </c>
      <c r="CU3" s="3">
        <f>INFORME_DGT</f>
        <v/>
      </c>
      <c r="CV3" s="4">
        <f>O3+CS3+CR3+CT3+CU3</f>
        <v/>
      </c>
      <c r="CW3" s="4">
        <f>CV3+N(CJ3)</f>
        <v/>
      </c>
      <c r="CX3" s="3">
        <f>IF(CV3&lt;=TOTAL_MAX,"sí",IF(CV3&lt;=TOTAL_MAX+MARGEN_NEG,"negociar","no"))</f>
        <v/>
      </c>
      <c r="CY3" s="4">
        <f>IF(CX3&lt;&gt;"no",COUNTIFS($CX$2:$CX$101,"&lt;&gt;no",$CP$2:$CP$101,"&gt;"&amp;CP3)+COUNTIFS($CX$2:CX3,"&lt;&gt;no",$CP$2:CP3,CP3),"")</f>
        <v/>
      </c>
    </row>
    <row r="4">
      <c r="A4" s="2" t="inlineStr">
        <is>
          <t>ocasionplus:saqsyqa5</t>
        </is>
      </c>
      <c r="B4" s="2" t="inlineStr">
        <is>
          <t>ocasionplus</t>
        </is>
      </c>
      <c r="C4" s="2" t="inlineStr">
        <is>
          <t>https://www.ocasionplus.com/coches-segunda-mano/ford-ka-13-collection-con-115071km-2008-saqsyqa5</t>
        </is>
      </c>
      <c r="D4" s="2" t="inlineStr">
        <is>
          <t>Ford Ka 1.3 Collection (70 CV)</t>
        </is>
      </c>
      <c r="E4" s="2" t="inlineStr">
        <is>
          <t>Ford</t>
        </is>
      </c>
      <c r="F4" s="2" t="inlineStr">
        <is>
          <t>Ford Ka</t>
        </is>
      </c>
      <c r="G4" s="2" t="inlineStr">
        <is>
          <t>1.3</t>
        </is>
      </c>
      <c r="H4" s="2" t="inlineStr">
        <is>
          <t>Ford Ka 1.3 Collection (70 CV)</t>
        </is>
      </c>
      <c r="I4" s="2" t="n">
        <v>1299</v>
      </c>
      <c r="J4" s="2" t="n">
        <v>70</v>
      </c>
      <c r="K4" s="2" t="inlineStr">
        <is>
          <t>gasolina</t>
        </is>
      </c>
      <c r="L4" s="2" t="inlineStr">
        <is>
          <t>utilitario</t>
        </is>
      </c>
      <c r="M4" s="2" t="n">
        <v>2008</v>
      </c>
      <c r="N4" s="2" t="n">
        <v>115071</v>
      </c>
      <c r="O4" s="2" t="n">
        <v>3900</v>
      </c>
      <c r="P4" s="2" t="inlineStr">
        <is>
          <t>manual</t>
        </is>
      </c>
      <c r="Q4" s="2" t="inlineStr">
        <is>
          <t>no</t>
        </is>
      </c>
      <c r="R4" s="2" t="inlineStr">
        <is>
          <t>profesional</t>
        </is>
      </c>
      <c r="S4" s="2" t="inlineStr">
        <is>
          <t>Valencia - Gandía (Gandía, 46702)</t>
        </is>
      </c>
      <c r="T4" s="2" t="inlineStr">
        <is>
          <t>2026-05-21T00:00:00.000Z</t>
        </is>
      </c>
      <c r="U4" s="2" t="n">
        <v>22</v>
      </c>
      <c r="V4" s="2" t="inlineStr">
        <is>
          <t>sí</t>
        </is>
      </c>
      <c r="W4" s="2" t="n"/>
      <c r="X4" s="2" t="n"/>
      <c r="Y4" s="2" t="n">
        <v>0</v>
      </c>
      <c r="Z4" s="2" t="n"/>
      <c r="AA4" s="2" t="n"/>
      <c r="AB4" s="2" t="n"/>
      <c r="AC4" s="2" t="inlineStr">
        <is>
          <t>sí</t>
        </is>
      </c>
      <c r="AD4" s="2" t="n">
        <v>500</v>
      </c>
      <c r="AE4" s="2" t="n"/>
      <c r="AF4" s="2" t="inlineStr">
        <is>
          <t>sí</t>
        </is>
      </c>
      <c r="AG4" s="2" t="n"/>
      <c r="AH4" s="2" t="n">
        <v>3900</v>
      </c>
      <c r="AI4" s="2" t="n">
        <v>1700</v>
      </c>
      <c r="AJ4" s="2" t="inlineStr">
        <is>
          <t>sí</t>
        </is>
      </c>
      <c r="AK4" s="2" t="n">
        <v>350</v>
      </c>
      <c r="AL4" s="2" t="inlineStr">
        <is>
          <t>sí</t>
        </is>
      </c>
      <c r="AM4" s="2" t="n">
        <v>58.4</v>
      </c>
      <c r="AN4" s="2" t="inlineStr">
        <is>
          <t>2715GGP</t>
        </is>
      </c>
      <c r="AO4" s="2" t="inlineStr">
        <is>
          <t>2008-07-25</t>
        </is>
      </c>
      <c r="AP4" s="2" t="n">
        <v>2008</v>
      </c>
      <c r="AQ4" s="2" t="n">
        <v>7</v>
      </c>
      <c r="AR4" s="2" t="inlineStr">
        <is>
          <t>C</t>
        </is>
      </c>
      <c r="AS4" s="2" t="inlineStr">
        <is>
          <t>DGT</t>
        </is>
      </c>
      <c r="AT4" s="2" t="n"/>
      <c r="AU4" s="2" t="inlineStr">
        <is>
          <t>no</t>
        </is>
      </c>
      <c r="AV4" s="2" t="inlineStr">
        <is>
          <t>no</t>
        </is>
      </c>
      <c r="AW4" s="2" t="n"/>
      <c r="AX4" s="2" t="n"/>
      <c r="AY4" s="2" t="n"/>
      <c r="AZ4" s="2" t="n"/>
      <c r="BA4" s="2" t="inlineStr">
        <is>
          <t>vendedor profesional: sin ITP (operación con IVA/REBU, confirmar en factura); el precio anunciado (1.700 €) solo vale financiando; se usa el precio al contado; revisar: no menciona la ITV; fiabilidad del modelo PENDIENTE de fuente (puntuación neutra); mediana con solo 3 anuncio(s)</t>
        </is>
      </c>
      <c r="BB4" s="2" t="inlineStr">
        <is>
          <t>Ford Ka 1.3 Collection (70 CV)</t>
        </is>
      </c>
      <c r="BC4" s="2" t="inlineStr">
        <is>
          <t>https://www.ocasionplus.com/coches-segunda-mano/ford-ka-13-collection-con-115071km-2008-saqsyqa5 (payload RSC 'vehicle') /home/user/Alopecia/buscador-coches/raw/ocasionplus/91b2d0d1fcf52c76.json</t>
        </is>
      </c>
      <c r="BD4" s="3">
        <f>MAX(ANIO_ACTUAL-M4,0)</f>
        <v/>
      </c>
      <c r="BE4" s="4">
        <f>N4/MAX(BD4,0.5)</f>
        <v/>
      </c>
      <c r="BF4" s="4">
        <f>F4</f>
        <v/>
      </c>
      <c r="BG4" s="3">
        <f>BF4&amp;"|"&amp;INT(M4/SEG_ANIO)*SEG_ANIO</f>
        <v/>
      </c>
      <c r="BH4" s="3">
        <f>BG4&amp;"|"&amp;INT(N4/SEG_KM)*SEG_KM</f>
        <v/>
      </c>
      <c r="BI4" s="4">
        <f>COUNTIF($BF$2:$BF$101,BF4)</f>
        <v/>
      </c>
      <c r="BJ4" s="4">
        <f>COUNTIF($BG$2:$BG$101,BG4)</f>
        <v/>
      </c>
      <c r="BK4" s="4">
        <f>COUNTIF($BH$2:$BH$101,BH4)</f>
        <v/>
      </c>
      <c r="BL4" s="3">
        <f t="array" ref="BL4">IF(N(AX4)&gt;=MIN_N,AW4,IF(BK4&gt;=MIN_N,MEDIAN(IF($BH$2:$BH$101=BH4,$O$2:$O$101)),IF(BJ4&gt;=MIN_N,MEDIAN(IF($BG$2:$BG$101=BG4,$O$2:$O$101)),MEDIAN(IF($BF$2:$BF$101=BF4,$O$2:$O$101)))))</f>
        <v/>
      </c>
      <c r="BM4" s="3">
        <f>IF(N(AX4)&gt;=MIN_N,"mercado "&amp;AY4,IF(BK4&gt;=MIN_N,"modelo+año+km",IF(BJ4&gt;=MIN_N,"modelo+año","modelo")))</f>
        <v/>
      </c>
      <c r="BN4" s="4">
        <f>(BL4-O4)/BL4</f>
        <v/>
      </c>
      <c r="BO4" s="3">
        <f>IF(COUNTIFS(FR_FUEL,K4,FR_YEAR,AP4)&gt;0,1,0)</f>
        <v/>
      </c>
      <c r="BP4" s="3">
        <f>IF(COUNTIFS(FR_FUEL,K4,FR_YEAR,AP4-1)&gt;0,1,0)</f>
        <v/>
      </c>
      <c r="BQ4" s="4">
        <f>IF(N(AQ4)&gt;0,AP4*100+AQ4,IF(AND(BO4=1,BP4=1),(AP4-1)*100+1,AP4*100+1))</f>
        <v/>
      </c>
      <c r="BR4" s="3">
        <f>IF(OR(K4="hibrido",K4="glp",K4="gnc",K4="phev"),"ECO",IF(K4="electrico","CERO",IF(K4="gasolina",IF(BQ4&gt;=GAS_C_YM,"C",IF(BQ4&gt;=GAS_B_YM,"B","A")),IF(K4="diesel",IF(BQ4&gt;=DIE_C_YM,"C",IF(BQ4&gt;=DIE_B_YM,"B","A")),""))))</f>
        <v/>
      </c>
      <c r="BS4" s="2" t="inlineStr">
        <is>
          <t>C</t>
        </is>
      </c>
      <c r="BT4" s="4">
        <f>IF(AU4="sí","sí",IF(AS4="regla",IF(AND(N(AQ4)=0,BO4=1),"sí","no"),"no"))</f>
        <v/>
      </c>
      <c r="BU4" s="3">
        <f>IFERROR(VLOOKUP(F4,MOD_TBL,16,0),IFERROR(VLOOKUP(E4,OCU_TBL,2,0),NEUTRO))</f>
        <v/>
      </c>
      <c r="BV4" s="3">
        <f>SUMIFS(MOT_AJUSTE,MOT_MOTOR,G4,MOT_MARCA,E4,MOT_DESDE,"&lt;="&amp;M4,MOT_HASTA,"&gt;="&amp;M4)+SUMIFS(MOT_AJUSTE,MOT_MOTOR,G4,MOT_MARCA,"(todas)",MOT_DESDE,"&lt;="&amp;M4,MOT_HASTA,"&gt;="&amp;M4)+SUMIFS(MOT_AJUSTE,MOT_MOTOR,"(cualquiera)",MOT_MARCA,E4,MOT_DESDE,"&lt;="&amp;M4,MOT_HASTA,"&gt;="&amp;M4)</f>
        <v/>
      </c>
      <c r="BW4" s="3">
        <f>SUMIFS(COMB_AJUSTE,COMB_COMB,K4)</f>
        <v/>
      </c>
      <c r="BX4" s="3">
        <f>COUNTIFS(MOT_MOTOR,G4,MOT_MARCA,E4,MOT_DESDE,"&lt;="&amp;M4,MOT_HASTA,"&gt;="&amp;M4)+COUNTIFS(MOT_MOTOR,G4,MOT_MARCA,"(todas)",MOT_DESDE,"&lt;="&amp;M4,MOT_HASTA,"&gt;="&amp;M4)+COUNTIFS(MOT_MOTOR,"(cualquiera)",MOT_MARCA,E4,MOT_DESDE,"&lt;="&amp;M4,MOT_HASTA,"&gt;="&amp;M4)</f>
        <v/>
      </c>
      <c r="BY4" s="3">
        <f>IF(AND(K4="diesel",BX4=0),MIN(BU4,NEUTRO),BU4)</f>
        <v/>
      </c>
      <c r="BZ4" s="3">
        <f>MAX(0,MIN(100,BY4+BV4+BW4-IF(AV4="sí",ROB_PEN,0)))</f>
        <v/>
      </c>
      <c r="CA4" s="3">
        <f>100-MAX(0,N4-KM_TOPE_DESDE)/1000*KM_TOPE_PTS</f>
        <v/>
      </c>
      <c r="CB4" s="3">
        <f>MAX(0,MIN(100,50+BN4*PRECIO_PEND,CA4))</f>
        <v/>
      </c>
      <c r="CC4" s="3">
        <f>MAX(0,100*(1-N4/KM_MAX))</f>
        <v/>
      </c>
      <c r="CD4" s="3">
        <f>IF(BE4&lt;KMA_SOSP,IF(AA4="sí",100,KMA_PEN),IF(BE4&lt;=KMA_IDEAL_MAX,100,MAX(0,100*(KMA_CERO-BE4)/(KMA_CERO-KMA_IDEAL_MAX))))</f>
        <v/>
      </c>
      <c r="CE4" s="3">
        <f>MAX(0,MIN(100,100*(M4-ANIO_MIN)/(ANIO_ACTUAL-ANIO_MIN)))</f>
        <v/>
      </c>
      <c r="CF4" s="3">
        <f>W_KMT*CC4+W_KMA*CD4+W_EDAD*CE4</f>
        <v/>
      </c>
      <c r="CG4" s="3">
        <f>P_ITV*(V4="sí")+P_LIBRO*(W4="sí")+P_CORREA*(X4="sí")+P_PROP*(Y4=1)+P_GAR*(Z4="sí")+P_FOTOS*MIN(1,N(U4)/FOTOS_OBJ)</f>
        <v/>
      </c>
      <c r="CH4" s="3">
        <f>MAX(0,MIN(100,IFERROR(VLOOKUP(BS4,ETQ_TBL,2,0),0)-IF(BT4="sí",ETQ_PEN_DUD,IF(AS4="regla",ETQ_PEN_REGLA,0))))</f>
        <v/>
      </c>
      <c r="CI4" s="3">
        <f>NEUTRO</f>
        <v/>
      </c>
      <c r="CJ4" s="3">
        <f>IFERROR(VLOOKUP(L4,SEGURO_TBL,3,0),"")</f>
        <v/>
      </c>
      <c r="CK4" s="3">
        <f>IF(CJ4="",NEUTRO,MAX(0,MIN(100,100*(SEG_REF_MAX-CJ4)/(SEG_REF_MAX-SEG_REF_MIN))))</f>
        <v/>
      </c>
      <c r="CL4" s="3">
        <f>W_CONS*CI4+W_SEG*CK4</f>
        <v/>
      </c>
      <c r="CM4" s="3">
        <f>IF(N(AB4)&gt;0,AB4,IF(AND(R4="profesional",SG_LEGAL_ON=1),GAR_LEGAL,0))</f>
        <v/>
      </c>
      <c r="CN4" s="3">
        <f>SG_GAR*MIN(1,CM4/SG_GAR_FULL)+SG_AMPL*(AC4="sí")+SG_KMC*(AF4="sí")+SG_REV*(N(AE4)&gt;0)+SG_DEV*MIN(1,N(AG4)/SG_DEV_FULL)+SG_HIST*(W4="sí")</f>
        <v/>
      </c>
      <c r="CO4" s="3">
        <f>IFERROR(VLOOKUP(L4,CARR_PEN_TBL,2,0),0)</f>
        <v/>
      </c>
      <c r="CP4" s="3">
        <f>W_FIAB*BZ4+W_PRECIO*CB4+W_KMEDAD*CF4+W_ANUNCIO*CG4+W_USO*CL4+W_SEGURIDAD*CN4+W_ETIQUETA*CH4-CO4</f>
        <v/>
      </c>
      <c r="CQ4" s="4">
        <f>IF(N(I4)&gt;0,I4,IFERROR(ROUND(_xlfn.NUMBERVALUE(LEFT(G4,FIND(" ",G4&amp;" ")-1),".")*1000,0),99999))</f>
        <v/>
      </c>
      <c r="CR4" s="3">
        <f>IF(R4="profesional",0,IF(O4&lt;CUOTA_VALOR_MAX,IF(BD4&gt;ITP_TRAMO_ALTO,SUMIFS(CF_CUOTA,CF_MAS,ITP_TRAMO_ALTO,CF_CCMIN,"&lt;="&amp;CQ4,CF_CCMAX,"&gt;="&amp;CQ4),IF(BD4&gt;ITP_TRAMO_BAJO,SUMIFS(CF_CUOTA,CF_MAS,ITP_TRAMO_BAJO,CF_CCMIN,"&lt;="&amp;CQ4,CF_CCMAX,"&gt;="&amp;CQ4),O4*ITP_TIPO)),O4*ITP_TIPO))</f>
        <v/>
      </c>
      <c r="CS4" s="4">
        <f>IF(R4="profesional",N(AK4),0)</f>
        <v/>
      </c>
      <c r="CT4" s="3">
        <f>IF(AND(R4="profesional",ISNUMBER(AK4),AL4="sí"),0,TASA_DGT)</f>
        <v/>
      </c>
      <c r="CU4" s="3">
        <f>INFORME_DGT</f>
        <v/>
      </c>
      <c r="CV4" s="4">
        <f>O4+CS4+CR4+CT4+CU4</f>
        <v/>
      </c>
      <c r="CW4" s="4">
        <f>CV4+N(CJ4)</f>
        <v/>
      </c>
      <c r="CX4" s="3">
        <f>IF(CV4&lt;=TOTAL_MAX,"sí",IF(CV4&lt;=TOTAL_MAX+MARGEN_NEG,"negociar","no"))</f>
        <v/>
      </c>
      <c r="CY4" s="4">
        <f>IF(CX4&lt;&gt;"no",COUNTIFS($CX$2:$CX$101,"&lt;&gt;no",$CP$2:$CP$101,"&gt;"&amp;CP4)+COUNTIFS($CX$2:CX4,"&lt;&gt;no",$CP$2:CP4,CP4),"")</f>
        <v/>
      </c>
    </row>
    <row r="5">
      <c r="A5" s="2" t="inlineStr">
        <is>
          <t>cochesnet:71691745</t>
        </is>
      </c>
      <c r="B5" s="2" t="inlineStr">
        <is>
          <t>cochesnet</t>
        </is>
      </c>
      <c r="C5" s="2" t="inlineStr">
        <is>
          <t>https://www.coches.net/toyota-aygo-10-vvti-live-5p-gasolina-2010-en-valencia-71691745-covo.aspx</t>
        </is>
      </c>
      <c r="D5" s="2" t="inlineStr">
        <is>
          <t>TOYOTA Aygo 1.0 VVTi Live</t>
        </is>
      </c>
      <c r="E5" s="2" t="inlineStr">
        <is>
          <t>Toyota</t>
        </is>
      </c>
      <c r="F5" s="2" t="inlineStr">
        <is>
          <t>Toyota Aygo</t>
        </is>
      </c>
      <c r="G5" s="2" t="inlineStr">
        <is>
          <t>1.0 VVT-i</t>
        </is>
      </c>
      <c r="H5" s="2" t="inlineStr">
        <is>
          <t>1.0 VVTi Live</t>
        </is>
      </c>
      <c r="I5" s="2" t="n"/>
      <c r="J5" s="2" t="n"/>
      <c r="K5" s="2" t="inlineStr">
        <is>
          <t>gasolina</t>
        </is>
      </c>
      <c r="L5" s="2" t="inlineStr">
        <is>
          <t>utilitario</t>
        </is>
      </c>
      <c r="M5" s="2" t="n">
        <v>2010</v>
      </c>
      <c r="N5" s="2" t="n">
        <v>166000</v>
      </c>
      <c r="O5" s="2" t="n">
        <v>4450</v>
      </c>
      <c r="P5" s="2" t="inlineStr">
        <is>
          <t>manual</t>
        </is>
      </c>
      <c r="Q5" s="2" t="inlineStr">
        <is>
          <t>no</t>
        </is>
      </c>
      <c r="R5" s="2" t="inlineStr">
        <is>
          <t>profesional</t>
        </is>
      </c>
      <c r="S5" s="2" t="inlineStr">
        <is>
          <t>GO! autos Sagunto (Sagunt)</t>
        </is>
      </c>
      <c r="T5" s="2" t="inlineStr">
        <is>
          <t>2026-10-07T09:35:00Z</t>
        </is>
      </c>
      <c r="U5" s="2" t="n">
        <v>14</v>
      </c>
      <c r="V5" s="2" t="inlineStr">
        <is>
          <t>sí</t>
        </is>
      </c>
      <c r="W5" s="2" t="n"/>
      <c r="X5" s="2" t="n"/>
      <c r="Y5" s="2" t="n"/>
      <c r="Z5" s="2" t="inlineStr">
        <is>
          <t>sí</t>
        </is>
      </c>
      <c r="AA5" s="2" t="n"/>
      <c r="AB5" s="2" t="n">
        <v>12</v>
      </c>
      <c r="AC5" s="2" t="n"/>
      <c r="AD5" s="2" t="n"/>
      <c r="AE5" s="2" t="n"/>
      <c r="AF5" s="2" t="n"/>
      <c r="AG5" s="2" t="n"/>
      <c r="AH5" s="2" t="n">
        <v>4450</v>
      </c>
      <c r="AI5" s="2" t="n">
        <v>4450</v>
      </c>
      <c r="AJ5" s="2" t="n"/>
      <c r="AK5" s="2" t="n"/>
      <c r="AL5" s="2" t="n"/>
      <c r="AM5" s="2" t="n"/>
      <c r="AN5" s="2" t="n"/>
      <c r="AO5" s="2" t="inlineStr">
        <is>
          <t>2010</t>
        </is>
      </c>
      <c r="AP5" s="2" t="n">
        <v>2010</v>
      </c>
      <c r="AQ5" s="2" t="n"/>
      <c r="AR5" s="2" t="inlineStr">
        <is>
          <t>C</t>
        </is>
      </c>
      <c r="AS5" s="2" t="inlineStr">
        <is>
          <t>anuncio</t>
        </is>
      </c>
      <c r="AT5" s="2" t="n"/>
      <c r="AU5" s="2" t="inlineStr">
        <is>
          <t>no</t>
        </is>
      </c>
      <c r="AV5" s="2" t="inlineStr">
        <is>
          <t>no</t>
        </is>
      </c>
      <c r="AW5" s="2" t="n">
        <v>5944.5</v>
      </c>
      <c r="AX5" s="2" t="n">
        <v>4</v>
      </c>
      <c r="AY5" s="2" t="inlineStr">
        <is>
          <t>modelo+año</t>
        </is>
      </c>
      <c r="AZ5" s="2" t="n"/>
      <c r="BA5"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B5" s="2" t="inlineStr">
        <is>
          <t>TOYOTA AYGO 1.0 LIVE | 2010 | 165.000 KM | GARANTÍA 1 AÑO
Toyota Aygo 1.0 Live del año 2010, con 165.000 km, motor gasolina 1.0 y cambio manual.
Vehículo económico, fiable y muy práctico, ideal para ciudad y desplazamientos diarios. Un coche con un mantenimiento sencillo y un consumo reducido.
EQUIPAMIENTO
Aire acondicionado ??
Cierre centralizado
Elevalunas eléctricos
2 llaves
Cambio manual
SE ENTREGA
? ITV en vigor
? Todos los mantenimientos realizados
? Revisado y listo para entregar
? 1 AÑO DE GARANTÍA
Una opción ideal para quien busca un coche económico, fiable y fácil de mantener, con garantía y listo para circular.
Consulte sin compromiso para más información, fotos o para concertar una visita y probarlo.</t>
        </is>
      </c>
      <c r="BC5" s="2" t="inlineStr">
        <is>
          <t>https://www.coches.net/toyota-aygo-10-vvti-live-5p-gasolina-2010-en-valencia-71691745-covo.aspx (window.__INITIAL_PROPS__.ad) /home/user/Alopecia/buscador-coches/raw/cochesnet/680c32fd6cdc2d9a.json</t>
        </is>
      </c>
      <c r="BD5" s="3">
        <f>MAX(ANIO_ACTUAL-M5,0)</f>
        <v/>
      </c>
      <c r="BE5" s="4">
        <f>N5/MAX(BD5,0.5)</f>
        <v/>
      </c>
      <c r="BF5" s="4">
        <f>F5</f>
        <v/>
      </c>
      <c r="BG5" s="3">
        <f>BF5&amp;"|"&amp;INT(M5/SEG_ANIO)*SEG_ANIO</f>
        <v/>
      </c>
      <c r="BH5" s="3">
        <f>BG5&amp;"|"&amp;INT(N5/SEG_KM)*SEG_KM</f>
        <v/>
      </c>
      <c r="BI5" s="4">
        <f>COUNTIF($BF$2:$BF$101,BF5)</f>
        <v/>
      </c>
      <c r="BJ5" s="4">
        <f>COUNTIF($BG$2:$BG$101,BG5)</f>
        <v/>
      </c>
      <c r="BK5" s="4">
        <f>COUNTIF($BH$2:$BH$101,BH5)</f>
        <v/>
      </c>
      <c r="BL5" s="3">
        <f t="array" ref="BL5">IF(N(AX5)&gt;=MIN_N,AW5,IF(BK5&gt;=MIN_N,MEDIAN(IF($BH$2:$BH$101=BH5,$O$2:$O$101)),IF(BJ5&gt;=MIN_N,MEDIAN(IF($BG$2:$BG$101=BG5,$O$2:$O$101)),MEDIAN(IF($BF$2:$BF$101=BF5,$O$2:$O$101)))))</f>
        <v/>
      </c>
      <c r="BM5" s="3">
        <f>IF(N(AX5)&gt;=MIN_N,"mercado "&amp;AY5,IF(BK5&gt;=MIN_N,"modelo+año+km",IF(BJ5&gt;=MIN_N,"modelo+año","modelo")))</f>
        <v/>
      </c>
      <c r="BN5" s="4">
        <f>(BL5-O5)/BL5</f>
        <v/>
      </c>
      <c r="BO5" s="3">
        <f>IF(COUNTIFS(FR_FUEL,K5,FR_YEAR,AP5)&gt;0,1,0)</f>
        <v/>
      </c>
      <c r="BP5" s="3">
        <f>IF(COUNTIFS(FR_FUEL,K5,FR_YEAR,AP5-1)&gt;0,1,0)</f>
        <v/>
      </c>
      <c r="BQ5" s="4">
        <f>IF(N(AQ5)&gt;0,AP5*100+AQ5,IF(AND(BO5=1,BP5=1),(AP5-1)*100+1,AP5*100+1))</f>
        <v/>
      </c>
      <c r="BR5" s="3">
        <f>IF(OR(K5="hibrido",K5="glp",K5="gnc",K5="phev"),"ECO",IF(K5="electrico","CERO",IF(K5="gasolina",IF(BQ5&gt;=GAS_C_YM,"C",IF(BQ5&gt;=GAS_B_YM,"B","A")),IF(K5="diesel",IF(BQ5&gt;=DIE_C_YM,"C",IF(BQ5&gt;=DIE_B_YM,"B","A")),""))))</f>
        <v/>
      </c>
      <c r="BS5" s="2" t="inlineStr">
        <is>
          <t>C</t>
        </is>
      </c>
      <c r="BT5" s="4">
        <f>IF(AU5="sí","sí",IF(AS5="regla",IF(AND(N(AQ5)=0,BO5=1),"sí","no"),"no"))</f>
        <v/>
      </c>
      <c r="BU5" s="3">
        <f>IFERROR(VLOOKUP(F5,MOD_TBL,16,0),IFERROR(VLOOKUP(E5,OCU_TBL,2,0),NEUTRO))</f>
        <v/>
      </c>
      <c r="BV5" s="3">
        <f>SUMIFS(MOT_AJUSTE,MOT_MOTOR,G5,MOT_MARCA,E5,MOT_DESDE,"&lt;="&amp;M5,MOT_HASTA,"&gt;="&amp;M5)+SUMIFS(MOT_AJUSTE,MOT_MOTOR,G5,MOT_MARCA,"(todas)",MOT_DESDE,"&lt;="&amp;M5,MOT_HASTA,"&gt;="&amp;M5)+SUMIFS(MOT_AJUSTE,MOT_MOTOR,"(cualquiera)",MOT_MARCA,E5,MOT_DESDE,"&lt;="&amp;M5,MOT_HASTA,"&gt;="&amp;M5)</f>
        <v/>
      </c>
      <c r="BW5" s="3">
        <f>SUMIFS(COMB_AJUSTE,COMB_COMB,K5)</f>
        <v/>
      </c>
      <c r="BX5" s="3">
        <f>COUNTIFS(MOT_MOTOR,G5,MOT_MARCA,E5,MOT_DESDE,"&lt;="&amp;M5,MOT_HASTA,"&gt;="&amp;M5)+COUNTIFS(MOT_MOTOR,G5,MOT_MARCA,"(todas)",MOT_DESDE,"&lt;="&amp;M5,MOT_HASTA,"&gt;="&amp;M5)+COUNTIFS(MOT_MOTOR,"(cualquiera)",MOT_MARCA,E5,MOT_DESDE,"&lt;="&amp;M5,MOT_HASTA,"&gt;="&amp;M5)</f>
        <v/>
      </c>
      <c r="BY5" s="3">
        <f>IF(AND(K5="diesel",BX5=0),MIN(BU5,NEUTRO),BU5)</f>
        <v/>
      </c>
      <c r="BZ5" s="3">
        <f>MAX(0,MIN(100,BY5+BV5+BW5-IF(AV5="sí",ROB_PEN,0)))</f>
        <v/>
      </c>
      <c r="CA5" s="3">
        <f>100-MAX(0,N5-KM_TOPE_DESDE)/1000*KM_TOPE_PTS</f>
        <v/>
      </c>
      <c r="CB5" s="3">
        <f>MAX(0,MIN(100,50+BN5*PRECIO_PEND,CA5))</f>
        <v/>
      </c>
      <c r="CC5" s="3">
        <f>MAX(0,100*(1-N5/KM_MAX))</f>
        <v/>
      </c>
      <c r="CD5" s="3">
        <f>IF(BE5&lt;KMA_SOSP,IF(AA5="sí",100,KMA_PEN),IF(BE5&lt;=KMA_IDEAL_MAX,100,MAX(0,100*(KMA_CERO-BE5)/(KMA_CERO-KMA_IDEAL_MAX))))</f>
        <v/>
      </c>
      <c r="CE5" s="3">
        <f>MAX(0,MIN(100,100*(M5-ANIO_MIN)/(ANIO_ACTUAL-ANIO_MIN)))</f>
        <v/>
      </c>
      <c r="CF5" s="3">
        <f>W_KMT*CC5+W_KMA*CD5+W_EDAD*CE5</f>
        <v/>
      </c>
      <c r="CG5" s="3">
        <f>P_ITV*(V5="sí")+P_LIBRO*(W5="sí")+P_CORREA*(X5="sí")+P_PROP*(Y5=1)+P_GAR*(Z5="sí")+P_FOTOS*MIN(1,N(U5)/FOTOS_OBJ)</f>
        <v/>
      </c>
      <c r="CH5" s="3">
        <f>MAX(0,MIN(100,IFERROR(VLOOKUP(BS5,ETQ_TBL,2,0),0)-IF(BT5="sí",ETQ_PEN_DUD,IF(AS5="regla",ETQ_PEN_REGLA,0))))</f>
        <v/>
      </c>
      <c r="CI5" s="3">
        <f>NEUTRO</f>
        <v/>
      </c>
      <c r="CJ5" s="3">
        <f>IFERROR(VLOOKUP(L5,SEGURO_TBL,3,0),"")</f>
        <v/>
      </c>
      <c r="CK5" s="3">
        <f>IF(CJ5="",NEUTRO,MAX(0,MIN(100,100*(SEG_REF_MAX-CJ5)/(SEG_REF_MAX-SEG_REF_MIN))))</f>
        <v/>
      </c>
      <c r="CL5" s="3">
        <f>W_CONS*CI5+W_SEG*CK5</f>
        <v/>
      </c>
      <c r="CM5" s="3">
        <f>IF(N(AB5)&gt;0,AB5,IF(AND(R5="profesional",SG_LEGAL_ON=1),GAR_LEGAL,0))</f>
        <v/>
      </c>
      <c r="CN5" s="3">
        <f>SG_GAR*MIN(1,CM5/SG_GAR_FULL)+SG_AMPL*(AC5="sí")+SG_KMC*(AF5="sí")+SG_REV*(N(AE5)&gt;0)+SG_DEV*MIN(1,N(AG5)/SG_DEV_FULL)+SG_HIST*(W5="sí")</f>
        <v/>
      </c>
      <c r="CO5" s="3">
        <f>IFERROR(VLOOKUP(L5,CARR_PEN_TBL,2,0),0)</f>
        <v/>
      </c>
      <c r="CP5" s="3">
        <f>W_FIAB*BZ5+W_PRECIO*CB5+W_KMEDAD*CF5+W_ANUNCIO*CG5+W_USO*CL5+W_SEGURIDAD*CN5+W_ETIQUETA*CH5-CO5</f>
        <v/>
      </c>
      <c r="CQ5" s="4">
        <f>IF(N(I5)&gt;0,I5,IFERROR(ROUND(_xlfn.NUMBERVALUE(LEFT(G5,FIND(" ",G5&amp;" ")-1),".")*1000,0),99999))</f>
        <v/>
      </c>
      <c r="CR5" s="3">
        <f>IF(R5="profesional",0,IF(O5&lt;CUOTA_VALOR_MAX,IF(BD5&gt;ITP_TRAMO_ALTO,SUMIFS(CF_CUOTA,CF_MAS,ITP_TRAMO_ALTO,CF_CCMIN,"&lt;="&amp;CQ5,CF_CCMAX,"&gt;="&amp;CQ5),IF(BD5&gt;ITP_TRAMO_BAJO,SUMIFS(CF_CUOTA,CF_MAS,ITP_TRAMO_BAJO,CF_CCMIN,"&lt;="&amp;CQ5,CF_CCMAX,"&gt;="&amp;CQ5),O5*ITP_TIPO)),O5*ITP_TIPO))</f>
        <v/>
      </c>
      <c r="CS5" s="4">
        <f>IF(R5="profesional",N(AK5),0)</f>
        <v/>
      </c>
      <c r="CT5" s="3">
        <f>IF(AND(R5="profesional",ISNUMBER(AK5),AL5="sí"),0,TASA_DGT)</f>
        <v/>
      </c>
      <c r="CU5" s="3">
        <f>INFORME_DGT</f>
        <v/>
      </c>
      <c r="CV5" s="4">
        <f>O5+CS5+CR5+CT5+CU5</f>
        <v/>
      </c>
      <c r="CW5" s="4">
        <f>CV5+N(CJ5)</f>
        <v/>
      </c>
      <c r="CX5" s="3">
        <f>IF(CV5&lt;=TOTAL_MAX,"sí",IF(CV5&lt;=TOTAL_MAX+MARGEN_NEG,"negociar","no"))</f>
        <v/>
      </c>
      <c r="CY5" s="4">
        <f>IF(CX5&lt;&gt;"no",COUNTIFS($CX$2:$CX$101,"&lt;&gt;no",$CP$2:$CP$101,"&gt;"&amp;CP5)+COUNTIFS($CX$2:CX5,"&lt;&gt;no",$CP$2:CP5,CP5),"")</f>
        <v/>
      </c>
    </row>
    <row r="6">
      <c r="A6" s="2" t="inlineStr">
        <is>
          <t>cochesnet:71265682</t>
        </is>
      </c>
      <c r="B6" s="2" t="inlineStr">
        <is>
          <t>cochesnet</t>
        </is>
      </c>
      <c r="C6" s="2" t="inlineStr">
        <is>
          <t>https://www.coches.net/mazda-mazda2-active-14-crtd-5p-diesel-2007-en-valencia-71265682-covo.aspx</t>
        </is>
      </c>
      <c r="D6" s="2" t="inlineStr">
        <is>
          <t>MAZDA Mazda2 Active 1.4 CRTD</t>
        </is>
      </c>
      <c r="E6" s="2" t="inlineStr">
        <is>
          <t>Mazda</t>
        </is>
      </c>
      <c r="F6" s="2" t="inlineStr">
        <is>
          <t>Mazda 2</t>
        </is>
      </c>
      <c r="G6" s="2" t="inlineStr">
        <is>
          <t>1.4</t>
        </is>
      </c>
      <c r="H6" s="2" t="inlineStr">
        <is>
          <t>Active 1.4 CRTD</t>
        </is>
      </c>
      <c r="I6" s="2" t="n"/>
      <c r="J6" s="2" t="n"/>
      <c r="K6" s="2" t="inlineStr">
        <is>
          <t>diesel</t>
        </is>
      </c>
      <c r="L6" s="2" t="inlineStr">
        <is>
          <t>utilitario</t>
        </is>
      </c>
      <c r="M6" s="2" t="n">
        <v>2008</v>
      </c>
      <c r="N6" s="2" t="n">
        <v>145000</v>
      </c>
      <c r="O6" s="2" t="n">
        <v>4500</v>
      </c>
      <c r="P6" s="2" t="inlineStr">
        <is>
          <t>manual</t>
        </is>
      </c>
      <c r="Q6" s="2" t="inlineStr">
        <is>
          <t>no</t>
        </is>
      </c>
      <c r="R6" s="2" t="inlineStr">
        <is>
          <t>profesional</t>
        </is>
      </c>
      <c r="S6" s="2" t="inlineStr">
        <is>
          <t>Beniparrell</t>
        </is>
      </c>
      <c r="T6" s="2" t="inlineStr">
        <is>
          <t>2026-08-10T16:34:09Z</t>
        </is>
      </c>
      <c r="U6" s="2" t="n">
        <v>13</v>
      </c>
      <c r="V6" s="2" t="n"/>
      <c r="W6" s="2" t="n"/>
      <c r="X6" s="2" t="n"/>
      <c r="Y6" s="2" t="n"/>
      <c r="Z6" s="2" t="inlineStr">
        <is>
          <t>sí</t>
        </is>
      </c>
      <c r="AA6" s="2" t="n"/>
      <c r="AB6" s="2" t="n">
        <v>12</v>
      </c>
      <c r="AC6" s="2" t="n"/>
      <c r="AD6" s="2" t="n"/>
      <c r="AE6" s="2" t="n"/>
      <c r="AF6" s="2" t="n"/>
      <c r="AG6" s="2" t="n"/>
      <c r="AH6" s="2" t="n">
        <v>4500</v>
      </c>
      <c r="AI6" s="2" t="n"/>
      <c r="AJ6" s="2" t="n"/>
      <c r="AK6" s="2" t="n"/>
      <c r="AL6" s="2" t="n"/>
      <c r="AM6" s="2" t="n">
        <v>10.2</v>
      </c>
      <c r="AN6" s="2" t="n"/>
      <c r="AO6" s="2" t="inlineStr">
        <is>
          <t>2008</t>
        </is>
      </c>
      <c r="AP6" s="2" t="n">
        <v>2008</v>
      </c>
      <c r="AQ6" s="2" t="n"/>
      <c r="AR6" s="2" t="inlineStr">
        <is>
          <t>B</t>
        </is>
      </c>
      <c r="AS6" s="2" t="inlineStr">
        <is>
          <t>anuncio</t>
        </is>
      </c>
      <c r="AT6" s="2" t="n">
        <v>2007</v>
      </c>
      <c r="AU6" s="2" t="inlineStr">
        <is>
          <t>no</t>
        </is>
      </c>
      <c r="AV6" s="2" t="inlineStr">
        <is>
          <t>no</t>
        </is>
      </c>
      <c r="AW6" s="2" t="n">
        <v>5000</v>
      </c>
      <c r="AX6" s="2" t="n">
        <v>11</v>
      </c>
      <c r="AY6" s="2" t="inlineStr">
        <is>
          <t>modelo+año</t>
        </is>
      </c>
      <c r="AZ6" s="2" t="n"/>
      <c r="BA6"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no menciona la ITV</t>
        </is>
      </c>
      <c r="BB6" s="2" t="inlineStr">
        <is>
          <t>Este Mazda2 Active 1.4 CRTD es un compacto versátil y eficiente, diseñado para quienes buscan un vehículo manejable en ciudad sin renunciar a la practicidad. Su motor diésel de 1.4 litros ofrece un consumo moderado —4,3 l/100 km en ciclo mixto— con par disponible desde bajas revoluciones, lo que facilita la conducción en tráfico urbano y en carreteras secundarias.
El interior aprovecha bien el espacio disponible con asientos delanteros individuales ajustables en altura y respaldo trasero abatible asimétrico, permitiendo ampliar la capacidad de carga hasta 787 litros con los asientos plegados. La dirección asistida con endurecimiento progresivo y la suspensión independiente delantera proporcionan una respuesta equilibrada en diferentes condiciones de circulación.
En cuanto a equipamiento, este vehículo integra climatizador automático, elevalunas eléctricos en todas las puertas, cierre centralizado con mando a distancia, y un sistema de audio con radio AM/FM, lector de CD para MP3 y mandos en el volante. La seguridad se refuerza con airbags frontales inteligentes, laterales delanteros y de cortina, además de ABS en las cuatro ruedas y preparación Isofix para sistemas de retención infantil.
Los cristales tintados, retrovisores exteriores eléctricos y desempañables, así como los limpiaparabrisas con intermitencia, completan el equipamiento de confort. Este ejemplar cuenta con etiqueta medioambiental B, lo que permite acceso a las ciudades con regulación de zonas de bajas emisi</t>
        </is>
      </c>
      <c r="BC6" s="2" t="inlineStr">
        <is>
          <t>https://www.coches.net/mazda-mazda2-active-14-crtd-5p-diesel-2007-en-valencia-71265682-covo.aspx (window.__INITIAL_PROPS__.ad) /home/user/Alopecia/buscador-coches/raw/cochesnet/5cd5d6b176a66f9b.json</t>
        </is>
      </c>
      <c r="BD6" s="3">
        <f>MAX(ANIO_ACTUAL-M6,0)</f>
        <v/>
      </c>
      <c r="BE6" s="4">
        <f>N6/MAX(BD6,0.5)</f>
        <v/>
      </c>
      <c r="BF6" s="4">
        <f>F6</f>
        <v/>
      </c>
      <c r="BG6" s="3">
        <f>BF6&amp;"|"&amp;INT(M6/SEG_ANIO)*SEG_ANIO</f>
        <v/>
      </c>
      <c r="BH6" s="3">
        <f>BG6&amp;"|"&amp;INT(N6/SEG_KM)*SEG_KM</f>
        <v/>
      </c>
      <c r="BI6" s="4">
        <f>COUNTIF($BF$2:$BF$101,BF6)</f>
        <v/>
      </c>
      <c r="BJ6" s="4">
        <f>COUNTIF($BG$2:$BG$101,BG6)</f>
        <v/>
      </c>
      <c r="BK6" s="4">
        <f>COUNTIF($BH$2:$BH$101,BH6)</f>
        <v/>
      </c>
      <c r="BL6" s="3">
        <f t="array" ref="BL6">IF(N(AX6)&gt;=MIN_N,AW6,IF(BK6&gt;=MIN_N,MEDIAN(IF($BH$2:$BH$101=BH6,$O$2:$O$101)),IF(BJ6&gt;=MIN_N,MEDIAN(IF($BG$2:$BG$101=BG6,$O$2:$O$101)),MEDIAN(IF($BF$2:$BF$101=BF6,$O$2:$O$101)))))</f>
        <v/>
      </c>
      <c r="BM6" s="3">
        <f>IF(N(AX6)&gt;=MIN_N,"mercado "&amp;AY6,IF(BK6&gt;=MIN_N,"modelo+año+km",IF(BJ6&gt;=MIN_N,"modelo+año","modelo")))</f>
        <v/>
      </c>
      <c r="BN6" s="4">
        <f>(BL6-O6)/BL6</f>
        <v/>
      </c>
      <c r="BO6" s="3">
        <f>IF(COUNTIFS(FR_FUEL,K6,FR_YEAR,AP6)&gt;0,1,0)</f>
        <v/>
      </c>
      <c r="BP6" s="3">
        <f>IF(COUNTIFS(FR_FUEL,K6,FR_YEAR,AP6-1)&gt;0,1,0)</f>
        <v/>
      </c>
      <c r="BQ6" s="4">
        <f>IF(N(AQ6)&gt;0,AP6*100+AQ6,IF(AND(BO6=1,BP6=1),(AP6-1)*100+1,AP6*100+1))</f>
        <v/>
      </c>
      <c r="BR6" s="3">
        <f>IF(OR(K6="hibrido",K6="glp",K6="gnc",K6="phev"),"ECO",IF(K6="electrico","CERO",IF(K6="gasolina",IF(BQ6&gt;=GAS_C_YM,"C",IF(BQ6&gt;=GAS_B_YM,"B","A")),IF(K6="diesel",IF(BQ6&gt;=DIE_C_YM,"C",IF(BQ6&gt;=DIE_B_YM,"B","A")),""))))</f>
        <v/>
      </c>
      <c r="BS6" s="2" t="inlineStr">
        <is>
          <t>B</t>
        </is>
      </c>
      <c r="BT6" s="4">
        <f>IF(AU6="sí","sí",IF(AS6="regla",IF(AND(N(AQ6)=0,BO6=1),"sí","no"),"no"))</f>
        <v/>
      </c>
      <c r="BU6" s="3">
        <f>IFERROR(VLOOKUP(F6,MOD_TBL,16,0),IFERROR(VLOOKUP(E6,OCU_TBL,2,0),NEUTRO))</f>
        <v/>
      </c>
      <c r="BV6" s="3">
        <f>SUMIFS(MOT_AJUSTE,MOT_MOTOR,G6,MOT_MARCA,E6,MOT_DESDE,"&lt;="&amp;M6,MOT_HASTA,"&gt;="&amp;M6)+SUMIFS(MOT_AJUSTE,MOT_MOTOR,G6,MOT_MARCA,"(todas)",MOT_DESDE,"&lt;="&amp;M6,MOT_HASTA,"&gt;="&amp;M6)+SUMIFS(MOT_AJUSTE,MOT_MOTOR,"(cualquiera)",MOT_MARCA,E6,MOT_DESDE,"&lt;="&amp;M6,MOT_HASTA,"&gt;="&amp;M6)</f>
        <v/>
      </c>
      <c r="BW6" s="3">
        <f>SUMIFS(COMB_AJUSTE,COMB_COMB,K6)</f>
        <v/>
      </c>
      <c r="BX6" s="3">
        <f>COUNTIFS(MOT_MOTOR,G6,MOT_MARCA,E6,MOT_DESDE,"&lt;="&amp;M6,MOT_HASTA,"&gt;="&amp;M6)+COUNTIFS(MOT_MOTOR,G6,MOT_MARCA,"(todas)",MOT_DESDE,"&lt;="&amp;M6,MOT_HASTA,"&gt;="&amp;M6)+COUNTIFS(MOT_MOTOR,"(cualquiera)",MOT_MARCA,E6,MOT_DESDE,"&lt;="&amp;M6,MOT_HASTA,"&gt;="&amp;M6)</f>
        <v/>
      </c>
      <c r="BY6" s="3">
        <f>IF(AND(K6="diesel",BX6=0),MIN(BU6,NEUTRO),BU6)</f>
        <v/>
      </c>
      <c r="BZ6" s="3">
        <f>MAX(0,MIN(100,BY6+BV6+BW6-IF(AV6="sí",ROB_PEN,0)))</f>
        <v/>
      </c>
      <c r="CA6" s="3">
        <f>100-MAX(0,N6-KM_TOPE_DESDE)/1000*KM_TOPE_PTS</f>
        <v/>
      </c>
      <c r="CB6" s="3">
        <f>MAX(0,MIN(100,50+BN6*PRECIO_PEND,CA6))</f>
        <v/>
      </c>
      <c r="CC6" s="3">
        <f>MAX(0,100*(1-N6/KM_MAX))</f>
        <v/>
      </c>
      <c r="CD6" s="3">
        <f>IF(BE6&lt;KMA_SOSP,IF(AA6="sí",100,KMA_PEN),IF(BE6&lt;=KMA_IDEAL_MAX,100,MAX(0,100*(KMA_CERO-BE6)/(KMA_CERO-KMA_IDEAL_MAX))))</f>
        <v/>
      </c>
      <c r="CE6" s="3">
        <f>MAX(0,MIN(100,100*(M6-ANIO_MIN)/(ANIO_ACTUAL-ANIO_MIN)))</f>
        <v/>
      </c>
      <c r="CF6" s="3">
        <f>W_KMT*CC6+W_KMA*CD6+W_EDAD*CE6</f>
        <v/>
      </c>
      <c r="CG6" s="3">
        <f>P_ITV*(V6="sí")+P_LIBRO*(W6="sí")+P_CORREA*(X6="sí")+P_PROP*(Y6=1)+P_GAR*(Z6="sí")+P_FOTOS*MIN(1,N(U6)/FOTOS_OBJ)</f>
        <v/>
      </c>
      <c r="CH6" s="3">
        <f>MAX(0,MIN(100,IFERROR(VLOOKUP(BS6,ETQ_TBL,2,0),0)-IF(BT6="sí",ETQ_PEN_DUD,IF(AS6="regla",ETQ_PEN_REGLA,0))))</f>
        <v/>
      </c>
      <c r="CI6" s="3">
        <f>NEUTRO</f>
        <v/>
      </c>
      <c r="CJ6" s="3">
        <f>IFERROR(VLOOKUP(L6,SEGURO_TBL,3,0),"")</f>
        <v/>
      </c>
      <c r="CK6" s="3">
        <f>IF(CJ6="",NEUTRO,MAX(0,MIN(100,100*(SEG_REF_MAX-CJ6)/(SEG_REF_MAX-SEG_REF_MIN))))</f>
        <v/>
      </c>
      <c r="CL6" s="3">
        <f>W_CONS*CI6+W_SEG*CK6</f>
        <v/>
      </c>
      <c r="CM6" s="3">
        <f>IF(N(AB6)&gt;0,AB6,IF(AND(R6="profesional",SG_LEGAL_ON=1),GAR_LEGAL,0))</f>
        <v/>
      </c>
      <c r="CN6" s="3">
        <f>SG_GAR*MIN(1,CM6/SG_GAR_FULL)+SG_AMPL*(AC6="sí")+SG_KMC*(AF6="sí")+SG_REV*(N(AE6)&gt;0)+SG_DEV*MIN(1,N(AG6)/SG_DEV_FULL)+SG_HIST*(W6="sí")</f>
        <v/>
      </c>
      <c r="CO6" s="3">
        <f>IFERROR(VLOOKUP(L6,CARR_PEN_TBL,2,0),0)</f>
        <v/>
      </c>
      <c r="CP6" s="3">
        <f>W_FIAB*BZ6+W_PRECIO*CB6+W_KMEDAD*CF6+W_ANUNCIO*CG6+W_USO*CL6+W_SEGURIDAD*CN6+W_ETIQUETA*CH6-CO6</f>
        <v/>
      </c>
      <c r="CQ6" s="4">
        <f>IF(N(I6)&gt;0,I6,IFERROR(ROUND(_xlfn.NUMBERVALUE(LEFT(G6,FIND(" ",G6&amp;" ")-1),".")*1000,0),99999))</f>
        <v/>
      </c>
      <c r="CR6" s="3">
        <f>IF(R6="profesional",0,IF(O6&lt;CUOTA_VALOR_MAX,IF(BD6&gt;ITP_TRAMO_ALTO,SUMIFS(CF_CUOTA,CF_MAS,ITP_TRAMO_ALTO,CF_CCMIN,"&lt;="&amp;CQ6,CF_CCMAX,"&gt;="&amp;CQ6),IF(BD6&gt;ITP_TRAMO_BAJO,SUMIFS(CF_CUOTA,CF_MAS,ITP_TRAMO_BAJO,CF_CCMIN,"&lt;="&amp;CQ6,CF_CCMAX,"&gt;="&amp;CQ6),O6*ITP_TIPO)),O6*ITP_TIPO))</f>
        <v/>
      </c>
      <c r="CS6" s="4">
        <f>IF(R6="profesional",N(AK6),0)</f>
        <v/>
      </c>
      <c r="CT6" s="3">
        <f>IF(AND(R6="profesional",ISNUMBER(AK6),AL6="sí"),0,TASA_DGT)</f>
        <v/>
      </c>
      <c r="CU6" s="3">
        <f>INFORME_DGT</f>
        <v/>
      </c>
      <c r="CV6" s="4">
        <f>O6+CS6+CR6+CT6+CU6</f>
        <v/>
      </c>
      <c r="CW6" s="4">
        <f>CV6+N(CJ6)</f>
        <v/>
      </c>
      <c r="CX6" s="3">
        <f>IF(CV6&lt;=TOTAL_MAX,"sí",IF(CV6&lt;=TOTAL_MAX+MARGEN_NEG,"negociar","no"))</f>
        <v/>
      </c>
      <c r="CY6" s="4">
        <f>IF(CX6&lt;&gt;"no",COUNTIFS($CX$2:$CX$101,"&lt;&gt;no",$CP$2:$CP$101,"&gt;"&amp;CP6)+COUNTIFS($CX$2:CX6,"&lt;&gt;no",$CP$2:CP6,CP6),"")</f>
        <v/>
      </c>
    </row>
    <row r="7">
      <c r="A7" s="2" t="inlineStr">
        <is>
          <t>cochesnet:71817386</t>
        </is>
      </c>
      <c r="B7" s="2" t="inlineStr">
        <is>
          <t>cochesnet</t>
        </is>
      </c>
      <c r="C7" s="2" t="inlineStr">
        <is>
          <t>https://www.coches.net/kia-picanto-10-sohc-concept-5p-gasolina-2010-en-valencia-71817386-covo.aspx</t>
        </is>
      </c>
      <c r="D7" s="2" t="inlineStr">
        <is>
          <t>KIA Picanto 1.0 SOHC Concept</t>
        </is>
      </c>
      <c r="E7" s="2" t="inlineStr">
        <is>
          <t>Kia</t>
        </is>
      </c>
      <c r="F7" s="2" t="inlineStr">
        <is>
          <t>Kia Picanto</t>
        </is>
      </c>
      <c r="G7" s="2" t="inlineStr">
        <is>
          <t>1.0</t>
        </is>
      </c>
      <c r="H7" s="2" t="inlineStr">
        <is>
          <t>1.0 SOHC Concept</t>
        </is>
      </c>
      <c r="I7" s="2" t="n"/>
      <c r="J7" s="2" t="n"/>
      <c r="K7" s="2" t="inlineStr">
        <is>
          <t>gasolina</t>
        </is>
      </c>
      <c r="L7" s="2" t="inlineStr">
        <is>
          <t>utilitario</t>
        </is>
      </c>
      <c r="M7" s="2" t="n">
        <v>2010</v>
      </c>
      <c r="N7" s="2" t="n">
        <v>99500</v>
      </c>
      <c r="O7" s="2" t="n">
        <v>4490</v>
      </c>
      <c r="P7" s="2" t="inlineStr">
        <is>
          <t>manual</t>
        </is>
      </c>
      <c r="Q7" s="2" t="inlineStr">
        <is>
          <t>no</t>
        </is>
      </c>
      <c r="R7" s="2" t="inlineStr">
        <is>
          <t>profesional</t>
        </is>
      </c>
      <c r="S7" s="2" t="inlineStr">
        <is>
          <t>JM Automóviles Alboraya</t>
        </is>
      </c>
      <c r="T7" s="2" t="inlineStr">
        <is>
          <t>2026-10-23T14:17:23Z</t>
        </is>
      </c>
      <c r="U7" s="2" t="n">
        <v>17</v>
      </c>
      <c r="V7" s="2" t="n"/>
      <c r="W7" s="2" t="n"/>
      <c r="X7" s="2" t="n"/>
      <c r="Y7" s="2" t="n"/>
      <c r="Z7" s="2" t="inlineStr">
        <is>
          <t>sí</t>
        </is>
      </c>
      <c r="AA7" s="2" t="n"/>
      <c r="AB7" s="2" t="n">
        <v>12</v>
      </c>
      <c r="AC7" s="2" t="n"/>
      <c r="AD7" s="2" t="n"/>
      <c r="AE7" s="2" t="n"/>
      <c r="AF7" s="2" t="n"/>
      <c r="AG7" s="2" t="n"/>
      <c r="AH7" s="2" t="n">
        <v>4490</v>
      </c>
      <c r="AI7" s="2" t="n">
        <v>4490</v>
      </c>
      <c r="AJ7" s="2" t="n"/>
      <c r="AK7" s="2" t="n"/>
      <c r="AL7" s="2" t="n"/>
      <c r="AM7" s="2" t="n">
        <v>4</v>
      </c>
      <c r="AN7" s="2" t="n"/>
      <c r="AO7" s="2" t="inlineStr">
        <is>
          <t>2010</t>
        </is>
      </c>
      <c r="AP7" s="2" t="n">
        <v>2010</v>
      </c>
      <c r="AQ7" s="2" t="n"/>
      <c r="AR7" s="2" t="inlineStr">
        <is>
          <t>C</t>
        </is>
      </c>
      <c r="AS7" s="2" t="inlineStr">
        <is>
          <t>anuncio</t>
        </is>
      </c>
      <c r="AT7" s="2" t="n"/>
      <c r="AU7" s="2" t="inlineStr">
        <is>
          <t>no</t>
        </is>
      </c>
      <c r="AV7" s="2" t="inlineStr">
        <is>
          <t>no</t>
        </is>
      </c>
      <c r="AW7" s="2" t="n"/>
      <c r="AX7" s="2" t="n"/>
      <c r="AY7" s="2" t="n"/>
      <c r="AZ7" s="2" t="n"/>
      <c r="BA7" s="2" t="inlineStr">
        <is>
          <t>vendedor profesional: sin ITP (operación con IVA/REBU, confirmar en factura); gastos de gestión del vendedor no indicados: se suma la tasa DGT; preguntar el precio final; revisar: no menciona la ITV</t>
        </is>
      </c>
      <c r="BB7"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BC7" s="2" t="inlineStr">
        <is>
          <t>https://www.coches.net/kia-picanto-10-sohc-concept-5p-gasolina-2010-en-valencia-71817386-covo.aspx (window.__INITIAL_PROPS__.ad) /home/user/Alopecia/buscador-coches/raw/cochesnet/7d779d6ecf209f81.json</t>
        </is>
      </c>
      <c r="BD7" s="3">
        <f>MAX(ANIO_ACTUAL-M7,0)</f>
        <v/>
      </c>
      <c r="BE7" s="4">
        <f>N7/MAX(BD7,0.5)</f>
        <v/>
      </c>
      <c r="BF7" s="4">
        <f>F7</f>
        <v/>
      </c>
      <c r="BG7" s="3">
        <f>BF7&amp;"|"&amp;INT(M7/SEG_ANIO)*SEG_ANIO</f>
        <v/>
      </c>
      <c r="BH7" s="3">
        <f>BG7&amp;"|"&amp;INT(N7/SEG_KM)*SEG_KM</f>
        <v/>
      </c>
      <c r="BI7" s="4">
        <f>COUNTIF($BF$2:$BF$101,BF7)</f>
        <v/>
      </c>
      <c r="BJ7" s="4">
        <f>COUNTIF($BG$2:$BG$101,BG7)</f>
        <v/>
      </c>
      <c r="BK7" s="4">
        <f>COUNTIF($BH$2:$BH$101,BH7)</f>
        <v/>
      </c>
      <c r="BL7" s="3">
        <f t="array" ref="BL7">IF(N(AX7)&gt;=MIN_N,AW7,IF(BK7&gt;=MIN_N,MEDIAN(IF($BH$2:$BH$101=BH7,$O$2:$O$101)),IF(BJ7&gt;=MIN_N,MEDIAN(IF($BG$2:$BG$101=BG7,$O$2:$O$101)),MEDIAN(IF($BF$2:$BF$101=BF7,$O$2:$O$101)))))</f>
        <v/>
      </c>
      <c r="BM7" s="3">
        <f>IF(N(AX7)&gt;=MIN_N,"mercado "&amp;AY7,IF(BK7&gt;=MIN_N,"modelo+año+km",IF(BJ7&gt;=MIN_N,"modelo+año","modelo")))</f>
        <v/>
      </c>
      <c r="BN7" s="4">
        <f>(BL7-O7)/BL7</f>
        <v/>
      </c>
      <c r="BO7" s="3">
        <f>IF(COUNTIFS(FR_FUEL,K7,FR_YEAR,AP7)&gt;0,1,0)</f>
        <v/>
      </c>
      <c r="BP7" s="3">
        <f>IF(COUNTIFS(FR_FUEL,K7,FR_YEAR,AP7-1)&gt;0,1,0)</f>
        <v/>
      </c>
      <c r="BQ7" s="4">
        <f>IF(N(AQ7)&gt;0,AP7*100+AQ7,IF(AND(BO7=1,BP7=1),(AP7-1)*100+1,AP7*100+1))</f>
        <v/>
      </c>
      <c r="BR7" s="3">
        <f>IF(OR(K7="hibrido",K7="glp",K7="gnc",K7="phev"),"ECO",IF(K7="electrico","CERO",IF(K7="gasolina",IF(BQ7&gt;=GAS_C_YM,"C",IF(BQ7&gt;=GAS_B_YM,"B","A")),IF(K7="diesel",IF(BQ7&gt;=DIE_C_YM,"C",IF(BQ7&gt;=DIE_B_YM,"B","A")),""))))</f>
        <v/>
      </c>
      <c r="BS7" s="2" t="inlineStr">
        <is>
          <t>C</t>
        </is>
      </c>
      <c r="BT7" s="4">
        <f>IF(AU7="sí","sí",IF(AS7="regla",IF(AND(N(AQ7)=0,BO7=1),"sí","no"),"no"))</f>
        <v/>
      </c>
      <c r="BU7" s="3">
        <f>IFERROR(VLOOKUP(F7,MOD_TBL,16,0),IFERROR(VLOOKUP(E7,OCU_TBL,2,0),NEUTRO))</f>
        <v/>
      </c>
      <c r="BV7" s="3">
        <f>SUMIFS(MOT_AJUSTE,MOT_MOTOR,G7,MOT_MARCA,E7,MOT_DESDE,"&lt;="&amp;M7,MOT_HASTA,"&gt;="&amp;M7)+SUMIFS(MOT_AJUSTE,MOT_MOTOR,G7,MOT_MARCA,"(todas)",MOT_DESDE,"&lt;="&amp;M7,MOT_HASTA,"&gt;="&amp;M7)+SUMIFS(MOT_AJUSTE,MOT_MOTOR,"(cualquiera)",MOT_MARCA,E7,MOT_DESDE,"&lt;="&amp;M7,MOT_HASTA,"&gt;="&amp;M7)</f>
        <v/>
      </c>
      <c r="BW7" s="3">
        <f>SUMIFS(COMB_AJUSTE,COMB_COMB,K7)</f>
        <v/>
      </c>
      <c r="BX7" s="3">
        <f>COUNTIFS(MOT_MOTOR,G7,MOT_MARCA,E7,MOT_DESDE,"&lt;="&amp;M7,MOT_HASTA,"&gt;="&amp;M7)+COUNTIFS(MOT_MOTOR,G7,MOT_MARCA,"(todas)",MOT_DESDE,"&lt;="&amp;M7,MOT_HASTA,"&gt;="&amp;M7)+COUNTIFS(MOT_MOTOR,"(cualquiera)",MOT_MARCA,E7,MOT_DESDE,"&lt;="&amp;M7,MOT_HASTA,"&gt;="&amp;M7)</f>
        <v/>
      </c>
      <c r="BY7" s="3">
        <f>IF(AND(K7="diesel",BX7=0),MIN(BU7,NEUTRO),BU7)</f>
        <v/>
      </c>
      <c r="BZ7" s="3">
        <f>MAX(0,MIN(100,BY7+BV7+BW7-IF(AV7="sí",ROB_PEN,0)))</f>
        <v/>
      </c>
      <c r="CA7" s="3">
        <f>100-MAX(0,N7-KM_TOPE_DESDE)/1000*KM_TOPE_PTS</f>
        <v/>
      </c>
      <c r="CB7" s="3">
        <f>MAX(0,MIN(100,50+BN7*PRECIO_PEND,CA7))</f>
        <v/>
      </c>
      <c r="CC7" s="3">
        <f>MAX(0,100*(1-N7/KM_MAX))</f>
        <v/>
      </c>
      <c r="CD7" s="3">
        <f>IF(BE7&lt;KMA_SOSP,IF(AA7="sí",100,KMA_PEN),IF(BE7&lt;=KMA_IDEAL_MAX,100,MAX(0,100*(KMA_CERO-BE7)/(KMA_CERO-KMA_IDEAL_MAX))))</f>
        <v/>
      </c>
      <c r="CE7" s="3">
        <f>MAX(0,MIN(100,100*(M7-ANIO_MIN)/(ANIO_ACTUAL-ANIO_MIN)))</f>
        <v/>
      </c>
      <c r="CF7" s="3">
        <f>W_KMT*CC7+W_KMA*CD7+W_EDAD*CE7</f>
        <v/>
      </c>
      <c r="CG7" s="3">
        <f>P_ITV*(V7="sí")+P_LIBRO*(W7="sí")+P_CORREA*(X7="sí")+P_PROP*(Y7=1)+P_GAR*(Z7="sí")+P_FOTOS*MIN(1,N(U7)/FOTOS_OBJ)</f>
        <v/>
      </c>
      <c r="CH7" s="3">
        <f>MAX(0,MIN(100,IFERROR(VLOOKUP(BS7,ETQ_TBL,2,0),0)-IF(BT7="sí",ETQ_PEN_DUD,IF(AS7="regla",ETQ_PEN_REGLA,0))))</f>
        <v/>
      </c>
      <c r="CI7" s="3">
        <f>NEUTRO</f>
        <v/>
      </c>
      <c r="CJ7" s="3">
        <f>IFERROR(VLOOKUP(L7,SEGURO_TBL,3,0),"")</f>
        <v/>
      </c>
      <c r="CK7" s="3">
        <f>IF(CJ7="",NEUTRO,MAX(0,MIN(100,100*(SEG_REF_MAX-CJ7)/(SEG_REF_MAX-SEG_REF_MIN))))</f>
        <v/>
      </c>
      <c r="CL7" s="3">
        <f>W_CONS*CI7+W_SEG*CK7</f>
        <v/>
      </c>
      <c r="CM7" s="3">
        <f>IF(N(AB7)&gt;0,AB7,IF(AND(R7="profesional",SG_LEGAL_ON=1),GAR_LEGAL,0))</f>
        <v/>
      </c>
      <c r="CN7" s="3">
        <f>SG_GAR*MIN(1,CM7/SG_GAR_FULL)+SG_AMPL*(AC7="sí")+SG_KMC*(AF7="sí")+SG_REV*(N(AE7)&gt;0)+SG_DEV*MIN(1,N(AG7)/SG_DEV_FULL)+SG_HIST*(W7="sí")</f>
        <v/>
      </c>
      <c r="CO7" s="3">
        <f>IFERROR(VLOOKUP(L7,CARR_PEN_TBL,2,0),0)</f>
        <v/>
      </c>
      <c r="CP7" s="3">
        <f>W_FIAB*BZ7+W_PRECIO*CB7+W_KMEDAD*CF7+W_ANUNCIO*CG7+W_USO*CL7+W_SEGURIDAD*CN7+W_ETIQUETA*CH7-CO7</f>
        <v/>
      </c>
      <c r="CQ7" s="4">
        <f>IF(N(I7)&gt;0,I7,IFERROR(ROUND(_xlfn.NUMBERVALUE(LEFT(G7,FIND(" ",G7&amp;" ")-1),".")*1000,0),99999))</f>
        <v/>
      </c>
      <c r="CR7" s="3">
        <f>IF(R7="profesional",0,IF(O7&lt;CUOTA_VALOR_MAX,IF(BD7&gt;ITP_TRAMO_ALTO,SUMIFS(CF_CUOTA,CF_MAS,ITP_TRAMO_ALTO,CF_CCMIN,"&lt;="&amp;CQ7,CF_CCMAX,"&gt;="&amp;CQ7),IF(BD7&gt;ITP_TRAMO_BAJO,SUMIFS(CF_CUOTA,CF_MAS,ITP_TRAMO_BAJO,CF_CCMIN,"&lt;="&amp;CQ7,CF_CCMAX,"&gt;="&amp;CQ7),O7*ITP_TIPO)),O7*ITP_TIPO))</f>
        <v/>
      </c>
      <c r="CS7" s="4">
        <f>IF(R7="profesional",N(AK7),0)</f>
        <v/>
      </c>
      <c r="CT7" s="3">
        <f>IF(AND(R7="profesional",ISNUMBER(AK7),AL7="sí"),0,TASA_DGT)</f>
        <v/>
      </c>
      <c r="CU7" s="3">
        <f>INFORME_DGT</f>
        <v/>
      </c>
      <c r="CV7" s="4">
        <f>O7+CS7+CR7+CT7+CU7</f>
        <v/>
      </c>
      <c r="CW7" s="4">
        <f>CV7+N(CJ7)</f>
        <v/>
      </c>
      <c r="CX7" s="3">
        <f>IF(CV7&lt;=TOTAL_MAX,"sí",IF(CV7&lt;=TOTAL_MAX+MARGEN_NEG,"negociar","no"))</f>
        <v/>
      </c>
      <c r="CY7" s="4">
        <f>IF(CX7&lt;&gt;"no",COUNTIFS($CX$2:$CX$101,"&lt;&gt;no",$CP$2:$CP$101,"&gt;"&amp;CP7)+COUNTIFS($CX$2:CX7,"&lt;&gt;no",$CP$2:CP7,CP7),"")</f>
        <v/>
      </c>
    </row>
    <row r="8">
      <c r="A8" s="2" t="inlineStr">
        <is>
          <t>cochesnet:71571543</t>
        </is>
      </c>
      <c r="B8" s="2" t="inlineStr">
        <is>
          <t>cochesnet</t>
        </is>
      </c>
      <c r="C8" s="2" t="inlineStr">
        <is>
          <t>https://www.coches.net/hyundai-i10-11-comfort-5p-gasolina-2008-en-valencia-71571543-covo.aspx</t>
        </is>
      </c>
      <c r="D8" s="2" t="inlineStr">
        <is>
          <t>HYUNDAI i10 1.1 Comfort</t>
        </is>
      </c>
      <c r="E8" s="2" t="inlineStr">
        <is>
          <t>Hyundai</t>
        </is>
      </c>
      <c r="F8" s="2" t="inlineStr">
        <is>
          <t>Hyundai i10</t>
        </is>
      </c>
      <c r="G8" s="2" t="inlineStr">
        <is>
          <t>1.1</t>
        </is>
      </c>
      <c r="H8" s="2" t="inlineStr">
        <is>
          <t>1.1 Comfort</t>
        </is>
      </c>
      <c r="I8" s="2" t="n"/>
      <c r="J8" s="2" t="n"/>
      <c r="K8" s="2" t="inlineStr">
        <is>
          <t>gasolina</t>
        </is>
      </c>
      <c r="L8" s="2" t="inlineStr">
        <is>
          <t>utilitario</t>
        </is>
      </c>
      <c r="M8" s="2" t="n">
        <v>2009</v>
      </c>
      <c r="N8" s="2" t="n">
        <v>156200</v>
      </c>
      <c r="O8" s="2" t="n">
        <v>3990</v>
      </c>
      <c r="P8" s="2" t="inlineStr">
        <is>
          <t>manual</t>
        </is>
      </c>
      <c r="Q8" s="2" t="inlineStr">
        <is>
          <t>no</t>
        </is>
      </c>
      <c r="R8" s="2" t="inlineStr">
        <is>
          <t>profesional</t>
        </is>
      </c>
      <c r="S8" s="2" t="inlineStr">
        <is>
          <t>AUTOSCOL Torrent</t>
        </is>
      </c>
      <c r="T8" s="2" t="inlineStr">
        <is>
          <t>2026-09-22T15:23:36Z</t>
        </is>
      </c>
      <c r="U8" s="2" t="n">
        <v>14</v>
      </c>
      <c r="V8" s="2" t="n"/>
      <c r="W8" s="2" t="n"/>
      <c r="X8" s="2" t="n"/>
      <c r="Y8" s="2" t="n"/>
      <c r="Z8" s="2" t="inlineStr">
        <is>
          <t>sí</t>
        </is>
      </c>
      <c r="AA8" s="2" t="n"/>
      <c r="AB8" s="2" t="n">
        <v>12</v>
      </c>
      <c r="AC8" s="2" t="n"/>
      <c r="AD8" s="2" t="n"/>
      <c r="AE8" s="2" t="n"/>
      <c r="AF8" s="2" t="n"/>
      <c r="AG8" s="2" t="n"/>
      <c r="AH8" s="2" t="n">
        <v>3990</v>
      </c>
      <c r="AI8" s="2" t="n"/>
      <c r="AJ8" s="2" t="n"/>
      <c r="AK8" s="2" t="n"/>
      <c r="AL8" s="2" t="n"/>
      <c r="AM8" s="2" t="n">
        <v>8.800000000000001</v>
      </c>
      <c r="AN8" s="2" t="n"/>
      <c r="AO8" s="2" t="inlineStr">
        <is>
          <t>2009</t>
        </is>
      </c>
      <c r="AP8" s="2" t="n">
        <v>2009</v>
      </c>
      <c r="AQ8" s="2" t="n"/>
      <c r="AR8" s="2" t="inlineStr">
        <is>
          <t>C</t>
        </is>
      </c>
      <c r="AS8" s="2" t="inlineStr">
        <is>
          <t>anuncio</t>
        </is>
      </c>
      <c r="AT8" s="2" t="n">
        <v>2008</v>
      </c>
      <c r="AU8" s="2" t="inlineStr">
        <is>
          <t>no</t>
        </is>
      </c>
      <c r="AV8" s="2" t="inlineStr">
        <is>
          <t>no</t>
        </is>
      </c>
      <c r="AW8" s="2" t="n"/>
      <c r="AX8" s="2" t="n"/>
      <c r="AY8" s="2" t="n"/>
      <c r="AZ8" s="2" t="n"/>
      <c r="BA8" s="2" t="inlineStr">
        <is>
          <t>año a confirmar: la URL/título dice 2008; vendedor profesional: sin ITP (operación con IVA/REBU, confirmar en factura); gastos de gestión del vendedor no indicados: se suma la tasa DGT; preguntar el precio final; revisar: no menciona la ITV; mediana con solo 1 anuncio(s)</t>
        </is>
      </c>
      <c r="BB8" s="2" t="inlineStr">
        <is>
          <t>HYUNDAI i10 1.1 67 CV – AÑO 2009
156.200 km reales
Gasolina | Cambio manual | 5 puertas
Color negro
Distintivo ambiental: Etiqueta C
Sin daños ni accidentes
2 llaves
Coche revisado y preparado en nuestras instalaciones antes de la venta. Motor 1.1 muy económico en consumo, fiable y barato de mantener, con recambios asequibles.
Compacto, fácil de aparcar y muy ágil en ciudad. Ideal como primer coche o para uso diario.
PRECIO: 4.100 €
Garantía de 12 meses
Cambio de nombre: 180 €
Somos profesionales del sector, compraventa de vehículos de ocasión en Valencia. Facturamos y entregamos toda la documentación en regla.
Escríbenos para más fotos o para venir a verlo y probarlo sin compromiso.
También compramos y tasamos tu coche.
Hyundai I10 en Torrent</t>
        </is>
      </c>
      <c r="BC8" s="2" t="inlineStr">
        <is>
          <t>https://www.coches.net/hyundai-i10-11-comfort-5p-gasolina-2008-en-valencia-71571543-covo.aspx (window.__INITIAL_PROPS__.ad) /home/user/Alopecia/buscador-coches/raw/cochesnet/c455b74c0156ef32.json</t>
        </is>
      </c>
      <c r="BD8" s="3">
        <f>MAX(ANIO_ACTUAL-M8,0)</f>
        <v/>
      </c>
      <c r="BE8" s="4">
        <f>N8/MAX(BD8,0.5)</f>
        <v/>
      </c>
      <c r="BF8" s="4">
        <f>F8</f>
        <v/>
      </c>
      <c r="BG8" s="3">
        <f>BF8&amp;"|"&amp;INT(M8/SEG_ANIO)*SEG_ANIO</f>
        <v/>
      </c>
      <c r="BH8" s="3">
        <f>BG8&amp;"|"&amp;INT(N8/SEG_KM)*SEG_KM</f>
        <v/>
      </c>
      <c r="BI8" s="4">
        <f>COUNTIF($BF$2:$BF$101,BF8)</f>
        <v/>
      </c>
      <c r="BJ8" s="4">
        <f>COUNTIF($BG$2:$BG$101,BG8)</f>
        <v/>
      </c>
      <c r="BK8" s="4">
        <f>COUNTIF($BH$2:$BH$101,BH8)</f>
        <v/>
      </c>
      <c r="BL8" s="3">
        <f t="array" ref="BL8">IF(N(AX8)&gt;=MIN_N,AW8,IF(BK8&gt;=MIN_N,MEDIAN(IF($BH$2:$BH$101=BH8,$O$2:$O$101)),IF(BJ8&gt;=MIN_N,MEDIAN(IF($BG$2:$BG$101=BG8,$O$2:$O$101)),MEDIAN(IF($BF$2:$BF$101=BF8,$O$2:$O$101)))))</f>
        <v/>
      </c>
      <c r="BM8" s="3">
        <f>IF(N(AX8)&gt;=MIN_N,"mercado "&amp;AY8,IF(BK8&gt;=MIN_N,"modelo+año+km",IF(BJ8&gt;=MIN_N,"modelo+año","modelo")))</f>
        <v/>
      </c>
      <c r="BN8" s="4">
        <f>(BL8-O8)/BL8</f>
        <v/>
      </c>
      <c r="BO8" s="3">
        <f>IF(COUNTIFS(FR_FUEL,K8,FR_YEAR,AP8)&gt;0,1,0)</f>
        <v/>
      </c>
      <c r="BP8" s="3">
        <f>IF(COUNTIFS(FR_FUEL,K8,FR_YEAR,AP8-1)&gt;0,1,0)</f>
        <v/>
      </c>
      <c r="BQ8" s="4">
        <f>IF(N(AQ8)&gt;0,AP8*100+AQ8,IF(AND(BO8=1,BP8=1),(AP8-1)*100+1,AP8*100+1))</f>
        <v/>
      </c>
      <c r="BR8" s="3">
        <f>IF(OR(K8="hibrido",K8="glp",K8="gnc",K8="phev"),"ECO",IF(K8="electrico","CERO",IF(K8="gasolina",IF(BQ8&gt;=GAS_C_YM,"C",IF(BQ8&gt;=GAS_B_YM,"B","A")),IF(K8="diesel",IF(BQ8&gt;=DIE_C_YM,"C",IF(BQ8&gt;=DIE_B_YM,"B","A")),""))))</f>
        <v/>
      </c>
      <c r="BS8" s="2" t="inlineStr">
        <is>
          <t>C</t>
        </is>
      </c>
      <c r="BT8" s="4">
        <f>IF(AU8="sí","sí",IF(AS8="regla",IF(AND(N(AQ8)=0,BO8=1),"sí","no"),"no"))</f>
        <v/>
      </c>
      <c r="BU8" s="3">
        <f>IFERROR(VLOOKUP(F8,MOD_TBL,16,0),IFERROR(VLOOKUP(E8,OCU_TBL,2,0),NEUTRO))</f>
        <v/>
      </c>
      <c r="BV8" s="3">
        <f>SUMIFS(MOT_AJUSTE,MOT_MOTOR,G8,MOT_MARCA,E8,MOT_DESDE,"&lt;="&amp;M8,MOT_HASTA,"&gt;="&amp;M8)+SUMIFS(MOT_AJUSTE,MOT_MOTOR,G8,MOT_MARCA,"(todas)",MOT_DESDE,"&lt;="&amp;M8,MOT_HASTA,"&gt;="&amp;M8)+SUMIFS(MOT_AJUSTE,MOT_MOTOR,"(cualquiera)",MOT_MARCA,E8,MOT_DESDE,"&lt;="&amp;M8,MOT_HASTA,"&gt;="&amp;M8)</f>
        <v/>
      </c>
      <c r="BW8" s="3">
        <f>SUMIFS(COMB_AJUSTE,COMB_COMB,K8)</f>
        <v/>
      </c>
      <c r="BX8" s="3">
        <f>COUNTIFS(MOT_MOTOR,G8,MOT_MARCA,E8,MOT_DESDE,"&lt;="&amp;M8,MOT_HASTA,"&gt;="&amp;M8)+COUNTIFS(MOT_MOTOR,G8,MOT_MARCA,"(todas)",MOT_DESDE,"&lt;="&amp;M8,MOT_HASTA,"&gt;="&amp;M8)+COUNTIFS(MOT_MOTOR,"(cualquiera)",MOT_MARCA,E8,MOT_DESDE,"&lt;="&amp;M8,MOT_HASTA,"&gt;="&amp;M8)</f>
        <v/>
      </c>
      <c r="BY8" s="3">
        <f>IF(AND(K8="diesel",BX8=0),MIN(BU8,NEUTRO),BU8)</f>
        <v/>
      </c>
      <c r="BZ8" s="3">
        <f>MAX(0,MIN(100,BY8+BV8+BW8-IF(AV8="sí",ROB_PEN,0)))</f>
        <v/>
      </c>
      <c r="CA8" s="3">
        <f>100-MAX(0,N8-KM_TOPE_DESDE)/1000*KM_TOPE_PTS</f>
        <v/>
      </c>
      <c r="CB8" s="3">
        <f>MAX(0,MIN(100,50+BN8*PRECIO_PEND,CA8))</f>
        <v/>
      </c>
      <c r="CC8" s="3">
        <f>MAX(0,100*(1-N8/KM_MAX))</f>
        <v/>
      </c>
      <c r="CD8" s="3">
        <f>IF(BE8&lt;KMA_SOSP,IF(AA8="sí",100,KMA_PEN),IF(BE8&lt;=KMA_IDEAL_MAX,100,MAX(0,100*(KMA_CERO-BE8)/(KMA_CERO-KMA_IDEAL_MAX))))</f>
        <v/>
      </c>
      <c r="CE8" s="3">
        <f>MAX(0,MIN(100,100*(M8-ANIO_MIN)/(ANIO_ACTUAL-ANIO_MIN)))</f>
        <v/>
      </c>
      <c r="CF8" s="3">
        <f>W_KMT*CC8+W_KMA*CD8+W_EDAD*CE8</f>
        <v/>
      </c>
      <c r="CG8" s="3">
        <f>P_ITV*(V8="sí")+P_LIBRO*(W8="sí")+P_CORREA*(X8="sí")+P_PROP*(Y8=1)+P_GAR*(Z8="sí")+P_FOTOS*MIN(1,N(U8)/FOTOS_OBJ)</f>
        <v/>
      </c>
      <c r="CH8" s="3">
        <f>MAX(0,MIN(100,IFERROR(VLOOKUP(BS8,ETQ_TBL,2,0),0)-IF(BT8="sí",ETQ_PEN_DUD,IF(AS8="regla",ETQ_PEN_REGLA,0))))</f>
        <v/>
      </c>
      <c r="CI8" s="3">
        <f>NEUTRO</f>
        <v/>
      </c>
      <c r="CJ8" s="3">
        <f>IFERROR(VLOOKUP(L8,SEGURO_TBL,3,0),"")</f>
        <v/>
      </c>
      <c r="CK8" s="3">
        <f>IF(CJ8="",NEUTRO,MAX(0,MIN(100,100*(SEG_REF_MAX-CJ8)/(SEG_REF_MAX-SEG_REF_MIN))))</f>
        <v/>
      </c>
      <c r="CL8" s="3">
        <f>W_CONS*CI8+W_SEG*CK8</f>
        <v/>
      </c>
      <c r="CM8" s="3">
        <f>IF(N(AB8)&gt;0,AB8,IF(AND(R8="profesional",SG_LEGAL_ON=1),GAR_LEGAL,0))</f>
        <v/>
      </c>
      <c r="CN8" s="3">
        <f>SG_GAR*MIN(1,CM8/SG_GAR_FULL)+SG_AMPL*(AC8="sí")+SG_KMC*(AF8="sí")+SG_REV*(N(AE8)&gt;0)+SG_DEV*MIN(1,N(AG8)/SG_DEV_FULL)+SG_HIST*(W8="sí")</f>
        <v/>
      </c>
      <c r="CO8" s="3">
        <f>IFERROR(VLOOKUP(L8,CARR_PEN_TBL,2,0),0)</f>
        <v/>
      </c>
      <c r="CP8" s="3">
        <f>W_FIAB*BZ8+W_PRECIO*CB8+W_KMEDAD*CF8+W_ANUNCIO*CG8+W_USO*CL8+W_SEGURIDAD*CN8+W_ETIQUETA*CH8-CO8</f>
        <v/>
      </c>
      <c r="CQ8" s="4">
        <f>IF(N(I8)&gt;0,I8,IFERROR(ROUND(_xlfn.NUMBERVALUE(LEFT(G8,FIND(" ",G8&amp;" ")-1),".")*1000,0),99999))</f>
        <v/>
      </c>
      <c r="CR8" s="3">
        <f>IF(R8="profesional",0,IF(O8&lt;CUOTA_VALOR_MAX,IF(BD8&gt;ITP_TRAMO_ALTO,SUMIFS(CF_CUOTA,CF_MAS,ITP_TRAMO_ALTO,CF_CCMIN,"&lt;="&amp;CQ8,CF_CCMAX,"&gt;="&amp;CQ8),IF(BD8&gt;ITP_TRAMO_BAJO,SUMIFS(CF_CUOTA,CF_MAS,ITP_TRAMO_BAJO,CF_CCMIN,"&lt;="&amp;CQ8,CF_CCMAX,"&gt;="&amp;CQ8),O8*ITP_TIPO)),O8*ITP_TIPO))</f>
        <v/>
      </c>
      <c r="CS8" s="4">
        <f>IF(R8="profesional",N(AK8),0)</f>
        <v/>
      </c>
      <c r="CT8" s="3">
        <f>IF(AND(R8="profesional",ISNUMBER(AK8),AL8="sí"),0,TASA_DGT)</f>
        <v/>
      </c>
      <c r="CU8" s="3">
        <f>INFORME_DGT</f>
        <v/>
      </c>
      <c r="CV8" s="4">
        <f>O8+CS8+CR8+CT8+CU8</f>
        <v/>
      </c>
      <c r="CW8" s="4">
        <f>CV8+N(CJ8)</f>
        <v/>
      </c>
      <c r="CX8" s="3">
        <f>IF(CV8&lt;=TOTAL_MAX,"sí",IF(CV8&lt;=TOTAL_MAX+MARGEN_NEG,"negociar","no"))</f>
        <v/>
      </c>
      <c r="CY8" s="4">
        <f>IF(CX8&lt;&gt;"no",COUNTIFS($CX$2:$CX$101,"&lt;&gt;no",$CP$2:$CP$101,"&gt;"&amp;CP8)+COUNTIFS($CX$2:CX8,"&lt;&gt;no",$CP$2:CP8,CP8),"")</f>
        <v/>
      </c>
    </row>
    <row r="9">
      <c r="A9" s="2" t="inlineStr">
        <is>
          <t>cochesnet:71625576</t>
        </is>
      </c>
      <c r="B9" s="2" t="inlineStr">
        <is>
          <t>cochesnet</t>
        </is>
      </c>
      <c r="C9" s="2" t="inlineStr">
        <is>
          <t>https://www.coches.net/opel-corsa-10-essentia-3p-gasolina-2011-en-valencia-71625576-covo.aspx</t>
        </is>
      </c>
      <c r="D9" s="2" t="inlineStr">
        <is>
          <t>OPEL Corsa 1.0 Essentia</t>
        </is>
      </c>
      <c r="E9" s="2" t="inlineStr">
        <is>
          <t>Opel</t>
        </is>
      </c>
      <c r="F9" s="2" t="inlineStr">
        <is>
          <t>Opel Corsa</t>
        </is>
      </c>
      <c r="G9" s="2" t="inlineStr">
        <is>
          <t>1.0</t>
        </is>
      </c>
      <c r="H9" s="2" t="inlineStr">
        <is>
          <t>1.0 Essentia</t>
        </is>
      </c>
      <c r="I9" s="2" t="n"/>
      <c r="J9" s="2" t="n"/>
      <c r="K9" s="2" t="inlineStr">
        <is>
          <t>gasolina</t>
        </is>
      </c>
      <c r="L9" s="2" t="inlineStr">
        <is>
          <t>utilitario</t>
        </is>
      </c>
      <c r="M9" s="2" t="n">
        <v>2010</v>
      </c>
      <c r="N9" s="2" t="n">
        <v>205000</v>
      </c>
      <c r="O9" s="2" t="n">
        <v>3990</v>
      </c>
      <c r="P9" s="2" t="inlineStr">
        <is>
          <t>manual</t>
        </is>
      </c>
      <c r="Q9" s="2" t="inlineStr">
        <is>
          <t>no</t>
        </is>
      </c>
      <c r="R9" s="2" t="inlineStr">
        <is>
          <t>profesional</t>
        </is>
      </c>
      <c r="S9" s="2" t="inlineStr">
        <is>
          <t>Fos Motor Valencia</t>
        </is>
      </c>
      <c r="T9" s="2" t="inlineStr">
        <is>
          <t>2026-09-29T16:17:21Z</t>
        </is>
      </c>
      <c r="U9" s="2" t="n">
        <v>11</v>
      </c>
      <c r="V9" s="2" t="n"/>
      <c r="W9" s="2" t="n"/>
      <c r="X9" s="2" t="n"/>
      <c r="Y9" s="2" t="n"/>
      <c r="Z9" s="2" t="inlineStr">
        <is>
          <t>sí</t>
        </is>
      </c>
      <c r="AA9" s="2" t="n"/>
      <c r="AB9" s="2" t="n">
        <v>12</v>
      </c>
      <c r="AC9" s="2" t="n"/>
      <c r="AD9" s="2" t="n"/>
      <c r="AE9" s="2" t="n"/>
      <c r="AF9" s="2" t="inlineStr">
        <is>
          <t>sí</t>
        </is>
      </c>
      <c r="AG9" s="2" t="n"/>
      <c r="AH9" s="2" t="n">
        <v>3990</v>
      </c>
      <c r="AI9" s="2" t="n">
        <v>3990</v>
      </c>
      <c r="AJ9" s="2" t="n"/>
      <c r="AK9" s="2" t="n"/>
      <c r="AL9" s="2" t="n"/>
      <c r="AM9" s="2" t="n">
        <v>0.1</v>
      </c>
      <c r="AN9" s="2" t="n"/>
      <c r="AO9" s="2" t="inlineStr">
        <is>
          <t>2010</t>
        </is>
      </c>
      <c r="AP9" s="2" t="n">
        <v>2010</v>
      </c>
      <c r="AQ9" s="2" t="n"/>
      <c r="AR9" s="2" t="inlineStr">
        <is>
          <t>C</t>
        </is>
      </c>
      <c r="AS9" s="2" t="inlineStr">
        <is>
          <t>anuncio</t>
        </is>
      </c>
      <c r="AT9" s="2" t="n">
        <v>2011</v>
      </c>
      <c r="AU9" s="2" t="inlineStr">
        <is>
          <t>no</t>
        </is>
      </c>
      <c r="AV9" s="2" t="inlineStr">
        <is>
          <t>no</t>
        </is>
      </c>
      <c r="AW9" s="2" t="n">
        <v>2990</v>
      </c>
      <c r="AX9" s="2" t="n">
        <v>4</v>
      </c>
      <c r="AY9" s="2" t="inlineStr">
        <is>
          <t>modelo+año+km</t>
        </is>
      </c>
      <c r="AZ9" s="2" t="n"/>
      <c r="BA9" s="2" t="inlineStr">
        <is>
          <t>año a confirmar: la URL/título dice 2011; vendedor profesional: sin ITP (operación con IVA/REBU, confirmar en factura); gastos de gestión del vendedor no indicados: se suma la tasa DGT; preguntar el precio final; revisar: no menciona la ITV</t>
        </is>
      </c>
      <c r="BB9"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BC9" s="2" t="inlineStr">
        <is>
          <t>https://www.coches.net/opel-corsa-10-essentia-3p-gasolina-2011-en-valencia-71625576-covo.aspx (window.__INITIAL_PROPS__.ad) /home/user/Alopecia/buscador-coches/raw/cochesnet/25f38d7266968fd1.json</t>
        </is>
      </c>
      <c r="BD9" s="3">
        <f>MAX(ANIO_ACTUAL-M9,0)</f>
        <v/>
      </c>
      <c r="BE9" s="4">
        <f>N9/MAX(BD9,0.5)</f>
        <v/>
      </c>
      <c r="BF9" s="4">
        <f>F9</f>
        <v/>
      </c>
      <c r="BG9" s="3">
        <f>BF9&amp;"|"&amp;INT(M9/SEG_ANIO)*SEG_ANIO</f>
        <v/>
      </c>
      <c r="BH9" s="3">
        <f>BG9&amp;"|"&amp;INT(N9/SEG_KM)*SEG_KM</f>
        <v/>
      </c>
      <c r="BI9" s="4">
        <f>COUNTIF($BF$2:$BF$101,BF9)</f>
        <v/>
      </c>
      <c r="BJ9" s="4">
        <f>COUNTIF($BG$2:$BG$101,BG9)</f>
        <v/>
      </c>
      <c r="BK9" s="4">
        <f>COUNTIF($BH$2:$BH$101,BH9)</f>
        <v/>
      </c>
      <c r="BL9" s="3">
        <f t="array" ref="BL9">IF(N(AX9)&gt;=MIN_N,AW9,IF(BK9&gt;=MIN_N,MEDIAN(IF($BH$2:$BH$101=BH9,$O$2:$O$101)),IF(BJ9&gt;=MIN_N,MEDIAN(IF($BG$2:$BG$101=BG9,$O$2:$O$101)),MEDIAN(IF($BF$2:$BF$101=BF9,$O$2:$O$101)))))</f>
        <v/>
      </c>
      <c r="BM9" s="3">
        <f>IF(N(AX9)&gt;=MIN_N,"mercado "&amp;AY9,IF(BK9&gt;=MIN_N,"modelo+año+km",IF(BJ9&gt;=MIN_N,"modelo+año","modelo")))</f>
        <v/>
      </c>
      <c r="BN9" s="4">
        <f>(BL9-O9)/BL9</f>
        <v/>
      </c>
      <c r="BO9" s="3">
        <f>IF(COUNTIFS(FR_FUEL,K9,FR_YEAR,AP9)&gt;0,1,0)</f>
        <v/>
      </c>
      <c r="BP9" s="3">
        <f>IF(COUNTIFS(FR_FUEL,K9,FR_YEAR,AP9-1)&gt;0,1,0)</f>
        <v/>
      </c>
      <c r="BQ9" s="4">
        <f>IF(N(AQ9)&gt;0,AP9*100+AQ9,IF(AND(BO9=1,BP9=1),(AP9-1)*100+1,AP9*100+1))</f>
        <v/>
      </c>
      <c r="BR9" s="3">
        <f>IF(OR(K9="hibrido",K9="glp",K9="gnc",K9="phev"),"ECO",IF(K9="electrico","CERO",IF(K9="gasolina",IF(BQ9&gt;=GAS_C_YM,"C",IF(BQ9&gt;=GAS_B_YM,"B","A")),IF(K9="diesel",IF(BQ9&gt;=DIE_C_YM,"C",IF(BQ9&gt;=DIE_B_YM,"B","A")),""))))</f>
        <v/>
      </c>
      <c r="BS9" s="2" t="inlineStr">
        <is>
          <t>C</t>
        </is>
      </c>
      <c r="BT9" s="4">
        <f>IF(AU9="sí","sí",IF(AS9="regla",IF(AND(N(AQ9)=0,BO9=1),"sí","no"),"no"))</f>
        <v/>
      </c>
      <c r="BU9" s="3">
        <f>IFERROR(VLOOKUP(F9,MOD_TBL,16,0),IFERROR(VLOOKUP(E9,OCU_TBL,2,0),NEUTRO))</f>
        <v/>
      </c>
      <c r="BV9" s="3">
        <f>SUMIFS(MOT_AJUSTE,MOT_MOTOR,G9,MOT_MARCA,E9,MOT_DESDE,"&lt;="&amp;M9,MOT_HASTA,"&gt;="&amp;M9)+SUMIFS(MOT_AJUSTE,MOT_MOTOR,G9,MOT_MARCA,"(todas)",MOT_DESDE,"&lt;="&amp;M9,MOT_HASTA,"&gt;="&amp;M9)+SUMIFS(MOT_AJUSTE,MOT_MOTOR,"(cualquiera)",MOT_MARCA,E9,MOT_DESDE,"&lt;="&amp;M9,MOT_HASTA,"&gt;="&amp;M9)</f>
        <v/>
      </c>
      <c r="BW9" s="3">
        <f>SUMIFS(COMB_AJUSTE,COMB_COMB,K9)</f>
        <v/>
      </c>
      <c r="BX9" s="3">
        <f>COUNTIFS(MOT_MOTOR,G9,MOT_MARCA,E9,MOT_DESDE,"&lt;="&amp;M9,MOT_HASTA,"&gt;="&amp;M9)+COUNTIFS(MOT_MOTOR,G9,MOT_MARCA,"(todas)",MOT_DESDE,"&lt;="&amp;M9,MOT_HASTA,"&gt;="&amp;M9)+COUNTIFS(MOT_MOTOR,"(cualquiera)",MOT_MARCA,E9,MOT_DESDE,"&lt;="&amp;M9,MOT_HASTA,"&gt;="&amp;M9)</f>
        <v/>
      </c>
      <c r="BY9" s="3">
        <f>IF(AND(K9="diesel",BX9=0),MIN(BU9,NEUTRO),BU9)</f>
        <v/>
      </c>
      <c r="BZ9" s="3">
        <f>MAX(0,MIN(100,BY9+BV9+BW9-IF(AV9="sí",ROB_PEN,0)))</f>
        <v/>
      </c>
      <c r="CA9" s="3">
        <f>100-MAX(0,N9-KM_TOPE_DESDE)/1000*KM_TOPE_PTS</f>
        <v/>
      </c>
      <c r="CB9" s="3">
        <f>MAX(0,MIN(100,50+BN9*PRECIO_PEND,CA9))</f>
        <v/>
      </c>
      <c r="CC9" s="3">
        <f>MAX(0,100*(1-N9/KM_MAX))</f>
        <v/>
      </c>
      <c r="CD9" s="3">
        <f>IF(BE9&lt;KMA_SOSP,IF(AA9="sí",100,KMA_PEN),IF(BE9&lt;=KMA_IDEAL_MAX,100,MAX(0,100*(KMA_CERO-BE9)/(KMA_CERO-KMA_IDEAL_MAX))))</f>
        <v/>
      </c>
      <c r="CE9" s="3">
        <f>MAX(0,MIN(100,100*(M9-ANIO_MIN)/(ANIO_ACTUAL-ANIO_MIN)))</f>
        <v/>
      </c>
      <c r="CF9" s="3">
        <f>W_KMT*CC9+W_KMA*CD9+W_EDAD*CE9</f>
        <v/>
      </c>
      <c r="CG9" s="3">
        <f>P_ITV*(V9="sí")+P_LIBRO*(W9="sí")+P_CORREA*(X9="sí")+P_PROP*(Y9=1)+P_GAR*(Z9="sí")+P_FOTOS*MIN(1,N(U9)/FOTOS_OBJ)</f>
        <v/>
      </c>
      <c r="CH9" s="3">
        <f>MAX(0,MIN(100,IFERROR(VLOOKUP(BS9,ETQ_TBL,2,0),0)-IF(BT9="sí",ETQ_PEN_DUD,IF(AS9="regla",ETQ_PEN_REGLA,0))))</f>
        <v/>
      </c>
      <c r="CI9" s="3">
        <f>NEUTRO</f>
        <v/>
      </c>
      <c r="CJ9" s="3">
        <f>IFERROR(VLOOKUP(L9,SEGURO_TBL,3,0),"")</f>
        <v/>
      </c>
      <c r="CK9" s="3">
        <f>IF(CJ9="",NEUTRO,MAX(0,MIN(100,100*(SEG_REF_MAX-CJ9)/(SEG_REF_MAX-SEG_REF_MIN))))</f>
        <v/>
      </c>
      <c r="CL9" s="3">
        <f>W_CONS*CI9+W_SEG*CK9</f>
        <v/>
      </c>
      <c r="CM9" s="3">
        <f>IF(N(AB9)&gt;0,AB9,IF(AND(R9="profesional",SG_LEGAL_ON=1),GAR_LEGAL,0))</f>
        <v/>
      </c>
      <c r="CN9" s="3">
        <f>SG_GAR*MIN(1,CM9/SG_GAR_FULL)+SG_AMPL*(AC9="sí")+SG_KMC*(AF9="sí")+SG_REV*(N(AE9)&gt;0)+SG_DEV*MIN(1,N(AG9)/SG_DEV_FULL)+SG_HIST*(W9="sí")</f>
        <v/>
      </c>
      <c r="CO9" s="3">
        <f>IFERROR(VLOOKUP(L9,CARR_PEN_TBL,2,0),0)</f>
        <v/>
      </c>
      <c r="CP9" s="3">
        <f>W_FIAB*BZ9+W_PRECIO*CB9+W_KMEDAD*CF9+W_ANUNCIO*CG9+W_USO*CL9+W_SEGURIDAD*CN9+W_ETIQUETA*CH9-CO9</f>
        <v/>
      </c>
      <c r="CQ9" s="4">
        <f>IF(N(I9)&gt;0,I9,IFERROR(ROUND(_xlfn.NUMBERVALUE(LEFT(G9,FIND(" ",G9&amp;" ")-1),".")*1000,0),99999))</f>
        <v/>
      </c>
      <c r="CR9" s="3">
        <f>IF(R9="profesional",0,IF(O9&lt;CUOTA_VALOR_MAX,IF(BD9&gt;ITP_TRAMO_ALTO,SUMIFS(CF_CUOTA,CF_MAS,ITP_TRAMO_ALTO,CF_CCMIN,"&lt;="&amp;CQ9,CF_CCMAX,"&gt;="&amp;CQ9),IF(BD9&gt;ITP_TRAMO_BAJO,SUMIFS(CF_CUOTA,CF_MAS,ITP_TRAMO_BAJO,CF_CCMIN,"&lt;="&amp;CQ9,CF_CCMAX,"&gt;="&amp;CQ9),O9*ITP_TIPO)),O9*ITP_TIPO))</f>
        <v/>
      </c>
      <c r="CS9" s="4">
        <f>IF(R9="profesional",N(AK9),0)</f>
        <v/>
      </c>
      <c r="CT9" s="3">
        <f>IF(AND(R9="profesional",ISNUMBER(AK9),AL9="sí"),0,TASA_DGT)</f>
        <v/>
      </c>
      <c r="CU9" s="3">
        <f>INFORME_DGT</f>
        <v/>
      </c>
      <c r="CV9" s="4">
        <f>O9+CS9+CR9+CT9+CU9</f>
        <v/>
      </c>
      <c r="CW9" s="4">
        <f>CV9+N(CJ9)</f>
        <v/>
      </c>
      <c r="CX9" s="3">
        <f>IF(CV9&lt;=TOTAL_MAX,"sí",IF(CV9&lt;=TOTAL_MAX+MARGEN_NEG,"negociar","no"))</f>
        <v/>
      </c>
      <c r="CY9" s="4">
        <f>IF(CX9&lt;&gt;"no",COUNTIFS($CX$2:$CX$101,"&lt;&gt;no",$CP$2:$CP$101,"&gt;"&amp;CP9)+COUNTIFS($CX$2:CX9,"&lt;&gt;no",$CP$2:CP9,CP9),"")</f>
        <v/>
      </c>
    </row>
    <row r="10">
      <c r="A10" s="2" t="inlineStr">
        <is>
          <t>cochesnet:71876224</t>
        </is>
      </c>
      <c r="B10" s="2" t="inlineStr">
        <is>
          <t>cochesnet</t>
        </is>
      </c>
      <c r="C10" s="2" t="inlineStr">
        <is>
          <t>https://www.coches.net/opel-astra-gtc-14-16v-essentia-3p-gasolina-2009-en-valencia-71876224-covo.aspx</t>
        </is>
      </c>
      <c r="D10" s="2" t="inlineStr">
        <is>
          <t>OPEL Astra GTC 1.4 16v Essentia</t>
        </is>
      </c>
      <c r="E10" s="2" t="inlineStr">
        <is>
          <t>Opel</t>
        </is>
      </c>
      <c r="F10" s="2" t="inlineStr">
        <is>
          <t>Opel Astra</t>
        </is>
      </c>
      <c r="G10" s="2" t="inlineStr">
        <is>
          <t>1.4</t>
        </is>
      </c>
      <c r="H10" s="2" t="inlineStr">
        <is>
          <t>GTC 1.4 16v Essentia</t>
        </is>
      </c>
      <c r="I10" s="2" t="n"/>
      <c r="J10" s="2" t="n"/>
      <c r="K10" s="2" t="inlineStr">
        <is>
          <t>gasolina</t>
        </is>
      </c>
      <c r="L10" s="2" t="inlineStr">
        <is>
          <t>compacto</t>
        </is>
      </c>
      <c r="M10" s="2" t="n">
        <v>2009</v>
      </c>
      <c r="N10" s="2" t="n">
        <v>121000</v>
      </c>
      <c r="O10" s="2" t="n">
        <v>3990</v>
      </c>
      <c r="P10" s="2" t="inlineStr">
        <is>
          <t>manual</t>
        </is>
      </c>
      <c r="Q10" s="2" t="inlineStr">
        <is>
          <t>no</t>
        </is>
      </c>
      <c r="R10" s="2" t="inlineStr">
        <is>
          <t>profesional</t>
        </is>
      </c>
      <c r="S10" s="2" t="inlineStr">
        <is>
          <t>AutoEco Valencia</t>
        </is>
      </c>
      <c r="T10" s="2" t="inlineStr">
        <is>
          <t>2026-10-31T00:52:16Z</t>
        </is>
      </c>
      <c r="U10" s="2" t="n">
        <v>5</v>
      </c>
      <c r="V10" s="2" t="n"/>
      <c r="W10" s="2" t="inlineStr">
        <is>
          <t>sí</t>
        </is>
      </c>
      <c r="X10" s="2" t="n"/>
      <c r="Y10" s="2" t="n"/>
      <c r="Z10" s="2" t="inlineStr">
        <is>
          <t>sí</t>
        </is>
      </c>
      <c r="AA10" s="2" t="n"/>
      <c r="AB10" s="2" t="n">
        <v>12</v>
      </c>
      <c r="AC10" s="2" t="n"/>
      <c r="AD10" s="2" t="n"/>
      <c r="AE10" s="2" t="n"/>
      <c r="AF10" s="2" t="n"/>
      <c r="AG10" s="2" t="n"/>
      <c r="AH10" s="2" t="n">
        <v>3990</v>
      </c>
      <c r="AI10" s="2" t="n">
        <v>3990</v>
      </c>
      <c r="AJ10" s="2" t="n"/>
      <c r="AK10" s="2" t="n"/>
      <c r="AL10" s="2" t="n"/>
      <c r="AM10" s="2" t="n">
        <v>0.1</v>
      </c>
      <c r="AN10" s="2" t="n"/>
      <c r="AO10" s="2" t="inlineStr">
        <is>
          <t>2009</t>
        </is>
      </c>
      <c r="AP10" s="2" t="n">
        <v>2009</v>
      </c>
      <c r="AQ10" s="2" t="n"/>
      <c r="AR10" s="2" t="inlineStr">
        <is>
          <t>C</t>
        </is>
      </c>
      <c r="AS10" s="2" t="inlineStr">
        <is>
          <t>anuncio</t>
        </is>
      </c>
      <c r="AT10" s="2" t="n"/>
      <c r="AU10" s="2" t="inlineStr">
        <is>
          <t>no</t>
        </is>
      </c>
      <c r="AV10" s="2" t="inlineStr">
        <is>
          <t>no</t>
        </is>
      </c>
      <c r="AW10" s="2" t="n">
        <v>4445</v>
      </c>
      <c r="AX10" s="2" t="n">
        <v>10</v>
      </c>
      <c r="AY10" s="2" t="inlineStr">
        <is>
          <t>modelo+año+km</t>
        </is>
      </c>
      <c r="AZ10" s="2" t="n"/>
      <c r="BA10" s="2" t="inlineStr">
        <is>
          <t>vendedor profesional: sin ITP (operación con IVA/REBU, confirmar en factura); gastos de gestión del vendedor no indicados: se suma la tasa DGT; preguntar el precio final</t>
        </is>
      </c>
      <c r="BB10"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BC10" s="2" t="inlineStr">
        <is>
          <t>https://www.coches.net/opel-astra-gtc-14-16v-essentia-3p-gasolina-2009-en-valencia-71876224-covo.aspx (window.__INITIAL_PROPS__.ad) /home/user/Alopecia/buscador-coches/raw/cochesnet/6280a944348bcd0b.json</t>
        </is>
      </c>
      <c r="BD10" s="3">
        <f>MAX(ANIO_ACTUAL-M10,0)</f>
        <v/>
      </c>
      <c r="BE10" s="4">
        <f>N10/MAX(BD10,0.5)</f>
        <v/>
      </c>
      <c r="BF10" s="4">
        <f>F10</f>
        <v/>
      </c>
      <c r="BG10" s="3">
        <f>BF10&amp;"|"&amp;INT(M10/SEG_ANIO)*SEG_ANIO</f>
        <v/>
      </c>
      <c r="BH10" s="3">
        <f>BG10&amp;"|"&amp;INT(N10/SEG_KM)*SEG_KM</f>
        <v/>
      </c>
      <c r="BI10" s="4">
        <f>COUNTIF($BF$2:$BF$101,BF10)</f>
        <v/>
      </c>
      <c r="BJ10" s="4">
        <f>COUNTIF($BG$2:$BG$101,BG10)</f>
        <v/>
      </c>
      <c r="BK10" s="4">
        <f>COUNTIF($BH$2:$BH$101,BH10)</f>
        <v/>
      </c>
      <c r="BL10" s="3">
        <f t="array" ref="BL10">IF(N(AX10)&gt;=MIN_N,AW10,IF(BK10&gt;=MIN_N,MEDIAN(IF($BH$2:$BH$101=BH10,$O$2:$O$101)),IF(BJ10&gt;=MIN_N,MEDIAN(IF($BG$2:$BG$101=BG10,$O$2:$O$101)),MEDIAN(IF($BF$2:$BF$101=BF10,$O$2:$O$101)))))</f>
        <v/>
      </c>
      <c r="BM10" s="3">
        <f>IF(N(AX10)&gt;=MIN_N,"mercado "&amp;AY10,IF(BK10&gt;=MIN_N,"modelo+año+km",IF(BJ10&gt;=MIN_N,"modelo+año","modelo")))</f>
        <v/>
      </c>
      <c r="BN10" s="4">
        <f>(BL10-O10)/BL10</f>
        <v/>
      </c>
      <c r="BO10" s="3">
        <f>IF(COUNTIFS(FR_FUEL,K10,FR_YEAR,AP10)&gt;0,1,0)</f>
        <v/>
      </c>
      <c r="BP10" s="3">
        <f>IF(COUNTIFS(FR_FUEL,K10,FR_YEAR,AP10-1)&gt;0,1,0)</f>
        <v/>
      </c>
      <c r="BQ10" s="4">
        <f>IF(N(AQ10)&gt;0,AP10*100+AQ10,IF(AND(BO10=1,BP10=1),(AP10-1)*100+1,AP10*100+1))</f>
        <v/>
      </c>
      <c r="BR10" s="3">
        <f>IF(OR(K10="hibrido",K10="glp",K10="gnc",K10="phev"),"ECO",IF(K10="electrico","CERO",IF(K10="gasolina",IF(BQ10&gt;=GAS_C_YM,"C",IF(BQ10&gt;=GAS_B_YM,"B","A")),IF(K10="diesel",IF(BQ10&gt;=DIE_C_YM,"C",IF(BQ10&gt;=DIE_B_YM,"B","A")),""))))</f>
        <v/>
      </c>
      <c r="BS10" s="2" t="inlineStr">
        <is>
          <t>C</t>
        </is>
      </c>
      <c r="BT10" s="4">
        <f>IF(AU10="sí","sí",IF(AS10="regla",IF(AND(N(AQ10)=0,BO10=1),"sí","no"),"no"))</f>
        <v/>
      </c>
      <c r="BU10" s="3">
        <f>IFERROR(VLOOKUP(F10,MOD_TBL,16,0),IFERROR(VLOOKUP(E10,OCU_TBL,2,0),NEUTRO))</f>
        <v/>
      </c>
      <c r="BV10" s="3">
        <f>SUMIFS(MOT_AJUSTE,MOT_MOTOR,G10,MOT_MARCA,E10,MOT_DESDE,"&lt;="&amp;M10,MOT_HASTA,"&gt;="&amp;M10)+SUMIFS(MOT_AJUSTE,MOT_MOTOR,G10,MOT_MARCA,"(todas)",MOT_DESDE,"&lt;="&amp;M10,MOT_HASTA,"&gt;="&amp;M10)+SUMIFS(MOT_AJUSTE,MOT_MOTOR,"(cualquiera)",MOT_MARCA,E10,MOT_DESDE,"&lt;="&amp;M10,MOT_HASTA,"&gt;="&amp;M10)</f>
        <v/>
      </c>
      <c r="BW10" s="3">
        <f>SUMIFS(COMB_AJUSTE,COMB_COMB,K10)</f>
        <v/>
      </c>
      <c r="BX10" s="3">
        <f>COUNTIFS(MOT_MOTOR,G10,MOT_MARCA,E10,MOT_DESDE,"&lt;="&amp;M10,MOT_HASTA,"&gt;="&amp;M10)+COUNTIFS(MOT_MOTOR,G10,MOT_MARCA,"(todas)",MOT_DESDE,"&lt;="&amp;M10,MOT_HASTA,"&gt;="&amp;M10)+COUNTIFS(MOT_MOTOR,"(cualquiera)",MOT_MARCA,E10,MOT_DESDE,"&lt;="&amp;M10,MOT_HASTA,"&gt;="&amp;M10)</f>
        <v/>
      </c>
      <c r="BY10" s="3">
        <f>IF(AND(K10="diesel",BX10=0),MIN(BU10,NEUTRO),BU10)</f>
        <v/>
      </c>
      <c r="BZ10" s="3">
        <f>MAX(0,MIN(100,BY10+BV10+BW10-IF(AV10="sí",ROB_PEN,0)))</f>
        <v/>
      </c>
      <c r="CA10" s="3">
        <f>100-MAX(0,N10-KM_TOPE_DESDE)/1000*KM_TOPE_PTS</f>
        <v/>
      </c>
      <c r="CB10" s="3">
        <f>MAX(0,MIN(100,50+BN10*PRECIO_PEND,CA10))</f>
        <v/>
      </c>
      <c r="CC10" s="3">
        <f>MAX(0,100*(1-N10/KM_MAX))</f>
        <v/>
      </c>
      <c r="CD10" s="3">
        <f>IF(BE10&lt;KMA_SOSP,IF(AA10="sí",100,KMA_PEN),IF(BE10&lt;=KMA_IDEAL_MAX,100,MAX(0,100*(KMA_CERO-BE10)/(KMA_CERO-KMA_IDEAL_MAX))))</f>
        <v/>
      </c>
      <c r="CE10" s="3">
        <f>MAX(0,MIN(100,100*(M10-ANIO_MIN)/(ANIO_ACTUAL-ANIO_MIN)))</f>
        <v/>
      </c>
      <c r="CF10" s="3">
        <f>W_KMT*CC10+W_KMA*CD10+W_EDAD*CE10</f>
        <v/>
      </c>
      <c r="CG10" s="3">
        <f>P_ITV*(V10="sí")+P_LIBRO*(W10="sí")+P_CORREA*(X10="sí")+P_PROP*(Y10=1)+P_GAR*(Z10="sí")+P_FOTOS*MIN(1,N(U10)/FOTOS_OBJ)</f>
        <v/>
      </c>
      <c r="CH10" s="3">
        <f>MAX(0,MIN(100,IFERROR(VLOOKUP(BS10,ETQ_TBL,2,0),0)-IF(BT10="sí",ETQ_PEN_DUD,IF(AS10="regla",ETQ_PEN_REGLA,0))))</f>
        <v/>
      </c>
      <c r="CI10" s="3">
        <f>NEUTRO</f>
        <v/>
      </c>
      <c r="CJ10" s="3">
        <f>IFERROR(VLOOKUP(L10,SEGURO_TBL,3,0),"")</f>
        <v/>
      </c>
      <c r="CK10" s="3">
        <f>IF(CJ10="",NEUTRO,MAX(0,MIN(100,100*(SEG_REF_MAX-CJ10)/(SEG_REF_MAX-SEG_REF_MIN))))</f>
        <v/>
      </c>
      <c r="CL10" s="3">
        <f>W_CONS*CI10+W_SEG*CK10</f>
        <v/>
      </c>
      <c r="CM10" s="3">
        <f>IF(N(AB10)&gt;0,AB10,IF(AND(R10="profesional",SG_LEGAL_ON=1),GAR_LEGAL,0))</f>
        <v/>
      </c>
      <c r="CN10" s="3">
        <f>SG_GAR*MIN(1,CM10/SG_GAR_FULL)+SG_AMPL*(AC10="sí")+SG_KMC*(AF10="sí")+SG_REV*(N(AE10)&gt;0)+SG_DEV*MIN(1,N(AG10)/SG_DEV_FULL)+SG_HIST*(W10="sí")</f>
        <v/>
      </c>
      <c r="CO10" s="3">
        <f>IFERROR(VLOOKUP(L10,CARR_PEN_TBL,2,0),0)</f>
        <v/>
      </c>
      <c r="CP10" s="3">
        <f>W_FIAB*BZ10+W_PRECIO*CB10+W_KMEDAD*CF10+W_ANUNCIO*CG10+W_USO*CL10+W_SEGURIDAD*CN10+W_ETIQUETA*CH10-CO10</f>
        <v/>
      </c>
      <c r="CQ10" s="4">
        <f>IF(N(I10)&gt;0,I10,IFERROR(ROUND(_xlfn.NUMBERVALUE(LEFT(G10,FIND(" ",G10&amp;" ")-1),".")*1000,0),99999))</f>
        <v/>
      </c>
      <c r="CR10" s="3">
        <f>IF(R10="profesional",0,IF(O10&lt;CUOTA_VALOR_MAX,IF(BD10&gt;ITP_TRAMO_ALTO,SUMIFS(CF_CUOTA,CF_MAS,ITP_TRAMO_ALTO,CF_CCMIN,"&lt;="&amp;CQ10,CF_CCMAX,"&gt;="&amp;CQ10),IF(BD10&gt;ITP_TRAMO_BAJO,SUMIFS(CF_CUOTA,CF_MAS,ITP_TRAMO_BAJO,CF_CCMIN,"&lt;="&amp;CQ10,CF_CCMAX,"&gt;="&amp;CQ10),O10*ITP_TIPO)),O10*ITP_TIPO))</f>
        <v/>
      </c>
      <c r="CS10" s="4">
        <f>IF(R10="profesional",N(AK10),0)</f>
        <v/>
      </c>
      <c r="CT10" s="3">
        <f>IF(AND(R10="profesional",ISNUMBER(AK10),AL10="sí"),0,TASA_DGT)</f>
        <v/>
      </c>
      <c r="CU10" s="3">
        <f>INFORME_DGT</f>
        <v/>
      </c>
      <c r="CV10" s="4">
        <f>O10+CS10+CR10+CT10+CU10</f>
        <v/>
      </c>
      <c r="CW10" s="4">
        <f>CV10+N(CJ10)</f>
        <v/>
      </c>
      <c r="CX10" s="3">
        <f>IF(CV10&lt;=TOTAL_MAX,"sí",IF(CV10&lt;=TOTAL_MAX+MARGEN_NEG,"negociar","no"))</f>
        <v/>
      </c>
      <c r="CY10" s="4">
        <f>IF(CX10&lt;&gt;"no",COUNTIFS($CX$2:$CX$101,"&lt;&gt;no",$CP$2:$CP$101,"&gt;"&amp;CP10)+COUNTIFS($CX$2:CX10,"&lt;&gt;no",$CP$2:CP10,CP10),"")</f>
        <v/>
      </c>
    </row>
    <row r="11">
      <c r="A11" s="2" t="inlineStr">
        <is>
          <t>cochesnet:71339047</t>
        </is>
      </c>
      <c r="B11" s="2" t="inlineStr">
        <is>
          <t>cochesnet</t>
        </is>
      </c>
      <c r="C11" s="2" t="inlineStr">
        <is>
          <t>https://www.coches.net/opel-astra-13-ecoflex-ss-selective-5p-diesel-2013-en-valencia-71339047-covo.aspx</t>
        </is>
      </c>
      <c r="D11" s="2" t="inlineStr">
        <is>
          <t>OPEL Astra 1.3 ecoFlex SS Selective</t>
        </is>
      </c>
      <c r="E11" s="2" t="inlineStr">
        <is>
          <t>Opel</t>
        </is>
      </c>
      <c r="F11" s="2" t="inlineStr">
        <is>
          <t>Opel Astra</t>
        </is>
      </c>
      <c r="G11" s="2" t="inlineStr">
        <is>
          <t>1.3</t>
        </is>
      </c>
      <c r="H11" s="2" t="inlineStr">
        <is>
          <t>1.3 ecoFlex SS Selective</t>
        </is>
      </c>
      <c r="I11" s="2" t="n"/>
      <c r="J11" s="2" t="n"/>
      <c r="K11" s="2" t="inlineStr">
        <is>
          <t>diesel</t>
        </is>
      </c>
      <c r="L11" s="2" t="inlineStr">
        <is>
          <t>compacto</t>
        </is>
      </c>
      <c r="M11" s="2" t="n">
        <v>2012</v>
      </c>
      <c r="N11" s="2" t="n">
        <v>215000</v>
      </c>
      <c r="O11" s="2" t="n">
        <v>4490</v>
      </c>
      <c r="P11" s="2" t="inlineStr">
        <is>
          <t>manual</t>
        </is>
      </c>
      <c r="Q11" s="2" t="inlineStr">
        <is>
          <t>no</t>
        </is>
      </c>
      <c r="R11" s="2" t="inlineStr">
        <is>
          <t>profesional</t>
        </is>
      </c>
      <c r="S11" s="2" t="inlineStr">
        <is>
          <t>V.O. Eliana San Antonio de Benagéber</t>
        </is>
      </c>
      <c r="T11" s="2" t="inlineStr">
        <is>
          <t>2026-08-21T14:26:39Z</t>
        </is>
      </c>
      <c r="U11" s="2" t="n">
        <v>16</v>
      </c>
      <c r="V11" s="2" t="n"/>
      <c r="W11" s="2" t="n"/>
      <c r="X11" s="2" t="n"/>
      <c r="Y11" s="2" t="n"/>
      <c r="Z11" s="2" t="inlineStr">
        <is>
          <t>sí</t>
        </is>
      </c>
      <c r="AA11" s="2" t="n"/>
      <c r="AB11" s="2" t="n">
        <v>12</v>
      </c>
      <c r="AC11" s="2" t="n"/>
      <c r="AD11" s="2" t="n"/>
      <c r="AE11" s="2" t="n"/>
      <c r="AF11" s="2" t="n"/>
      <c r="AG11" s="2" t="n"/>
      <c r="AH11" s="2" t="n">
        <v>4490</v>
      </c>
      <c r="AI11" s="2" t="n"/>
      <c r="AJ11" s="2" t="n"/>
      <c r="AK11" s="2" t="n"/>
      <c r="AL11" s="2" t="n"/>
      <c r="AM11" s="2" t="n">
        <v>19.1</v>
      </c>
      <c r="AN11" s="2" t="n"/>
      <c r="AO11" s="2" t="inlineStr">
        <is>
          <t>2012</t>
        </is>
      </c>
      <c r="AP11" s="2" t="n">
        <v>2012</v>
      </c>
      <c r="AQ11" s="2" t="n"/>
      <c r="AR11" s="2" t="inlineStr">
        <is>
          <t>B</t>
        </is>
      </c>
      <c r="AS11" s="2" t="inlineStr">
        <is>
          <t>anuncio</t>
        </is>
      </c>
      <c r="AT11" s="2" t="n">
        <v>2013</v>
      </c>
      <c r="AU11" s="2" t="inlineStr">
        <is>
          <t>no</t>
        </is>
      </c>
      <c r="AV11" s="2" t="inlineStr">
        <is>
          <t>no</t>
        </is>
      </c>
      <c r="AW11" s="2" t="n">
        <v>4490</v>
      </c>
      <c r="AX11" s="2" t="n">
        <v>7</v>
      </c>
      <c r="AY11" s="2" t="inlineStr">
        <is>
          <t>modelo+año+km</t>
        </is>
      </c>
      <c r="AZ11" s="2" t="n"/>
      <c r="BA11" s="2" t="inlineStr">
        <is>
          <t>año a confirmar: la URL/título dice 2013; vendedor profesional: sin ITP (operación con IVA/REBU, confirmar en factura); gastos de gestión del vendedor no indicados: se suma la tasa DGT; preguntar el precio final; diésel: motor sin fuente de fiabilidad (fiabilidad limitada a neutra); revisar: no menciona la ITV</t>
        </is>
      </c>
      <c r="BB11" s="2" t="inlineStr">
        <is>
          <t>Este Opel Astra Selective combina equipamiento multimedia completo con control de crucero y ordenador de viaje para optimizar cada trayecto. Dirección asistida eléctrica con endurecimiento progresivo, aire acondicionado, asientos delanteros ajustables manualmente y volante multifunción regulable ofrecen confort y practicidad diaria. Cristales tintados, retrovisores eléctricos desempañables y elevalunas con un solo toque completan la experiencia de conducción. Sistema de ventilación con filtros de polen y carbón activo, junto con limpiaparabrisas delantero, garantizan habitabilidad. Etiqueta medioambiental B facilita acceso a zonas de tráfico limitado.</t>
        </is>
      </c>
      <c r="BC11" s="2" t="inlineStr">
        <is>
          <t>https://www.coches.net/opel-astra-13-ecoflex-ss-selective-5p-diesel-2013-en-valencia-71339047-covo.aspx (window.__INITIAL_PROPS__.ad) /home/user/Alopecia/buscador-coches/raw/cochesnet/127119c37c17981d.json</t>
        </is>
      </c>
      <c r="BD11" s="3">
        <f>MAX(ANIO_ACTUAL-M11,0)</f>
        <v/>
      </c>
      <c r="BE11" s="4">
        <f>N11/MAX(BD11,0.5)</f>
        <v/>
      </c>
      <c r="BF11" s="4">
        <f>F11</f>
        <v/>
      </c>
      <c r="BG11" s="3">
        <f>BF11&amp;"|"&amp;INT(M11/SEG_ANIO)*SEG_ANIO</f>
        <v/>
      </c>
      <c r="BH11" s="3">
        <f>BG11&amp;"|"&amp;INT(N11/SEG_KM)*SEG_KM</f>
        <v/>
      </c>
      <c r="BI11" s="4">
        <f>COUNTIF($BF$2:$BF$101,BF11)</f>
        <v/>
      </c>
      <c r="BJ11" s="4">
        <f>COUNTIF($BG$2:$BG$101,BG11)</f>
        <v/>
      </c>
      <c r="BK11" s="4">
        <f>COUNTIF($BH$2:$BH$101,BH11)</f>
        <v/>
      </c>
      <c r="BL11" s="3">
        <f t="array" ref="BL11">IF(N(AX11)&gt;=MIN_N,AW11,IF(BK11&gt;=MIN_N,MEDIAN(IF($BH$2:$BH$101=BH11,$O$2:$O$101)),IF(BJ11&gt;=MIN_N,MEDIAN(IF($BG$2:$BG$101=BG11,$O$2:$O$101)),MEDIAN(IF($BF$2:$BF$101=BF11,$O$2:$O$101)))))</f>
        <v/>
      </c>
      <c r="BM11" s="3">
        <f>IF(N(AX11)&gt;=MIN_N,"mercado "&amp;AY11,IF(BK11&gt;=MIN_N,"modelo+año+km",IF(BJ11&gt;=MIN_N,"modelo+año","modelo")))</f>
        <v/>
      </c>
      <c r="BN11" s="4">
        <f>(BL11-O11)/BL11</f>
        <v/>
      </c>
      <c r="BO11" s="3">
        <f>IF(COUNTIFS(FR_FUEL,K11,FR_YEAR,AP11)&gt;0,1,0)</f>
        <v/>
      </c>
      <c r="BP11" s="3">
        <f>IF(COUNTIFS(FR_FUEL,K11,FR_YEAR,AP11-1)&gt;0,1,0)</f>
        <v/>
      </c>
      <c r="BQ11" s="4">
        <f>IF(N(AQ11)&gt;0,AP11*100+AQ11,IF(AND(BO11=1,BP11=1),(AP11-1)*100+1,AP11*100+1))</f>
        <v/>
      </c>
      <c r="BR11" s="3">
        <f>IF(OR(K11="hibrido",K11="glp",K11="gnc",K11="phev"),"ECO",IF(K11="electrico","CERO",IF(K11="gasolina",IF(BQ11&gt;=GAS_C_YM,"C",IF(BQ11&gt;=GAS_B_YM,"B","A")),IF(K11="diesel",IF(BQ11&gt;=DIE_C_YM,"C",IF(BQ11&gt;=DIE_B_YM,"B","A")),""))))</f>
        <v/>
      </c>
      <c r="BS11" s="2" t="inlineStr">
        <is>
          <t>B</t>
        </is>
      </c>
      <c r="BT11" s="4">
        <f>IF(AU11="sí","sí",IF(AS11="regla",IF(AND(N(AQ11)=0,BO11=1),"sí","no"),"no"))</f>
        <v/>
      </c>
      <c r="BU11" s="3">
        <f>IFERROR(VLOOKUP(F11,MOD_TBL,16,0),IFERROR(VLOOKUP(E11,OCU_TBL,2,0),NEUTRO))</f>
        <v/>
      </c>
      <c r="BV11" s="3">
        <f>SUMIFS(MOT_AJUSTE,MOT_MOTOR,G11,MOT_MARCA,E11,MOT_DESDE,"&lt;="&amp;M11,MOT_HASTA,"&gt;="&amp;M11)+SUMIFS(MOT_AJUSTE,MOT_MOTOR,G11,MOT_MARCA,"(todas)",MOT_DESDE,"&lt;="&amp;M11,MOT_HASTA,"&gt;="&amp;M11)+SUMIFS(MOT_AJUSTE,MOT_MOTOR,"(cualquiera)",MOT_MARCA,E11,MOT_DESDE,"&lt;="&amp;M11,MOT_HASTA,"&gt;="&amp;M11)</f>
        <v/>
      </c>
      <c r="BW11" s="3">
        <f>SUMIFS(COMB_AJUSTE,COMB_COMB,K11)</f>
        <v/>
      </c>
      <c r="BX11" s="3">
        <f>COUNTIFS(MOT_MOTOR,G11,MOT_MARCA,E11,MOT_DESDE,"&lt;="&amp;M11,MOT_HASTA,"&gt;="&amp;M11)+COUNTIFS(MOT_MOTOR,G11,MOT_MARCA,"(todas)",MOT_DESDE,"&lt;="&amp;M11,MOT_HASTA,"&gt;="&amp;M11)+COUNTIFS(MOT_MOTOR,"(cualquiera)",MOT_MARCA,E11,MOT_DESDE,"&lt;="&amp;M11,MOT_HASTA,"&gt;="&amp;M11)</f>
        <v/>
      </c>
      <c r="BY11" s="3">
        <f>IF(AND(K11="diesel",BX11=0),MIN(BU11,NEUTRO),BU11)</f>
        <v/>
      </c>
      <c r="BZ11" s="3">
        <f>MAX(0,MIN(100,BY11+BV11+BW11-IF(AV11="sí",ROB_PEN,0)))</f>
        <v/>
      </c>
      <c r="CA11" s="3">
        <f>100-MAX(0,N11-KM_TOPE_DESDE)/1000*KM_TOPE_PTS</f>
        <v/>
      </c>
      <c r="CB11" s="3">
        <f>MAX(0,MIN(100,50+BN11*PRECIO_PEND,CA11))</f>
        <v/>
      </c>
      <c r="CC11" s="3">
        <f>MAX(0,100*(1-N11/KM_MAX))</f>
        <v/>
      </c>
      <c r="CD11" s="3">
        <f>IF(BE11&lt;KMA_SOSP,IF(AA11="sí",100,KMA_PEN),IF(BE11&lt;=KMA_IDEAL_MAX,100,MAX(0,100*(KMA_CERO-BE11)/(KMA_CERO-KMA_IDEAL_MAX))))</f>
        <v/>
      </c>
      <c r="CE11" s="3">
        <f>MAX(0,MIN(100,100*(M11-ANIO_MIN)/(ANIO_ACTUAL-ANIO_MIN)))</f>
        <v/>
      </c>
      <c r="CF11" s="3">
        <f>W_KMT*CC11+W_KMA*CD11+W_EDAD*CE11</f>
        <v/>
      </c>
      <c r="CG11" s="3">
        <f>P_ITV*(V11="sí")+P_LIBRO*(W11="sí")+P_CORREA*(X11="sí")+P_PROP*(Y11=1)+P_GAR*(Z11="sí")+P_FOTOS*MIN(1,N(U11)/FOTOS_OBJ)</f>
        <v/>
      </c>
      <c r="CH11" s="3">
        <f>MAX(0,MIN(100,IFERROR(VLOOKUP(BS11,ETQ_TBL,2,0),0)-IF(BT11="sí",ETQ_PEN_DUD,IF(AS11="regla",ETQ_PEN_REGLA,0))))</f>
        <v/>
      </c>
      <c r="CI11" s="3">
        <f>NEUTRO</f>
        <v/>
      </c>
      <c r="CJ11" s="3">
        <f>IFERROR(VLOOKUP(L11,SEGURO_TBL,3,0),"")</f>
        <v/>
      </c>
      <c r="CK11" s="3">
        <f>IF(CJ11="",NEUTRO,MAX(0,MIN(100,100*(SEG_REF_MAX-CJ11)/(SEG_REF_MAX-SEG_REF_MIN))))</f>
        <v/>
      </c>
      <c r="CL11" s="3">
        <f>W_CONS*CI11+W_SEG*CK11</f>
        <v/>
      </c>
      <c r="CM11" s="3">
        <f>IF(N(AB11)&gt;0,AB11,IF(AND(R11="profesional",SG_LEGAL_ON=1),GAR_LEGAL,0))</f>
        <v/>
      </c>
      <c r="CN11" s="3">
        <f>SG_GAR*MIN(1,CM11/SG_GAR_FULL)+SG_AMPL*(AC11="sí")+SG_KMC*(AF11="sí")+SG_REV*(N(AE11)&gt;0)+SG_DEV*MIN(1,N(AG11)/SG_DEV_FULL)+SG_HIST*(W11="sí")</f>
        <v/>
      </c>
      <c r="CO11" s="3">
        <f>IFERROR(VLOOKUP(L11,CARR_PEN_TBL,2,0),0)</f>
        <v/>
      </c>
      <c r="CP11" s="3">
        <f>W_FIAB*BZ11+W_PRECIO*CB11+W_KMEDAD*CF11+W_ANUNCIO*CG11+W_USO*CL11+W_SEGURIDAD*CN11+W_ETIQUETA*CH11-CO11</f>
        <v/>
      </c>
      <c r="CQ11" s="4">
        <f>IF(N(I11)&gt;0,I11,IFERROR(ROUND(_xlfn.NUMBERVALUE(LEFT(G11,FIND(" ",G11&amp;" ")-1),".")*1000,0),99999))</f>
        <v/>
      </c>
      <c r="CR11" s="3">
        <f>IF(R11="profesional",0,IF(O11&lt;CUOTA_VALOR_MAX,IF(BD11&gt;ITP_TRAMO_ALTO,SUMIFS(CF_CUOTA,CF_MAS,ITP_TRAMO_ALTO,CF_CCMIN,"&lt;="&amp;CQ11,CF_CCMAX,"&gt;="&amp;CQ11),IF(BD11&gt;ITP_TRAMO_BAJO,SUMIFS(CF_CUOTA,CF_MAS,ITP_TRAMO_BAJO,CF_CCMIN,"&lt;="&amp;CQ11,CF_CCMAX,"&gt;="&amp;CQ11),O11*ITP_TIPO)),O11*ITP_TIPO))</f>
        <v/>
      </c>
      <c r="CS11" s="4">
        <f>IF(R11="profesional",N(AK11),0)</f>
        <v/>
      </c>
      <c r="CT11" s="3">
        <f>IF(AND(R11="profesional",ISNUMBER(AK11),AL11="sí"),0,TASA_DGT)</f>
        <v/>
      </c>
      <c r="CU11" s="3">
        <f>INFORME_DGT</f>
        <v/>
      </c>
      <c r="CV11" s="4">
        <f>O11+CS11+CR11+CT11+CU11</f>
        <v/>
      </c>
      <c r="CW11" s="4">
        <f>CV11+N(CJ11)</f>
        <v/>
      </c>
      <c r="CX11" s="3">
        <f>IF(CV11&lt;=TOTAL_MAX,"sí",IF(CV11&lt;=TOTAL_MAX+MARGEN_NEG,"negociar","no"))</f>
        <v/>
      </c>
      <c r="CY11" s="4">
        <f>IF(CX11&lt;&gt;"no",COUNTIFS($CX$2:$CX$101,"&lt;&gt;no",$CP$2:$CP$101,"&gt;"&amp;CP11)+COUNTIFS($CX$2:CX11,"&lt;&gt;no",$CP$2:CP11,CP11),"")</f>
        <v/>
      </c>
    </row>
    <row r="12">
      <c r="A12" s="2" t="inlineStr">
        <is>
          <t>cochesnet:71399209</t>
        </is>
      </c>
      <c r="B12" s="2" t="inlineStr">
        <is>
          <t>cochesnet</t>
        </is>
      </c>
      <c r="C12" s="2" t="inlineStr">
        <is>
          <t>https://www.coches.net/renault-megane-emotion-2008-14-16v-5p-gasolina-2008-en-valencia-71399209-covo.aspx</t>
        </is>
      </c>
      <c r="D12" s="2" t="inlineStr">
        <is>
          <t>RENAULT Mégane Emotion 2008 1.4 16V</t>
        </is>
      </c>
      <c r="E12" s="2" t="inlineStr">
        <is>
          <t>Renault</t>
        </is>
      </c>
      <c r="F12" s="2" t="inlineStr">
        <is>
          <t>Renault Mégane</t>
        </is>
      </c>
      <c r="G12" s="2" t="inlineStr">
        <is>
          <t>1.4</t>
        </is>
      </c>
      <c r="H12" s="2" t="inlineStr">
        <is>
          <t>Emotion 2008 1.4 16V</t>
        </is>
      </c>
      <c r="I12" s="2" t="n"/>
      <c r="J12" s="2" t="n"/>
      <c r="K12" s="2" t="inlineStr">
        <is>
          <t>gasolina</t>
        </is>
      </c>
      <c r="L12" s="2" t="inlineStr">
        <is>
          <t>compacto</t>
        </is>
      </c>
      <c r="M12" s="2" t="n">
        <v>2008</v>
      </c>
      <c r="N12" s="2" t="n">
        <v>134000</v>
      </c>
      <c r="O12" s="2" t="n">
        <v>4590</v>
      </c>
      <c r="P12" s="2" t="inlineStr">
        <is>
          <t>manual</t>
        </is>
      </c>
      <c r="Q12" s="2" t="inlineStr">
        <is>
          <t>no</t>
        </is>
      </c>
      <c r="R12" s="2" t="inlineStr">
        <is>
          <t>profesional</t>
        </is>
      </c>
      <c r="S12" s="2" t="inlineStr">
        <is>
          <t>Only Cars Valencia Aldaia</t>
        </is>
      </c>
      <c r="T12" s="2" t="inlineStr">
        <is>
          <t>2026-08-31T12:15:05Z</t>
        </is>
      </c>
      <c r="U12" s="2" t="n">
        <v>11</v>
      </c>
      <c r="V12" s="2" t="n"/>
      <c r="W12" s="2" t="n"/>
      <c r="X12" s="2" t="n"/>
      <c r="Y12" s="2" t="n">
        <v>1</v>
      </c>
      <c r="Z12" s="2" t="inlineStr">
        <is>
          <t>sí</t>
        </is>
      </c>
      <c r="AA12" s="2" t="n"/>
      <c r="AB12" s="2" t="n">
        <v>12</v>
      </c>
      <c r="AC12" s="2" t="n"/>
      <c r="AD12" s="2" t="n"/>
      <c r="AE12" s="2" t="n"/>
      <c r="AF12" s="2" t="n"/>
      <c r="AG12" s="2" t="n"/>
      <c r="AH12" s="2" t="n">
        <v>4590</v>
      </c>
      <c r="AI12" s="2" t="n"/>
      <c r="AJ12" s="2" t="n"/>
      <c r="AK12" s="2" t="n"/>
      <c r="AL12" s="2" t="n"/>
      <c r="AM12" s="2" t="n">
        <v>7.5</v>
      </c>
      <c r="AN12" s="2" t="n"/>
      <c r="AO12" s="2" t="inlineStr">
        <is>
          <t>2008</t>
        </is>
      </c>
      <c r="AP12" s="2" t="n">
        <v>2008</v>
      </c>
      <c r="AQ12" s="2" t="n"/>
      <c r="AR12" s="2" t="inlineStr">
        <is>
          <t>C</t>
        </is>
      </c>
      <c r="AS12" s="2" t="inlineStr">
        <is>
          <t>anuncio</t>
        </is>
      </c>
      <c r="AT12" s="2" t="n"/>
      <c r="AU12" s="2" t="inlineStr">
        <is>
          <t>no</t>
        </is>
      </c>
      <c r="AV12" s="2" t="inlineStr">
        <is>
          <t>no</t>
        </is>
      </c>
      <c r="AW12" s="2" t="n">
        <v>4500</v>
      </c>
      <c r="AX12" s="2" t="n">
        <v>5</v>
      </c>
      <c r="AY12" s="2" t="inlineStr">
        <is>
          <t>modelo+año+km</t>
        </is>
      </c>
      <c r="AZ12" s="2" t="n"/>
      <c r="BA12" s="2" t="inlineStr">
        <is>
          <t>vendedor profesional: sin ITP (operación con IVA/REBU, confirmar en factura); gastos de gestión del vendedor no indicados: se suma la tasa DGT; preguntar el precio final; revisar: no menciona la ITV</t>
        </is>
      </c>
      <c r="BB12"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C12" s="2" t="inlineStr">
        <is>
          <t>https://www.coches.net/renault-megane-emotion-2008-14-16v-5p-gasolina-2008-en-valencia-71399209-covo.aspx (window.__INITIAL_PROPS__.ad) /home/user/Alopecia/buscador-coches/raw/cochesnet/893afa53c262edfe.json</t>
        </is>
      </c>
      <c r="BD12" s="3">
        <f>MAX(ANIO_ACTUAL-M12,0)</f>
        <v/>
      </c>
      <c r="BE12" s="4">
        <f>N12/MAX(BD12,0.5)</f>
        <v/>
      </c>
      <c r="BF12" s="4">
        <f>F12</f>
        <v/>
      </c>
      <c r="BG12" s="3">
        <f>BF12&amp;"|"&amp;INT(M12/SEG_ANIO)*SEG_ANIO</f>
        <v/>
      </c>
      <c r="BH12" s="3">
        <f>BG12&amp;"|"&amp;INT(N12/SEG_KM)*SEG_KM</f>
        <v/>
      </c>
      <c r="BI12" s="4">
        <f>COUNTIF($BF$2:$BF$101,BF12)</f>
        <v/>
      </c>
      <c r="BJ12" s="4">
        <f>COUNTIF($BG$2:$BG$101,BG12)</f>
        <v/>
      </c>
      <c r="BK12" s="4">
        <f>COUNTIF($BH$2:$BH$101,BH12)</f>
        <v/>
      </c>
      <c r="BL12" s="3">
        <f t="array" ref="BL12">IF(N(AX12)&gt;=MIN_N,AW12,IF(BK12&gt;=MIN_N,MEDIAN(IF($BH$2:$BH$101=BH12,$O$2:$O$101)),IF(BJ12&gt;=MIN_N,MEDIAN(IF($BG$2:$BG$101=BG12,$O$2:$O$101)),MEDIAN(IF($BF$2:$BF$101=BF12,$O$2:$O$101)))))</f>
        <v/>
      </c>
      <c r="BM12" s="3">
        <f>IF(N(AX12)&gt;=MIN_N,"mercado "&amp;AY12,IF(BK12&gt;=MIN_N,"modelo+año+km",IF(BJ12&gt;=MIN_N,"modelo+año","modelo")))</f>
        <v/>
      </c>
      <c r="BN12" s="4">
        <f>(BL12-O12)/BL12</f>
        <v/>
      </c>
      <c r="BO12" s="3">
        <f>IF(COUNTIFS(FR_FUEL,K12,FR_YEAR,AP12)&gt;0,1,0)</f>
        <v/>
      </c>
      <c r="BP12" s="3">
        <f>IF(COUNTIFS(FR_FUEL,K12,FR_YEAR,AP12-1)&gt;0,1,0)</f>
        <v/>
      </c>
      <c r="BQ12" s="4">
        <f>IF(N(AQ12)&gt;0,AP12*100+AQ12,IF(AND(BO12=1,BP12=1),(AP12-1)*100+1,AP12*100+1))</f>
        <v/>
      </c>
      <c r="BR12" s="3">
        <f>IF(OR(K12="hibrido",K12="glp",K12="gnc",K12="phev"),"ECO",IF(K12="electrico","CERO",IF(K12="gasolina",IF(BQ12&gt;=GAS_C_YM,"C",IF(BQ12&gt;=GAS_B_YM,"B","A")),IF(K12="diesel",IF(BQ12&gt;=DIE_C_YM,"C",IF(BQ12&gt;=DIE_B_YM,"B","A")),""))))</f>
        <v/>
      </c>
      <c r="BS12" s="2" t="inlineStr">
        <is>
          <t>C</t>
        </is>
      </c>
      <c r="BT12" s="4">
        <f>IF(AU12="sí","sí",IF(AS12="regla",IF(AND(N(AQ12)=0,BO12=1),"sí","no"),"no"))</f>
        <v/>
      </c>
      <c r="BU12" s="3">
        <f>IFERROR(VLOOKUP(F12,MOD_TBL,16,0),IFERROR(VLOOKUP(E12,OCU_TBL,2,0),NEUTRO))</f>
        <v/>
      </c>
      <c r="BV12" s="3">
        <f>SUMIFS(MOT_AJUSTE,MOT_MOTOR,G12,MOT_MARCA,E12,MOT_DESDE,"&lt;="&amp;M12,MOT_HASTA,"&gt;="&amp;M12)+SUMIFS(MOT_AJUSTE,MOT_MOTOR,G12,MOT_MARCA,"(todas)",MOT_DESDE,"&lt;="&amp;M12,MOT_HASTA,"&gt;="&amp;M12)+SUMIFS(MOT_AJUSTE,MOT_MOTOR,"(cualquiera)",MOT_MARCA,E12,MOT_DESDE,"&lt;="&amp;M12,MOT_HASTA,"&gt;="&amp;M12)</f>
        <v/>
      </c>
      <c r="BW12" s="3">
        <f>SUMIFS(COMB_AJUSTE,COMB_COMB,K12)</f>
        <v/>
      </c>
      <c r="BX12" s="3">
        <f>COUNTIFS(MOT_MOTOR,G12,MOT_MARCA,E12,MOT_DESDE,"&lt;="&amp;M12,MOT_HASTA,"&gt;="&amp;M12)+COUNTIFS(MOT_MOTOR,G12,MOT_MARCA,"(todas)",MOT_DESDE,"&lt;="&amp;M12,MOT_HASTA,"&gt;="&amp;M12)+COUNTIFS(MOT_MOTOR,"(cualquiera)",MOT_MARCA,E12,MOT_DESDE,"&lt;="&amp;M12,MOT_HASTA,"&gt;="&amp;M12)</f>
        <v/>
      </c>
      <c r="BY12" s="3">
        <f>IF(AND(K12="diesel",BX12=0),MIN(BU12,NEUTRO),BU12)</f>
        <v/>
      </c>
      <c r="BZ12" s="3">
        <f>MAX(0,MIN(100,BY12+BV12+BW12-IF(AV12="sí",ROB_PEN,0)))</f>
        <v/>
      </c>
      <c r="CA12" s="3">
        <f>100-MAX(0,N12-KM_TOPE_DESDE)/1000*KM_TOPE_PTS</f>
        <v/>
      </c>
      <c r="CB12" s="3">
        <f>MAX(0,MIN(100,50+BN12*PRECIO_PEND,CA12))</f>
        <v/>
      </c>
      <c r="CC12" s="3">
        <f>MAX(0,100*(1-N12/KM_MAX))</f>
        <v/>
      </c>
      <c r="CD12" s="3">
        <f>IF(BE12&lt;KMA_SOSP,IF(AA12="sí",100,KMA_PEN),IF(BE12&lt;=KMA_IDEAL_MAX,100,MAX(0,100*(KMA_CERO-BE12)/(KMA_CERO-KMA_IDEAL_MAX))))</f>
        <v/>
      </c>
      <c r="CE12" s="3">
        <f>MAX(0,MIN(100,100*(M12-ANIO_MIN)/(ANIO_ACTUAL-ANIO_MIN)))</f>
        <v/>
      </c>
      <c r="CF12" s="3">
        <f>W_KMT*CC12+W_KMA*CD12+W_EDAD*CE12</f>
        <v/>
      </c>
      <c r="CG12" s="3">
        <f>P_ITV*(V12="sí")+P_LIBRO*(W12="sí")+P_CORREA*(X12="sí")+P_PROP*(Y12=1)+P_GAR*(Z12="sí")+P_FOTOS*MIN(1,N(U12)/FOTOS_OBJ)</f>
        <v/>
      </c>
      <c r="CH12" s="3">
        <f>MAX(0,MIN(100,IFERROR(VLOOKUP(BS12,ETQ_TBL,2,0),0)-IF(BT12="sí",ETQ_PEN_DUD,IF(AS12="regla",ETQ_PEN_REGLA,0))))</f>
        <v/>
      </c>
      <c r="CI12" s="3">
        <f>NEUTRO</f>
        <v/>
      </c>
      <c r="CJ12" s="3">
        <f>IFERROR(VLOOKUP(L12,SEGURO_TBL,3,0),"")</f>
        <v/>
      </c>
      <c r="CK12" s="3">
        <f>IF(CJ12="",NEUTRO,MAX(0,MIN(100,100*(SEG_REF_MAX-CJ12)/(SEG_REF_MAX-SEG_REF_MIN))))</f>
        <v/>
      </c>
      <c r="CL12" s="3">
        <f>W_CONS*CI12+W_SEG*CK12</f>
        <v/>
      </c>
      <c r="CM12" s="3">
        <f>IF(N(AB12)&gt;0,AB12,IF(AND(R12="profesional",SG_LEGAL_ON=1),GAR_LEGAL,0))</f>
        <v/>
      </c>
      <c r="CN12" s="3">
        <f>SG_GAR*MIN(1,CM12/SG_GAR_FULL)+SG_AMPL*(AC12="sí")+SG_KMC*(AF12="sí")+SG_REV*(N(AE12)&gt;0)+SG_DEV*MIN(1,N(AG12)/SG_DEV_FULL)+SG_HIST*(W12="sí")</f>
        <v/>
      </c>
      <c r="CO12" s="3">
        <f>IFERROR(VLOOKUP(L12,CARR_PEN_TBL,2,0),0)</f>
        <v/>
      </c>
      <c r="CP12" s="3">
        <f>W_FIAB*BZ12+W_PRECIO*CB12+W_KMEDAD*CF12+W_ANUNCIO*CG12+W_USO*CL12+W_SEGURIDAD*CN12+W_ETIQUETA*CH12-CO12</f>
        <v/>
      </c>
      <c r="CQ12" s="4">
        <f>IF(N(I12)&gt;0,I12,IFERROR(ROUND(_xlfn.NUMBERVALUE(LEFT(G12,FIND(" ",G12&amp;" ")-1),".")*1000,0),99999))</f>
        <v/>
      </c>
      <c r="CR12" s="3">
        <f>IF(R12="profesional",0,IF(O12&lt;CUOTA_VALOR_MAX,IF(BD12&gt;ITP_TRAMO_ALTO,SUMIFS(CF_CUOTA,CF_MAS,ITP_TRAMO_ALTO,CF_CCMIN,"&lt;="&amp;CQ12,CF_CCMAX,"&gt;="&amp;CQ12),IF(BD12&gt;ITP_TRAMO_BAJO,SUMIFS(CF_CUOTA,CF_MAS,ITP_TRAMO_BAJO,CF_CCMIN,"&lt;="&amp;CQ12,CF_CCMAX,"&gt;="&amp;CQ12),O12*ITP_TIPO)),O12*ITP_TIPO))</f>
        <v/>
      </c>
      <c r="CS12" s="4">
        <f>IF(R12="profesional",N(AK12),0)</f>
        <v/>
      </c>
      <c r="CT12" s="3">
        <f>IF(AND(R12="profesional",ISNUMBER(AK12),AL12="sí"),0,TASA_DGT)</f>
        <v/>
      </c>
      <c r="CU12" s="3">
        <f>INFORME_DGT</f>
        <v/>
      </c>
      <c r="CV12" s="4">
        <f>O12+CS12+CR12+CT12+CU12</f>
        <v/>
      </c>
      <c r="CW12" s="4">
        <f>CV12+N(CJ12)</f>
        <v/>
      </c>
      <c r="CX12" s="3">
        <f>IF(CV12&lt;=TOTAL_MAX,"sí",IF(CV12&lt;=TOTAL_MAX+MARGEN_NEG,"negociar","no"))</f>
        <v/>
      </c>
      <c r="CY12" s="4">
        <f>IF(CX12&lt;&gt;"no",COUNTIFS($CX$2:$CX$101,"&lt;&gt;no",$CP$2:$CP$101,"&gt;"&amp;CP12)+COUNTIFS($CX$2:CX12,"&lt;&gt;no",$CP$2:CP12,CP12),"")</f>
        <v/>
      </c>
    </row>
    <row r="13">
      <c r="A13" s="2" t="inlineStr">
        <is>
          <t>cochesnet:71622320</t>
        </is>
      </c>
      <c r="B13" s="2" t="inlineStr">
        <is>
          <t>cochesnet</t>
        </is>
      </c>
      <c r="C13" s="2" t="inlineStr">
        <is>
          <t>https://www.coches.net/renault-megane-dynamique-15dci85-eco2-5p-diesel-2008-en-valencia-71622320-covo.aspx</t>
        </is>
      </c>
      <c r="D13" s="2" t="inlineStr">
        <is>
          <t>RENAULT Mégane Dynamique 1.5dCi85 eco2</t>
        </is>
      </c>
      <c r="E13" s="2" t="inlineStr">
        <is>
          <t>Renault</t>
        </is>
      </c>
      <c r="F13" s="2" t="inlineStr">
        <is>
          <t>Renault Mégane</t>
        </is>
      </c>
      <c r="G13" s="2" t="inlineStr">
        <is>
          <t>1.5</t>
        </is>
      </c>
      <c r="H13" s="2" t="inlineStr">
        <is>
          <t>Dynamique 1.5dCi85 eco2</t>
        </is>
      </c>
      <c r="I13" s="2" t="n"/>
      <c r="J13" s="2" t="n"/>
      <c r="K13" s="2" t="inlineStr">
        <is>
          <t>diesel</t>
        </is>
      </c>
      <c r="L13" s="2" t="inlineStr">
        <is>
          <t>compacto</t>
        </is>
      </c>
      <c r="M13" s="2" t="n">
        <v>2008</v>
      </c>
      <c r="N13" s="2" t="n">
        <v>145000</v>
      </c>
      <c r="O13" s="2" t="n">
        <v>3990</v>
      </c>
      <c r="P13" s="2" t="inlineStr">
        <is>
          <t>manual</t>
        </is>
      </c>
      <c r="Q13" s="2" t="inlineStr">
        <is>
          <t>no</t>
        </is>
      </c>
      <c r="R13" s="2" t="inlineStr">
        <is>
          <t>profesional</t>
        </is>
      </c>
      <c r="S13" s="2" t="inlineStr">
        <is>
          <t>Only Cars Valencia Aldaia</t>
        </is>
      </c>
      <c r="T13" s="2" t="inlineStr">
        <is>
          <t>2026-09-29T10:48:11Z</t>
        </is>
      </c>
      <c r="U13" s="2" t="n">
        <v>11</v>
      </c>
      <c r="V13" s="2" t="n"/>
      <c r="W13" s="2" t="n"/>
      <c r="X13" s="2" t="n"/>
      <c r="Y13" s="2" t="n">
        <v>1</v>
      </c>
      <c r="Z13" s="2" t="inlineStr">
        <is>
          <t>sí</t>
        </is>
      </c>
      <c r="AA13" s="2" t="n"/>
      <c r="AB13" s="2" t="n">
        <v>12</v>
      </c>
      <c r="AC13" s="2" t="n"/>
      <c r="AD13" s="2" t="n"/>
      <c r="AE13" s="2" t="n"/>
      <c r="AF13" s="2" t="n"/>
      <c r="AG13" s="2" t="n"/>
      <c r="AH13" s="2" t="n">
        <v>3990</v>
      </c>
      <c r="AI13" s="2" t="n"/>
      <c r="AJ13" s="2" t="n"/>
      <c r="AK13" s="2" t="n"/>
      <c r="AL13" s="2" t="n"/>
      <c r="AM13" s="2" t="n">
        <v>7.5</v>
      </c>
      <c r="AN13" s="2" t="n"/>
      <c r="AO13" s="2" t="inlineStr">
        <is>
          <t>2008</t>
        </is>
      </c>
      <c r="AP13" s="2" t="n">
        <v>2008</v>
      </c>
      <c r="AQ13" s="2" t="n"/>
      <c r="AR13" s="2" t="inlineStr">
        <is>
          <t>B</t>
        </is>
      </c>
      <c r="AS13" s="2" t="inlineStr">
        <is>
          <t>anuncio</t>
        </is>
      </c>
      <c r="AT13" s="2" t="n"/>
      <c r="AU13" s="2" t="inlineStr">
        <is>
          <t>no</t>
        </is>
      </c>
      <c r="AV13" s="2" t="inlineStr">
        <is>
          <t>no</t>
        </is>
      </c>
      <c r="AW13" s="2" t="n">
        <v>4500</v>
      </c>
      <c r="AX13" s="2" t="n">
        <v>5</v>
      </c>
      <c r="AY13" s="2" t="inlineStr">
        <is>
          <t>modelo+año+km</t>
        </is>
      </c>
      <c r="AZ13" s="2" t="n"/>
      <c r="BA13"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B13" s="2" t="inlineStr">
        <is>
          <t>Renault Megane 1.5 dCi Dynamique año 2008 con 145.000Kms 85CV.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C13" s="2" t="inlineStr">
        <is>
          <t>https://www.coches.net/renault-megane-dynamique-15dci85-eco2-5p-diesel-2008-en-valencia-71622320-covo.aspx (window.__INITIAL_PROPS__.ad) /home/user/Alopecia/buscador-coches/raw/cochesnet/b27e6845a5e23e51.json</t>
        </is>
      </c>
      <c r="BD13" s="3">
        <f>MAX(ANIO_ACTUAL-M13,0)</f>
        <v/>
      </c>
      <c r="BE13" s="4">
        <f>N13/MAX(BD13,0.5)</f>
        <v/>
      </c>
      <c r="BF13" s="4">
        <f>F13</f>
        <v/>
      </c>
      <c r="BG13" s="3">
        <f>BF13&amp;"|"&amp;INT(M13/SEG_ANIO)*SEG_ANIO</f>
        <v/>
      </c>
      <c r="BH13" s="3">
        <f>BG13&amp;"|"&amp;INT(N13/SEG_KM)*SEG_KM</f>
        <v/>
      </c>
      <c r="BI13" s="4">
        <f>COUNTIF($BF$2:$BF$101,BF13)</f>
        <v/>
      </c>
      <c r="BJ13" s="4">
        <f>COUNTIF($BG$2:$BG$101,BG13)</f>
        <v/>
      </c>
      <c r="BK13" s="4">
        <f>COUNTIF($BH$2:$BH$101,BH13)</f>
        <v/>
      </c>
      <c r="BL13" s="3">
        <f t="array" ref="BL13">IF(N(AX13)&gt;=MIN_N,AW13,IF(BK13&gt;=MIN_N,MEDIAN(IF($BH$2:$BH$101=BH13,$O$2:$O$101)),IF(BJ13&gt;=MIN_N,MEDIAN(IF($BG$2:$BG$101=BG13,$O$2:$O$101)),MEDIAN(IF($BF$2:$BF$101=BF13,$O$2:$O$101)))))</f>
        <v/>
      </c>
      <c r="BM13" s="3">
        <f>IF(N(AX13)&gt;=MIN_N,"mercado "&amp;AY13,IF(BK13&gt;=MIN_N,"modelo+año+km",IF(BJ13&gt;=MIN_N,"modelo+año","modelo")))</f>
        <v/>
      </c>
      <c r="BN13" s="4">
        <f>(BL13-O13)/BL13</f>
        <v/>
      </c>
      <c r="BO13" s="3">
        <f>IF(COUNTIFS(FR_FUEL,K13,FR_YEAR,AP13)&gt;0,1,0)</f>
        <v/>
      </c>
      <c r="BP13" s="3">
        <f>IF(COUNTIFS(FR_FUEL,K13,FR_YEAR,AP13-1)&gt;0,1,0)</f>
        <v/>
      </c>
      <c r="BQ13" s="4">
        <f>IF(N(AQ13)&gt;0,AP13*100+AQ13,IF(AND(BO13=1,BP13=1),(AP13-1)*100+1,AP13*100+1))</f>
        <v/>
      </c>
      <c r="BR13" s="3">
        <f>IF(OR(K13="hibrido",K13="glp",K13="gnc",K13="phev"),"ECO",IF(K13="electrico","CERO",IF(K13="gasolina",IF(BQ13&gt;=GAS_C_YM,"C",IF(BQ13&gt;=GAS_B_YM,"B","A")),IF(K13="diesel",IF(BQ13&gt;=DIE_C_YM,"C",IF(BQ13&gt;=DIE_B_YM,"B","A")),""))))</f>
        <v/>
      </c>
      <c r="BS13" s="2" t="inlineStr">
        <is>
          <t>B</t>
        </is>
      </c>
      <c r="BT13" s="4">
        <f>IF(AU13="sí","sí",IF(AS13="regla",IF(AND(N(AQ13)=0,BO13=1),"sí","no"),"no"))</f>
        <v/>
      </c>
      <c r="BU13" s="3">
        <f>IFERROR(VLOOKUP(F13,MOD_TBL,16,0),IFERROR(VLOOKUP(E13,OCU_TBL,2,0),NEUTRO))</f>
        <v/>
      </c>
      <c r="BV13" s="3">
        <f>SUMIFS(MOT_AJUSTE,MOT_MOTOR,G13,MOT_MARCA,E13,MOT_DESDE,"&lt;="&amp;M13,MOT_HASTA,"&gt;="&amp;M13)+SUMIFS(MOT_AJUSTE,MOT_MOTOR,G13,MOT_MARCA,"(todas)",MOT_DESDE,"&lt;="&amp;M13,MOT_HASTA,"&gt;="&amp;M13)+SUMIFS(MOT_AJUSTE,MOT_MOTOR,"(cualquiera)",MOT_MARCA,E13,MOT_DESDE,"&lt;="&amp;M13,MOT_HASTA,"&gt;="&amp;M13)</f>
        <v/>
      </c>
      <c r="BW13" s="3">
        <f>SUMIFS(COMB_AJUSTE,COMB_COMB,K13)</f>
        <v/>
      </c>
      <c r="BX13" s="3">
        <f>COUNTIFS(MOT_MOTOR,G13,MOT_MARCA,E13,MOT_DESDE,"&lt;="&amp;M13,MOT_HASTA,"&gt;="&amp;M13)+COUNTIFS(MOT_MOTOR,G13,MOT_MARCA,"(todas)",MOT_DESDE,"&lt;="&amp;M13,MOT_HASTA,"&gt;="&amp;M13)+COUNTIFS(MOT_MOTOR,"(cualquiera)",MOT_MARCA,E13,MOT_DESDE,"&lt;="&amp;M13,MOT_HASTA,"&gt;="&amp;M13)</f>
        <v/>
      </c>
      <c r="BY13" s="3">
        <f>IF(AND(K13="diesel",BX13=0),MIN(BU13,NEUTRO),BU13)</f>
        <v/>
      </c>
      <c r="BZ13" s="3">
        <f>MAX(0,MIN(100,BY13+BV13+BW13-IF(AV13="sí",ROB_PEN,0)))</f>
        <v/>
      </c>
      <c r="CA13" s="3">
        <f>100-MAX(0,N13-KM_TOPE_DESDE)/1000*KM_TOPE_PTS</f>
        <v/>
      </c>
      <c r="CB13" s="3">
        <f>MAX(0,MIN(100,50+BN13*PRECIO_PEND,CA13))</f>
        <v/>
      </c>
      <c r="CC13" s="3">
        <f>MAX(0,100*(1-N13/KM_MAX))</f>
        <v/>
      </c>
      <c r="CD13" s="3">
        <f>IF(BE13&lt;KMA_SOSP,IF(AA13="sí",100,KMA_PEN),IF(BE13&lt;=KMA_IDEAL_MAX,100,MAX(0,100*(KMA_CERO-BE13)/(KMA_CERO-KMA_IDEAL_MAX))))</f>
        <v/>
      </c>
      <c r="CE13" s="3">
        <f>MAX(0,MIN(100,100*(M13-ANIO_MIN)/(ANIO_ACTUAL-ANIO_MIN)))</f>
        <v/>
      </c>
      <c r="CF13" s="3">
        <f>W_KMT*CC13+W_KMA*CD13+W_EDAD*CE13</f>
        <v/>
      </c>
      <c r="CG13" s="3">
        <f>P_ITV*(V13="sí")+P_LIBRO*(W13="sí")+P_CORREA*(X13="sí")+P_PROP*(Y13=1)+P_GAR*(Z13="sí")+P_FOTOS*MIN(1,N(U13)/FOTOS_OBJ)</f>
        <v/>
      </c>
      <c r="CH13" s="3">
        <f>MAX(0,MIN(100,IFERROR(VLOOKUP(BS13,ETQ_TBL,2,0),0)-IF(BT13="sí",ETQ_PEN_DUD,IF(AS13="regla",ETQ_PEN_REGLA,0))))</f>
        <v/>
      </c>
      <c r="CI13" s="3">
        <f>NEUTRO</f>
        <v/>
      </c>
      <c r="CJ13" s="3">
        <f>IFERROR(VLOOKUP(L13,SEGURO_TBL,3,0),"")</f>
        <v/>
      </c>
      <c r="CK13" s="3">
        <f>IF(CJ13="",NEUTRO,MAX(0,MIN(100,100*(SEG_REF_MAX-CJ13)/(SEG_REF_MAX-SEG_REF_MIN))))</f>
        <v/>
      </c>
      <c r="CL13" s="3">
        <f>W_CONS*CI13+W_SEG*CK13</f>
        <v/>
      </c>
      <c r="CM13" s="3">
        <f>IF(N(AB13)&gt;0,AB13,IF(AND(R13="profesional",SG_LEGAL_ON=1),GAR_LEGAL,0))</f>
        <v/>
      </c>
      <c r="CN13" s="3">
        <f>SG_GAR*MIN(1,CM13/SG_GAR_FULL)+SG_AMPL*(AC13="sí")+SG_KMC*(AF13="sí")+SG_REV*(N(AE13)&gt;0)+SG_DEV*MIN(1,N(AG13)/SG_DEV_FULL)+SG_HIST*(W13="sí")</f>
        <v/>
      </c>
      <c r="CO13" s="3">
        <f>IFERROR(VLOOKUP(L13,CARR_PEN_TBL,2,0),0)</f>
        <v/>
      </c>
      <c r="CP13" s="3">
        <f>W_FIAB*BZ13+W_PRECIO*CB13+W_KMEDAD*CF13+W_ANUNCIO*CG13+W_USO*CL13+W_SEGURIDAD*CN13+W_ETIQUETA*CH13-CO13</f>
        <v/>
      </c>
      <c r="CQ13" s="4">
        <f>IF(N(I13)&gt;0,I13,IFERROR(ROUND(_xlfn.NUMBERVALUE(LEFT(G13,FIND(" ",G13&amp;" ")-1),".")*1000,0),99999))</f>
        <v/>
      </c>
      <c r="CR13" s="3">
        <f>IF(R13="profesional",0,IF(O13&lt;CUOTA_VALOR_MAX,IF(BD13&gt;ITP_TRAMO_ALTO,SUMIFS(CF_CUOTA,CF_MAS,ITP_TRAMO_ALTO,CF_CCMIN,"&lt;="&amp;CQ13,CF_CCMAX,"&gt;="&amp;CQ13),IF(BD13&gt;ITP_TRAMO_BAJO,SUMIFS(CF_CUOTA,CF_MAS,ITP_TRAMO_BAJO,CF_CCMIN,"&lt;="&amp;CQ13,CF_CCMAX,"&gt;="&amp;CQ13),O13*ITP_TIPO)),O13*ITP_TIPO))</f>
        <v/>
      </c>
      <c r="CS13" s="4">
        <f>IF(R13="profesional",N(AK13),0)</f>
        <v/>
      </c>
      <c r="CT13" s="3">
        <f>IF(AND(R13="profesional",ISNUMBER(AK13),AL13="sí"),0,TASA_DGT)</f>
        <v/>
      </c>
      <c r="CU13" s="3">
        <f>INFORME_DGT</f>
        <v/>
      </c>
      <c r="CV13" s="4">
        <f>O13+CS13+CR13+CT13+CU13</f>
        <v/>
      </c>
      <c r="CW13" s="4">
        <f>CV13+N(CJ13)</f>
        <v/>
      </c>
      <c r="CX13" s="3">
        <f>IF(CV13&lt;=TOTAL_MAX,"sí",IF(CV13&lt;=TOTAL_MAX+MARGEN_NEG,"negociar","no"))</f>
        <v/>
      </c>
      <c r="CY13" s="4">
        <f>IF(CX13&lt;&gt;"no",COUNTIFS($CX$2:$CX$101,"&lt;&gt;no",$CP$2:$CP$101,"&gt;"&amp;CP13)+COUNTIFS($CX$2:CX13,"&lt;&gt;no",$CP$2:CP13,CP13),"")</f>
        <v/>
      </c>
    </row>
    <row r="14">
      <c r="A14" s="2" t="inlineStr">
        <is>
          <t>cochesnet:71224992</t>
        </is>
      </c>
      <c r="B14" s="2" t="inlineStr">
        <is>
          <t>cochesnet</t>
        </is>
      </c>
      <c r="C14" s="2" t="inlineStr">
        <is>
          <t>https://www.coches.net/renault-megane-dynamique-16-16v-110-e5-5p-gasolina-2010-en-valencia-71224992-covo.aspx</t>
        </is>
      </c>
      <c r="D14" s="2" t="inlineStr">
        <is>
          <t>RENAULT Mégane Dynamique 1.6 16v 110 E5</t>
        </is>
      </c>
      <c r="E14" s="2" t="inlineStr">
        <is>
          <t>Renault</t>
        </is>
      </c>
      <c r="F14" s="2" t="inlineStr">
        <is>
          <t>Renault Mégane</t>
        </is>
      </c>
      <c r="G14" s="2" t="inlineStr">
        <is>
          <t>1.6</t>
        </is>
      </c>
      <c r="H14" s="2" t="inlineStr">
        <is>
          <t>Dynamique 1.6 16v 110 E5</t>
        </is>
      </c>
      <c r="I14" s="2" t="n"/>
      <c r="J14" s="2" t="n"/>
      <c r="K14" s="2" t="inlineStr">
        <is>
          <t>gasolina</t>
        </is>
      </c>
      <c r="L14" s="2" t="inlineStr">
        <is>
          <t>compacto</t>
        </is>
      </c>
      <c r="M14" s="2" t="n">
        <v>2011</v>
      </c>
      <c r="N14" s="2" t="n">
        <v>170000</v>
      </c>
      <c r="O14" s="2" t="n">
        <v>4490</v>
      </c>
      <c r="P14" s="2" t="inlineStr">
        <is>
          <t>manual</t>
        </is>
      </c>
      <c r="Q14" s="2" t="inlineStr">
        <is>
          <t>no</t>
        </is>
      </c>
      <c r="R14" s="2" t="inlineStr">
        <is>
          <t>profesional</t>
        </is>
      </c>
      <c r="S14" s="2" t="inlineStr">
        <is>
          <t>Cullera</t>
        </is>
      </c>
      <c r="T14" s="2" t="inlineStr">
        <is>
          <t>2026-08-04T11:55:07Z</t>
        </is>
      </c>
      <c r="U14" s="2" t="n">
        <v>16</v>
      </c>
      <c r="V14" s="2" t="n"/>
      <c r="W14" s="2" t="n"/>
      <c r="X14" s="2" t="n"/>
      <c r="Y14" s="2" t="n"/>
      <c r="Z14" s="2" t="inlineStr">
        <is>
          <t>sí</t>
        </is>
      </c>
      <c r="AA14" s="2" t="n"/>
      <c r="AB14" s="2" t="n">
        <v>12</v>
      </c>
      <c r="AC14" s="2" t="n"/>
      <c r="AD14" s="2" t="n"/>
      <c r="AE14" s="2" t="n"/>
      <c r="AF14" s="2" t="n"/>
      <c r="AG14" s="2" t="n"/>
      <c r="AH14" s="2" t="n">
        <v>4490</v>
      </c>
      <c r="AI14" s="2" t="n"/>
      <c r="AJ14" s="2" t="n"/>
      <c r="AK14" s="2" t="n"/>
      <c r="AL14" s="2" t="n"/>
      <c r="AM14" s="2" t="n">
        <v>35.4</v>
      </c>
      <c r="AN14" s="2" t="n"/>
      <c r="AO14" s="2" t="inlineStr">
        <is>
          <t>2011</t>
        </is>
      </c>
      <c r="AP14" s="2" t="n">
        <v>2011</v>
      </c>
      <c r="AQ14" s="2" t="n"/>
      <c r="AR14" s="2" t="inlineStr">
        <is>
          <t>C</t>
        </is>
      </c>
      <c r="AS14" s="2" t="inlineStr">
        <is>
          <t>anuncio</t>
        </is>
      </c>
      <c r="AT14" s="2" t="n">
        <v>2010</v>
      </c>
      <c r="AU14" s="2" t="inlineStr">
        <is>
          <t>no</t>
        </is>
      </c>
      <c r="AV14" s="2" t="inlineStr">
        <is>
          <t>no</t>
        </is>
      </c>
      <c r="AW14" s="2" t="n">
        <v>5045</v>
      </c>
      <c r="AX14" s="2" t="n">
        <v>12</v>
      </c>
      <c r="AY14" s="2" t="inlineStr">
        <is>
          <t>modelo+año+km</t>
        </is>
      </c>
      <c r="AZ14" s="2" t="n"/>
      <c r="BA14" s="2" t="inlineStr">
        <is>
          <t>año a confirmar: la URL/título dice 2010; vendedor profesional: sin ITP (operación con IVA/REBU, confirmar en factura); gastos de gestión del vendedor no indicados: se suma la tasa DGT; preguntar el precio final; revisar: no menciona la ITV</t>
        </is>
      </c>
      <c r="BB14"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BC14" s="2" t="inlineStr">
        <is>
          <t>https://www.coches.net/renault-megane-dynamique-16-16v-110-e5-5p-gasolina-2010-en-valencia-71224992-covo.aspx (window.__INITIAL_PROPS__.ad) /home/user/Alopecia/buscador-coches/raw/cochesnet/b60848ab8e8cf1e1.json</t>
        </is>
      </c>
      <c r="BD14" s="3">
        <f>MAX(ANIO_ACTUAL-M14,0)</f>
        <v/>
      </c>
      <c r="BE14" s="4">
        <f>N14/MAX(BD14,0.5)</f>
        <v/>
      </c>
      <c r="BF14" s="4">
        <f>F14</f>
        <v/>
      </c>
      <c r="BG14" s="3">
        <f>BF14&amp;"|"&amp;INT(M14/SEG_ANIO)*SEG_ANIO</f>
        <v/>
      </c>
      <c r="BH14" s="3">
        <f>BG14&amp;"|"&amp;INT(N14/SEG_KM)*SEG_KM</f>
        <v/>
      </c>
      <c r="BI14" s="4">
        <f>COUNTIF($BF$2:$BF$101,BF14)</f>
        <v/>
      </c>
      <c r="BJ14" s="4">
        <f>COUNTIF($BG$2:$BG$101,BG14)</f>
        <v/>
      </c>
      <c r="BK14" s="4">
        <f>COUNTIF($BH$2:$BH$101,BH14)</f>
        <v/>
      </c>
      <c r="BL14" s="3">
        <f t="array" ref="BL14">IF(N(AX14)&gt;=MIN_N,AW14,IF(BK14&gt;=MIN_N,MEDIAN(IF($BH$2:$BH$101=BH14,$O$2:$O$101)),IF(BJ14&gt;=MIN_N,MEDIAN(IF($BG$2:$BG$101=BG14,$O$2:$O$101)),MEDIAN(IF($BF$2:$BF$101=BF14,$O$2:$O$101)))))</f>
        <v/>
      </c>
      <c r="BM14" s="3">
        <f>IF(N(AX14)&gt;=MIN_N,"mercado "&amp;AY14,IF(BK14&gt;=MIN_N,"modelo+año+km",IF(BJ14&gt;=MIN_N,"modelo+año","modelo")))</f>
        <v/>
      </c>
      <c r="BN14" s="4">
        <f>(BL14-O14)/BL14</f>
        <v/>
      </c>
      <c r="BO14" s="3">
        <f>IF(COUNTIFS(FR_FUEL,K14,FR_YEAR,AP14)&gt;0,1,0)</f>
        <v/>
      </c>
      <c r="BP14" s="3">
        <f>IF(COUNTIFS(FR_FUEL,K14,FR_YEAR,AP14-1)&gt;0,1,0)</f>
        <v/>
      </c>
      <c r="BQ14" s="4">
        <f>IF(N(AQ14)&gt;0,AP14*100+AQ14,IF(AND(BO14=1,BP14=1),(AP14-1)*100+1,AP14*100+1))</f>
        <v/>
      </c>
      <c r="BR14" s="3">
        <f>IF(OR(K14="hibrido",K14="glp",K14="gnc",K14="phev"),"ECO",IF(K14="electrico","CERO",IF(K14="gasolina",IF(BQ14&gt;=GAS_C_YM,"C",IF(BQ14&gt;=GAS_B_YM,"B","A")),IF(K14="diesel",IF(BQ14&gt;=DIE_C_YM,"C",IF(BQ14&gt;=DIE_B_YM,"B","A")),""))))</f>
        <v/>
      </c>
      <c r="BS14" s="2" t="inlineStr">
        <is>
          <t>C</t>
        </is>
      </c>
      <c r="BT14" s="4">
        <f>IF(AU14="sí","sí",IF(AS14="regla",IF(AND(N(AQ14)=0,BO14=1),"sí","no"),"no"))</f>
        <v/>
      </c>
      <c r="BU14" s="3">
        <f>IFERROR(VLOOKUP(F14,MOD_TBL,16,0),IFERROR(VLOOKUP(E14,OCU_TBL,2,0),NEUTRO))</f>
        <v/>
      </c>
      <c r="BV14" s="3">
        <f>SUMIFS(MOT_AJUSTE,MOT_MOTOR,G14,MOT_MARCA,E14,MOT_DESDE,"&lt;="&amp;M14,MOT_HASTA,"&gt;="&amp;M14)+SUMIFS(MOT_AJUSTE,MOT_MOTOR,G14,MOT_MARCA,"(todas)",MOT_DESDE,"&lt;="&amp;M14,MOT_HASTA,"&gt;="&amp;M14)+SUMIFS(MOT_AJUSTE,MOT_MOTOR,"(cualquiera)",MOT_MARCA,E14,MOT_DESDE,"&lt;="&amp;M14,MOT_HASTA,"&gt;="&amp;M14)</f>
        <v/>
      </c>
      <c r="BW14" s="3">
        <f>SUMIFS(COMB_AJUSTE,COMB_COMB,K14)</f>
        <v/>
      </c>
      <c r="BX14" s="3">
        <f>COUNTIFS(MOT_MOTOR,G14,MOT_MARCA,E14,MOT_DESDE,"&lt;="&amp;M14,MOT_HASTA,"&gt;="&amp;M14)+COUNTIFS(MOT_MOTOR,G14,MOT_MARCA,"(todas)",MOT_DESDE,"&lt;="&amp;M14,MOT_HASTA,"&gt;="&amp;M14)+COUNTIFS(MOT_MOTOR,"(cualquiera)",MOT_MARCA,E14,MOT_DESDE,"&lt;="&amp;M14,MOT_HASTA,"&gt;="&amp;M14)</f>
        <v/>
      </c>
      <c r="BY14" s="3">
        <f>IF(AND(K14="diesel",BX14=0),MIN(BU14,NEUTRO),BU14)</f>
        <v/>
      </c>
      <c r="BZ14" s="3">
        <f>MAX(0,MIN(100,BY14+BV14+BW14-IF(AV14="sí",ROB_PEN,0)))</f>
        <v/>
      </c>
      <c r="CA14" s="3">
        <f>100-MAX(0,N14-KM_TOPE_DESDE)/1000*KM_TOPE_PTS</f>
        <v/>
      </c>
      <c r="CB14" s="3">
        <f>MAX(0,MIN(100,50+BN14*PRECIO_PEND,CA14))</f>
        <v/>
      </c>
      <c r="CC14" s="3">
        <f>MAX(0,100*(1-N14/KM_MAX))</f>
        <v/>
      </c>
      <c r="CD14" s="3">
        <f>IF(BE14&lt;KMA_SOSP,IF(AA14="sí",100,KMA_PEN),IF(BE14&lt;=KMA_IDEAL_MAX,100,MAX(0,100*(KMA_CERO-BE14)/(KMA_CERO-KMA_IDEAL_MAX))))</f>
        <v/>
      </c>
      <c r="CE14" s="3">
        <f>MAX(0,MIN(100,100*(M14-ANIO_MIN)/(ANIO_ACTUAL-ANIO_MIN)))</f>
        <v/>
      </c>
      <c r="CF14" s="3">
        <f>W_KMT*CC14+W_KMA*CD14+W_EDAD*CE14</f>
        <v/>
      </c>
      <c r="CG14" s="3">
        <f>P_ITV*(V14="sí")+P_LIBRO*(W14="sí")+P_CORREA*(X14="sí")+P_PROP*(Y14=1)+P_GAR*(Z14="sí")+P_FOTOS*MIN(1,N(U14)/FOTOS_OBJ)</f>
        <v/>
      </c>
      <c r="CH14" s="3">
        <f>MAX(0,MIN(100,IFERROR(VLOOKUP(BS14,ETQ_TBL,2,0),0)-IF(BT14="sí",ETQ_PEN_DUD,IF(AS14="regla",ETQ_PEN_REGLA,0))))</f>
        <v/>
      </c>
      <c r="CI14" s="3">
        <f>NEUTRO</f>
        <v/>
      </c>
      <c r="CJ14" s="3">
        <f>IFERROR(VLOOKUP(L14,SEGURO_TBL,3,0),"")</f>
        <v/>
      </c>
      <c r="CK14" s="3">
        <f>IF(CJ14="",NEUTRO,MAX(0,MIN(100,100*(SEG_REF_MAX-CJ14)/(SEG_REF_MAX-SEG_REF_MIN))))</f>
        <v/>
      </c>
      <c r="CL14" s="3">
        <f>W_CONS*CI14+W_SEG*CK14</f>
        <v/>
      </c>
      <c r="CM14" s="3">
        <f>IF(N(AB14)&gt;0,AB14,IF(AND(R14="profesional",SG_LEGAL_ON=1),GAR_LEGAL,0))</f>
        <v/>
      </c>
      <c r="CN14" s="3">
        <f>SG_GAR*MIN(1,CM14/SG_GAR_FULL)+SG_AMPL*(AC14="sí")+SG_KMC*(AF14="sí")+SG_REV*(N(AE14)&gt;0)+SG_DEV*MIN(1,N(AG14)/SG_DEV_FULL)+SG_HIST*(W14="sí")</f>
        <v/>
      </c>
      <c r="CO14" s="3">
        <f>IFERROR(VLOOKUP(L14,CARR_PEN_TBL,2,0),0)</f>
        <v/>
      </c>
      <c r="CP14" s="3">
        <f>W_FIAB*BZ14+W_PRECIO*CB14+W_KMEDAD*CF14+W_ANUNCIO*CG14+W_USO*CL14+W_SEGURIDAD*CN14+W_ETIQUETA*CH14-CO14</f>
        <v/>
      </c>
      <c r="CQ14" s="4">
        <f>IF(N(I14)&gt;0,I14,IFERROR(ROUND(_xlfn.NUMBERVALUE(LEFT(G14,FIND(" ",G14&amp;" ")-1),".")*1000,0),99999))</f>
        <v/>
      </c>
      <c r="CR14" s="3">
        <f>IF(R14="profesional",0,IF(O14&lt;CUOTA_VALOR_MAX,IF(BD14&gt;ITP_TRAMO_ALTO,SUMIFS(CF_CUOTA,CF_MAS,ITP_TRAMO_ALTO,CF_CCMIN,"&lt;="&amp;CQ14,CF_CCMAX,"&gt;="&amp;CQ14),IF(BD14&gt;ITP_TRAMO_BAJO,SUMIFS(CF_CUOTA,CF_MAS,ITP_TRAMO_BAJO,CF_CCMIN,"&lt;="&amp;CQ14,CF_CCMAX,"&gt;="&amp;CQ14),O14*ITP_TIPO)),O14*ITP_TIPO))</f>
        <v/>
      </c>
      <c r="CS14" s="4">
        <f>IF(R14="profesional",N(AK14),0)</f>
        <v/>
      </c>
      <c r="CT14" s="3">
        <f>IF(AND(R14="profesional",ISNUMBER(AK14),AL14="sí"),0,TASA_DGT)</f>
        <v/>
      </c>
      <c r="CU14" s="3">
        <f>INFORME_DGT</f>
        <v/>
      </c>
      <c r="CV14" s="4">
        <f>O14+CS14+CR14+CT14+CU14</f>
        <v/>
      </c>
      <c r="CW14" s="4">
        <f>CV14+N(CJ14)</f>
        <v/>
      </c>
      <c r="CX14" s="3">
        <f>IF(CV14&lt;=TOTAL_MAX,"sí",IF(CV14&lt;=TOTAL_MAX+MARGEN_NEG,"negociar","no"))</f>
        <v/>
      </c>
      <c r="CY14" s="4">
        <f>IF(CX14&lt;&gt;"no",COUNTIFS($CX$2:$CX$101,"&lt;&gt;no",$CP$2:$CP$101,"&gt;"&amp;CP14)+COUNTIFS($CX$2:CX14,"&lt;&gt;no",$CP$2:CP14,CP14),"")</f>
        <v/>
      </c>
    </row>
    <row r="15">
      <c r="A15" s="2" t="inlineStr">
        <is>
          <t>cochesnet:70507667</t>
        </is>
      </c>
      <c r="B15" s="2" t="inlineStr">
        <is>
          <t>cochesnet</t>
        </is>
      </c>
      <c r="C15" s="2" t="inlineStr">
        <is>
          <t>https://www.coches.net/dacia-sandero-ambiance-12-75cv-5p-gasolina-2012-en-valencia-70507667-covo.aspx</t>
        </is>
      </c>
      <c r="D15" s="2" t="inlineStr">
        <is>
          <t>DACIA Sandero Ambiance 1.2</t>
        </is>
      </c>
      <c r="E15" s="2" t="inlineStr">
        <is>
          <t>Dacia</t>
        </is>
      </c>
      <c r="F15" s="2" t="inlineStr">
        <is>
          <t>Dacia Sandero</t>
        </is>
      </c>
      <c r="G15" s="2" t="inlineStr">
        <is>
          <t>1.2</t>
        </is>
      </c>
      <c r="H15" s="2" t="inlineStr">
        <is>
          <t>Ambiance 1.2 75cv</t>
        </is>
      </c>
      <c r="I15" s="2" t="n"/>
      <c r="J15" s="2" t="n">
        <v>75</v>
      </c>
      <c r="K15" s="2" t="inlineStr">
        <is>
          <t>gasolina</t>
        </is>
      </c>
      <c r="L15" s="2" t="inlineStr">
        <is>
          <t>utilitario</t>
        </is>
      </c>
      <c r="M15" s="2" t="n">
        <v>2013</v>
      </c>
      <c r="N15" s="2" t="n">
        <v>175000</v>
      </c>
      <c r="O15" s="2" t="n">
        <v>3490</v>
      </c>
      <c r="P15" s="2" t="inlineStr">
        <is>
          <t>manual</t>
        </is>
      </c>
      <c r="Q15" s="2" t="inlineStr">
        <is>
          <t>no</t>
        </is>
      </c>
      <c r="R15" s="2" t="inlineStr">
        <is>
          <t>profesional</t>
        </is>
      </c>
      <c r="S15" s="2" t="inlineStr">
        <is>
          <t>AutoEco Valencia</t>
        </is>
      </c>
      <c r="T15" s="2" t="inlineStr">
        <is>
          <t>2026-10-23T09:34:08Z</t>
        </is>
      </c>
      <c r="U15" s="2" t="n">
        <v>14</v>
      </c>
      <c r="V15" s="2" t="n"/>
      <c r="W15" s="2" t="inlineStr">
        <is>
          <t>sí</t>
        </is>
      </c>
      <c r="X15" s="2" t="n"/>
      <c r="Y15" s="2" t="n"/>
      <c r="Z15" s="2" t="inlineStr">
        <is>
          <t>sí</t>
        </is>
      </c>
      <c r="AA15" s="2" t="n"/>
      <c r="AB15" s="2" t="n">
        <v>12</v>
      </c>
      <c r="AC15" s="2" t="n"/>
      <c r="AD15" s="2" t="n"/>
      <c r="AE15" s="2" t="n"/>
      <c r="AF15" s="2" t="n"/>
      <c r="AG15" s="2" t="n"/>
      <c r="AH15" s="2" t="n">
        <v>3490</v>
      </c>
      <c r="AI15" s="2" t="n">
        <v>3490</v>
      </c>
      <c r="AJ15" s="2" t="n"/>
      <c r="AK15" s="2" t="n"/>
      <c r="AL15" s="2" t="n"/>
      <c r="AM15" s="2" t="n">
        <v>0.1</v>
      </c>
      <c r="AN15" s="2" t="n"/>
      <c r="AO15" s="2" t="inlineStr">
        <is>
          <t>2013</t>
        </is>
      </c>
      <c r="AP15" s="2" t="n">
        <v>2013</v>
      </c>
      <c r="AQ15" s="2" t="n"/>
      <c r="AR15" s="2" t="inlineStr">
        <is>
          <t>C</t>
        </is>
      </c>
      <c r="AS15" s="2" t="inlineStr">
        <is>
          <t>anuncio</t>
        </is>
      </c>
      <c r="AT15" s="2" t="n">
        <v>2012</v>
      </c>
      <c r="AU15" s="2" t="inlineStr">
        <is>
          <t>no</t>
        </is>
      </c>
      <c r="AV15" s="2" t="inlineStr">
        <is>
          <t>no</t>
        </is>
      </c>
      <c r="AW15" s="2" t="n">
        <v>5300</v>
      </c>
      <c r="AX15" s="2" t="n">
        <v>4</v>
      </c>
      <c r="AY15" s="2" t="inlineStr">
        <is>
          <t>modelo+año+km</t>
        </is>
      </c>
      <c r="AZ15" s="2" t="n"/>
      <c r="BA15" s="2" t="inlineStr">
        <is>
          <t>año a confirmar: la URL/título dice 2012; vendedor profesional: sin ITP (operación con IVA/REBU, confirmar en factura); gastos de gestión del vendedor no indicados: se suma la tasa DGT; preguntar el precio final</t>
        </is>
      </c>
      <c r="BB15"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BC15" s="2" t="inlineStr">
        <is>
          <t>https://www.coches.net/dacia-sandero-ambiance-12-75cv-5p-gasolina-2012-en-valencia-70507667-covo.aspx (window.__INITIAL_PROPS__.ad) /home/user/Alopecia/buscador-coches/raw/cochesnet/0b381e23cb5ab3e1.json</t>
        </is>
      </c>
      <c r="BD15" s="3">
        <f>MAX(ANIO_ACTUAL-M15,0)</f>
        <v/>
      </c>
      <c r="BE15" s="4">
        <f>N15/MAX(BD15,0.5)</f>
        <v/>
      </c>
      <c r="BF15" s="4">
        <f>F15</f>
        <v/>
      </c>
      <c r="BG15" s="3">
        <f>BF15&amp;"|"&amp;INT(M15/SEG_ANIO)*SEG_ANIO</f>
        <v/>
      </c>
      <c r="BH15" s="3">
        <f>BG15&amp;"|"&amp;INT(N15/SEG_KM)*SEG_KM</f>
        <v/>
      </c>
      <c r="BI15" s="4">
        <f>COUNTIF($BF$2:$BF$101,BF15)</f>
        <v/>
      </c>
      <c r="BJ15" s="4">
        <f>COUNTIF($BG$2:$BG$101,BG15)</f>
        <v/>
      </c>
      <c r="BK15" s="4">
        <f>COUNTIF($BH$2:$BH$101,BH15)</f>
        <v/>
      </c>
      <c r="BL15" s="3">
        <f t="array" ref="BL15">IF(N(AX15)&gt;=MIN_N,AW15,IF(BK15&gt;=MIN_N,MEDIAN(IF($BH$2:$BH$101=BH15,$O$2:$O$101)),IF(BJ15&gt;=MIN_N,MEDIAN(IF($BG$2:$BG$101=BG15,$O$2:$O$101)),MEDIAN(IF($BF$2:$BF$101=BF15,$O$2:$O$101)))))</f>
        <v/>
      </c>
      <c r="BM15" s="3">
        <f>IF(N(AX15)&gt;=MIN_N,"mercado "&amp;AY15,IF(BK15&gt;=MIN_N,"modelo+año+km",IF(BJ15&gt;=MIN_N,"modelo+año","modelo")))</f>
        <v/>
      </c>
      <c r="BN15" s="4">
        <f>(BL15-O15)/BL15</f>
        <v/>
      </c>
      <c r="BO15" s="3">
        <f>IF(COUNTIFS(FR_FUEL,K15,FR_YEAR,AP15)&gt;0,1,0)</f>
        <v/>
      </c>
      <c r="BP15" s="3">
        <f>IF(COUNTIFS(FR_FUEL,K15,FR_YEAR,AP15-1)&gt;0,1,0)</f>
        <v/>
      </c>
      <c r="BQ15" s="4">
        <f>IF(N(AQ15)&gt;0,AP15*100+AQ15,IF(AND(BO15=1,BP15=1),(AP15-1)*100+1,AP15*100+1))</f>
        <v/>
      </c>
      <c r="BR15" s="3">
        <f>IF(OR(K15="hibrido",K15="glp",K15="gnc",K15="phev"),"ECO",IF(K15="electrico","CERO",IF(K15="gasolina",IF(BQ15&gt;=GAS_C_YM,"C",IF(BQ15&gt;=GAS_B_YM,"B","A")),IF(K15="diesel",IF(BQ15&gt;=DIE_C_YM,"C",IF(BQ15&gt;=DIE_B_YM,"B","A")),""))))</f>
        <v/>
      </c>
      <c r="BS15" s="2" t="inlineStr">
        <is>
          <t>C</t>
        </is>
      </c>
      <c r="BT15" s="4">
        <f>IF(AU15="sí","sí",IF(AS15="regla",IF(AND(N(AQ15)=0,BO15=1),"sí","no"),"no"))</f>
        <v/>
      </c>
      <c r="BU15" s="3">
        <f>IFERROR(VLOOKUP(F15,MOD_TBL,16,0),IFERROR(VLOOKUP(E15,OCU_TBL,2,0),NEUTRO))</f>
        <v/>
      </c>
      <c r="BV15" s="3">
        <f>SUMIFS(MOT_AJUSTE,MOT_MOTOR,G15,MOT_MARCA,E15,MOT_DESDE,"&lt;="&amp;M15,MOT_HASTA,"&gt;="&amp;M15)+SUMIFS(MOT_AJUSTE,MOT_MOTOR,G15,MOT_MARCA,"(todas)",MOT_DESDE,"&lt;="&amp;M15,MOT_HASTA,"&gt;="&amp;M15)+SUMIFS(MOT_AJUSTE,MOT_MOTOR,"(cualquiera)",MOT_MARCA,E15,MOT_DESDE,"&lt;="&amp;M15,MOT_HASTA,"&gt;="&amp;M15)</f>
        <v/>
      </c>
      <c r="BW15" s="3">
        <f>SUMIFS(COMB_AJUSTE,COMB_COMB,K15)</f>
        <v/>
      </c>
      <c r="BX15" s="3">
        <f>COUNTIFS(MOT_MOTOR,G15,MOT_MARCA,E15,MOT_DESDE,"&lt;="&amp;M15,MOT_HASTA,"&gt;="&amp;M15)+COUNTIFS(MOT_MOTOR,G15,MOT_MARCA,"(todas)",MOT_DESDE,"&lt;="&amp;M15,MOT_HASTA,"&gt;="&amp;M15)+COUNTIFS(MOT_MOTOR,"(cualquiera)",MOT_MARCA,E15,MOT_DESDE,"&lt;="&amp;M15,MOT_HASTA,"&gt;="&amp;M15)</f>
        <v/>
      </c>
      <c r="BY15" s="3">
        <f>IF(AND(K15="diesel",BX15=0),MIN(BU15,NEUTRO),BU15)</f>
        <v/>
      </c>
      <c r="BZ15" s="3">
        <f>MAX(0,MIN(100,BY15+BV15+BW15-IF(AV15="sí",ROB_PEN,0)))</f>
        <v/>
      </c>
      <c r="CA15" s="3">
        <f>100-MAX(0,N15-KM_TOPE_DESDE)/1000*KM_TOPE_PTS</f>
        <v/>
      </c>
      <c r="CB15" s="3">
        <f>MAX(0,MIN(100,50+BN15*PRECIO_PEND,CA15))</f>
        <v/>
      </c>
      <c r="CC15" s="3">
        <f>MAX(0,100*(1-N15/KM_MAX))</f>
        <v/>
      </c>
      <c r="CD15" s="3">
        <f>IF(BE15&lt;KMA_SOSP,IF(AA15="sí",100,KMA_PEN),IF(BE15&lt;=KMA_IDEAL_MAX,100,MAX(0,100*(KMA_CERO-BE15)/(KMA_CERO-KMA_IDEAL_MAX))))</f>
        <v/>
      </c>
      <c r="CE15" s="3">
        <f>MAX(0,MIN(100,100*(M15-ANIO_MIN)/(ANIO_ACTUAL-ANIO_MIN)))</f>
        <v/>
      </c>
      <c r="CF15" s="3">
        <f>W_KMT*CC15+W_KMA*CD15+W_EDAD*CE15</f>
        <v/>
      </c>
      <c r="CG15" s="3">
        <f>P_ITV*(V15="sí")+P_LIBRO*(W15="sí")+P_CORREA*(X15="sí")+P_PROP*(Y15=1)+P_GAR*(Z15="sí")+P_FOTOS*MIN(1,N(U15)/FOTOS_OBJ)</f>
        <v/>
      </c>
      <c r="CH15" s="3">
        <f>MAX(0,MIN(100,IFERROR(VLOOKUP(BS15,ETQ_TBL,2,0),0)-IF(BT15="sí",ETQ_PEN_DUD,IF(AS15="regla",ETQ_PEN_REGLA,0))))</f>
        <v/>
      </c>
      <c r="CI15" s="3">
        <f>NEUTRO</f>
        <v/>
      </c>
      <c r="CJ15" s="3">
        <f>IFERROR(VLOOKUP(L15,SEGURO_TBL,3,0),"")</f>
        <v/>
      </c>
      <c r="CK15" s="3">
        <f>IF(CJ15="",NEUTRO,MAX(0,MIN(100,100*(SEG_REF_MAX-CJ15)/(SEG_REF_MAX-SEG_REF_MIN))))</f>
        <v/>
      </c>
      <c r="CL15" s="3">
        <f>W_CONS*CI15+W_SEG*CK15</f>
        <v/>
      </c>
      <c r="CM15" s="3">
        <f>IF(N(AB15)&gt;0,AB15,IF(AND(R15="profesional",SG_LEGAL_ON=1),GAR_LEGAL,0))</f>
        <v/>
      </c>
      <c r="CN15" s="3">
        <f>SG_GAR*MIN(1,CM15/SG_GAR_FULL)+SG_AMPL*(AC15="sí")+SG_KMC*(AF15="sí")+SG_REV*(N(AE15)&gt;0)+SG_DEV*MIN(1,N(AG15)/SG_DEV_FULL)+SG_HIST*(W15="sí")</f>
        <v/>
      </c>
      <c r="CO15" s="3">
        <f>IFERROR(VLOOKUP(L15,CARR_PEN_TBL,2,0),0)</f>
        <v/>
      </c>
      <c r="CP15" s="3">
        <f>W_FIAB*BZ15+W_PRECIO*CB15+W_KMEDAD*CF15+W_ANUNCIO*CG15+W_USO*CL15+W_SEGURIDAD*CN15+W_ETIQUETA*CH15-CO15</f>
        <v/>
      </c>
      <c r="CQ15" s="4">
        <f>IF(N(I15)&gt;0,I15,IFERROR(ROUND(_xlfn.NUMBERVALUE(LEFT(G15,FIND(" ",G15&amp;" ")-1),".")*1000,0),99999))</f>
        <v/>
      </c>
      <c r="CR15" s="3">
        <f>IF(R15="profesional",0,IF(O15&lt;CUOTA_VALOR_MAX,IF(BD15&gt;ITP_TRAMO_ALTO,SUMIFS(CF_CUOTA,CF_MAS,ITP_TRAMO_ALTO,CF_CCMIN,"&lt;="&amp;CQ15,CF_CCMAX,"&gt;="&amp;CQ15),IF(BD15&gt;ITP_TRAMO_BAJO,SUMIFS(CF_CUOTA,CF_MAS,ITP_TRAMO_BAJO,CF_CCMIN,"&lt;="&amp;CQ15,CF_CCMAX,"&gt;="&amp;CQ15),O15*ITP_TIPO)),O15*ITP_TIPO))</f>
        <v/>
      </c>
      <c r="CS15" s="4">
        <f>IF(R15="profesional",N(AK15),0)</f>
        <v/>
      </c>
      <c r="CT15" s="3">
        <f>IF(AND(R15="profesional",ISNUMBER(AK15),AL15="sí"),0,TASA_DGT)</f>
        <v/>
      </c>
      <c r="CU15" s="3">
        <f>INFORME_DGT</f>
        <v/>
      </c>
      <c r="CV15" s="4">
        <f>O15+CS15+CR15+CT15+CU15</f>
        <v/>
      </c>
      <c r="CW15" s="4">
        <f>CV15+N(CJ15)</f>
        <v/>
      </c>
      <c r="CX15" s="3">
        <f>IF(CV15&lt;=TOTAL_MAX,"sí",IF(CV15&lt;=TOTAL_MAX+MARGEN_NEG,"negociar","no"))</f>
        <v/>
      </c>
      <c r="CY15" s="4">
        <f>IF(CX15&lt;&gt;"no",COUNTIFS($CX$2:$CX$101,"&lt;&gt;no",$CP$2:$CP$101,"&gt;"&amp;CP15)+COUNTIFS($CX$2:CX15,"&lt;&gt;no",$CP$2:CP15,CP15),"")</f>
        <v/>
      </c>
    </row>
    <row r="16">
      <c r="A16" s="2" t="inlineStr">
        <is>
          <t>cochesnet:71571620</t>
        </is>
      </c>
      <c r="B16" s="2" t="inlineStr">
        <is>
          <t>cochesnet</t>
        </is>
      </c>
      <c r="C16" s="2" t="inlineStr">
        <is>
          <t>https://www.coches.net/dacia-logan-laureate-14-4p-gasolina-2007-en-valencia-71571620-covo.aspx</t>
        </is>
      </c>
      <c r="D16" s="2" t="inlineStr">
        <is>
          <t>DACIA Logan Laureate 1.4</t>
        </is>
      </c>
      <c r="E16" s="2" t="inlineStr">
        <is>
          <t>Dacia</t>
        </is>
      </c>
      <c r="F16" s="2" t="inlineStr">
        <is>
          <t>Dacia Logan</t>
        </is>
      </c>
      <c r="G16" s="2" t="inlineStr">
        <is>
          <t>1.4</t>
        </is>
      </c>
      <c r="H16" s="2" t="inlineStr">
        <is>
          <t>Laureate 1.4</t>
        </is>
      </c>
      <c r="I16" s="2" t="n"/>
      <c r="J16" s="2" t="n"/>
      <c r="K16" s="2" t="inlineStr">
        <is>
          <t>gasolina</t>
        </is>
      </c>
      <c r="L16" s="2" t="inlineStr">
        <is>
          <t>berlina</t>
        </is>
      </c>
      <c r="M16" s="2" t="n">
        <v>2008</v>
      </c>
      <c r="N16" s="2" t="n">
        <v>128293</v>
      </c>
      <c r="O16" s="2" t="n">
        <v>3490</v>
      </c>
      <c r="P16" s="2" t="inlineStr">
        <is>
          <t>manual</t>
        </is>
      </c>
      <c r="Q16" s="2" t="inlineStr">
        <is>
          <t>no</t>
        </is>
      </c>
      <c r="R16" s="2" t="inlineStr">
        <is>
          <t>profesional</t>
        </is>
      </c>
      <c r="S16" s="2" t="inlineStr">
        <is>
          <t>AUTOSCOL Torrent</t>
        </is>
      </c>
      <c r="T16" s="2" t="inlineStr">
        <is>
          <t>2026-09-22T15:40:22Z</t>
        </is>
      </c>
      <c r="U16" s="2" t="n">
        <v>18</v>
      </c>
      <c r="V16" s="2" t="n"/>
      <c r="W16" s="2" t="n"/>
      <c r="X16" s="2" t="n"/>
      <c r="Y16" s="2" t="n"/>
      <c r="Z16" s="2" t="inlineStr">
        <is>
          <t>sí</t>
        </is>
      </c>
      <c r="AA16" s="2" t="n"/>
      <c r="AB16" s="2" t="n">
        <v>12</v>
      </c>
      <c r="AC16" s="2" t="n"/>
      <c r="AD16" s="2" t="n"/>
      <c r="AE16" s="2" t="n"/>
      <c r="AF16" s="2" t="n"/>
      <c r="AG16" s="2" t="n"/>
      <c r="AH16" s="2" t="n">
        <v>3490</v>
      </c>
      <c r="AI16" s="2" t="n"/>
      <c r="AJ16" s="2" t="n"/>
      <c r="AK16" s="2" t="n">
        <v>180</v>
      </c>
      <c r="AL16" s="2" t="inlineStr">
        <is>
          <t>sí</t>
        </is>
      </c>
      <c r="AM16" s="2" t="n">
        <v>8.800000000000001</v>
      </c>
      <c r="AN16" s="2" t="n"/>
      <c r="AO16" s="2" t="inlineStr">
        <is>
          <t>2008</t>
        </is>
      </c>
      <c r="AP16" s="2" t="n">
        <v>2008</v>
      </c>
      <c r="AQ16" s="2" t="n"/>
      <c r="AR16" s="2" t="inlineStr">
        <is>
          <t>C</t>
        </is>
      </c>
      <c r="AS16" s="2" t="inlineStr">
        <is>
          <t>anuncio</t>
        </is>
      </c>
      <c r="AT16" s="2" t="n">
        <v>2007</v>
      </c>
      <c r="AU16" s="2" t="inlineStr">
        <is>
          <t>no</t>
        </is>
      </c>
      <c r="AV16" s="2" t="inlineStr">
        <is>
          <t>no</t>
        </is>
      </c>
      <c r="AW16" s="2" t="n"/>
      <c r="AX16" s="2" t="n"/>
      <c r="AY16" s="2" t="n"/>
      <c r="AZ16" s="2" t="n"/>
      <c r="BA16" s="2" t="inlineStr">
        <is>
          <t>año a confirmar: la URL/título dice 2007; vendedor profesional: sin ITP (operación con IVA/REBU, confirmar en factura); carrocería berlina: -4 puntos; revisar: no menciona la ITV; mediana con solo 1 anuncio(s)</t>
        </is>
      </c>
      <c r="BB16"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BC16" s="2" t="inlineStr">
        <is>
          <t>https://www.coches.net/dacia-logan-laureate-14-4p-gasolina-2007-en-valencia-71571620-covo.aspx (window.__INITIAL_PROPS__.ad) /home/user/Alopecia/buscador-coches/raw/cochesnet/419db24ec45a6b74.json</t>
        </is>
      </c>
      <c r="BD16" s="3">
        <f>MAX(ANIO_ACTUAL-M16,0)</f>
        <v/>
      </c>
      <c r="BE16" s="4">
        <f>N16/MAX(BD16,0.5)</f>
        <v/>
      </c>
      <c r="BF16" s="4">
        <f>F16</f>
        <v/>
      </c>
      <c r="BG16" s="3">
        <f>BF16&amp;"|"&amp;INT(M16/SEG_ANIO)*SEG_ANIO</f>
        <v/>
      </c>
      <c r="BH16" s="3">
        <f>BG16&amp;"|"&amp;INT(N16/SEG_KM)*SEG_KM</f>
        <v/>
      </c>
      <c r="BI16" s="4">
        <f>COUNTIF($BF$2:$BF$101,BF16)</f>
        <v/>
      </c>
      <c r="BJ16" s="4">
        <f>COUNTIF($BG$2:$BG$101,BG16)</f>
        <v/>
      </c>
      <c r="BK16" s="4">
        <f>COUNTIF($BH$2:$BH$101,BH16)</f>
        <v/>
      </c>
      <c r="BL16" s="3">
        <f t="array" ref="BL16">IF(N(AX16)&gt;=MIN_N,AW16,IF(BK16&gt;=MIN_N,MEDIAN(IF($BH$2:$BH$101=BH16,$O$2:$O$101)),IF(BJ16&gt;=MIN_N,MEDIAN(IF($BG$2:$BG$101=BG16,$O$2:$O$101)),MEDIAN(IF($BF$2:$BF$101=BF16,$O$2:$O$101)))))</f>
        <v/>
      </c>
      <c r="BM16" s="3">
        <f>IF(N(AX16)&gt;=MIN_N,"mercado "&amp;AY16,IF(BK16&gt;=MIN_N,"modelo+año+km",IF(BJ16&gt;=MIN_N,"modelo+año","modelo")))</f>
        <v/>
      </c>
      <c r="BN16" s="4">
        <f>(BL16-O16)/BL16</f>
        <v/>
      </c>
      <c r="BO16" s="3">
        <f>IF(COUNTIFS(FR_FUEL,K16,FR_YEAR,AP16)&gt;0,1,0)</f>
        <v/>
      </c>
      <c r="BP16" s="3">
        <f>IF(COUNTIFS(FR_FUEL,K16,FR_YEAR,AP16-1)&gt;0,1,0)</f>
        <v/>
      </c>
      <c r="BQ16" s="4">
        <f>IF(N(AQ16)&gt;0,AP16*100+AQ16,IF(AND(BO16=1,BP16=1),(AP16-1)*100+1,AP16*100+1))</f>
        <v/>
      </c>
      <c r="BR16" s="3">
        <f>IF(OR(K16="hibrido",K16="glp",K16="gnc",K16="phev"),"ECO",IF(K16="electrico","CERO",IF(K16="gasolina",IF(BQ16&gt;=GAS_C_YM,"C",IF(BQ16&gt;=GAS_B_YM,"B","A")),IF(K16="diesel",IF(BQ16&gt;=DIE_C_YM,"C",IF(BQ16&gt;=DIE_B_YM,"B","A")),""))))</f>
        <v/>
      </c>
      <c r="BS16" s="2" t="inlineStr">
        <is>
          <t>C</t>
        </is>
      </c>
      <c r="BT16" s="4">
        <f>IF(AU16="sí","sí",IF(AS16="regla",IF(AND(N(AQ16)=0,BO16=1),"sí","no"),"no"))</f>
        <v/>
      </c>
      <c r="BU16" s="3">
        <f>IFERROR(VLOOKUP(F16,MOD_TBL,16,0),IFERROR(VLOOKUP(E16,OCU_TBL,2,0),NEUTRO))</f>
        <v/>
      </c>
      <c r="BV16" s="3">
        <f>SUMIFS(MOT_AJUSTE,MOT_MOTOR,G16,MOT_MARCA,E16,MOT_DESDE,"&lt;="&amp;M16,MOT_HASTA,"&gt;="&amp;M16)+SUMIFS(MOT_AJUSTE,MOT_MOTOR,G16,MOT_MARCA,"(todas)",MOT_DESDE,"&lt;="&amp;M16,MOT_HASTA,"&gt;="&amp;M16)+SUMIFS(MOT_AJUSTE,MOT_MOTOR,"(cualquiera)",MOT_MARCA,E16,MOT_DESDE,"&lt;="&amp;M16,MOT_HASTA,"&gt;="&amp;M16)</f>
        <v/>
      </c>
      <c r="BW16" s="3">
        <f>SUMIFS(COMB_AJUSTE,COMB_COMB,K16)</f>
        <v/>
      </c>
      <c r="BX16" s="3">
        <f>COUNTIFS(MOT_MOTOR,G16,MOT_MARCA,E16,MOT_DESDE,"&lt;="&amp;M16,MOT_HASTA,"&gt;="&amp;M16)+COUNTIFS(MOT_MOTOR,G16,MOT_MARCA,"(todas)",MOT_DESDE,"&lt;="&amp;M16,MOT_HASTA,"&gt;="&amp;M16)+COUNTIFS(MOT_MOTOR,"(cualquiera)",MOT_MARCA,E16,MOT_DESDE,"&lt;="&amp;M16,MOT_HASTA,"&gt;="&amp;M16)</f>
        <v/>
      </c>
      <c r="BY16" s="3">
        <f>IF(AND(K16="diesel",BX16=0),MIN(BU16,NEUTRO),BU16)</f>
        <v/>
      </c>
      <c r="BZ16" s="3">
        <f>MAX(0,MIN(100,BY16+BV16+BW16-IF(AV16="sí",ROB_PEN,0)))</f>
        <v/>
      </c>
      <c r="CA16" s="3">
        <f>100-MAX(0,N16-KM_TOPE_DESDE)/1000*KM_TOPE_PTS</f>
        <v/>
      </c>
      <c r="CB16" s="3">
        <f>MAX(0,MIN(100,50+BN16*PRECIO_PEND,CA16))</f>
        <v/>
      </c>
      <c r="CC16" s="3">
        <f>MAX(0,100*(1-N16/KM_MAX))</f>
        <v/>
      </c>
      <c r="CD16" s="3">
        <f>IF(BE16&lt;KMA_SOSP,IF(AA16="sí",100,KMA_PEN),IF(BE16&lt;=KMA_IDEAL_MAX,100,MAX(0,100*(KMA_CERO-BE16)/(KMA_CERO-KMA_IDEAL_MAX))))</f>
        <v/>
      </c>
      <c r="CE16" s="3">
        <f>MAX(0,MIN(100,100*(M16-ANIO_MIN)/(ANIO_ACTUAL-ANIO_MIN)))</f>
        <v/>
      </c>
      <c r="CF16" s="3">
        <f>W_KMT*CC16+W_KMA*CD16+W_EDAD*CE16</f>
        <v/>
      </c>
      <c r="CG16" s="3">
        <f>P_ITV*(V16="sí")+P_LIBRO*(W16="sí")+P_CORREA*(X16="sí")+P_PROP*(Y16=1)+P_GAR*(Z16="sí")+P_FOTOS*MIN(1,N(U16)/FOTOS_OBJ)</f>
        <v/>
      </c>
      <c r="CH16" s="3">
        <f>MAX(0,MIN(100,IFERROR(VLOOKUP(BS16,ETQ_TBL,2,0),0)-IF(BT16="sí",ETQ_PEN_DUD,IF(AS16="regla",ETQ_PEN_REGLA,0))))</f>
        <v/>
      </c>
      <c r="CI16" s="3">
        <f>NEUTRO</f>
        <v/>
      </c>
      <c r="CJ16" s="3">
        <f>IFERROR(VLOOKUP(L16,SEGURO_TBL,3,0),"")</f>
        <v/>
      </c>
      <c r="CK16" s="3">
        <f>IF(CJ16="",NEUTRO,MAX(0,MIN(100,100*(SEG_REF_MAX-CJ16)/(SEG_REF_MAX-SEG_REF_MIN))))</f>
        <v/>
      </c>
      <c r="CL16" s="3">
        <f>W_CONS*CI16+W_SEG*CK16</f>
        <v/>
      </c>
      <c r="CM16" s="3">
        <f>IF(N(AB16)&gt;0,AB16,IF(AND(R16="profesional",SG_LEGAL_ON=1),GAR_LEGAL,0))</f>
        <v/>
      </c>
      <c r="CN16" s="3">
        <f>SG_GAR*MIN(1,CM16/SG_GAR_FULL)+SG_AMPL*(AC16="sí")+SG_KMC*(AF16="sí")+SG_REV*(N(AE16)&gt;0)+SG_DEV*MIN(1,N(AG16)/SG_DEV_FULL)+SG_HIST*(W16="sí")</f>
        <v/>
      </c>
      <c r="CO16" s="3">
        <f>IFERROR(VLOOKUP(L16,CARR_PEN_TBL,2,0),0)</f>
        <v/>
      </c>
      <c r="CP16" s="3">
        <f>W_FIAB*BZ16+W_PRECIO*CB16+W_KMEDAD*CF16+W_ANUNCIO*CG16+W_USO*CL16+W_SEGURIDAD*CN16+W_ETIQUETA*CH16-CO16</f>
        <v/>
      </c>
      <c r="CQ16" s="4">
        <f>IF(N(I16)&gt;0,I16,IFERROR(ROUND(_xlfn.NUMBERVALUE(LEFT(G16,FIND(" ",G16&amp;" ")-1),".")*1000,0),99999))</f>
        <v/>
      </c>
      <c r="CR16" s="3">
        <f>IF(R16="profesional",0,IF(O16&lt;CUOTA_VALOR_MAX,IF(BD16&gt;ITP_TRAMO_ALTO,SUMIFS(CF_CUOTA,CF_MAS,ITP_TRAMO_ALTO,CF_CCMIN,"&lt;="&amp;CQ16,CF_CCMAX,"&gt;="&amp;CQ16),IF(BD16&gt;ITP_TRAMO_BAJO,SUMIFS(CF_CUOTA,CF_MAS,ITP_TRAMO_BAJO,CF_CCMIN,"&lt;="&amp;CQ16,CF_CCMAX,"&gt;="&amp;CQ16),O16*ITP_TIPO)),O16*ITP_TIPO))</f>
        <v/>
      </c>
      <c r="CS16" s="4">
        <f>IF(R16="profesional",N(AK16),0)</f>
        <v/>
      </c>
      <c r="CT16" s="3">
        <f>IF(AND(R16="profesional",ISNUMBER(AK16),AL16="sí"),0,TASA_DGT)</f>
        <v/>
      </c>
      <c r="CU16" s="3">
        <f>INFORME_DGT</f>
        <v/>
      </c>
      <c r="CV16" s="4">
        <f>O16+CS16+CR16+CT16+CU16</f>
        <v/>
      </c>
      <c r="CW16" s="4">
        <f>CV16+N(CJ16)</f>
        <v/>
      </c>
      <c r="CX16" s="3">
        <f>IF(CV16&lt;=TOTAL_MAX,"sí",IF(CV16&lt;=TOTAL_MAX+MARGEN_NEG,"negociar","no"))</f>
        <v/>
      </c>
      <c r="CY16" s="4">
        <f>IF(CX16&lt;&gt;"no",COUNTIFS($CX$2:$CX$101,"&lt;&gt;no",$CP$2:$CP$101,"&gt;"&amp;CP16)+COUNTIFS($CX$2:CX16,"&lt;&gt;no",$CP$2:CP16,CP16),"")</f>
        <v/>
      </c>
    </row>
    <row r="17">
      <c r="A17" s="2" t="inlineStr">
        <is>
          <t>cochesnet:71833160</t>
        </is>
      </c>
      <c r="B17" s="2" t="inlineStr">
        <is>
          <t>cochesnet</t>
        </is>
      </c>
      <c r="C17" s="2" t="inlineStr">
        <is>
          <t>https://www.coches.net/peugeot-207-confort-14-75-5p-gasolina-2009-en-valencia-71833160-covo.aspx</t>
        </is>
      </c>
      <c r="D17" s="2" t="inlineStr">
        <is>
          <t>PEUGEOT 207 Confort 1.4 75</t>
        </is>
      </c>
      <c r="E17" s="2" t="inlineStr">
        <is>
          <t>Peugeot</t>
        </is>
      </c>
      <c r="F17" s="2" t="inlineStr">
        <is>
          <t>Peugeot 207</t>
        </is>
      </c>
      <c r="G17" s="2" t="inlineStr">
        <is>
          <t>1.4</t>
        </is>
      </c>
      <c r="H17" s="2" t="inlineStr">
        <is>
          <t>Confort 1.4 75</t>
        </is>
      </c>
      <c r="I17" s="2" t="n"/>
      <c r="J17" s="2" t="n"/>
      <c r="K17" s="2" t="inlineStr">
        <is>
          <t>gasolina</t>
        </is>
      </c>
      <c r="L17" s="2" t="inlineStr">
        <is>
          <t>utilitario</t>
        </is>
      </c>
      <c r="M17" s="2" t="n">
        <v>2009</v>
      </c>
      <c r="N17" s="2" t="n">
        <v>95000</v>
      </c>
      <c r="O17" s="2" t="n">
        <v>3990</v>
      </c>
      <c r="P17" s="2" t="inlineStr">
        <is>
          <t>manual</t>
        </is>
      </c>
      <c r="Q17" s="2" t="inlineStr">
        <is>
          <t>no</t>
        </is>
      </c>
      <c r="R17" s="2" t="inlineStr">
        <is>
          <t>profesional</t>
        </is>
      </c>
      <c r="S17" s="2" t="inlineStr">
        <is>
          <t>Prime Cars Alzira Alzira</t>
        </is>
      </c>
      <c r="T17" s="2" t="inlineStr">
        <is>
          <t>2026-10-26T12:09:55Z</t>
        </is>
      </c>
      <c r="U17" s="2" t="n">
        <v>10</v>
      </c>
      <c r="V17" s="2" t="inlineStr">
        <is>
          <t>sí</t>
        </is>
      </c>
      <c r="W17" s="2" t="n"/>
      <c r="X17" s="2" t="inlineStr">
        <is>
          <t>sí</t>
        </is>
      </c>
      <c r="Y17" s="2" t="n"/>
      <c r="Z17" s="2" t="inlineStr">
        <is>
          <t>no</t>
        </is>
      </c>
      <c r="AA17" s="2" t="n"/>
      <c r="AB17" s="2" t="n"/>
      <c r="AC17" s="2" t="n"/>
      <c r="AD17" s="2" t="n"/>
      <c r="AE17" s="2" t="n"/>
      <c r="AF17" s="2" t="n"/>
      <c r="AG17" s="2" t="n"/>
      <c r="AH17" s="2" t="n">
        <v>3990</v>
      </c>
      <c r="AI17" s="2" t="n"/>
      <c r="AJ17" s="2" t="n"/>
      <c r="AK17" s="2" t="n"/>
      <c r="AL17" s="2" t="n"/>
      <c r="AM17" s="2" t="n">
        <v>35.7</v>
      </c>
      <c r="AN17" s="2" t="n"/>
      <c r="AO17" s="2" t="inlineStr">
        <is>
          <t>2009</t>
        </is>
      </c>
      <c r="AP17" s="2" t="n">
        <v>2009</v>
      </c>
      <c r="AQ17" s="2" t="n"/>
      <c r="AR17" s="2" t="inlineStr">
        <is>
          <t>C</t>
        </is>
      </c>
      <c r="AS17" s="2" t="inlineStr">
        <is>
          <t>anuncio</t>
        </is>
      </c>
      <c r="AT17" s="2" t="n"/>
      <c r="AU17" s="2" t="inlineStr">
        <is>
          <t>no</t>
        </is>
      </c>
      <c r="AV17" s="2" t="inlineStr">
        <is>
          <t>no</t>
        </is>
      </c>
      <c r="AW17" s="2" t="n">
        <v>4625</v>
      </c>
      <c r="AX17" s="2" t="n">
        <v>12</v>
      </c>
      <c r="AY17" s="2" t="inlineStr">
        <is>
          <t>modelo+año+km</t>
        </is>
      </c>
      <c r="AZ17" s="2" t="n"/>
      <c r="BA17" s="2" t="inlineStr">
        <is>
          <t>vendedor profesional: sin ITP (operación con IVA/REBU, confirmar en factura); gastos de gestión del vendedor no indicados: se suma la tasa DGT; preguntar el precio final; fiabilidad del modelo PENDIENTE de fuente (puntuación neutra)</t>
        </is>
      </c>
      <c r="BB17"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BC17" s="2" t="inlineStr">
        <is>
          <t>https://www.coches.net/peugeot-207-confort-14-75-5p-gasolina-2009-en-valencia-71833160-covo.aspx (window.__INITIAL_PROPS__.ad) /home/user/Alopecia/buscador-coches/raw/cochesnet/0b54a76ea589cdf3.json</t>
        </is>
      </c>
      <c r="BD17" s="3">
        <f>MAX(ANIO_ACTUAL-M17,0)</f>
        <v/>
      </c>
      <c r="BE17" s="4">
        <f>N17/MAX(BD17,0.5)</f>
        <v/>
      </c>
      <c r="BF17" s="4">
        <f>F17</f>
        <v/>
      </c>
      <c r="BG17" s="3">
        <f>BF17&amp;"|"&amp;INT(M17/SEG_ANIO)*SEG_ANIO</f>
        <v/>
      </c>
      <c r="BH17" s="3">
        <f>BG17&amp;"|"&amp;INT(N17/SEG_KM)*SEG_KM</f>
        <v/>
      </c>
      <c r="BI17" s="4">
        <f>COUNTIF($BF$2:$BF$101,BF17)</f>
        <v/>
      </c>
      <c r="BJ17" s="4">
        <f>COUNTIF($BG$2:$BG$101,BG17)</f>
        <v/>
      </c>
      <c r="BK17" s="4">
        <f>COUNTIF($BH$2:$BH$101,BH17)</f>
        <v/>
      </c>
      <c r="BL17" s="3">
        <f t="array" ref="BL17">IF(N(AX17)&gt;=MIN_N,AW17,IF(BK17&gt;=MIN_N,MEDIAN(IF($BH$2:$BH$101=BH17,$O$2:$O$101)),IF(BJ17&gt;=MIN_N,MEDIAN(IF($BG$2:$BG$101=BG17,$O$2:$O$101)),MEDIAN(IF($BF$2:$BF$101=BF17,$O$2:$O$101)))))</f>
        <v/>
      </c>
      <c r="BM17" s="3">
        <f>IF(N(AX17)&gt;=MIN_N,"mercado "&amp;AY17,IF(BK17&gt;=MIN_N,"modelo+año+km",IF(BJ17&gt;=MIN_N,"modelo+año","modelo")))</f>
        <v/>
      </c>
      <c r="BN17" s="4">
        <f>(BL17-O17)/BL17</f>
        <v/>
      </c>
      <c r="BO17" s="3">
        <f>IF(COUNTIFS(FR_FUEL,K17,FR_YEAR,AP17)&gt;0,1,0)</f>
        <v/>
      </c>
      <c r="BP17" s="3">
        <f>IF(COUNTIFS(FR_FUEL,K17,FR_YEAR,AP17-1)&gt;0,1,0)</f>
        <v/>
      </c>
      <c r="BQ17" s="4">
        <f>IF(N(AQ17)&gt;0,AP17*100+AQ17,IF(AND(BO17=1,BP17=1),(AP17-1)*100+1,AP17*100+1))</f>
        <v/>
      </c>
      <c r="BR17" s="3">
        <f>IF(OR(K17="hibrido",K17="glp",K17="gnc",K17="phev"),"ECO",IF(K17="electrico","CERO",IF(K17="gasolina",IF(BQ17&gt;=GAS_C_YM,"C",IF(BQ17&gt;=GAS_B_YM,"B","A")),IF(K17="diesel",IF(BQ17&gt;=DIE_C_YM,"C",IF(BQ17&gt;=DIE_B_YM,"B","A")),""))))</f>
        <v/>
      </c>
      <c r="BS17" s="2" t="inlineStr">
        <is>
          <t>C</t>
        </is>
      </c>
      <c r="BT17" s="4">
        <f>IF(AU17="sí","sí",IF(AS17="regla",IF(AND(N(AQ17)=0,BO17=1),"sí","no"),"no"))</f>
        <v/>
      </c>
      <c r="BU17" s="3">
        <f>IFERROR(VLOOKUP(F17,MOD_TBL,16,0),IFERROR(VLOOKUP(E17,OCU_TBL,2,0),NEUTRO))</f>
        <v/>
      </c>
      <c r="BV17" s="3">
        <f>SUMIFS(MOT_AJUSTE,MOT_MOTOR,G17,MOT_MARCA,E17,MOT_DESDE,"&lt;="&amp;M17,MOT_HASTA,"&gt;="&amp;M17)+SUMIFS(MOT_AJUSTE,MOT_MOTOR,G17,MOT_MARCA,"(todas)",MOT_DESDE,"&lt;="&amp;M17,MOT_HASTA,"&gt;="&amp;M17)+SUMIFS(MOT_AJUSTE,MOT_MOTOR,"(cualquiera)",MOT_MARCA,E17,MOT_DESDE,"&lt;="&amp;M17,MOT_HASTA,"&gt;="&amp;M17)</f>
        <v/>
      </c>
      <c r="BW17" s="3">
        <f>SUMIFS(COMB_AJUSTE,COMB_COMB,K17)</f>
        <v/>
      </c>
      <c r="BX17" s="3">
        <f>COUNTIFS(MOT_MOTOR,G17,MOT_MARCA,E17,MOT_DESDE,"&lt;="&amp;M17,MOT_HASTA,"&gt;="&amp;M17)+COUNTIFS(MOT_MOTOR,G17,MOT_MARCA,"(todas)",MOT_DESDE,"&lt;="&amp;M17,MOT_HASTA,"&gt;="&amp;M17)+COUNTIFS(MOT_MOTOR,"(cualquiera)",MOT_MARCA,E17,MOT_DESDE,"&lt;="&amp;M17,MOT_HASTA,"&gt;="&amp;M17)</f>
        <v/>
      </c>
      <c r="BY17" s="3">
        <f>IF(AND(K17="diesel",BX17=0),MIN(BU17,NEUTRO),BU17)</f>
        <v/>
      </c>
      <c r="BZ17" s="3">
        <f>MAX(0,MIN(100,BY17+BV17+BW17-IF(AV17="sí",ROB_PEN,0)))</f>
        <v/>
      </c>
      <c r="CA17" s="3">
        <f>100-MAX(0,N17-KM_TOPE_DESDE)/1000*KM_TOPE_PTS</f>
        <v/>
      </c>
      <c r="CB17" s="3">
        <f>MAX(0,MIN(100,50+BN17*PRECIO_PEND,CA17))</f>
        <v/>
      </c>
      <c r="CC17" s="3">
        <f>MAX(0,100*(1-N17/KM_MAX))</f>
        <v/>
      </c>
      <c r="CD17" s="3">
        <f>IF(BE17&lt;KMA_SOSP,IF(AA17="sí",100,KMA_PEN),IF(BE17&lt;=KMA_IDEAL_MAX,100,MAX(0,100*(KMA_CERO-BE17)/(KMA_CERO-KMA_IDEAL_MAX))))</f>
        <v/>
      </c>
      <c r="CE17" s="3">
        <f>MAX(0,MIN(100,100*(M17-ANIO_MIN)/(ANIO_ACTUAL-ANIO_MIN)))</f>
        <v/>
      </c>
      <c r="CF17" s="3">
        <f>W_KMT*CC17+W_KMA*CD17+W_EDAD*CE17</f>
        <v/>
      </c>
      <c r="CG17" s="3">
        <f>P_ITV*(V17="sí")+P_LIBRO*(W17="sí")+P_CORREA*(X17="sí")+P_PROP*(Y17=1)+P_GAR*(Z17="sí")+P_FOTOS*MIN(1,N(U17)/FOTOS_OBJ)</f>
        <v/>
      </c>
      <c r="CH17" s="3">
        <f>MAX(0,MIN(100,IFERROR(VLOOKUP(BS17,ETQ_TBL,2,0),0)-IF(BT17="sí",ETQ_PEN_DUD,IF(AS17="regla",ETQ_PEN_REGLA,0))))</f>
        <v/>
      </c>
      <c r="CI17" s="3">
        <f>NEUTRO</f>
        <v/>
      </c>
      <c r="CJ17" s="3">
        <f>IFERROR(VLOOKUP(L17,SEGURO_TBL,3,0),"")</f>
        <v/>
      </c>
      <c r="CK17" s="3">
        <f>IF(CJ17="",NEUTRO,MAX(0,MIN(100,100*(SEG_REF_MAX-CJ17)/(SEG_REF_MAX-SEG_REF_MIN))))</f>
        <v/>
      </c>
      <c r="CL17" s="3">
        <f>W_CONS*CI17+W_SEG*CK17</f>
        <v/>
      </c>
      <c r="CM17" s="3">
        <f>IF(N(AB17)&gt;0,AB17,IF(AND(R17="profesional",SG_LEGAL_ON=1),GAR_LEGAL,0))</f>
        <v/>
      </c>
      <c r="CN17" s="3">
        <f>SG_GAR*MIN(1,CM17/SG_GAR_FULL)+SG_AMPL*(AC17="sí")+SG_KMC*(AF17="sí")+SG_REV*(N(AE17)&gt;0)+SG_DEV*MIN(1,N(AG17)/SG_DEV_FULL)+SG_HIST*(W17="sí")</f>
        <v/>
      </c>
      <c r="CO17" s="3">
        <f>IFERROR(VLOOKUP(L17,CARR_PEN_TBL,2,0),0)</f>
        <v/>
      </c>
      <c r="CP17" s="3">
        <f>W_FIAB*BZ17+W_PRECIO*CB17+W_KMEDAD*CF17+W_ANUNCIO*CG17+W_USO*CL17+W_SEGURIDAD*CN17+W_ETIQUETA*CH17-CO17</f>
        <v/>
      </c>
      <c r="CQ17" s="4">
        <f>IF(N(I17)&gt;0,I17,IFERROR(ROUND(_xlfn.NUMBERVALUE(LEFT(G17,FIND(" ",G17&amp;" ")-1),".")*1000,0),99999))</f>
        <v/>
      </c>
      <c r="CR17" s="3">
        <f>IF(R17="profesional",0,IF(O17&lt;CUOTA_VALOR_MAX,IF(BD17&gt;ITP_TRAMO_ALTO,SUMIFS(CF_CUOTA,CF_MAS,ITP_TRAMO_ALTO,CF_CCMIN,"&lt;="&amp;CQ17,CF_CCMAX,"&gt;="&amp;CQ17),IF(BD17&gt;ITP_TRAMO_BAJO,SUMIFS(CF_CUOTA,CF_MAS,ITP_TRAMO_BAJO,CF_CCMIN,"&lt;="&amp;CQ17,CF_CCMAX,"&gt;="&amp;CQ17),O17*ITP_TIPO)),O17*ITP_TIPO))</f>
        <v/>
      </c>
      <c r="CS17" s="4">
        <f>IF(R17="profesional",N(AK17),0)</f>
        <v/>
      </c>
      <c r="CT17" s="3">
        <f>IF(AND(R17="profesional",ISNUMBER(AK17),AL17="sí"),0,TASA_DGT)</f>
        <v/>
      </c>
      <c r="CU17" s="3">
        <f>INFORME_DGT</f>
        <v/>
      </c>
      <c r="CV17" s="4">
        <f>O17+CS17+CR17+CT17+CU17</f>
        <v/>
      </c>
      <c r="CW17" s="4">
        <f>CV17+N(CJ17)</f>
        <v/>
      </c>
      <c r="CX17" s="3">
        <f>IF(CV17&lt;=TOTAL_MAX,"sí",IF(CV17&lt;=TOTAL_MAX+MARGEN_NEG,"negociar","no"))</f>
        <v/>
      </c>
      <c r="CY17" s="4">
        <f>IF(CX17&lt;&gt;"no",COUNTIFS($CX$2:$CX$101,"&lt;&gt;no",$CP$2:$CP$101,"&gt;"&amp;CP17)+COUNTIFS($CX$2:CX17,"&lt;&gt;no",$CP$2:CP17,CP17),"")</f>
        <v/>
      </c>
    </row>
    <row r="18">
      <c r="A18" s="2" t="inlineStr">
        <is>
          <t>cochesnet:71521071</t>
        </is>
      </c>
      <c r="B18" s="2" t="inlineStr">
        <is>
          <t>cochesnet</t>
        </is>
      </c>
      <c r="C18" s="2" t="inlineStr">
        <is>
          <t>https://www.coches.net/peugeot-208-5p-active-14-hdi-68-5p-diesel-2014-en-valencia-71521071-covo.aspx</t>
        </is>
      </c>
      <c r="D18" s="2" t="inlineStr">
        <is>
          <t>PEUGEOT 208 ACTIVE 1.4 HDi 68</t>
        </is>
      </c>
      <c r="E18" s="2" t="inlineStr">
        <is>
          <t>Peugeot</t>
        </is>
      </c>
      <c r="F18" s="2" t="inlineStr">
        <is>
          <t>Peugeot 208</t>
        </is>
      </c>
      <c r="G18" s="2" t="inlineStr">
        <is>
          <t>1.4 HDi</t>
        </is>
      </c>
      <c r="H18" s="2" t="inlineStr">
        <is>
          <t>5P ACTIVE 1.4 HDi 68</t>
        </is>
      </c>
      <c r="I18" s="2" t="n"/>
      <c r="J18" s="2" t="n"/>
      <c r="K18" s="2" t="inlineStr">
        <is>
          <t>diesel</t>
        </is>
      </c>
      <c r="L18" s="2" t="inlineStr">
        <is>
          <t>utilitario</t>
        </is>
      </c>
      <c r="M18" s="2" t="n">
        <v>2014</v>
      </c>
      <c r="N18" s="2" t="n">
        <v>220000</v>
      </c>
      <c r="O18" s="2" t="n">
        <v>4599</v>
      </c>
      <c r="P18" s="2" t="inlineStr">
        <is>
          <t>manual</t>
        </is>
      </c>
      <c r="Q18" s="2" t="inlineStr">
        <is>
          <t>no</t>
        </is>
      </c>
      <c r="R18" s="2" t="inlineStr">
        <is>
          <t>profesional</t>
        </is>
      </c>
      <c r="S18" s="2" t="inlineStr">
        <is>
          <t>Cars Premium Albal Albal</t>
        </is>
      </c>
      <c r="T18" s="2" t="inlineStr">
        <is>
          <t>2026-09-15T18:35:51Z</t>
        </is>
      </c>
      <c r="U18" s="2" t="n">
        <v>12</v>
      </c>
      <c r="V18" s="2" t="n"/>
      <c r="W18" s="2" t="n"/>
      <c r="X18" s="2" t="n"/>
      <c r="Y18" s="2" t="n"/>
      <c r="Z18" s="2" t="inlineStr">
        <is>
          <t>sí</t>
        </is>
      </c>
      <c r="AA18" s="2" t="n"/>
      <c r="AB18" s="2" t="n">
        <v>12</v>
      </c>
      <c r="AC18" s="2" t="n"/>
      <c r="AD18" s="2" t="n"/>
      <c r="AE18" s="2" t="n"/>
      <c r="AF18" s="2" t="n"/>
      <c r="AG18" s="2" t="n"/>
      <c r="AH18" s="2" t="n">
        <v>4599</v>
      </c>
      <c r="AI18" s="2" t="n">
        <v>4599</v>
      </c>
      <c r="AJ18" s="2" t="n"/>
      <c r="AK18" s="2" t="n"/>
      <c r="AL18" s="2" t="n"/>
      <c r="AM18" s="2" t="n">
        <v>8.699999999999999</v>
      </c>
      <c r="AN18" s="2" t="n"/>
      <c r="AO18" s="2" t="inlineStr">
        <is>
          <t>2014</t>
        </is>
      </c>
      <c r="AP18" s="2" t="n">
        <v>2014</v>
      </c>
      <c r="AQ18" s="2" t="n"/>
      <c r="AR18" s="2" t="inlineStr">
        <is>
          <t>B</t>
        </is>
      </c>
      <c r="AS18" s="2" t="inlineStr">
        <is>
          <t>anuncio</t>
        </is>
      </c>
      <c r="AT18" s="2" t="n"/>
      <c r="AU18" s="2" t="inlineStr">
        <is>
          <t>no</t>
        </is>
      </c>
      <c r="AV18" s="2" t="inlineStr">
        <is>
          <t>no</t>
        </is>
      </c>
      <c r="AW18" s="2" t="n">
        <v>6200</v>
      </c>
      <c r="AX18" s="2" t="n">
        <v>39</v>
      </c>
      <c r="AY18" s="2" t="inlineStr">
        <is>
          <t>modelo+año</t>
        </is>
      </c>
      <c r="AZ18" s="2" t="n"/>
      <c r="BA18" s="2" t="inlineStr">
        <is>
          <t>vendedor profesional: sin ITP (operación con IVA/REBU, confirmar en factura); gastos de gestión del vendedor no indicados: se suma la tasa DGT; preguntar el precio final; diésel: motor sin fuente de fiabilidad (fiabilidad limitada a neutra)</t>
        </is>
      </c>
      <c r="BB18" s="2" t="inlineStr">
        <is>
          <t>MARCA: Peugeot
MODELO: 208
AÑO: 2014
KM: 220.000
MOTOR: 1.4Hdi 68cv
PEGATINA MEDIO AMBIENTAL: Tipo B
GARANTIA: 12 Meses
ITV: Se entrega en vigor
TIPS: Vehiculo utilitario con un motor fiable y de consumos ridiculos entorno a los 4.5l/100km
EQUIPAMIENTO: Aire acondicionado, RCD, elevalunas electricas, cierre centralizado con llave, airbag etc.
UBICACION: Av padre Carlos Ferris 87, ALBAL, VALENCIA
Para mas info contacten</t>
        </is>
      </c>
      <c r="BC18" s="2" t="inlineStr">
        <is>
          <t>https://www.coches.net/peugeot-208-5p-active-14-hdi-68-5p-diesel-2014-en-valencia-71521071-covo.aspx (window.__INITIAL_PROPS__.ad) /home/user/Alopecia/buscador-coches/raw/cochesnet/56c97e1381d73b00.json</t>
        </is>
      </c>
      <c r="BD18" s="3">
        <f>MAX(ANIO_ACTUAL-M18,0)</f>
        <v/>
      </c>
      <c r="BE18" s="4">
        <f>N18/MAX(BD18,0.5)</f>
        <v/>
      </c>
      <c r="BF18" s="4">
        <f>F18</f>
        <v/>
      </c>
      <c r="BG18" s="3">
        <f>BF18&amp;"|"&amp;INT(M18/SEG_ANIO)*SEG_ANIO</f>
        <v/>
      </c>
      <c r="BH18" s="3">
        <f>BG18&amp;"|"&amp;INT(N18/SEG_KM)*SEG_KM</f>
        <v/>
      </c>
      <c r="BI18" s="4">
        <f>COUNTIF($BF$2:$BF$101,BF18)</f>
        <v/>
      </c>
      <c r="BJ18" s="4">
        <f>COUNTIF($BG$2:$BG$101,BG18)</f>
        <v/>
      </c>
      <c r="BK18" s="4">
        <f>COUNTIF($BH$2:$BH$101,BH18)</f>
        <v/>
      </c>
      <c r="BL18" s="3">
        <f t="array" ref="BL18">IF(N(AX18)&gt;=MIN_N,AW18,IF(BK18&gt;=MIN_N,MEDIAN(IF($BH$2:$BH$101=BH18,$O$2:$O$101)),IF(BJ18&gt;=MIN_N,MEDIAN(IF($BG$2:$BG$101=BG18,$O$2:$O$101)),MEDIAN(IF($BF$2:$BF$101=BF18,$O$2:$O$101)))))</f>
        <v/>
      </c>
      <c r="BM18" s="3">
        <f>IF(N(AX18)&gt;=MIN_N,"mercado "&amp;AY18,IF(BK18&gt;=MIN_N,"modelo+año+km",IF(BJ18&gt;=MIN_N,"modelo+año","modelo")))</f>
        <v/>
      </c>
      <c r="BN18" s="4">
        <f>(BL18-O18)/BL18</f>
        <v/>
      </c>
      <c r="BO18" s="3">
        <f>IF(COUNTIFS(FR_FUEL,K18,FR_YEAR,AP18)&gt;0,1,0)</f>
        <v/>
      </c>
      <c r="BP18" s="3">
        <f>IF(COUNTIFS(FR_FUEL,K18,FR_YEAR,AP18-1)&gt;0,1,0)</f>
        <v/>
      </c>
      <c r="BQ18" s="4">
        <f>IF(N(AQ18)&gt;0,AP18*100+AQ18,IF(AND(BO18=1,BP18=1),(AP18-1)*100+1,AP18*100+1))</f>
        <v/>
      </c>
      <c r="BR18" s="3">
        <f>IF(OR(K18="hibrido",K18="glp",K18="gnc",K18="phev"),"ECO",IF(K18="electrico","CERO",IF(K18="gasolina",IF(BQ18&gt;=GAS_C_YM,"C",IF(BQ18&gt;=GAS_B_YM,"B","A")),IF(K18="diesel",IF(BQ18&gt;=DIE_C_YM,"C",IF(BQ18&gt;=DIE_B_YM,"B","A")),""))))</f>
        <v/>
      </c>
      <c r="BS18" s="2" t="inlineStr">
        <is>
          <t>B</t>
        </is>
      </c>
      <c r="BT18" s="4">
        <f>IF(AU18="sí","sí",IF(AS18="regla",IF(AND(N(AQ18)=0,BO18=1),"sí","no"),"no"))</f>
        <v/>
      </c>
      <c r="BU18" s="3">
        <f>IFERROR(VLOOKUP(F18,MOD_TBL,16,0),IFERROR(VLOOKUP(E18,OCU_TBL,2,0),NEUTRO))</f>
        <v/>
      </c>
      <c r="BV18" s="3">
        <f>SUMIFS(MOT_AJUSTE,MOT_MOTOR,G18,MOT_MARCA,E18,MOT_DESDE,"&lt;="&amp;M18,MOT_HASTA,"&gt;="&amp;M18)+SUMIFS(MOT_AJUSTE,MOT_MOTOR,G18,MOT_MARCA,"(todas)",MOT_DESDE,"&lt;="&amp;M18,MOT_HASTA,"&gt;="&amp;M18)+SUMIFS(MOT_AJUSTE,MOT_MOTOR,"(cualquiera)",MOT_MARCA,E18,MOT_DESDE,"&lt;="&amp;M18,MOT_HASTA,"&gt;="&amp;M18)</f>
        <v/>
      </c>
      <c r="BW18" s="3">
        <f>SUMIFS(COMB_AJUSTE,COMB_COMB,K18)</f>
        <v/>
      </c>
      <c r="BX18" s="3">
        <f>COUNTIFS(MOT_MOTOR,G18,MOT_MARCA,E18,MOT_DESDE,"&lt;="&amp;M18,MOT_HASTA,"&gt;="&amp;M18)+COUNTIFS(MOT_MOTOR,G18,MOT_MARCA,"(todas)",MOT_DESDE,"&lt;="&amp;M18,MOT_HASTA,"&gt;="&amp;M18)+COUNTIFS(MOT_MOTOR,"(cualquiera)",MOT_MARCA,E18,MOT_DESDE,"&lt;="&amp;M18,MOT_HASTA,"&gt;="&amp;M18)</f>
        <v/>
      </c>
      <c r="BY18" s="3">
        <f>IF(AND(K18="diesel",BX18=0),MIN(BU18,NEUTRO),BU18)</f>
        <v/>
      </c>
      <c r="BZ18" s="3">
        <f>MAX(0,MIN(100,BY18+BV18+BW18-IF(AV18="sí",ROB_PEN,0)))</f>
        <v/>
      </c>
      <c r="CA18" s="3">
        <f>100-MAX(0,N18-KM_TOPE_DESDE)/1000*KM_TOPE_PTS</f>
        <v/>
      </c>
      <c r="CB18" s="3">
        <f>MAX(0,MIN(100,50+BN18*PRECIO_PEND,CA18))</f>
        <v/>
      </c>
      <c r="CC18" s="3">
        <f>MAX(0,100*(1-N18/KM_MAX))</f>
        <v/>
      </c>
      <c r="CD18" s="3">
        <f>IF(BE18&lt;KMA_SOSP,IF(AA18="sí",100,KMA_PEN),IF(BE18&lt;=KMA_IDEAL_MAX,100,MAX(0,100*(KMA_CERO-BE18)/(KMA_CERO-KMA_IDEAL_MAX))))</f>
        <v/>
      </c>
      <c r="CE18" s="3">
        <f>MAX(0,MIN(100,100*(M18-ANIO_MIN)/(ANIO_ACTUAL-ANIO_MIN)))</f>
        <v/>
      </c>
      <c r="CF18" s="3">
        <f>W_KMT*CC18+W_KMA*CD18+W_EDAD*CE18</f>
        <v/>
      </c>
      <c r="CG18" s="3">
        <f>P_ITV*(V18="sí")+P_LIBRO*(W18="sí")+P_CORREA*(X18="sí")+P_PROP*(Y18=1)+P_GAR*(Z18="sí")+P_FOTOS*MIN(1,N(U18)/FOTOS_OBJ)</f>
        <v/>
      </c>
      <c r="CH18" s="3">
        <f>MAX(0,MIN(100,IFERROR(VLOOKUP(BS18,ETQ_TBL,2,0),0)-IF(BT18="sí",ETQ_PEN_DUD,IF(AS18="regla",ETQ_PEN_REGLA,0))))</f>
        <v/>
      </c>
      <c r="CI18" s="3">
        <f>NEUTRO</f>
        <v/>
      </c>
      <c r="CJ18" s="3">
        <f>IFERROR(VLOOKUP(L18,SEGURO_TBL,3,0),"")</f>
        <v/>
      </c>
      <c r="CK18" s="3">
        <f>IF(CJ18="",NEUTRO,MAX(0,MIN(100,100*(SEG_REF_MAX-CJ18)/(SEG_REF_MAX-SEG_REF_MIN))))</f>
        <v/>
      </c>
      <c r="CL18" s="3">
        <f>W_CONS*CI18+W_SEG*CK18</f>
        <v/>
      </c>
      <c r="CM18" s="3">
        <f>IF(N(AB18)&gt;0,AB18,IF(AND(R18="profesional",SG_LEGAL_ON=1),GAR_LEGAL,0))</f>
        <v/>
      </c>
      <c r="CN18" s="3">
        <f>SG_GAR*MIN(1,CM18/SG_GAR_FULL)+SG_AMPL*(AC18="sí")+SG_KMC*(AF18="sí")+SG_REV*(N(AE18)&gt;0)+SG_DEV*MIN(1,N(AG18)/SG_DEV_FULL)+SG_HIST*(W18="sí")</f>
        <v/>
      </c>
      <c r="CO18" s="3">
        <f>IFERROR(VLOOKUP(L18,CARR_PEN_TBL,2,0),0)</f>
        <v/>
      </c>
      <c r="CP18" s="3">
        <f>W_FIAB*BZ18+W_PRECIO*CB18+W_KMEDAD*CF18+W_ANUNCIO*CG18+W_USO*CL18+W_SEGURIDAD*CN18+W_ETIQUETA*CH18-CO18</f>
        <v/>
      </c>
      <c r="CQ18" s="4">
        <f>IF(N(I18)&gt;0,I18,IFERROR(ROUND(_xlfn.NUMBERVALUE(LEFT(G18,FIND(" ",G18&amp;" ")-1),".")*1000,0),99999))</f>
        <v/>
      </c>
      <c r="CR18" s="3">
        <f>IF(R18="profesional",0,IF(O18&lt;CUOTA_VALOR_MAX,IF(BD18&gt;ITP_TRAMO_ALTO,SUMIFS(CF_CUOTA,CF_MAS,ITP_TRAMO_ALTO,CF_CCMIN,"&lt;="&amp;CQ18,CF_CCMAX,"&gt;="&amp;CQ18),IF(BD18&gt;ITP_TRAMO_BAJO,SUMIFS(CF_CUOTA,CF_MAS,ITP_TRAMO_BAJO,CF_CCMIN,"&lt;="&amp;CQ18,CF_CCMAX,"&gt;="&amp;CQ18),O18*ITP_TIPO)),O18*ITP_TIPO))</f>
        <v/>
      </c>
      <c r="CS18" s="4">
        <f>IF(R18="profesional",N(AK18),0)</f>
        <v/>
      </c>
      <c r="CT18" s="3">
        <f>IF(AND(R18="profesional",ISNUMBER(AK18),AL18="sí"),0,TASA_DGT)</f>
        <v/>
      </c>
      <c r="CU18" s="3">
        <f>INFORME_DGT</f>
        <v/>
      </c>
      <c r="CV18" s="4">
        <f>O18+CS18+CR18+CT18+CU18</f>
        <v/>
      </c>
      <c r="CW18" s="4">
        <f>CV18+N(CJ18)</f>
        <v/>
      </c>
      <c r="CX18" s="3">
        <f>IF(CV18&lt;=TOTAL_MAX,"sí",IF(CV18&lt;=TOTAL_MAX+MARGEN_NEG,"negociar","no"))</f>
        <v/>
      </c>
      <c r="CY18" s="4">
        <f>IF(CX18&lt;&gt;"no",COUNTIFS($CX$2:$CX$101,"&lt;&gt;no",$CP$2:$CP$101,"&gt;"&amp;CP18)+COUNTIFS($CX$2:CX18,"&lt;&gt;no",$CP$2:CP18,CP18),"")</f>
        <v/>
      </c>
    </row>
    <row r="19">
      <c r="A19" s="2" t="inlineStr">
        <is>
          <t>cochesnet:71569576</t>
        </is>
      </c>
      <c r="B19" s="2" t="inlineStr">
        <is>
          <t>cochesnet</t>
        </is>
      </c>
      <c r="C19" s="2" t="inlineStr">
        <is>
          <t>https://www.coches.net/ford-ka-12-trend-3p-gasolina-2010-en-valencia-71569576-covo.aspx</t>
        </is>
      </c>
      <c r="D19" s="2" t="inlineStr">
        <is>
          <t>FORD Ka 1.2 Trend</t>
        </is>
      </c>
      <c r="E19" s="2" t="inlineStr">
        <is>
          <t>Ford</t>
        </is>
      </c>
      <c r="F19" s="2" t="inlineStr">
        <is>
          <t>Ford Ka</t>
        </is>
      </c>
      <c r="G19" s="2" t="inlineStr">
        <is>
          <t>1.2</t>
        </is>
      </c>
      <c r="H19" s="2" t="inlineStr">
        <is>
          <t>1.2 Trend</t>
        </is>
      </c>
      <c r="I19" s="2" t="n"/>
      <c r="J19" s="2" t="n"/>
      <c r="K19" s="2" t="inlineStr">
        <is>
          <t>gasolina</t>
        </is>
      </c>
      <c r="L19" s="2" t="inlineStr">
        <is>
          <t>utilitario</t>
        </is>
      </c>
      <c r="M19" s="2" t="n">
        <v>2010</v>
      </c>
      <c r="N19" s="2" t="n">
        <v>157000</v>
      </c>
      <c r="O19" s="2" t="n">
        <v>3500</v>
      </c>
      <c r="P19" s="2" t="inlineStr">
        <is>
          <t>manual</t>
        </is>
      </c>
      <c r="Q19" s="2" t="inlineStr">
        <is>
          <t>no</t>
        </is>
      </c>
      <c r="R19" s="2" t="inlineStr">
        <is>
          <t>profesional</t>
        </is>
      </c>
      <c r="S19" s="2" t="inlineStr">
        <is>
          <t>Beniparrell</t>
        </is>
      </c>
      <c r="T19" s="2" t="inlineStr">
        <is>
          <t>2026-09-22T12:09:29Z</t>
        </is>
      </c>
      <c r="U19" s="2" t="n">
        <v>13</v>
      </c>
      <c r="V19" s="2" t="n"/>
      <c r="W19" s="2" t="n"/>
      <c r="X19" s="2" t="n"/>
      <c r="Y19" s="2" t="n"/>
      <c r="Z19" s="2" t="inlineStr">
        <is>
          <t>sí</t>
        </is>
      </c>
      <c r="AA19" s="2" t="n"/>
      <c r="AB19" s="2" t="n">
        <v>12</v>
      </c>
      <c r="AC19" s="2" t="n"/>
      <c r="AD19" s="2" t="n"/>
      <c r="AE19" s="2" t="n"/>
      <c r="AF19" s="2" t="n"/>
      <c r="AG19" s="2" t="n"/>
      <c r="AH19" s="2" t="n">
        <v>3500</v>
      </c>
      <c r="AI19" s="2" t="n"/>
      <c r="AJ19" s="2" t="n"/>
      <c r="AK19" s="2" t="n"/>
      <c r="AL19" s="2" t="n"/>
      <c r="AM19" s="2" t="n">
        <v>10.2</v>
      </c>
      <c r="AN19" s="2" t="n"/>
      <c r="AO19" s="2" t="inlineStr">
        <is>
          <t>2010</t>
        </is>
      </c>
      <c r="AP19" s="2" t="n">
        <v>2010</v>
      </c>
      <c r="AQ19" s="2" t="n"/>
      <c r="AR19" s="2" t="inlineStr">
        <is>
          <t>C</t>
        </is>
      </c>
      <c r="AS19" s="2" t="inlineStr">
        <is>
          <t>anuncio</t>
        </is>
      </c>
      <c r="AT19" s="2" t="n"/>
      <c r="AU19" s="2" t="inlineStr">
        <is>
          <t>no</t>
        </is>
      </c>
      <c r="AV19" s="2" t="inlineStr">
        <is>
          <t>no</t>
        </is>
      </c>
      <c r="AW19" s="2" t="n">
        <v>3000</v>
      </c>
      <c r="AX19" s="2" t="n">
        <v>9</v>
      </c>
      <c r="AY19" s="2" t="inlineStr">
        <is>
          <t>modelo+año</t>
        </is>
      </c>
      <c r="AZ19" s="2" t="n"/>
      <c r="BA19" s="2" t="inlineStr">
        <is>
          <t>vendedor profesional: sin ITP (operación con IVA/REBU, confirmar en factura); gastos de gestión del vendedor no indicados: se suma la tasa DGT; preguntar el precio final; revisar: no menciona la ITV; fiabilidad del modelo PENDIENTE de fuente (puntuación neutra)</t>
        </is>
      </c>
      <c r="BB19"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BC19" s="2" t="inlineStr">
        <is>
          <t>https://www.coches.net/ford-ka-12-trend-3p-gasolina-2010-en-valencia-71569576-covo.aspx (window.__INITIAL_PROPS__.ad) /home/user/Alopecia/buscador-coches/raw/cochesnet/f615001a1b31829d.json</t>
        </is>
      </c>
      <c r="BD19" s="3">
        <f>MAX(ANIO_ACTUAL-M19,0)</f>
        <v/>
      </c>
      <c r="BE19" s="4">
        <f>N19/MAX(BD19,0.5)</f>
        <v/>
      </c>
      <c r="BF19" s="4">
        <f>F19</f>
        <v/>
      </c>
      <c r="BG19" s="3">
        <f>BF19&amp;"|"&amp;INT(M19/SEG_ANIO)*SEG_ANIO</f>
        <v/>
      </c>
      <c r="BH19" s="3">
        <f>BG19&amp;"|"&amp;INT(N19/SEG_KM)*SEG_KM</f>
        <v/>
      </c>
      <c r="BI19" s="4">
        <f>COUNTIF($BF$2:$BF$101,BF19)</f>
        <v/>
      </c>
      <c r="BJ19" s="4">
        <f>COUNTIF($BG$2:$BG$101,BG19)</f>
        <v/>
      </c>
      <c r="BK19" s="4">
        <f>COUNTIF($BH$2:$BH$101,BH19)</f>
        <v/>
      </c>
      <c r="BL19" s="3">
        <f t="array" ref="BL19">IF(N(AX19)&gt;=MIN_N,AW19,IF(BK19&gt;=MIN_N,MEDIAN(IF($BH$2:$BH$101=BH19,$O$2:$O$101)),IF(BJ19&gt;=MIN_N,MEDIAN(IF($BG$2:$BG$101=BG19,$O$2:$O$101)),MEDIAN(IF($BF$2:$BF$101=BF19,$O$2:$O$101)))))</f>
        <v/>
      </c>
      <c r="BM19" s="3">
        <f>IF(N(AX19)&gt;=MIN_N,"mercado "&amp;AY19,IF(BK19&gt;=MIN_N,"modelo+año+km",IF(BJ19&gt;=MIN_N,"modelo+año","modelo")))</f>
        <v/>
      </c>
      <c r="BN19" s="4">
        <f>(BL19-O19)/BL19</f>
        <v/>
      </c>
      <c r="BO19" s="3">
        <f>IF(COUNTIFS(FR_FUEL,K19,FR_YEAR,AP19)&gt;0,1,0)</f>
        <v/>
      </c>
      <c r="BP19" s="3">
        <f>IF(COUNTIFS(FR_FUEL,K19,FR_YEAR,AP19-1)&gt;0,1,0)</f>
        <v/>
      </c>
      <c r="BQ19" s="4">
        <f>IF(N(AQ19)&gt;0,AP19*100+AQ19,IF(AND(BO19=1,BP19=1),(AP19-1)*100+1,AP19*100+1))</f>
        <v/>
      </c>
      <c r="BR19" s="3">
        <f>IF(OR(K19="hibrido",K19="glp",K19="gnc",K19="phev"),"ECO",IF(K19="electrico","CERO",IF(K19="gasolina",IF(BQ19&gt;=GAS_C_YM,"C",IF(BQ19&gt;=GAS_B_YM,"B","A")),IF(K19="diesel",IF(BQ19&gt;=DIE_C_YM,"C",IF(BQ19&gt;=DIE_B_YM,"B","A")),""))))</f>
        <v/>
      </c>
      <c r="BS19" s="2" t="inlineStr">
        <is>
          <t>C</t>
        </is>
      </c>
      <c r="BT19" s="4">
        <f>IF(AU19="sí","sí",IF(AS19="regla",IF(AND(N(AQ19)=0,BO19=1),"sí","no"),"no"))</f>
        <v/>
      </c>
      <c r="BU19" s="3">
        <f>IFERROR(VLOOKUP(F19,MOD_TBL,16,0),IFERROR(VLOOKUP(E19,OCU_TBL,2,0),NEUTRO))</f>
        <v/>
      </c>
      <c r="BV19" s="3">
        <f>SUMIFS(MOT_AJUSTE,MOT_MOTOR,G19,MOT_MARCA,E19,MOT_DESDE,"&lt;="&amp;M19,MOT_HASTA,"&gt;="&amp;M19)+SUMIFS(MOT_AJUSTE,MOT_MOTOR,G19,MOT_MARCA,"(todas)",MOT_DESDE,"&lt;="&amp;M19,MOT_HASTA,"&gt;="&amp;M19)+SUMIFS(MOT_AJUSTE,MOT_MOTOR,"(cualquiera)",MOT_MARCA,E19,MOT_DESDE,"&lt;="&amp;M19,MOT_HASTA,"&gt;="&amp;M19)</f>
        <v/>
      </c>
      <c r="BW19" s="3">
        <f>SUMIFS(COMB_AJUSTE,COMB_COMB,K19)</f>
        <v/>
      </c>
      <c r="BX19" s="3">
        <f>COUNTIFS(MOT_MOTOR,G19,MOT_MARCA,E19,MOT_DESDE,"&lt;="&amp;M19,MOT_HASTA,"&gt;="&amp;M19)+COUNTIFS(MOT_MOTOR,G19,MOT_MARCA,"(todas)",MOT_DESDE,"&lt;="&amp;M19,MOT_HASTA,"&gt;="&amp;M19)+COUNTIFS(MOT_MOTOR,"(cualquiera)",MOT_MARCA,E19,MOT_DESDE,"&lt;="&amp;M19,MOT_HASTA,"&gt;="&amp;M19)</f>
        <v/>
      </c>
      <c r="BY19" s="3">
        <f>IF(AND(K19="diesel",BX19=0),MIN(BU19,NEUTRO),BU19)</f>
        <v/>
      </c>
      <c r="BZ19" s="3">
        <f>MAX(0,MIN(100,BY19+BV19+BW19-IF(AV19="sí",ROB_PEN,0)))</f>
        <v/>
      </c>
      <c r="CA19" s="3">
        <f>100-MAX(0,N19-KM_TOPE_DESDE)/1000*KM_TOPE_PTS</f>
        <v/>
      </c>
      <c r="CB19" s="3">
        <f>MAX(0,MIN(100,50+BN19*PRECIO_PEND,CA19))</f>
        <v/>
      </c>
      <c r="CC19" s="3">
        <f>MAX(0,100*(1-N19/KM_MAX))</f>
        <v/>
      </c>
      <c r="CD19" s="3">
        <f>IF(BE19&lt;KMA_SOSP,IF(AA19="sí",100,KMA_PEN),IF(BE19&lt;=KMA_IDEAL_MAX,100,MAX(0,100*(KMA_CERO-BE19)/(KMA_CERO-KMA_IDEAL_MAX))))</f>
        <v/>
      </c>
      <c r="CE19" s="3">
        <f>MAX(0,MIN(100,100*(M19-ANIO_MIN)/(ANIO_ACTUAL-ANIO_MIN)))</f>
        <v/>
      </c>
      <c r="CF19" s="3">
        <f>W_KMT*CC19+W_KMA*CD19+W_EDAD*CE19</f>
        <v/>
      </c>
      <c r="CG19" s="3">
        <f>P_ITV*(V19="sí")+P_LIBRO*(W19="sí")+P_CORREA*(X19="sí")+P_PROP*(Y19=1)+P_GAR*(Z19="sí")+P_FOTOS*MIN(1,N(U19)/FOTOS_OBJ)</f>
        <v/>
      </c>
      <c r="CH19" s="3">
        <f>MAX(0,MIN(100,IFERROR(VLOOKUP(BS19,ETQ_TBL,2,0),0)-IF(BT19="sí",ETQ_PEN_DUD,IF(AS19="regla",ETQ_PEN_REGLA,0))))</f>
        <v/>
      </c>
      <c r="CI19" s="3">
        <f>NEUTRO</f>
        <v/>
      </c>
      <c r="CJ19" s="3">
        <f>IFERROR(VLOOKUP(L19,SEGURO_TBL,3,0),"")</f>
        <v/>
      </c>
      <c r="CK19" s="3">
        <f>IF(CJ19="",NEUTRO,MAX(0,MIN(100,100*(SEG_REF_MAX-CJ19)/(SEG_REF_MAX-SEG_REF_MIN))))</f>
        <v/>
      </c>
      <c r="CL19" s="3">
        <f>W_CONS*CI19+W_SEG*CK19</f>
        <v/>
      </c>
      <c r="CM19" s="3">
        <f>IF(N(AB19)&gt;0,AB19,IF(AND(R19="profesional",SG_LEGAL_ON=1),GAR_LEGAL,0))</f>
        <v/>
      </c>
      <c r="CN19" s="3">
        <f>SG_GAR*MIN(1,CM19/SG_GAR_FULL)+SG_AMPL*(AC19="sí")+SG_KMC*(AF19="sí")+SG_REV*(N(AE19)&gt;0)+SG_DEV*MIN(1,N(AG19)/SG_DEV_FULL)+SG_HIST*(W19="sí")</f>
        <v/>
      </c>
      <c r="CO19" s="3">
        <f>IFERROR(VLOOKUP(L19,CARR_PEN_TBL,2,0),0)</f>
        <v/>
      </c>
      <c r="CP19" s="3">
        <f>W_FIAB*BZ19+W_PRECIO*CB19+W_KMEDAD*CF19+W_ANUNCIO*CG19+W_USO*CL19+W_SEGURIDAD*CN19+W_ETIQUETA*CH19-CO19</f>
        <v/>
      </c>
      <c r="CQ19" s="4">
        <f>IF(N(I19)&gt;0,I19,IFERROR(ROUND(_xlfn.NUMBERVALUE(LEFT(G19,FIND(" ",G19&amp;" ")-1),".")*1000,0),99999))</f>
        <v/>
      </c>
      <c r="CR19" s="3">
        <f>IF(R19="profesional",0,IF(O19&lt;CUOTA_VALOR_MAX,IF(BD19&gt;ITP_TRAMO_ALTO,SUMIFS(CF_CUOTA,CF_MAS,ITP_TRAMO_ALTO,CF_CCMIN,"&lt;="&amp;CQ19,CF_CCMAX,"&gt;="&amp;CQ19),IF(BD19&gt;ITP_TRAMO_BAJO,SUMIFS(CF_CUOTA,CF_MAS,ITP_TRAMO_BAJO,CF_CCMIN,"&lt;="&amp;CQ19,CF_CCMAX,"&gt;="&amp;CQ19),O19*ITP_TIPO)),O19*ITP_TIPO))</f>
        <v/>
      </c>
      <c r="CS19" s="4">
        <f>IF(R19="profesional",N(AK19),0)</f>
        <v/>
      </c>
      <c r="CT19" s="3">
        <f>IF(AND(R19="profesional",ISNUMBER(AK19),AL19="sí"),0,TASA_DGT)</f>
        <v/>
      </c>
      <c r="CU19" s="3">
        <f>INFORME_DGT</f>
        <v/>
      </c>
      <c r="CV19" s="4">
        <f>O19+CS19+CR19+CT19+CU19</f>
        <v/>
      </c>
      <c r="CW19" s="4">
        <f>CV19+N(CJ19)</f>
        <v/>
      </c>
      <c r="CX19" s="3">
        <f>IF(CV19&lt;=TOTAL_MAX,"sí",IF(CV19&lt;=TOTAL_MAX+MARGEN_NEG,"negociar","no"))</f>
        <v/>
      </c>
      <c r="CY19" s="4">
        <f>IF(CX19&lt;&gt;"no",COUNTIFS($CX$2:$CX$101,"&lt;&gt;no",$CP$2:$CP$101,"&gt;"&amp;CP19)+COUNTIFS($CX$2:CX19,"&lt;&gt;no",$CP$2:CP19,CP19),"")</f>
        <v/>
      </c>
    </row>
    <row r="20">
      <c r="A20" s="2" t="inlineStr">
        <is>
          <t>cochesnet:70592187</t>
        </is>
      </c>
      <c r="B20" s="2" t="inlineStr">
        <is>
          <t>cochesnet</t>
        </is>
      </c>
      <c r="C20" s="2" t="inlineStr">
        <is>
          <t>https://www.coches.net/ford-fiesta-14-tdci-trend-5p-diesel-2011-en-valencia-70592187-covo.aspx</t>
        </is>
      </c>
      <c r="D20" s="2" t="inlineStr">
        <is>
          <t>FORD Fiesta 1.4 TDCi Trend</t>
        </is>
      </c>
      <c r="E20" s="2" t="inlineStr">
        <is>
          <t>Ford</t>
        </is>
      </c>
      <c r="F20" s="2" t="inlineStr">
        <is>
          <t>Ford Fiesta</t>
        </is>
      </c>
      <c r="G20" s="2" t="inlineStr">
        <is>
          <t>1.4 TDCi</t>
        </is>
      </c>
      <c r="H20" s="2" t="inlineStr">
        <is>
          <t>1.4 TDCi Trend</t>
        </is>
      </c>
      <c r="I20" s="2" t="n"/>
      <c r="J20" s="2" t="n"/>
      <c r="K20" s="2" t="inlineStr">
        <is>
          <t>diesel</t>
        </is>
      </c>
      <c r="L20" s="2" t="inlineStr">
        <is>
          <t>utilitario</t>
        </is>
      </c>
      <c r="M20" s="2" t="n">
        <v>2011</v>
      </c>
      <c r="N20" s="2" t="n">
        <v>199000</v>
      </c>
      <c r="O20" s="2" t="n">
        <v>4490</v>
      </c>
      <c r="P20" s="2" t="inlineStr">
        <is>
          <t>manual</t>
        </is>
      </c>
      <c r="Q20" s="2" t="inlineStr">
        <is>
          <t>no</t>
        </is>
      </c>
      <c r="R20" s="2" t="inlineStr">
        <is>
          <t>profesional</t>
        </is>
      </c>
      <c r="S20" s="2" t="inlineStr">
        <is>
          <t>V.O. Eliana San Antonio de Benagéber</t>
        </is>
      </c>
      <c r="T20" s="2" t="inlineStr">
        <is>
          <t>2026-08-05T20:05:58Z</t>
        </is>
      </c>
      <c r="U20" s="2" t="n">
        <v>18</v>
      </c>
      <c r="V20" s="2" t="n"/>
      <c r="W20" s="2" t="n"/>
      <c r="X20" s="2" t="n"/>
      <c r="Y20" s="2" t="n"/>
      <c r="Z20" s="2" t="inlineStr">
        <is>
          <t>sí</t>
        </is>
      </c>
      <c r="AA20" s="2" t="n"/>
      <c r="AB20" s="2" t="n">
        <v>12</v>
      </c>
      <c r="AC20" s="2" t="n"/>
      <c r="AD20" s="2" t="n"/>
      <c r="AE20" s="2" t="n"/>
      <c r="AF20" s="2" t="n"/>
      <c r="AG20" s="2" t="n"/>
      <c r="AH20" s="2" t="n">
        <v>4490</v>
      </c>
      <c r="AI20" s="2" t="n"/>
      <c r="AJ20" s="2" t="n"/>
      <c r="AK20" s="2" t="n"/>
      <c r="AL20" s="2" t="n"/>
      <c r="AM20" s="2" t="n">
        <v>19.1</v>
      </c>
      <c r="AN20" s="2" t="n"/>
      <c r="AO20" s="2" t="inlineStr">
        <is>
          <t>2011</t>
        </is>
      </c>
      <c r="AP20" s="2" t="n">
        <v>2011</v>
      </c>
      <c r="AQ20" s="2" t="n"/>
      <c r="AR20" s="2" t="inlineStr">
        <is>
          <t>B</t>
        </is>
      </c>
      <c r="AS20" s="2" t="inlineStr">
        <is>
          <t>anuncio</t>
        </is>
      </c>
      <c r="AT20" s="2" t="n"/>
      <c r="AU20" s="2" t="inlineStr">
        <is>
          <t>no</t>
        </is>
      </c>
      <c r="AV20" s="2" t="inlineStr">
        <is>
          <t>no</t>
        </is>
      </c>
      <c r="AW20" s="2" t="n">
        <v>4545</v>
      </c>
      <c r="AX20" s="2" t="n">
        <v>18</v>
      </c>
      <c r="AY20" s="2" t="inlineStr">
        <is>
          <t>modelo+año+km</t>
        </is>
      </c>
      <c r="AZ20" s="2" t="n"/>
      <c r="BA20"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B20" s="2" t="inlineStr">
        <is>
          <t>Este Ford Fiesta 1.4 TDCi Trend es un vehículo compacto y eficiente, particularmente adecuado para uso urbano y desplazamientos diarios. Su motor diésel de 70 CV proporciona un consumo contenido —en torno a 4,1 l/100 km en ciclo mixto— lo que permite una autonomía de casi 1.000 kilómetros con el depósito lleno de 40 litros.
El habitáculo ofrece espacio suficiente para cinco ocupantes con comodidad en los desplazamientos cortos y medios. Los asientos delanteros cuentan con ajuste manual en altura, mientras que la banqueta trasera dispone de respaldo abatible asimétrico, facilitando la versatilidad de carga. El maletero de 295 litros se expande hasta 979 litros con los asientos plegados, una capacidad práctica para compras y pequeños viajes.
En cuanto a equipamiento de confort, este incluye dirección asistida eléctrica con endurecimiento progresivo, elevalunas eléctricos delanteros, cierre centralizado con mando a distancia de doble cierre y apertura remota del maletero. El sistema de ventilación incorpora filtro de pólen. El volante es ajustable en altura y profundidad, y los retrovisores exteriores son eléctricos, desempañables y cuentan con intermitente integrado.
La seguridad está garantizada con airbags frontales inteligentes y laterales delanteros, cinturones de seguridad con pretensores en los asientos delanteros, ABS, control electrónico de tracción y control de estabilidad. Dispone de preparación Isofix para sistemas de retención infantil.
Este modelo cuenta con et</t>
        </is>
      </c>
      <c r="BC20" s="2" t="inlineStr">
        <is>
          <t>https://www.coches.net/ford-fiesta-14-tdci-trend-5p-diesel-2011-en-valencia-70592187-covo.aspx (window.__INITIAL_PROPS__.ad) /home/user/Alopecia/buscador-coches/raw/cochesnet/b52cc027b9556748.json</t>
        </is>
      </c>
      <c r="BD20" s="3">
        <f>MAX(ANIO_ACTUAL-M20,0)</f>
        <v/>
      </c>
      <c r="BE20" s="4">
        <f>N20/MAX(BD20,0.5)</f>
        <v/>
      </c>
      <c r="BF20" s="4">
        <f>F20</f>
        <v/>
      </c>
      <c r="BG20" s="3">
        <f>BF20&amp;"|"&amp;INT(M20/SEG_ANIO)*SEG_ANIO</f>
        <v/>
      </c>
      <c r="BH20" s="3">
        <f>BG20&amp;"|"&amp;INT(N20/SEG_KM)*SEG_KM</f>
        <v/>
      </c>
      <c r="BI20" s="4">
        <f>COUNTIF($BF$2:$BF$101,BF20)</f>
        <v/>
      </c>
      <c r="BJ20" s="4">
        <f>COUNTIF($BG$2:$BG$101,BG20)</f>
        <v/>
      </c>
      <c r="BK20" s="4">
        <f>COUNTIF($BH$2:$BH$101,BH20)</f>
        <v/>
      </c>
      <c r="BL20" s="3">
        <f t="array" ref="BL20">IF(N(AX20)&gt;=MIN_N,AW20,IF(BK20&gt;=MIN_N,MEDIAN(IF($BH$2:$BH$101=BH20,$O$2:$O$101)),IF(BJ20&gt;=MIN_N,MEDIAN(IF($BG$2:$BG$101=BG20,$O$2:$O$101)),MEDIAN(IF($BF$2:$BF$101=BF20,$O$2:$O$101)))))</f>
        <v/>
      </c>
      <c r="BM20" s="3">
        <f>IF(N(AX20)&gt;=MIN_N,"mercado "&amp;AY20,IF(BK20&gt;=MIN_N,"modelo+año+km",IF(BJ20&gt;=MIN_N,"modelo+año","modelo")))</f>
        <v/>
      </c>
      <c r="BN20" s="4">
        <f>(BL20-O20)/BL20</f>
        <v/>
      </c>
      <c r="BO20" s="3">
        <f>IF(COUNTIFS(FR_FUEL,K20,FR_YEAR,AP20)&gt;0,1,0)</f>
        <v/>
      </c>
      <c r="BP20" s="3">
        <f>IF(COUNTIFS(FR_FUEL,K20,FR_YEAR,AP20-1)&gt;0,1,0)</f>
        <v/>
      </c>
      <c r="BQ20" s="4">
        <f>IF(N(AQ20)&gt;0,AP20*100+AQ20,IF(AND(BO20=1,BP20=1),(AP20-1)*100+1,AP20*100+1))</f>
        <v/>
      </c>
      <c r="BR20" s="3">
        <f>IF(OR(K20="hibrido",K20="glp",K20="gnc",K20="phev"),"ECO",IF(K20="electrico","CERO",IF(K20="gasolina",IF(BQ20&gt;=GAS_C_YM,"C",IF(BQ20&gt;=GAS_B_YM,"B","A")),IF(K20="diesel",IF(BQ20&gt;=DIE_C_YM,"C",IF(BQ20&gt;=DIE_B_YM,"B","A")),""))))</f>
        <v/>
      </c>
      <c r="BS20" s="2" t="inlineStr">
        <is>
          <t>B</t>
        </is>
      </c>
      <c r="BT20" s="4">
        <f>IF(AU20="sí","sí",IF(AS20="regla",IF(AND(N(AQ20)=0,BO20=1),"sí","no"),"no"))</f>
        <v/>
      </c>
      <c r="BU20" s="3">
        <f>IFERROR(VLOOKUP(F20,MOD_TBL,16,0),IFERROR(VLOOKUP(E20,OCU_TBL,2,0),NEUTRO))</f>
        <v/>
      </c>
      <c r="BV20" s="3">
        <f>SUMIFS(MOT_AJUSTE,MOT_MOTOR,G20,MOT_MARCA,E20,MOT_DESDE,"&lt;="&amp;M20,MOT_HASTA,"&gt;="&amp;M20)+SUMIFS(MOT_AJUSTE,MOT_MOTOR,G20,MOT_MARCA,"(todas)",MOT_DESDE,"&lt;="&amp;M20,MOT_HASTA,"&gt;="&amp;M20)+SUMIFS(MOT_AJUSTE,MOT_MOTOR,"(cualquiera)",MOT_MARCA,E20,MOT_DESDE,"&lt;="&amp;M20,MOT_HASTA,"&gt;="&amp;M20)</f>
        <v/>
      </c>
      <c r="BW20" s="3">
        <f>SUMIFS(COMB_AJUSTE,COMB_COMB,K20)</f>
        <v/>
      </c>
      <c r="BX20" s="3">
        <f>COUNTIFS(MOT_MOTOR,G20,MOT_MARCA,E20,MOT_DESDE,"&lt;="&amp;M20,MOT_HASTA,"&gt;="&amp;M20)+COUNTIFS(MOT_MOTOR,G20,MOT_MARCA,"(todas)",MOT_DESDE,"&lt;="&amp;M20,MOT_HASTA,"&gt;="&amp;M20)+COUNTIFS(MOT_MOTOR,"(cualquiera)",MOT_MARCA,E20,MOT_DESDE,"&lt;="&amp;M20,MOT_HASTA,"&gt;="&amp;M20)</f>
        <v/>
      </c>
      <c r="BY20" s="3">
        <f>IF(AND(K20="diesel",BX20=0),MIN(BU20,NEUTRO),BU20)</f>
        <v/>
      </c>
      <c r="BZ20" s="3">
        <f>MAX(0,MIN(100,BY20+BV20+BW20-IF(AV20="sí",ROB_PEN,0)))</f>
        <v/>
      </c>
      <c r="CA20" s="3">
        <f>100-MAX(0,N20-KM_TOPE_DESDE)/1000*KM_TOPE_PTS</f>
        <v/>
      </c>
      <c r="CB20" s="3">
        <f>MAX(0,MIN(100,50+BN20*PRECIO_PEND,CA20))</f>
        <v/>
      </c>
      <c r="CC20" s="3">
        <f>MAX(0,100*(1-N20/KM_MAX))</f>
        <v/>
      </c>
      <c r="CD20" s="3">
        <f>IF(BE20&lt;KMA_SOSP,IF(AA20="sí",100,KMA_PEN),IF(BE20&lt;=KMA_IDEAL_MAX,100,MAX(0,100*(KMA_CERO-BE20)/(KMA_CERO-KMA_IDEAL_MAX))))</f>
        <v/>
      </c>
      <c r="CE20" s="3">
        <f>MAX(0,MIN(100,100*(M20-ANIO_MIN)/(ANIO_ACTUAL-ANIO_MIN)))</f>
        <v/>
      </c>
      <c r="CF20" s="3">
        <f>W_KMT*CC20+W_KMA*CD20+W_EDAD*CE20</f>
        <v/>
      </c>
      <c r="CG20" s="3">
        <f>P_ITV*(V20="sí")+P_LIBRO*(W20="sí")+P_CORREA*(X20="sí")+P_PROP*(Y20=1)+P_GAR*(Z20="sí")+P_FOTOS*MIN(1,N(U20)/FOTOS_OBJ)</f>
        <v/>
      </c>
      <c r="CH20" s="3">
        <f>MAX(0,MIN(100,IFERROR(VLOOKUP(BS20,ETQ_TBL,2,0),0)-IF(BT20="sí",ETQ_PEN_DUD,IF(AS20="regla",ETQ_PEN_REGLA,0))))</f>
        <v/>
      </c>
      <c r="CI20" s="3">
        <f>NEUTRO</f>
        <v/>
      </c>
      <c r="CJ20" s="3">
        <f>IFERROR(VLOOKUP(L20,SEGURO_TBL,3,0),"")</f>
        <v/>
      </c>
      <c r="CK20" s="3">
        <f>IF(CJ20="",NEUTRO,MAX(0,MIN(100,100*(SEG_REF_MAX-CJ20)/(SEG_REF_MAX-SEG_REF_MIN))))</f>
        <v/>
      </c>
      <c r="CL20" s="3">
        <f>W_CONS*CI20+W_SEG*CK20</f>
        <v/>
      </c>
      <c r="CM20" s="3">
        <f>IF(N(AB20)&gt;0,AB20,IF(AND(R20="profesional",SG_LEGAL_ON=1),GAR_LEGAL,0))</f>
        <v/>
      </c>
      <c r="CN20" s="3">
        <f>SG_GAR*MIN(1,CM20/SG_GAR_FULL)+SG_AMPL*(AC20="sí")+SG_KMC*(AF20="sí")+SG_REV*(N(AE20)&gt;0)+SG_DEV*MIN(1,N(AG20)/SG_DEV_FULL)+SG_HIST*(W20="sí")</f>
        <v/>
      </c>
      <c r="CO20" s="3">
        <f>IFERROR(VLOOKUP(L20,CARR_PEN_TBL,2,0),0)</f>
        <v/>
      </c>
      <c r="CP20" s="3">
        <f>W_FIAB*BZ20+W_PRECIO*CB20+W_KMEDAD*CF20+W_ANUNCIO*CG20+W_USO*CL20+W_SEGURIDAD*CN20+W_ETIQUETA*CH20-CO20</f>
        <v/>
      </c>
      <c r="CQ20" s="4">
        <f>IF(N(I20)&gt;0,I20,IFERROR(ROUND(_xlfn.NUMBERVALUE(LEFT(G20,FIND(" ",G20&amp;" ")-1),".")*1000,0),99999))</f>
        <v/>
      </c>
      <c r="CR20" s="3">
        <f>IF(R20="profesional",0,IF(O20&lt;CUOTA_VALOR_MAX,IF(BD20&gt;ITP_TRAMO_ALTO,SUMIFS(CF_CUOTA,CF_MAS,ITP_TRAMO_ALTO,CF_CCMIN,"&lt;="&amp;CQ20,CF_CCMAX,"&gt;="&amp;CQ20),IF(BD20&gt;ITP_TRAMO_BAJO,SUMIFS(CF_CUOTA,CF_MAS,ITP_TRAMO_BAJO,CF_CCMIN,"&lt;="&amp;CQ20,CF_CCMAX,"&gt;="&amp;CQ20),O20*ITP_TIPO)),O20*ITP_TIPO))</f>
        <v/>
      </c>
      <c r="CS20" s="4">
        <f>IF(R20="profesional",N(AK20),0)</f>
        <v/>
      </c>
      <c r="CT20" s="3">
        <f>IF(AND(R20="profesional",ISNUMBER(AK20),AL20="sí"),0,TASA_DGT)</f>
        <v/>
      </c>
      <c r="CU20" s="3">
        <f>INFORME_DGT</f>
        <v/>
      </c>
      <c r="CV20" s="4">
        <f>O20+CS20+CR20+CT20+CU20</f>
        <v/>
      </c>
      <c r="CW20" s="4">
        <f>CV20+N(CJ20)</f>
        <v/>
      </c>
      <c r="CX20" s="3">
        <f>IF(CV20&lt;=TOTAL_MAX,"sí",IF(CV20&lt;=TOTAL_MAX+MARGEN_NEG,"negociar","no"))</f>
        <v/>
      </c>
      <c r="CY20" s="4">
        <f>IF(CX20&lt;&gt;"no",COUNTIFS($CX$2:$CX$101,"&lt;&gt;no",$CP$2:$CP$101,"&gt;"&amp;CP20)+COUNTIFS($CX$2:CX20,"&lt;&gt;no",$CP$2:CP20,CP20),"")</f>
        <v/>
      </c>
    </row>
    <row r="21">
      <c r="A21" s="2" t="inlineStr">
        <is>
          <t>cochesnet:71146219</t>
        </is>
      </c>
      <c r="B21" s="2" t="inlineStr">
        <is>
          <t>cochesnet</t>
        </is>
      </c>
      <c r="C21" s="2" t="inlineStr">
        <is>
          <t>https://www.coches.net/ford-fiesta-14-tdci-trend-5p-diesel-2011-en-valencia-71146219-covo.aspx</t>
        </is>
      </c>
      <c r="D21" s="2" t="inlineStr">
        <is>
          <t>FORD Fiesta 1.4 TDCi Trend</t>
        </is>
      </c>
      <c r="E21" s="2" t="inlineStr">
        <is>
          <t>Ford</t>
        </is>
      </c>
      <c r="F21" s="2" t="inlineStr">
        <is>
          <t>Ford Fiesta</t>
        </is>
      </c>
      <c r="G21" s="2" t="inlineStr">
        <is>
          <t>1.4 TDCi</t>
        </is>
      </c>
      <c r="H21" s="2" t="inlineStr">
        <is>
          <t>1.4 TDCi Trend</t>
        </is>
      </c>
      <c r="I21" s="2" t="n"/>
      <c r="J21" s="2" t="n"/>
      <c r="K21" s="2" t="inlineStr">
        <is>
          <t>diesel</t>
        </is>
      </c>
      <c r="L21" s="2" t="inlineStr">
        <is>
          <t>utilitario</t>
        </is>
      </c>
      <c r="M21" s="2" t="n">
        <v>2010</v>
      </c>
      <c r="N21" s="2" t="n">
        <v>196000</v>
      </c>
      <c r="O21" s="2" t="n">
        <v>4000</v>
      </c>
      <c r="P21" s="2" t="inlineStr">
        <is>
          <t>manual</t>
        </is>
      </c>
      <c r="Q21" s="2" t="inlineStr">
        <is>
          <t>no</t>
        </is>
      </c>
      <c r="R21" s="2" t="inlineStr">
        <is>
          <t>profesional</t>
        </is>
      </c>
      <c r="S21" s="2" t="inlineStr">
        <is>
          <t>Beniparrell</t>
        </is>
      </c>
      <c r="T21" s="2" t="inlineStr">
        <is>
          <t>2026-10-20T18:06:18Z</t>
        </is>
      </c>
      <c r="U21" s="2" t="n">
        <v>13</v>
      </c>
      <c r="V21" s="2" t="n"/>
      <c r="W21" s="2" t="n"/>
      <c r="X21" s="2" t="n"/>
      <c r="Y21" s="2" t="n"/>
      <c r="Z21" s="2" t="inlineStr">
        <is>
          <t>sí</t>
        </is>
      </c>
      <c r="AA21" s="2" t="n"/>
      <c r="AB21" s="2" t="n">
        <v>12</v>
      </c>
      <c r="AC21" s="2" t="n"/>
      <c r="AD21" s="2" t="n"/>
      <c r="AE21" s="2" t="n"/>
      <c r="AF21" s="2" t="n"/>
      <c r="AG21" s="2" t="n"/>
      <c r="AH21" s="2" t="n">
        <v>4000</v>
      </c>
      <c r="AI21" s="2" t="n"/>
      <c r="AJ21" s="2" t="n"/>
      <c r="AK21" s="2" t="n"/>
      <c r="AL21" s="2" t="n"/>
      <c r="AM21" s="2" t="n">
        <v>10.2</v>
      </c>
      <c r="AN21" s="2" t="n"/>
      <c r="AO21" s="2" t="inlineStr">
        <is>
          <t>2010</t>
        </is>
      </c>
      <c r="AP21" s="2" t="n">
        <v>2010</v>
      </c>
      <c r="AQ21" s="2" t="n"/>
      <c r="AR21" s="2" t="inlineStr">
        <is>
          <t>B</t>
        </is>
      </c>
      <c r="AS21" s="2" t="inlineStr">
        <is>
          <t>anuncio</t>
        </is>
      </c>
      <c r="AT21" s="2" t="n">
        <v>2011</v>
      </c>
      <c r="AU21" s="2" t="inlineStr">
        <is>
          <t>no</t>
        </is>
      </c>
      <c r="AV21" s="2" t="inlineStr">
        <is>
          <t>no</t>
        </is>
      </c>
      <c r="AW21" s="2" t="n">
        <v>4545</v>
      </c>
      <c r="AX21" s="2" t="n">
        <v>18</v>
      </c>
      <c r="AY21" s="2" t="inlineStr">
        <is>
          <t>modelo+año+km</t>
        </is>
      </c>
      <c r="AZ21" s="2" t="n"/>
      <c r="BA21" s="2" t="inlineStr">
        <is>
          <t>año a confirmar: la URL/título dice 2011; vendedor profesional: sin ITP (operación con IVA/REBU, confirmar en factura); gastos de gestión del vendedor no indicados: se suma la tasa DGT; preguntar el precio final; diésel: motor sin fuente de fiabilidad (fiabilidad limitada a neutra); revisar: no menciona la ITV</t>
        </is>
      </c>
      <c r="BB21" s="2" t="inlineStr">
        <is>
          <t>Este Ford Fiesta 1.4 TDCi Trend es un compacto versátil diseñado para quienes buscan eficiencia sin renunciar a la practicidad. Su motor diésel de 70 CV ofrece un consumo contenido —4,1 l/100 km en ciclo mixto— con una autonomía cercana a los 1.000 km, características que lo hacen económico en uso y especialmente adecuado para desplazamientos regulares.
El espacio interior está bien aprovechado: 295 litros de maletero con asientos montados se amplían a 979 litros al abatirlos, lo que permite transportar carga considerable sin perder la versatilidad de cinco plazas. El habitáculo ofrece comodidad suficiente para el día a día, con asientos delanteros ajustables manualmente, dirección asistida eléctrica y volante regulable en altura y profundidad.
En seguridad, este vehículo incluye airbags frontales y laterales delanteros, ABS, control de tracción y de estabilidad, además de cinturones con pretensores en las plazas delanteras. La preparación Isofix facilita la instalación de sistemas de retención infantil.
El equipamiento de serie contempla cierre centralizado con mando a distancia, elevalunas eléctricos delanteros, retrovisores exteriores eléctricos con intermitente integrado, limpiaparabrisas y sistema de ventilación con filtro de pólen. Cuenta con ordenador de viaje que muestra consumo medio y autonomía estimada.
La transmisión manual de cinco velocidades proporciona control directo, mientras que la tracción delantera mejora la estabilidad en curvas. Con etiqueta medioam</t>
        </is>
      </c>
      <c r="BC21" s="2" t="inlineStr">
        <is>
          <t>https://www.coches.net/ford-fiesta-14-tdci-trend-5p-diesel-2011-en-valencia-71146219-covo.aspx (window.__INITIAL_PROPS__.ad) /home/user/Alopecia/buscador-coches/raw/cochesnet/c873a4c39ee94bcd.json</t>
        </is>
      </c>
      <c r="BD21" s="3">
        <f>MAX(ANIO_ACTUAL-M21,0)</f>
        <v/>
      </c>
      <c r="BE21" s="4">
        <f>N21/MAX(BD21,0.5)</f>
        <v/>
      </c>
      <c r="BF21" s="4">
        <f>F21</f>
        <v/>
      </c>
      <c r="BG21" s="3">
        <f>BF21&amp;"|"&amp;INT(M21/SEG_ANIO)*SEG_ANIO</f>
        <v/>
      </c>
      <c r="BH21" s="3">
        <f>BG21&amp;"|"&amp;INT(N21/SEG_KM)*SEG_KM</f>
        <v/>
      </c>
      <c r="BI21" s="4">
        <f>COUNTIF($BF$2:$BF$101,BF21)</f>
        <v/>
      </c>
      <c r="BJ21" s="4">
        <f>COUNTIF($BG$2:$BG$101,BG21)</f>
        <v/>
      </c>
      <c r="BK21" s="4">
        <f>COUNTIF($BH$2:$BH$101,BH21)</f>
        <v/>
      </c>
      <c r="BL21" s="3">
        <f t="array" ref="BL21">IF(N(AX21)&gt;=MIN_N,AW21,IF(BK21&gt;=MIN_N,MEDIAN(IF($BH$2:$BH$101=BH21,$O$2:$O$101)),IF(BJ21&gt;=MIN_N,MEDIAN(IF($BG$2:$BG$101=BG21,$O$2:$O$101)),MEDIAN(IF($BF$2:$BF$101=BF21,$O$2:$O$101)))))</f>
        <v/>
      </c>
      <c r="BM21" s="3">
        <f>IF(N(AX21)&gt;=MIN_N,"mercado "&amp;AY21,IF(BK21&gt;=MIN_N,"modelo+año+km",IF(BJ21&gt;=MIN_N,"modelo+año","modelo")))</f>
        <v/>
      </c>
      <c r="BN21" s="4">
        <f>(BL21-O21)/BL21</f>
        <v/>
      </c>
      <c r="BO21" s="3">
        <f>IF(COUNTIFS(FR_FUEL,K21,FR_YEAR,AP21)&gt;0,1,0)</f>
        <v/>
      </c>
      <c r="BP21" s="3">
        <f>IF(COUNTIFS(FR_FUEL,K21,FR_YEAR,AP21-1)&gt;0,1,0)</f>
        <v/>
      </c>
      <c r="BQ21" s="4">
        <f>IF(N(AQ21)&gt;0,AP21*100+AQ21,IF(AND(BO21=1,BP21=1),(AP21-1)*100+1,AP21*100+1))</f>
        <v/>
      </c>
      <c r="BR21" s="3">
        <f>IF(OR(K21="hibrido",K21="glp",K21="gnc",K21="phev"),"ECO",IF(K21="electrico","CERO",IF(K21="gasolina",IF(BQ21&gt;=GAS_C_YM,"C",IF(BQ21&gt;=GAS_B_YM,"B","A")),IF(K21="diesel",IF(BQ21&gt;=DIE_C_YM,"C",IF(BQ21&gt;=DIE_B_YM,"B","A")),""))))</f>
        <v/>
      </c>
      <c r="BS21" s="2" t="inlineStr">
        <is>
          <t>B</t>
        </is>
      </c>
      <c r="BT21" s="4">
        <f>IF(AU21="sí","sí",IF(AS21="regla",IF(AND(N(AQ21)=0,BO21=1),"sí","no"),"no"))</f>
        <v/>
      </c>
      <c r="BU21" s="3">
        <f>IFERROR(VLOOKUP(F21,MOD_TBL,16,0),IFERROR(VLOOKUP(E21,OCU_TBL,2,0),NEUTRO))</f>
        <v/>
      </c>
      <c r="BV21" s="3">
        <f>SUMIFS(MOT_AJUSTE,MOT_MOTOR,G21,MOT_MARCA,E21,MOT_DESDE,"&lt;="&amp;M21,MOT_HASTA,"&gt;="&amp;M21)+SUMIFS(MOT_AJUSTE,MOT_MOTOR,G21,MOT_MARCA,"(todas)",MOT_DESDE,"&lt;="&amp;M21,MOT_HASTA,"&gt;="&amp;M21)+SUMIFS(MOT_AJUSTE,MOT_MOTOR,"(cualquiera)",MOT_MARCA,E21,MOT_DESDE,"&lt;="&amp;M21,MOT_HASTA,"&gt;="&amp;M21)</f>
        <v/>
      </c>
      <c r="BW21" s="3">
        <f>SUMIFS(COMB_AJUSTE,COMB_COMB,K21)</f>
        <v/>
      </c>
      <c r="BX21" s="3">
        <f>COUNTIFS(MOT_MOTOR,G21,MOT_MARCA,E21,MOT_DESDE,"&lt;="&amp;M21,MOT_HASTA,"&gt;="&amp;M21)+COUNTIFS(MOT_MOTOR,G21,MOT_MARCA,"(todas)",MOT_DESDE,"&lt;="&amp;M21,MOT_HASTA,"&gt;="&amp;M21)+COUNTIFS(MOT_MOTOR,"(cualquiera)",MOT_MARCA,E21,MOT_DESDE,"&lt;="&amp;M21,MOT_HASTA,"&gt;="&amp;M21)</f>
        <v/>
      </c>
      <c r="BY21" s="3">
        <f>IF(AND(K21="diesel",BX21=0),MIN(BU21,NEUTRO),BU21)</f>
        <v/>
      </c>
      <c r="BZ21" s="3">
        <f>MAX(0,MIN(100,BY21+BV21+BW21-IF(AV21="sí",ROB_PEN,0)))</f>
        <v/>
      </c>
      <c r="CA21" s="3">
        <f>100-MAX(0,N21-KM_TOPE_DESDE)/1000*KM_TOPE_PTS</f>
        <v/>
      </c>
      <c r="CB21" s="3">
        <f>MAX(0,MIN(100,50+BN21*PRECIO_PEND,CA21))</f>
        <v/>
      </c>
      <c r="CC21" s="3">
        <f>MAX(0,100*(1-N21/KM_MAX))</f>
        <v/>
      </c>
      <c r="CD21" s="3">
        <f>IF(BE21&lt;KMA_SOSP,IF(AA21="sí",100,KMA_PEN),IF(BE21&lt;=KMA_IDEAL_MAX,100,MAX(0,100*(KMA_CERO-BE21)/(KMA_CERO-KMA_IDEAL_MAX))))</f>
        <v/>
      </c>
      <c r="CE21" s="3">
        <f>MAX(0,MIN(100,100*(M21-ANIO_MIN)/(ANIO_ACTUAL-ANIO_MIN)))</f>
        <v/>
      </c>
      <c r="CF21" s="3">
        <f>W_KMT*CC21+W_KMA*CD21+W_EDAD*CE21</f>
        <v/>
      </c>
      <c r="CG21" s="3">
        <f>P_ITV*(V21="sí")+P_LIBRO*(W21="sí")+P_CORREA*(X21="sí")+P_PROP*(Y21=1)+P_GAR*(Z21="sí")+P_FOTOS*MIN(1,N(U21)/FOTOS_OBJ)</f>
        <v/>
      </c>
      <c r="CH21" s="3">
        <f>MAX(0,MIN(100,IFERROR(VLOOKUP(BS21,ETQ_TBL,2,0),0)-IF(BT21="sí",ETQ_PEN_DUD,IF(AS21="regla",ETQ_PEN_REGLA,0))))</f>
        <v/>
      </c>
      <c r="CI21" s="3">
        <f>NEUTRO</f>
        <v/>
      </c>
      <c r="CJ21" s="3">
        <f>IFERROR(VLOOKUP(L21,SEGURO_TBL,3,0),"")</f>
        <v/>
      </c>
      <c r="CK21" s="3">
        <f>IF(CJ21="",NEUTRO,MAX(0,MIN(100,100*(SEG_REF_MAX-CJ21)/(SEG_REF_MAX-SEG_REF_MIN))))</f>
        <v/>
      </c>
      <c r="CL21" s="3">
        <f>W_CONS*CI21+W_SEG*CK21</f>
        <v/>
      </c>
      <c r="CM21" s="3">
        <f>IF(N(AB21)&gt;0,AB21,IF(AND(R21="profesional",SG_LEGAL_ON=1),GAR_LEGAL,0))</f>
        <v/>
      </c>
      <c r="CN21" s="3">
        <f>SG_GAR*MIN(1,CM21/SG_GAR_FULL)+SG_AMPL*(AC21="sí")+SG_KMC*(AF21="sí")+SG_REV*(N(AE21)&gt;0)+SG_DEV*MIN(1,N(AG21)/SG_DEV_FULL)+SG_HIST*(W21="sí")</f>
        <v/>
      </c>
      <c r="CO21" s="3">
        <f>IFERROR(VLOOKUP(L21,CARR_PEN_TBL,2,0),0)</f>
        <v/>
      </c>
      <c r="CP21" s="3">
        <f>W_FIAB*BZ21+W_PRECIO*CB21+W_KMEDAD*CF21+W_ANUNCIO*CG21+W_USO*CL21+W_SEGURIDAD*CN21+W_ETIQUETA*CH21-CO21</f>
        <v/>
      </c>
      <c r="CQ21" s="4">
        <f>IF(N(I21)&gt;0,I21,IFERROR(ROUND(_xlfn.NUMBERVALUE(LEFT(G21,FIND(" ",G21&amp;" ")-1),".")*1000,0),99999))</f>
        <v/>
      </c>
      <c r="CR21" s="3">
        <f>IF(R21="profesional",0,IF(O21&lt;CUOTA_VALOR_MAX,IF(BD21&gt;ITP_TRAMO_ALTO,SUMIFS(CF_CUOTA,CF_MAS,ITP_TRAMO_ALTO,CF_CCMIN,"&lt;="&amp;CQ21,CF_CCMAX,"&gt;="&amp;CQ21),IF(BD21&gt;ITP_TRAMO_BAJO,SUMIFS(CF_CUOTA,CF_MAS,ITP_TRAMO_BAJO,CF_CCMIN,"&lt;="&amp;CQ21,CF_CCMAX,"&gt;="&amp;CQ21),O21*ITP_TIPO)),O21*ITP_TIPO))</f>
        <v/>
      </c>
      <c r="CS21" s="4">
        <f>IF(R21="profesional",N(AK21),0)</f>
        <v/>
      </c>
      <c r="CT21" s="3">
        <f>IF(AND(R21="profesional",ISNUMBER(AK21),AL21="sí"),0,TASA_DGT)</f>
        <v/>
      </c>
      <c r="CU21" s="3">
        <f>INFORME_DGT</f>
        <v/>
      </c>
      <c r="CV21" s="4">
        <f>O21+CS21+CR21+CT21+CU21</f>
        <v/>
      </c>
      <c r="CW21" s="4">
        <f>CV21+N(CJ21)</f>
        <v/>
      </c>
      <c r="CX21" s="3">
        <f>IF(CV21&lt;=TOTAL_MAX,"sí",IF(CV21&lt;=TOTAL_MAX+MARGEN_NEG,"negociar","no"))</f>
        <v/>
      </c>
      <c r="CY21" s="4">
        <f>IF(CX21&lt;&gt;"no",COUNTIFS($CX$2:$CX$101,"&lt;&gt;no",$CP$2:$CP$101,"&gt;"&amp;CP21)+COUNTIFS($CX$2:CX21,"&lt;&gt;no",$CP$2:CP21,CP21),"")</f>
        <v/>
      </c>
    </row>
    <row r="22">
      <c r="A22" s="2" t="inlineStr">
        <is>
          <t>cochesnet:71816544</t>
        </is>
      </c>
      <c r="B22" s="2" t="inlineStr">
        <is>
          <t>cochesnet</t>
        </is>
      </c>
      <c r="C22" s="2" t="inlineStr">
        <is>
          <t>https://www.coches.net/fiat-punto-12-active-e5-5p-gasolina-2009-en-valencia-71816544-covo.aspx</t>
        </is>
      </c>
      <c r="D22" s="2" t="inlineStr">
        <is>
          <t>FIAT Punto 1.2 Active E5</t>
        </is>
      </c>
      <c r="E22" s="2" t="inlineStr">
        <is>
          <t>Fiat</t>
        </is>
      </c>
      <c r="F22" s="2" t="inlineStr">
        <is>
          <t>Fiat Punto</t>
        </is>
      </c>
      <c r="G22" s="2" t="inlineStr">
        <is>
          <t>1.2</t>
        </is>
      </c>
      <c r="H22" s="2" t="inlineStr">
        <is>
          <t>1.2 Active E5</t>
        </is>
      </c>
      <c r="I22" s="2" t="n"/>
      <c r="J22" s="2" t="n"/>
      <c r="K22" s="2" t="inlineStr">
        <is>
          <t>gasolina</t>
        </is>
      </c>
      <c r="L22" s="2" t="inlineStr">
        <is>
          <t>utilitario</t>
        </is>
      </c>
      <c r="M22" s="2" t="n">
        <v>2010</v>
      </c>
      <c r="N22" s="2" t="n">
        <v>150000</v>
      </c>
      <c r="O22" s="2" t="n">
        <v>3850</v>
      </c>
      <c r="P22" s="2" t="inlineStr">
        <is>
          <t>manual</t>
        </is>
      </c>
      <c r="Q22" s="2" t="inlineStr">
        <is>
          <t>no</t>
        </is>
      </c>
      <c r="R22" s="2" t="inlineStr">
        <is>
          <t>profesional</t>
        </is>
      </c>
      <c r="S22" s="2" t="inlineStr">
        <is>
          <t>AUTOMOVILES CASTILLO PEPE Manises</t>
        </is>
      </c>
      <c r="T22" s="2" t="inlineStr">
        <is>
          <t>2026-10-23T12:44:12Z</t>
        </is>
      </c>
      <c r="U22" s="2" t="n">
        <v>15</v>
      </c>
      <c r="V22" s="2" t="inlineStr">
        <is>
          <t>sí</t>
        </is>
      </c>
      <c r="W22" s="2" t="n"/>
      <c r="X22" s="2" t="inlineStr">
        <is>
          <t>sí</t>
        </is>
      </c>
      <c r="Y22" s="2" t="n"/>
      <c r="Z22" s="2" t="inlineStr">
        <is>
          <t>sí</t>
        </is>
      </c>
      <c r="AA22" s="2" t="n"/>
      <c r="AB22" s="2" t="n">
        <v>12</v>
      </c>
      <c r="AC22" s="2" t="n"/>
      <c r="AD22" s="2" t="n"/>
      <c r="AE22" s="2" t="n"/>
      <c r="AF22" s="2" t="inlineStr">
        <is>
          <t>sí</t>
        </is>
      </c>
      <c r="AG22" s="2" t="n"/>
      <c r="AH22" s="2" t="n">
        <v>3850</v>
      </c>
      <c r="AI22" s="2" t="n">
        <v>3850</v>
      </c>
      <c r="AJ22" s="2" t="n"/>
      <c r="AK22" s="2" t="n"/>
      <c r="AL22" s="2" t="n"/>
      <c r="AM22" s="2" t="n">
        <v>8.1</v>
      </c>
      <c r="AN22" s="2" t="n"/>
      <c r="AO22" s="2" t="inlineStr">
        <is>
          <t>2010</t>
        </is>
      </c>
      <c r="AP22" s="2" t="n">
        <v>2010</v>
      </c>
      <c r="AQ22" s="2" t="n"/>
      <c r="AR22" s="2" t="inlineStr">
        <is>
          <t>C</t>
        </is>
      </c>
      <c r="AS22" s="2" t="inlineStr">
        <is>
          <t>anuncio</t>
        </is>
      </c>
      <c r="AT22" s="2" t="n">
        <v>2009</v>
      </c>
      <c r="AU22" s="2" t="inlineStr">
        <is>
          <t>no</t>
        </is>
      </c>
      <c r="AV22" s="2" t="inlineStr">
        <is>
          <t>no</t>
        </is>
      </c>
      <c r="AW22" s="2" t="n">
        <v>3400</v>
      </c>
      <c r="AX22" s="2" t="n">
        <v>12</v>
      </c>
      <c r="AY22" s="2" t="inlineStr">
        <is>
          <t>modelo+año</t>
        </is>
      </c>
      <c r="AZ22" s="2" t="n"/>
      <c r="BA22" s="2" t="inlineStr">
        <is>
          <t>año a confirmar: la URL/título dice 2009; vendedor profesional: sin ITP (operación con IVA/REBU, confirmar en factura); gastos de gestión del vendedor no indicados: se suma la tasa DGT; preguntar el precio final; revisar: detalles «detalles»; fiabilidad del modelo PENDIENTE de fuente (puntuación neutra)</t>
        </is>
      </c>
      <c r="BB22"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C22" s="2" t="inlineStr">
        <is>
          <t>https://www.coches.net/fiat-punto-12-active-e5-5p-gasolina-2009-en-valencia-71816544-covo.aspx (window.__INITIAL_PROPS__.ad) /home/user/Alopecia/buscador-coches/raw/cochesnet/b1d6094a69e8be9b.json</t>
        </is>
      </c>
      <c r="BD22" s="3">
        <f>MAX(ANIO_ACTUAL-M22,0)</f>
        <v/>
      </c>
      <c r="BE22" s="4">
        <f>N22/MAX(BD22,0.5)</f>
        <v/>
      </c>
      <c r="BF22" s="4">
        <f>F22</f>
        <v/>
      </c>
      <c r="BG22" s="3">
        <f>BF22&amp;"|"&amp;INT(M22/SEG_ANIO)*SEG_ANIO</f>
        <v/>
      </c>
      <c r="BH22" s="3">
        <f>BG22&amp;"|"&amp;INT(N22/SEG_KM)*SEG_KM</f>
        <v/>
      </c>
      <c r="BI22" s="4">
        <f>COUNTIF($BF$2:$BF$101,BF22)</f>
        <v/>
      </c>
      <c r="BJ22" s="4">
        <f>COUNTIF($BG$2:$BG$101,BG22)</f>
        <v/>
      </c>
      <c r="BK22" s="4">
        <f>COUNTIF($BH$2:$BH$101,BH22)</f>
        <v/>
      </c>
      <c r="BL22" s="3">
        <f t="array" ref="BL22">IF(N(AX22)&gt;=MIN_N,AW22,IF(BK22&gt;=MIN_N,MEDIAN(IF($BH$2:$BH$101=BH22,$O$2:$O$101)),IF(BJ22&gt;=MIN_N,MEDIAN(IF($BG$2:$BG$101=BG22,$O$2:$O$101)),MEDIAN(IF($BF$2:$BF$101=BF22,$O$2:$O$101)))))</f>
        <v/>
      </c>
      <c r="BM22" s="3">
        <f>IF(N(AX22)&gt;=MIN_N,"mercado "&amp;AY22,IF(BK22&gt;=MIN_N,"modelo+año+km",IF(BJ22&gt;=MIN_N,"modelo+año","modelo")))</f>
        <v/>
      </c>
      <c r="BN22" s="4">
        <f>(BL22-O22)/BL22</f>
        <v/>
      </c>
      <c r="BO22" s="3">
        <f>IF(COUNTIFS(FR_FUEL,K22,FR_YEAR,AP22)&gt;0,1,0)</f>
        <v/>
      </c>
      <c r="BP22" s="3">
        <f>IF(COUNTIFS(FR_FUEL,K22,FR_YEAR,AP22-1)&gt;0,1,0)</f>
        <v/>
      </c>
      <c r="BQ22" s="4">
        <f>IF(N(AQ22)&gt;0,AP22*100+AQ22,IF(AND(BO22=1,BP22=1),(AP22-1)*100+1,AP22*100+1))</f>
        <v/>
      </c>
      <c r="BR22" s="3">
        <f>IF(OR(K22="hibrido",K22="glp",K22="gnc",K22="phev"),"ECO",IF(K22="electrico","CERO",IF(K22="gasolina",IF(BQ22&gt;=GAS_C_YM,"C",IF(BQ22&gt;=GAS_B_YM,"B","A")),IF(K22="diesel",IF(BQ22&gt;=DIE_C_YM,"C",IF(BQ22&gt;=DIE_B_YM,"B","A")),""))))</f>
        <v/>
      </c>
      <c r="BS22" s="2" t="inlineStr">
        <is>
          <t>C</t>
        </is>
      </c>
      <c r="BT22" s="4">
        <f>IF(AU22="sí","sí",IF(AS22="regla",IF(AND(N(AQ22)=0,BO22=1),"sí","no"),"no"))</f>
        <v/>
      </c>
      <c r="BU22" s="3">
        <f>IFERROR(VLOOKUP(F22,MOD_TBL,16,0),IFERROR(VLOOKUP(E22,OCU_TBL,2,0),NEUTRO))</f>
        <v/>
      </c>
      <c r="BV22" s="3">
        <f>SUMIFS(MOT_AJUSTE,MOT_MOTOR,G22,MOT_MARCA,E22,MOT_DESDE,"&lt;="&amp;M22,MOT_HASTA,"&gt;="&amp;M22)+SUMIFS(MOT_AJUSTE,MOT_MOTOR,G22,MOT_MARCA,"(todas)",MOT_DESDE,"&lt;="&amp;M22,MOT_HASTA,"&gt;="&amp;M22)+SUMIFS(MOT_AJUSTE,MOT_MOTOR,"(cualquiera)",MOT_MARCA,E22,MOT_DESDE,"&lt;="&amp;M22,MOT_HASTA,"&gt;="&amp;M22)</f>
        <v/>
      </c>
      <c r="BW22" s="3">
        <f>SUMIFS(COMB_AJUSTE,COMB_COMB,K22)</f>
        <v/>
      </c>
      <c r="BX22" s="3">
        <f>COUNTIFS(MOT_MOTOR,G22,MOT_MARCA,E22,MOT_DESDE,"&lt;="&amp;M22,MOT_HASTA,"&gt;="&amp;M22)+COUNTIFS(MOT_MOTOR,G22,MOT_MARCA,"(todas)",MOT_DESDE,"&lt;="&amp;M22,MOT_HASTA,"&gt;="&amp;M22)+COUNTIFS(MOT_MOTOR,"(cualquiera)",MOT_MARCA,E22,MOT_DESDE,"&lt;="&amp;M22,MOT_HASTA,"&gt;="&amp;M22)</f>
        <v/>
      </c>
      <c r="BY22" s="3">
        <f>IF(AND(K22="diesel",BX22=0),MIN(BU22,NEUTRO),BU22)</f>
        <v/>
      </c>
      <c r="BZ22" s="3">
        <f>MAX(0,MIN(100,BY22+BV22+BW22-IF(AV22="sí",ROB_PEN,0)))</f>
        <v/>
      </c>
      <c r="CA22" s="3">
        <f>100-MAX(0,N22-KM_TOPE_DESDE)/1000*KM_TOPE_PTS</f>
        <v/>
      </c>
      <c r="CB22" s="3">
        <f>MAX(0,MIN(100,50+BN22*PRECIO_PEND,CA22))</f>
        <v/>
      </c>
      <c r="CC22" s="3">
        <f>MAX(0,100*(1-N22/KM_MAX))</f>
        <v/>
      </c>
      <c r="CD22" s="3">
        <f>IF(BE22&lt;KMA_SOSP,IF(AA22="sí",100,KMA_PEN),IF(BE22&lt;=KMA_IDEAL_MAX,100,MAX(0,100*(KMA_CERO-BE22)/(KMA_CERO-KMA_IDEAL_MAX))))</f>
        <v/>
      </c>
      <c r="CE22" s="3">
        <f>MAX(0,MIN(100,100*(M22-ANIO_MIN)/(ANIO_ACTUAL-ANIO_MIN)))</f>
        <v/>
      </c>
      <c r="CF22" s="3">
        <f>W_KMT*CC22+W_KMA*CD22+W_EDAD*CE22</f>
        <v/>
      </c>
      <c r="CG22" s="3">
        <f>P_ITV*(V22="sí")+P_LIBRO*(W22="sí")+P_CORREA*(X22="sí")+P_PROP*(Y22=1)+P_GAR*(Z22="sí")+P_FOTOS*MIN(1,N(U22)/FOTOS_OBJ)</f>
        <v/>
      </c>
      <c r="CH22" s="3">
        <f>MAX(0,MIN(100,IFERROR(VLOOKUP(BS22,ETQ_TBL,2,0),0)-IF(BT22="sí",ETQ_PEN_DUD,IF(AS22="regla",ETQ_PEN_REGLA,0))))</f>
        <v/>
      </c>
      <c r="CI22" s="3">
        <f>NEUTRO</f>
        <v/>
      </c>
      <c r="CJ22" s="3">
        <f>IFERROR(VLOOKUP(L22,SEGURO_TBL,3,0),"")</f>
        <v/>
      </c>
      <c r="CK22" s="3">
        <f>IF(CJ22="",NEUTRO,MAX(0,MIN(100,100*(SEG_REF_MAX-CJ22)/(SEG_REF_MAX-SEG_REF_MIN))))</f>
        <v/>
      </c>
      <c r="CL22" s="3">
        <f>W_CONS*CI22+W_SEG*CK22</f>
        <v/>
      </c>
      <c r="CM22" s="3">
        <f>IF(N(AB22)&gt;0,AB22,IF(AND(R22="profesional",SG_LEGAL_ON=1),GAR_LEGAL,0))</f>
        <v/>
      </c>
      <c r="CN22" s="3">
        <f>SG_GAR*MIN(1,CM22/SG_GAR_FULL)+SG_AMPL*(AC22="sí")+SG_KMC*(AF22="sí")+SG_REV*(N(AE22)&gt;0)+SG_DEV*MIN(1,N(AG22)/SG_DEV_FULL)+SG_HIST*(W22="sí")</f>
        <v/>
      </c>
      <c r="CO22" s="3">
        <f>IFERROR(VLOOKUP(L22,CARR_PEN_TBL,2,0),0)</f>
        <v/>
      </c>
      <c r="CP22" s="3">
        <f>W_FIAB*BZ22+W_PRECIO*CB22+W_KMEDAD*CF22+W_ANUNCIO*CG22+W_USO*CL22+W_SEGURIDAD*CN22+W_ETIQUETA*CH22-CO22</f>
        <v/>
      </c>
      <c r="CQ22" s="4">
        <f>IF(N(I22)&gt;0,I22,IFERROR(ROUND(_xlfn.NUMBERVALUE(LEFT(G22,FIND(" ",G22&amp;" ")-1),".")*1000,0),99999))</f>
        <v/>
      </c>
      <c r="CR22" s="3">
        <f>IF(R22="profesional",0,IF(O22&lt;CUOTA_VALOR_MAX,IF(BD22&gt;ITP_TRAMO_ALTO,SUMIFS(CF_CUOTA,CF_MAS,ITP_TRAMO_ALTO,CF_CCMIN,"&lt;="&amp;CQ22,CF_CCMAX,"&gt;="&amp;CQ22),IF(BD22&gt;ITP_TRAMO_BAJO,SUMIFS(CF_CUOTA,CF_MAS,ITP_TRAMO_BAJO,CF_CCMIN,"&lt;="&amp;CQ22,CF_CCMAX,"&gt;="&amp;CQ22),O22*ITP_TIPO)),O22*ITP_TIPO))</f>
        <v/>
      </c>
      <c r="CS22" s="4">
        <f>IF(R22="profesional",N(AK22),0)</f>
        <v/>
      </c>
      <c r="CT22" s="3">
        <f>IF(AND(R22="profesional",ISNUMBER(AK22),AL22="sí"),0,TASA_DGT)</f>
        <v/>
      </c>
      <c r="CU22" s="3">
        <f>INFORME_DGT</f>
        <v/>
      </c>
      <c r="CV22" s="4">
        <f>O22+CS22+CR22+CT22+CU22</f>
        <v/>
      </c>
      <c r="CW22" s="4">
        <f>CV22+N(CJ22)</f>
        <v/>
      </c>
      <c r="CX22" s="3">
        <f>IF(CV22&lt;=TOTAL_MAX,"sí",IF(CV22&lt;=TOTAL_MAX+MARGEN_NEG,"negociar","no"))</f>
        <v/>
      </c>
      <c r="CY22" s="4">
        <f>IF(CX22&lt;&gt;"no",COUNTIFS($CX$2:$CX$101,"&lt;&gt;no",$CP$2:$CP$101,"&gt;"&amp;CP22)+COUNTIFS($CX$2:CX22,"&lt;&gt;no",$CP$2:CP22,CP22),"")</f>
        <v/>
      </c>
    </row>
    <row r="23">
      <c r="A23" s="2" t="inlineStr">
        <is>
          <t>cochesnet:71651301</t>
        </is>
      </c>
      <c r="B23" s="2" t="inlineStr">
        <is>
          <t>cochesnet</t>
        </is>
      </c>
      <c r="C23" s="2" t="inlineStr">
        <is>
          <t>https://www.coches.net/chevrolet-aveo-14-16v-lt-4p-gasolina-2008-en-valencia-71651301-covo.aspx</t>
        </is>
      </c>
      <c r="D23" s="2" t="inlineStr">
        <is>
          <t>CHEVROLET Aveo 1.4 16v LT</t>
        </is>
      </c>
      <c r="E23" s="2" t="inlineStr">
        <is>
          <t>Chevrolet</t>
        </is>
      </c>
      <c r="F23" s="2" t="inlineStr">
        <is>
          <t>Chevrolet Aveo</t>
        </is>
      </c>
      <c r="G23" s="2" t="inlineStr">
        <is>
          <t>1.4</t>
        </is>
      </c>
      <c r="H23" s="2" t="inlineStr">
        <is>
          <t>1.4 16v LT</t>
        </is>
      </c>
      <c r="I23" s="2" t="n"/>
      <c r="J23" s="2" t="n"/>
      <c r="K23" s="2" t="inlineStr">
        <is>
          <t>gasolina</t>
        </is>
      </c>
      <c r="L23" s="2" t="inlineStr">
        <is>
          <t>utilitario</t>
        </is>
      </c>
      <c r="M23" s="2" t="n">
        <v>2008</v>
      </c>
      <c r="N23" s="2" t="n">
        <v>138000</v>
      </c>
      <c r="O23" s="2" t="n">
        <v>3990</v>
      </c>
      <c r="P23" s="2" t="inlineStr">
        <is>
          <t>manual</t>
        </is>
      </c>
      <c r="Q23" s="2" t="inlineStr">
        <is>
          <t>no</t>
        </is>
      </c>
      <c r="R23" s="2" t="inlineStr">
        <is>
          <t>profesional</t>
        </is>
      </c>
      <c r="S23" s="2" t="inlineStr">
        <is>
          <t>Saga Vehículos Massanassa</t>
        </is>
      </c>
      <c r="T23" s="2" t="inlineStr">
        <is>
          <t>2026-10-01T20:50:03Z</t>
        </is>
      </c>
      <c r="U23" s="2" t="n">
        <v>26</v>
      </c>
      <c r="V23" s="2" t="n"/>
      <c r="W23" s="2" t="n"/>
      <c r="X23" s="2" t="n"/>
      <c r="Y23" s="2" t="n"/>
      <c r="Z23" s="2" t="inlineStr">
        <is>
          <t>sí</t>
        </is>
      </c>
      <c r="AA23" s="2" t="n"/>
      <c r="AB23" s="2" t="n">
        <v>12</v>
      </c>
      <c r="AC23" s="2" t="inlineStr">
        <is>
          <t>sí</t>
        </is>
      </c>
      <c r="AD23" s="2" t="n"/>
      <c r="AE23" s="2" t="n"/>
      <c r="AF23" s="2" t="n"/>
      <c r="AG23" s="2" t="n"/>
      <c r="AH23" s="2" t="n">
        <v>3990</v>
      </c>
      <c r="AI23" s="2" t="n"/>
      <c r="AJ23" s="2" t="n"/>
      <c r="AK23" s="2" t="n">
        <v>350</v>
      </c>
      <c r="AL23" s="2" t="inlineStr">
        <is>
          <t>no</t>
        </is>
      </c>
      <c r="AM23" s="2" t="n">
        <v>6.9</v>
      </c>
      <c r="AN23" s="2" t="n"/>
      <c r="AO23" s="2" t="inlineStr">
        <is>
          <t>2008</t>
        </is>
      </c>
      <c r="AP23" s="2" t="n">
        <v>2008</v>
      </c>
      <c r="AQ23" s="2" t="n"/>
      <c r="AR23" s="2" t="inlineStr">
        <is>
          <t>C</t>
        </is>
      </c>
      <c r="AS23" s="2" t="inlineStr">
        <is>
          <t>anuncio</t>
        </is>
      </c>
      <c r="AT23" s="2" t="n"/>
      <c r="AU23" s="2" t="inlineStr">
        <is>
          <t>no</t>
        </is>
      </c>
      <c r="AV23" s="2" t="inlineStr">
        <is>
          <t>no</t>
        </is>
      </c>
      <c r="AW23" s="2" t="n">
        <v>3990</v>
      </c>
      <c r="AX23" s="2" t="n">
        <v>4</v>
      </c>
      <c r="AY23" s="2" t="inlineStr">
        <is>
          <t>modelo+año+km</t>
        </is>
      </c>
      <c r="AZ23" s="2" t="n"/>
      <c r="BA23" s="2" t="inlineStr">
        <is>
          <t>vendedor profesional: sin ITP (operación con IVA/REBU, confirmar en factura); gastos del vendedor sin indicar si incluyen la transferencia: se suma la tasa DGT; revisar: no menciona la ITV; fiabilidad del modelo PENDIENTE de fuente (puntuación neutra)</t>
        </is>
      </c>
      <c r="BB23" s="2" t="inlineStr">
        <is>
          <t xml:space="preserve">Chevrolet Aveo LT 1.4 E-TEC ll, 95CV, Gasolina,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Android Auto / Apple CarPlay 
- Sistema multimedia Bluetooth
- GPS navegación 
- Camara trasera 
- Llaves presencial con mandos a distancia y mucho mas....
Este anuncio no es vinculante, se muestra a titulo informativo y no contractual.
</t>
        </is>
      </c>
      <c r="BC23" s="2" t="inlineStr">
        <is>
          <t>https://www.coches.net/chevrolet-aveo-14-16v-lt-4p-gasolina-2008-en-valencia-71651301-covo.aspx (window.__INITIAL_PROPS__.ad) /home/user/Alopecia/buscador-coches/raw/cochesnet/66885b8d297b81d0.json</t>
        </is>
      </c>
      <c r="BD23" s="3">
        <f>MAX(ANIO_ACTUAL-M23,0)</f>
        <v/>
      </c>
      <c r="BE23" s="4">
        <f>N23/MAX(BD23,0.5)</f>
        <v/>
      </c>
      <c r="BF23" s="4">
        <f>F23</f>
        <v/>
      </c>
      <c r="BG23" s="3">
        <f>BF23&amp;"|"&amp;INT(M23/SEG_ANIO)*SEG_ANIO</f>
        <v/>
      </c>
      <c r="BH23" s="3">
        <f>BG23&amp;"|"&amp;INT(N23/SEG_KM)*SEG_KM</f>
        <v/>
      </c>
      <c r="BI23" s="4">
        <f>COUNTIF($BF$2:$BF$101,BF23)</f>
        <v/>
      </c>
      <c r="BJ23" s="4">
        <f>COUNTIF($BG$2:$BG$101,BG23)</f>
        <v/>
      </c>
      <c r="BK23" s="4">
        <f>COUNTIF($BH$2:$BH$101,BH23)</f>
        <v/>
      </c>
      <c r="BL23" s="3">
        <f t="array" ref="BL23">IF(N(AX23)&gt;=MIN_N,AW23,IF(BK23&gt;=MIN_N,MEDIAN(IF($BH$2:$BH$101=BH23,$O$2:$O$101)),IF(BJ23&gt;=MIN_N,MEDIAN(IF($BG$2:$BG$101=BG23,$O$2:$O$101)),MEDIAN(IF($BF$2:$BF$101=BF23,$O$2:$O$101)))))</f>
        <v/>
      </c>
      <c r="BM23" s="3">
        <f>IF(N(AX23)&gt;=MIN_N,"mercado "&amp;AY23,IF(BK23&gt;=MIN_N,"modelo+año+km",IF(BJ23&gt;=MIN_N,"modelo+año","modelo")))</f>
        <v/>
      </c>
      <c r="BN23" s="4">
        <f>(BL23-O23)/BL23</f>
        <v/>
      </c>
      <c r="BO23" s="3">
        <f>IF(COUNTIFS(FR_FUEL,K23,FR_YEAR,AP23)&gt;0,1,0)</f>
        <v/>
      </c>
      <c r="BP23" s="3">
        <f>IF(COUNTIFS(FR_FUEL,K23,FR_YEAR,AP23-1)&gt;0,1,0)</f>
        <v/>
      </c>
      <c r="BQ23" s="4">
        <f>IF(N(AQ23)&gt;0,AP23*100+AQ23,IF(AND(BO23=1,BP23=1),(AP23-1)*100+1,AP23*100+1))</f>
        <v/>
      </c>
      <c r="BR23" s="3">
        <f>IF(OR(K23="hibrido",K23="glp",K23="gnc",K23="phev"),"ECO",IF(K23="electrico","CERO",IF(K23="gasolina",IF(BQ23&gt;=GAS_C_YM,"C",IF(BQ23&gt;=GAS_B_YM,"B","A")),IF(K23="diesel",IF(BQ23&gt;=DIE_C_YM,"C",IF(BQ23&gt;=DIE_B_YM,"B","A")),""))))</f>
        <v/>
      </c>
      <c r="BS23" s="2" t="inlineStr">
        <is>
          <t>C</t>
        </is>
      </c>
      <c r="BT23" s="4">
        <f>IF(AU23="sí","sí",IF(AS23="regla",IF(AND(N(AQ23)=0,BO23=1),"sí","no"),"no"))</f>
        <v/>
      </c>
      <c r="BU23" s="3">
        <f>IFERROR(VLOOKUP(F23,MOD_TBL,16,0),IFERROR(VLOOKUP(E23,OCU_TBL,2,0),NEUTRO))</f>
        <v/>
      </c>
      <c r="BV23" s="3">
        <f>SUMIFS(MOT_AJUSTE,MOT_MOTOR,G23,MOT_MARCA,E23,MOT_DESDE,"&lt;="&amp;M23,MOT_HASTA,"&gt;="&amp;M23)+SUMIFS(MOT_AJUSTE,MOT_MOTOR,G23,MOT_MARCA,"(todas)",MOT_DESDE,"&lt;="&amp;M23,MOT_HASTA,"&gt;="&amp;M23)+SUMIFS(MOT_AJUSTE,MOT_MOTOR,"(cualquiera)",MOT_MARCA,E23,MOT_DESDE,"&lt;="&amp;M23,MOT_HASTA,"&gt;="&amp;M23)</f>
        <v/>
      </c>
      <c r="BW23" s="3">
        <f>SUMIFS(COMB_AJUSTE,COMB_COMB,K23)</f>
        <v/>
      </c>
      <c r="BX23" s="3">
        <f>COUNTIFS(MOT_MOTOR,G23,MOT_MARCA,E23,MOT_DESDE,"&lt;="&amp;M23,MOT_HASTA,"&gt;="&amp;M23)+COUNTIFS(MOT_MOTOR,G23,MOT_MARCA,"(todas)",MOT_DESDE,"&lt;="&amp;M23,MOT_HASTA,"&gt;="&amp;M23)+COUNTIFS(MOT_MOTOR,"(cualquiera)",MOT_MARCA,E23,MOT_DESDE,"&lt;="&amp;M23,MOT_HASTA,"&gt;="&amp;M23)</f>
        <v/>
      </c>
      <c r="BY23" s="3">
        <f>IF(AND(K23="diesel",BX23=0),MIN(BU23,NEUTRO),BU23)</f>
        <v/>
      </c>
      <c r="BZ23" s="3">
        <f>MAX(0,MIN(100,BY23+BV23+BW23-IF(AV23="sí",ROB_PEN,0)))</f>
        <v/>
      </c>
      <c r="CA23" s="3">
        <f>100-MAX(0,N23-KM_TOPE_DESDE)/1000*KM_TOPE_PTS</f>
        <v/>
      </c>
      <c r="CB23" s="3">
        <f>MAX(0,MIN(100,50+BN23*PRECIO_PEND,CA23))</f>
        <v/>
      </c>
      <c r="CC23" s="3">
        <f>MAX(0,100*(1-N23/KM_MAX))</f>
        <v/>
      </c>
      <c r="CD23" s="3">
        <f>IF(BE23&lt;KMA_SOSP,IF(AA23="sí",100,KMA_PEN),IF(BE23&lt;=KMA_IDEAL_MAX,100,MAX(0,100*(KMA_CERO-BE23)/(KMA_CERO-KMA_IDEAL_MAX))))</f>
        <v/>
      </c>
      <c r="CE23" s="3">
        <f>MAX(0,MIN(100,100*(M23-ANIO_MIN)/(ANIO_ACTUAL-ANIO_MIN)))</f>
        <v/>
      </c>
      <c r="CF23" s="3">
        <f>W_KMT*CC23+W_KMA*CD23+W_EDAD*CE23</f>
        <v/>
      </c>
      <c r="CG23" s="3">
        <f>P_ITV*(V23="sí")+P_LIBRO*(W23="sí")+P_CORREA*(X23="sí")+P_PROP*(Y23=1)+P_GAR*(Z23="sí")+P_FOTOS*MIN(1,N(U23)/FOTOS_OBJ)</f>
        <v/>
      </c>
      <c r="CH23" s="3">
        <f>MAX(0,MIN(100,IFERROR(VLOOKUP(BS23,ETQ_TBL,2,0),0)-IF(BT23="sí",ETQ_PEN_DUD,IF(AS23="regla",ETQ_PEN_REGLA,0))))</f>
        <v/>
      </c>
      <c r="CI23" s="3">
        <f>NEUTRO</f>
        <v/>
      </c>
      <c r="CJ23" s="3">
        <f>IFERROR(VLOOKUP(L23,SEGURO_TBL,3,0),"")</f>
        <v/>
      </c>
      <c r="CK23" s="3">
        <f>IF(CJ23="",NEUTRO,MAX(0,MIN(100,100*(SEG_REF_MAX-CJ23)/(SEG_REF_MAX-SEG_REF_MIN))))</f>
        <v/>
      </c>
      <c r="CL23" s="3">
        <f>W_CONS*CI23+W_SEG*CK23</f>
        <v/>
      </c>
      <c r="CM23" s="3">
        <f>IF(N(AB23)&gt;0,AB23,IF(AND(R23="profesional",SG_LEGAL_ON=1),GAR_LEGAL,0))</f>
        <v/>
      </c>
      <c r="CN23" s="3">
        <f>SG_GAR*MIN(1,CM23/SG_GAR_FULL)+SG_AMPL*(AC23="sí")+SG_KMC*(AF23="sí")+SG_REV*(N(AE23)&gt;0)+SG_DEV*MIN(1,N(AG23)/SG_DEV_FULL)+SG_HIST*(W23="sí")</f>
        <v/>
      </c>
      <c r="CO23" s="3">
        <f>IFERROR(VLOOKUP(L23,CARR_PEN_TBL,2,0),0)</f>
        <v/>
      </c>
      <c r="CP23" s="3">
        <f>W_FIAB*BZ23+W_PRECIO*CB23+W_KMEDAD*CF23+W_ANUNCIO*CG23+W_USO*CL23+W_SEGURIDAD*CN23+W_ETIQUETA*CH23-CO23</f>
        <v/>
      </c>
      <c r="CQ23" s="4">
        <f>IF(N(I23)&gt;0,I23,IFERROR(ROUND(_xlfn.NUMBERVALUE(LEFT(G23,FIND(" ",G23&amp;" ")-1),".")*1000,0),99999))</f>
        <v/>
      </c>
      <c r="CR23" s="3">
        <f>IF(R23="profesional",0,IF(O23&lt;CUOTA_VALOR_MAX,IF(BD23&gt;ITP_TRAMO_ALTO,SUMIFS(CF_CUOTA,CF_MAS,ITP_TRAMO_ALTO,CF_CCMIN,"&lt;="&amp;CQ23,CF_CCMAX,"&gt;="&amp;CQ23),IF(BD23&gt;ITP_TRAMO_BAJO,SUMIFS(CF_CUOTA,CF_MAS,ITP_TRAMO_BAJO,CF_CCMIN,"&lt;="&amp;CQ23,CF_CCMAX,"&gt;="&amp;CQ23),O23*ITP_TIPO)),O23*ITP_TIPO))</f>
        <v/>
      </c>
      <c r="CS23" s="4">
        <f>IF(R23="profesional",N(AK23),0)</f>
        <v/>
      </c>
      <c r="CT23" s="3">
        <f>IF(AND(R23="profesional",ISNUMBER(AK23),AL23="sí"),0,TASA_DGT)</f>
        <v/>
      </c>
      <c r="CU23" s="3">
        <f>INFORME_DGT</f>
        <v/>
      </c>
      <c r="CV23" s="4">
        <f>O23+CS23+CR23+CT23+CU23</f>
        <v/>
      </c>
      <c r="CW23" s="4">
        <f>CV23+N(CJ23)</f>
        <v/>
      </c>
      <c r="CX23" s="3">
        <f>IF(CV23&lt;=TOTAL_MAX,"sí",IF(CV23&lt;=TOTAL_MAX+MARGEN_NEG,"negociar","no"))</f>
        <v/>
      </c>
      <c r="CY23" s="4">
        <f>IF(CX23&lt;&gt;"no",COUNTIFS($CX$2:$CX$101,"&lt;&gt;no",$CP$2:$CP$101,"&gt;"&amp;CP23)+COUNTIFS($CX$2:CX23,"&lt;&gt;no",$CP$2:CP23,CP23),"")</f>
        <v/>
      </c>
    </row>
    <row r="24">
      <c r="A24" s="2" t="inlineStr">
        <is>
          <t>cochesnet:71533850</t>
        </is>
      </c>
      <c r="B24" s="2" t="inlineStr">
        <is>
          <t>cochesnet</t>
        </is>
      </c>
      <c r="C24" s="2" t="inlineStr">
        <is>
          <t>https://www.coches.net/chevrolet-aveo-14-16v-ls-5p-gasolina-2010-en-valencia-71533850-covo.aspx</t>
        </is>
      </c>
      <c r="D24" s="2" t="inlineStr">
        <is>
          <t>CHEVROLET Aveo 1.4 16v LS</t>
        </is>
      </c>
      <c r="E24" s="2" t="inlineStr">
        <is>
          <t>Chevrolet</t>
        </is>
      </c>
      <c r="F24" s="2" t="inlineStr">
        <is>
          <t>Chevrolet Aveo</t>
        </is>
      </c>
      <c r="G24" s="2" t="inlineStr">
        <is>
          <t>1.4</t>
        </is>
      </c>
      <c r="H24" s="2" t="inlineStr">
        <is>
          <t>1.4 16v LS</t>
        </is>
      </c>
      <c r="I24" s="2" t="n"/>
      <c r="J24" s="2" t="n"/>
      <c r="K24" s="2" t="inlineStr">
        <is>
          <t>gasolina</t>
        </is>
      </c>
      <c r="L24" s="2" t="inlineStr">
        <is>
          <t>utilitario</t>
        </is>
      </c>
      <c r="M24" s="2" t="n">
        <v>2009</v>
      </c>
      <c r="N24" s="2" t="n">
        <v>110000</v>
      </c>
      <c r="O24" s="2" t="n">
        <v>4290</v>
      </c>
      <c r="P24" s="2" t="inlineStr">
        <is>
          <t>manual</t>
        </is>
      </c>
      <c r="Q24" s="2" t="inlineStr">
        <is>
          <t>no</t>
        </is>
      </c>
      <c r="R24" s="2" t="inlineStr">
        <is>
          <t>profesional</t>
        </is>
      </c>
      <c r="S24" s="2" t="inlineStr">
        <is>
          <t>Only Cars Valencia Aldaia</t>
        </is>
      </c>
      <c r="T24" s="2" t="inlineStr">
        <is>
          <t>2026-09-17T10:24:43Z</t>
        </is>
      </c>
      <c r="U24" s="2" t="n">
        <v>11</v>
      </c>
      <c r="V24" s="2" t="n"/>
      <c r="W24" s="2" t="n"/>
      <c r="X24" s="2" t="n"/>
      <c r="Y24" s="2" t="n"/>
      <c r="Z24" s="2" t="inlineStr">
        <is>
          <t>sí</t>
        </is>
      </c>
      <c r="AA24" s="2" t="n"/>
      <c r="AB24" s="2" t="n">
        <v>12</v>
      </c>
      <c r="AC24" s="2" t="n"/>
      <c r="AD24" s="2" t="n"/>
      <c r="AE24" s="2" t="n"/>
      <c r="AF24" s="2" t="n"/>
      <c r="AG24" s="2" t="n"/>
      <c r="AH24" s="2" t="n">
        <v>4290</v>
      </c>
      <c r="AI24" s="2" t="n"/>
      <c r="AJ24" s="2" t="n"/>
      <c r="AK24" s="2" t="n"/>
      <c r="AL24" s="2" t="n"/>
      <c r="AM24" s="2" t="n">
        <v>7.5</v>
      </c>
      <c r="AN24" s="2" t="n"/>
      <c r="AO24" s="2" t="inlineStr">
        <is>
          <t>2009</t>
        </is>
      </c>
      <c r="AP24" s="2" t="n">
        <v>2009</v>
      </c>
      <c r="AQ24" s="2" t="n"/>
      <c r="AR24" s="2" t="inlineStr">
        <is>
          <t>C</t>
        </is>
      </c>
      <c r="AS24" s="2" t="inlineStr">
        <is>
          <t>anuncio</t>
        </is>
      </c>
      <c r="AT24" s="2" t="n">
        <v>2010</v>
      </c>
      <c r="AU24" s="2" t="inlineStr">
        <is>
          <t>no</t>
        </is>
      </c>
      <c r="AV24" s="2" t="inlineStr">
        <is>
          <t>no</t>
        </is>
      </c>
      <c r="AW24" s="2" t="n">
        <v>3990</v>
      </c>
      <c r="AX24" s="2" t="n">
        <v>4</v>
      </c>
      <c r="AY24" s="2" t="inlineStr">
        <is>
          <t>modelo+año+km</t>
        </is>
      </c>
      <c r="AZ24" s="2" t="n"/>
      <c r="BA24" s="2" t="inlineStr">
        <is>
          <t>año a confirmar: la URL/título dice 2010; vendedor profesional: sin ITP (operación con IVA/REBU, confirmar en factura); gastos de gestión del vendedor no indicados: se suma la tasa DGT; preguntar el precio final; revisar: no menciona la ITV; fiabilidad del modelo PENDIENTE de fuente (puntuación neutra)</t>
        </is>
      </c>
      <c r="BB24"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BC24" s="2" t="inlineStr">
        <is>
          <t>https://www.coches.net/chevrolet-aveo-14-16v-ls-5p-gasolina-2010-en-valencia-71533850-covo.aspx (window.__INITIAL_PROPS__.ad) /home/user/Alopecia/buscador-coches/raw/cochesnet/f4665f6b14e63416.json</t>
        </is>
      </c>
      <c r="BD24" s="3">
        <f>MAX(ANIO_ACTUAL-M24,0)</f>
        <v/>
      </c>
      <c r="BE24" s="4">
        <f>N24/MAX(BD24,0.5)</f>
        <v/>
      </c>
      <c r="BF24" s="4">
        <f>F24</f>
        <v/>
      </c>
      <c r="BG24" s="3">
        <f>BF24&amp;"|"&amp;INT(M24/SEG_ANIO)*SEG_ANIO</f>
        <v/>
      </c>
      <c r="BH24" s="3">
        <f>BG24&amp;"|"&amp;INT(N24/SEG_KM)*SEG_KM</f>
        <v/>
      </c>
      <c r="BI24" s="4">
        <f>COUNTIF($BF$2:$BF$101,BF24)</f>
        <v/>
      </c>
      <c r="BJ24" s="4">
        <f>COUNTIF($BG$2:$BG$101,BG24)</f>
        <v/>
      </c>
      <c r="BK24" s="4">
        <f>COUNTIF($BH$2:$BH$101,BH24)</f>
        <v/>
      </c>
      <c r="BL24" s="3">
        <f t="array" ref="BL24">IF(N(AX24)&gt;=MIN_N,AW24,IF(BK24&gt;=MIN_N,MEDIAN(IF($BH$2:$BH$101=BH24,$O$2:$O$101)),IF(BJ24&gt;=MIN_N,MEDIAN(IF($BG$2:$BG$101=BG24,$O$2:$O$101)),MEDIAN(IF($BF$2:$BF$101=BF24,$O$2:$O$101)))))</f>
        <v/>
      </c>
      <c r="BM24" s="3">
        <f>IF(N(AX24)&gt;=MIN_N,"mercado "&amp;AY24,IF(BK24&gt;=MIN_N,"modelo+año+km",IF(BJ24&gt;=MIN_N,"modelo+año","modelo")))</f>
        <v/>
      </c>
      <c r="BN24" s="4">
        <f>(BL24-O24)/BL24</f>
        <v/>
      </c>
      <c r="BO24" s="3">
        <f>IF(COUNTIFS(FR_FUEL,K24,FR_YEAR,AP24)&gt;0,1,0)</f>
        <v/>
      </c>
      <c r="BP24" s="3">
        <f>IF(COUNTIFS(FR_FUEL,K24,FR_YEAR,AP24-1)&gt;0,1,0)</f>
        <v/>
      </c>
      <c r="BQ24" s="4">
        <f>IF(N(AQ24)&gt;0,AP24*100+AQ24,IF(AND(BO24=1,BP24=1),(AP24-1)*100+1,AP24*100+1))</f>
        <v/>
      </c>
      <c r="BR24" s="3">
        <f>IF(OR(K24="hibrido",K24="glp",K24="gnc",K24="phev"),"ECO",IF(K24="electrico","CERO",IF(K24="gasolina",IF(BQ24&gt;=GAS_C_YM,"C",IF(BQ24&gt;=GAS_B_YM,"B","A")),IF(K24="diesel",IF(BQ24&gt;=DIE_C_YM,"C",IF(BQ24&gt;=DIE_B_YM,"B","A")),""))))</f>
        <v/>
      </c>
      <c r="BS24" s="2" t="inlineStr">
        <is>
          <t>C</t>
        </is>
      </c>
      <c r="BT24" s="4">
        <f>IF(AU24="sí","sí",IF(AS24="regla",IF(AND(N(AQ24)=0,BO24=1),"sí","no"),"no"))</f>
        <v/>
      </c>
      <c r="BU24" s="3">
        <f>IFERROR(VLOOKUP(F24,MOD_TBL,16,0),IFERROR(VLOOKUP(E24,OCU_TBL,2,0),NEUTRO))</f>
        <v/>
      </c>
      <c r="BV24" s="3">
        <f>SUMIFS(MOT_AJUSTE,MOT_MOTOR,G24,MOT_MARCA,E24,MOT_DESDE,"&lt;="&amp;M24,MOT_HASTA,"&gt;="&amp;M24)+SUMIFS(MOT_AJUSTE,MOT_MOTOR,G24,MOT_MARCA,"(todas)",MOT_DESDE,"&lt;="&amp;M24,MOT_HASTA,"&gt;="&amp;M24)+SUMIFS(MOT_AJUSTE,MOT_MOTOR,"(cualquiera)",MOT_MARCA,E24,MOT_DESDE,"&lt;="&amp;M24,MOT_HASTA,"&gt;="&amp;M24)</f>
        <v/>
      </c>
      <c r="BW24" s="3">
        <f>SUMIFS(COMB_AJUSTE,COMB_COMB,K24)</f>
        <v/>
      </c>
      <c r="BX24" s="3">
        <f>COUNTIFS(MOT_MOTOR,G24,MOT_MARCA,E24,MOT_DESDE,"&lt;="&amp;M24,MOT_HASTA,"&gt;="&amp;M24)+COUNTIFS(MOT_MOTOR,G24,MOT_MARCA,"(todas)",MOT_DESDE,"&lt;="&amp;M24,MOT_HASTA,"&gt;="&amp;M24)+COUNTIFS(MOT_MOTOR,"(cualquiera)",MOT_MARCA,E24,MOT_DESDE,"&lt;="&amp;M24,MOT_HASTA,"&gt;="&amp;M24)</f>
        <v/>
      </c>
      <c r="BY24" s="3">
        <f>IF(AND(K24="diesel",BX24=0),MIN(BU24,NEUTRO),BU24)</f>
        <v/>
      </c>
      <c r="BZ24" s="3">
        <f>MAX(0,MIN(100,BY24+BV24+BW24-IF(AV24="sí",ROB_PEN,0)))</f>
        <v/>
      </c>
      <c r="CA24" s="3">
        <f>100-MAX(0,N24-KM_TOPE_DESDE)/1000*KM_TOPE_PTS</f>
        <v/>
      </c>
      <c r="CB24" s="3">
        <f>MAX(0,MIN(100,50+BN24*PRECIO_PEND,CA24))</f>
        <v/>
      </c>
      <c r="CC24" s="3">
        <f>MAX(0,100*(1-N24/KM_MAX))</f>
        <v/>
      </c>
      <c r="CD24" s="3">
        <f>IF(BE24&lt;KMA_SOSP,IF(AA24="sí",100,KMA_PEN),IF(BE24&lt;=KMA_IDEAL_MAX,100,MAX(0,100*(KMA_CERO-BE24)/(KMA_CERO-KMA_IDEAL_MAX))))</f>
        <v/>
      </c>
      <c r="CE24" s="3">
        <f>MAX(0,MIN(100,100*(M24-ANIO_MIN)/(ANIO_ACTUAL-ANIO_MIN)))</f>
        <v/>
      </c>
      <c r="CF24" s="3">
        <f>W_KMT*CC24+W_KMA*CD24+W_EDAD*CE24</f>
        <v/>
      </c>
      <c r="CG24" s="3">
        <f>P_ITV*(V24="sí")+P_LIBRO*(W24="sí")+P_CORREA*(X24="sí")+P_PROP*(Y24=1)+P_GAR*(Z24="sí")+P_FOTOS*MIN(1,N(U24)/FOTOS_OBJ)</f>
        <v/>
      </c>
      <c r="CH24" s="3">
        <f>MAX(0,MIN(100,IFERROR(VLOOKUP(BS24,ETQ_TBL,2,0),0)-IF(BT24="sí",ETQ_PEN_DUD,IF(AS24="regla",ETQ_PEN_REGLA,0))))</f>
        <v/>
      </c>
      <c r="CI24" s="3">
        <f>NEUTRO</f>
        <v/>
      </c>
      <c r="CJ24" s="3">
        <f>IFERROR(VLOOKUP(L24,SEGURO_TBL,3,0),"")</f>
        <v/>
      </c>
      <c r="CK24" s="3">
        <f>IF(CJ24="",NEUTRO,MAX(0,MIN(100,100*(SEG_REF_MAX-CJ24)/(SEG_REF_MAX-SEG_REF_MIN))))</f>
        <v/>
      </c>
      <c r="CL24" s="3">
        <f>W_CONS*CI24+W_SEG*CK24</f>
        <v/>
      </c>
      <c r="CM24" s="3">
        <f>IF(N(AB24)&gt;0,AB24,IF(AND(R24="profesional",SG_LEGAL_ON=1),GAR_LEGAL,0))</f>
        <v/>
      </c>
      <c r="CN24" s="3">
        <f>SG_GAR*MIN(1,CM24/SG_GAR_FULL)+SG_AMPL*(AC24="sí")+SG_KMC*(AF24="sí")+SG_REV*(N(AE24)&gt;0)+SG_DEV*MIN(1,N(AG24)/SG_DEV_FULL)+SG_HIST*(W24="sí")</f>
        <v/>
      </c>
      <c r="CO24" s="3">
        <f>IFERROR(VLOOKUP(L24,CARR_PEN_TBL,2,0),0)</f>
        <v/>
      </c>
      <c r="CP24" s="3">
        <f>W_FIAB*BZ24+W_PRECIO*CB24+W_KMEDAD*CF24+W_ANUNCIO*CG24+W_USO*CL24+W_SEGURIDAD*CN24+W_ETIQUETA*CH24-CO24</f>
        <v/>
      </c>
      <c r="CQ24" s="4">
        <f>IF(N(I24)&gt;0,I24,IFERROR(ROUND(_xlfn.NUMBERVALUE(LEFT(G24,FIND(" ",G24&amp;" ")-1),".")*1000,0),99999))</f>
        <v/>
      </c>
      <c r="CR24" s="3">
        <f>IF(R24="profesional",0,IF(O24&lt;CUOTA_VALOR_MAX,IF(BD24&gt;ITP_TRAMO_ALTO,SUMIFS(CF_CUOTA,CF_MAS,ITP_TRAMO_ALTO,CF_CCMIN,"&lt;="&amp;CQ24,CF_CCMAX,"&gt;="&amp;CQ24),IF(BD24&gt;ITP_TRAMO_BAJO,SUMIFS(CF_CUOTA,CF_MAS,ITP_TRAMO_BAJO,CF_CCMIN,"&lt;="&amp;CQ24,CF_CCMAX,"&gt;="&amp;CQ24),O24*ITP_TIPO)),O24*ITP_TIPO))</f>
        <v/>
      </c>
      <c r="CS24" s="4">
        <f>IF(R24="profesional",N(AK24),0)</f>
        <v/>
      </c>
      <c r="CT24" s="3">
        <f>IF(AND(R24="profesional",ISNUMBER(AK24),AL24="sí"),0,TASA_DGT)</f>
        <v/>
      </c>
      <c r="CU24" s="3">
        <f>INFORME_DGT</f>
        <v/>
      </c>
      <c r="CV24" s="4">
        <f>O24+CS24+CR24+CT24+CU24</f>
        <v/>
      </c>
      <c r="CW24" s="4">
        <f>CV24+N(CJ24)</f>
        <v/>
      </c>
      <c r="CX24" s="3">
        <f>IF(CV24&lt;=TOTAL_MAX,"sí",IF(CV24&lt;=TOTAL_MAX+MARGEN_NEG,"negociar","no"))</f>
        <v/>
      </c>
      <c r="CY24" s="4">
        <f>IF(CX24&lt;&gt;"no",COUNTIFS($CX$2:$CX$101,"&lt;&gt;no",$CP$2:$CP$101,"&gt;"&amp;CP24)+COUNTIFS($CX$2:CX24,"&lt;&gt;no",$CP$2:CP24,CP24),"")</f>
        <v/>
      </c>
    </row>
    <row r="25">
      <c r="A25" s="2" t="inlineStr">
        <is>
          <t>ocasionplus:b1himqaq</t>
        </is>
      </c>
      <c r="B25" s="2" t="inlineStr">
        <is>
          <t>ocasionplus</t>
        </is>
      </c>
      <c r="C25" s="2" t="inlineStr">
        <is>
          <t>https://www.ocasionplus.com/coches-segunda-mano/lancia-ypsilon-14-8v-platino-con-126555km-2007-b1himqaq</t>
        </is>
      </c>
      <c r="D25" s="2" t="inlineStr">
        <is>
          <t>Lancia Ypsilon 1.4 8v Platino (77 CV)</t>
        </is>
      </c>
      <c r="E25" s="2" t="inlineStr">
        <is>
          <t>Lancia</t>
        </is>
      </c>
      <c r="F25" s="2" t="inlineStr">
        <is>
          <t>Lancia Ypsilon</t>
        </is>
      </c>
      <c r="G25" s="2" t="inlineStr">
        <is>
          <t>1.4</t>
        </is>
      </c>
      <c r="H25" s="2" t="inlineStr">
        <is>
          <t>Lancia Ypsilon 1.4 8v Platino (77 CV)</t>
        </is>
      </c>
      <c r="I25" s="2" t="n">
        <v>1368</v>
      </c>
      <c r="J25" s="2" t="n">
        <v>77</v>
      </c>
      <c r="K25" s="2" t="inlineStr">
        <is>
          <t>gasolina</t>
        </is>
      </c>
      <c r="L25" s="2" t="inlineStr">
        <is>
          <t>compacto</t>
        </is>
      </c>
      <c r="M25" s="2" t="n">
        <v>2007</v>
      </c>
      <c r="N25" s="2" t="n">
        <v>126555</v>
      </c>
      <c r="O25" s="2" t="n">
        <v>4490</v>
      </c>
      <c r="P25" s="2" t="inlineStr">
        <is>
          <t>manual</t>
        </is>
      </c>
      <c r="Q25" s="2" t="inlineStr">
        <is>
          <t>no</t>
        </is>
      </c>
      <c r="R25" s="2" t="inlineStr">
        <is>
          <t>profesional</t>
        </is>
      </c>
      <c r="S25" s="2" t="inlineStr">
        <is>
          <t>Valencia - Paterna (Paterna, 46980)</t>
        </is>
      </c>
      <c r="T25" s="2" t="inlineStr">
        <is>
          <t>2026-10-26T00:00:00.000Z</t>
        </is>
      </c>
      <c r="U25" s="2" t="n">
        <v>32</v>
      </c>
      <c r="V25" s="2" t="inlineStr">
        <is>
          <t>sí</t>
        </is>
      </c>
      <c r="W25" s="2" t="inlineStr">
        <is>
          <t>sí</t>
        </is>
      </c>
      <c r="X25" s="2" t="n"/>
      <c r="Y25" s="2" t="n">
        <v>0</v>
      </c>
      <c r="Z25" s="2" t="inlineStr">
        <is>
          <t>sí</t>
        </is>
      </c>
      <c r="AA25" s="2" t="n"/>
      <c r="AB25" s="2" t="n">
        <v>12</v>
      </c>
      <c r="AC25" s="2" t="inlineStr">
        <is>
          <t>sí</t>
        </is>
      </c>
      <c r="AD25" s="2" t="n">
        <v>500</v>
      </c>
      <c r="AE25" s="2" t="n">
        <v>200</v>
      </c>
      <c r="AF25" s="2" t="inlineStr">
        <is>
          <t>sí</t>
        </is>
      </c>
      <c r="AG25" s="2" t="n"/>
      <c r="AH25" s="2" t="n">
        <v>4490</v>
      </c>
      <c r="AI25" s="2" t="n">
        <v>4490</v>
      </c>
      <c r="AJ25" s="2" t="inlineStr">
        <is>
          <t>no</t>
        </is>
      </c>
      <c r="AK25" s="2" t="n">
        <v>350</v>
      </c>
      <c r="AL25" s="2" t="inlineStr">
        <is>
          <t>sí</t>
        </is>
      </c>
      <c r="AM25" s="2" t="n">
        <v>5.9</v>
      </c>
      <c r="AN25" s="2" t="inlineStr">
        <is>
          <t>8775FTG</t>
        </is>
      </c>
      <c r="AO25" s="2" t="inlineStr">
        <is>
          <t>2007-07-26</t>
        </is>
      </c>
      <c r="AP25" s="2" t="n">
        <v>2007</v>
      </c>
      <c r="AQ25" s="2" t="n">
        <v>7</v>
      </c>
      <c r="AR25" s="2" t="inlineStr">
        <is>
          <t>C</t>
        </is>
      </c>
      <c r="AS25" s="2" t="inlineStr">
        <is>
          <t>DGT</t>
        </is>
      </c>
      <c r="AT25" s="2" t="n"/>
      <c r="AU25" s="2" t="inlineStr">
        <is>
          <t>no</t>
        </is>
      </c>
      <c r="AV25" s="2" t="inlineStr">
        <is>
          <t>no</t>
        </is>
      </c>
      <c r="AW25" s="2" t="n"/>
      <c r="AX25" s="2" t="n"/>
      <c r="AY25" s="2" t="n"/>
      <c r="AZ25" s="2" t="n"/>
      <c r="BA25" s="2" t="inlineStr">
        <is>
          <t>vendedor profesional: sin ITP (operación con IVA/REBU, confirmar en factura); revisar: no menciona la ITV; fiabilidad del modelo PENDIENTE de fuente (puntuación neutra); mediana con solo 1 anuncio(s)</t>
        </is>
      </c>
      <c r="BB25" s="2" t="inlineStr">
        <is>
          <t>Lancia Ypsilon 1.4 8v Platino (77 CV)</t>
        </is>
      </c>
      <c r="BC25" s="2" t="inlineStr">
        <is>
          <t>https://www.ocasionplus.com/coches-segunda-mano/lancia-ypsilon-14-8v-platino-con-126555km-2007-b1himqaq (payload RSC 'vehicle') /home/user/Alopecia/buscador-coches/raw/ocasionplus/3299778c56e8c9aa.json</t>
        </is>
      </c>
      <c r="BD25" s="3">
        <f>MAX(ANIO_ACTUAL-M25,0)</f>
        <v/>
      </c>
      <c r="BE25" s="4">
        <f>N25/MAX(BD25,0.5)</f>
        <v/>
      </c>
      <c r="BF25" s="4">
        <f>F25</f>
        <v/>
      </c>
      <c r="BG25" s="3">
        <f>BF25&amp;"|"&amp;INT(M25/SEG_ANIO)*SEG_ANIO</f>
        <v/>
      </c>
      <c r="BH25" s="3">
        <f>BG25&amp;"|"&amp;INT(N25/SEG_KM)*SEG_KM</f>
        <v/>
      </c>
      <c r="BI25" s="4">
        <f>COUNTIF($BF$2:$BF$101,BF25)</f>
        <v/>
      </c>
      <c r="BJ25" s="4">
        <f>COUNTIF($BG$2:$BG$101,BG25)</f>
        <v/>
      </c>
      <c r="BK25" s="4">
        <f>COUNTIF($BH$2:$BH$101,BH25)</f>
        <v/>
      </c>
      <c r="BL25" s="3">
        <f t="array" ref="BL25">IF(N(AX25)&gt;=MIN_N,AW25,IF(BK25&gt;=MIN_N,MEDIAN(IF($BH$2:$BH$101=BH25,$O$2:$O$101)),IF(BJ25&gt;=MIN_N,MEDIAN(IF($BG$2:$BG$101=BG25,$O$2:$O$101)),MEDIAN(IF($BF$2:$BF$101=BF25,$O$2:$O$101)))))</f>
        <v/>
      </c>
      <c r="BM25" s="3">
        <f>IF(N(AX25)&gt;=MIN_N,"mercado "&amp;AY25,IF(BK25&gt;=MIN_N,"modelo+año+km",IF(BJ25&gt;=MIN_N,"modelo+año","modelo")))</f>
        <v/>
      </c>
      <c r="BN25" s="4">
        <f>(BL25-O25)/BL25</f>
        <v/>
      </c>
      <c r="BO25" s="3">
        <f>IF(COUNTIFS(FR_FUEL,K25,FR_YEAR,AP25)&gt;0,1,0)</f>
        <v/>
      </c>
      <c r="BP25" s="3">
        <f>IF(COUNTIFS(FR_FUEL,K25,FR_YEAR,AP25-1)&gt;0,1,0)</f>
        <v/>
      </c>
      <c r="BQ25" s="4">
        <f>IF(N(AQ25)&gt;0,AP25*100+AQ25,IF(AND(BO25=1,BP25=1),(AP25-1)*100+1,AP25*100+1))</f>
        <v/>
      </c>
      <c r="BR25" s="3">
        <f>IF(OR(K25="hibrido",K25="glp",K25="gnc",K25="phev"),"ECO",IF(K25="electrico","CERO",IF(K25="gasolina",IF(BQ25&gt;=GAS_C_YM,"C",IF(BQ25&gt;=GAS_B_YM,"B","A")),IF(K25="diesel",IF(BQ25&gt;=DIE_C_YM,"C",IF(BQ25&gt;=DIE_B_YM,"B","A")),""))))</f>
        <v/>
      </c>
      <c r="BS25" s="2" t="inlineStr">
        <is>
          <t>C</t>
        </is>
      </c>
      <c r="BT25" s="4">
        <f>IF(AU25="sí","sí",IF(AS25="regla",IF(AND(N(AQ25)=0,BO25=1),"sí","no"),"no"))</f>
        <v/>
      </c>
      <c r="BU25" s="3">
        <f>IFERROR(VLOOKUP(F25,MOD_TBL,16,0),IFERROR(VLOOKUP(E25,OCU_TBL,2,0),NEUTRO))</f>
        <v/>
      </c>
      <c r="BV25" s="3">
        <f>SUMIFS(MOT_AJUSTE,MOT_MOTOR,G25,MOT_MARCA,E25,MOT_DESDE,"&lt;="&amp;M25,MOT_HASTA,"&gt;="&amp;M25)+SUMIFS(MOT_AJUSTE,MOT_MOTOR,G25,MOT_MARCA,"(todas)",MOT_DESDE,"&lt;="&amp;M25,MOT_HASTA,"&gt;="&amp;M25)+SUMIFS(MOT_AJUSTE,MOT_MOTOR,"(cualquiera)",MOT_MARCA,E25,MOT_DESDE,"&lt;="&amp;M25,MOT_HASTA,"&gt;="&amp;M25)</f>
        <v/>
      </c>
      <c r="BW25" s="3">
        <f>SUMIFS(COMB_AJUSTE,COMB_COMB,K25)</f>
        <v/>
      </c>
      <c r="BX25" s="3">
        <f>COUNTIFS(MOT_MOTOR,G25,MOT_MARCA,E25,MOT_DESDE,"&lt;="&amp;M25,MOT_HASTA,"&gt;="&amp;M25)+COUNTIFS(MOT_MOTOR,G25,MOT_MARCA,"(todas)",MOT_DESDE,"&lt;="&amp;M25,MOT_HASTA,"&gt;="&amp;M25)+COUNTIFS(MOT_MOTOR,"(cualquiera)",MOT_MARCA,E25,MOT_DESDE,"&lt;="&amp;M25,MOT_HASTA,"&gt;="&amp;M25)</f>
        <v/>
      </c>
      <c r="BY25" s="3">
        <f>IF(AND(K25="diesel",BX25=0),MIN(BU25,NEUTRO),BU25)</f>
        <v/>
      </c>
      <c r="BZ25" s="3">
        <f>MAX(0,MIN(100,BY25+BV25+BW25-IF(AV25="sí",ROB_PEN,0)))</f>
        <v/>
      </c>
      <c r="CA25" s="3">
        <f>100-MAX(0,N25-KM_TOPE_DESDE)/1000*KM_TOPE_PTS</f>
        <v/>
      </c>
      <c r="CB25" s="3">
        <f>MAX(0,MIN(100,50+BN25*PRECIO_PEND,CA25))</f>
        <v/>
      </c>
      <c r="CC25" s="3">
        <f>MAX(0,100*(1-N25/KM_MAX))</f>
        <v/>
      </c>
      <c r="CD25" s="3">
        <f>IF(BE25&lt;KMA_SOSP,IF(AA25="sí",100,KMA_PEN),IF(BE25&lt;=KMA_IDEAL_MAX,100,MAX(0,100*(KMA_CERO-BE25)/(KMA_CERO-KMA_IDEAL_MAX))))</f>
        <v/>
      </c>
      <c r="CE25" s="3">
        <f>MAX(0,MIN(100,100*(M25-ANIO_MIN)/(ANIO_ACTUAL-ANIO_MIN)))</f>
        <v/>
      </c>
      <c r="CF25" s="3">
        <f>W_KMT*CC25+W_KMA*CD25+W_EDAD*CE25</f>
        <v/>
      </c>
      <c r="CG25" s="3">
        <f>P_ITV*(V25="sí")+P_LIBRO*(W25="sí")+P_CORREA*(X25="sí")+P_PROP*(Y25=1)+P_GAR*(Z25="sí")+P_FOTOS*MIN(1,N(U25)/FOTOS_OBJ)</f>
        <v/>
      </c>
      <c r="CH25" s="3">
        <f>MAX(0,MIN(100,IFERROR(VLOOKUP(BS25,ETQ_TBL,2,0),0)-IF(BT25="sí",ETQ_PEN_DUD,IF(AS25="regla",ETQ_PEN_REGLA,0))))</f>
        <v/>
      </c>
      <c r="CI25" s="3">
        <f>NEUTRO</f>
        <v/>
      </c>
      <c r="CJ25" s="3">
        <f>IFERROR(VLOOKUP(L25,SEGURO_TBL,3,0),"")</f>
        <v/>
      </c>
      <c r="CK25" s="3">
        <f>IF(CJ25="",NEUTRO,MAX(0,MIN(100,100*(SEG_REF_MAX-CJ25)/(SEG_REF_MAX-SEG_REF_MIN))))</f>
        <v/>
      </c>
      <c r="CL25" s="3">
        <f>W_CONS*CI25+W_SEG*CK25</f>
        <v/>
      </c>
      <c r="CM25" s="3">
        <f>IF(N(AB25)&gt;0,AB25,IF(AND(R25="profesional",SG_LEGAL_ON=1),GAR_LEGAL,0))</f>
        <v/>
      </c>
      <c r="CN25" s="3">
        <f>SG_GAR*MIN(1,CM25/SG_GAR_FULL)+SG_AMPL*(AC25="sí")+SG_KMC*(AF25="sí")+SG_REV*(N(AE25)&gt;0)+SG_DEV*MIN(1,N(AG25)/SG_DEV_FULL)+SG_HIST*(W25="sí")</f>
        <v/>
      </c>
      <c r="CO25" s="3">
        <f>IFERROR(VLOOKUP(L25,CARR_PEN_TBL,2,0),0)</f>
        <v/>
      </c>
      <c r="CP25" s="3">
        <f>W_FIAB*BZ25+W_PRECIO*CB25+W_KMEDAD*CF25+W_ANUNCIO*CG25+W_USO*CL25+W_SEGURIDAD*CN25+W_ETIQUETA*CH25-CO25</f>
        <v/>
      </c>
      <c r="CQ25" s="4">
        <f>IF(N(I25)&gt;0,I25,IFERROR(ROUND(_xlfn.NUMBERVALUE(LEFT(G25,FIND(" ",G25&amp;" ")-1),".")*1000,0),99999))</f>
        <v/>
      </c>
      <c r="CR25" s="3">
        <f>IF(R25="profesional",0,IF(O25&lt;CUOTA_VALOR_MAX,IF(BD25&gt;ITP_TRAMO_ALTO,SUMIFS(CF_CUOTA,CF_MAS,ITP_TRAMO_ALTO,CF_CCMIN,"&lt;="&amp;CQ25,CF_CCMAX,"&gt;="&amp;CQ25),IF(BD25&gt;ITP_TRAMO_BAJO,SUMIFS(CF_CUOTA,CF_MAS,ITP_TRAMO_BAJO,CF_CCMIN,"&lt;="&amp;CQ25,CF_CCMAX,"&gt;="&amp;CQ25),O25*ITP_TIPO)),O25*ITP_TIPO))</f>
        <v/>
      </c>
      <c r="CS25" s="4">
        <f>IF(R25="profesional",N(AK25),0)</f>
        <v/>
      </c>
      <c r="CT25" s="3">
        <f>IF(AND(R25="profesional",ISNUMBER(AK25),AL25="sí"),0,TASA_DGT)</f>
        <v/>
      </c>
      <c r="CU25" s="3">
        <f>INFORME_DGT</f>
        <v/>
      </c>
      <c r="CV25" s="4">
        <f>O25+CS25+CR25+CT25+CU25</f>
        <v/>
      </c>
      <c r="CW25" s="4">
        <f>CV25+N(CJ25)</f>
        <v/>
      </c>
      <c r="CX25" s="3">
        <f>IF(CV25&lt;=TOTAL_MAX,"sí",IF(CV25&lt;=TOTAL_MAX+MARGEN_NEG,"negociar","no"))</f>
        <v/>
      </c>
      <c r="CY25" s="4">
        <f>IF(CX25&lt;&gt;"no",COUNTIFS($CX$2:$CX$101,"&lt;&gt;no",$CP$2:$CP$101,"&gt;"&amp;CP25)+COUNTIFS($CX$2:CX25,"&lt;&gt;no",$CP$2:CP25,CP25),"")</f>
        <v/>
      </c>
    </row>
    <row r="26">
      <c r="A26" s="2" t="inlineStr">
        <is>
          <t>ocasionplus:aynqvqai</t>
        </is>
      </c>
      <c r="B26" s="2" t="inlineStr">
        <is>
          <t>ocasionplus</t>
        </is>
      </c>
      <c r="C26" s="2" t="inlineStr">
        <is>
          <t>https://www.ocasionplus.com/coches-segunda-mano/peugeot-107-10i-urban-con-150561km-2007-aynqvqai</t>
        </is>
      </c>
      <c r="D26" s="2" t="inlineStr">
        <is>
          <t>Peugeot 107 1.0i Urban (68 CV)</t>
        </is>
      </c>
      <c r="E26" s="2" t="inlineStr">
        <is>
          <t>Peugeot</t>
        </is>
      </c>
      <c r="F26" s="2" t="inlineStr">
        <is>
          <t>Peugeot 107</t>
        </is>
      </c>
      <c r="G26" s="2" t="inlineStr">
        <is>
          <t>1.0</t>
        </is>
      </c>
      <c r="H26" s="2" t="inlineStr">
        <is>
          <t>Peugeot 107 1.0i Urban (68 CV)</t>
        </is>
      </c>
      <c r="I26" s="2" t="n">
        <v>998</v>
      </c>
      <c r="J26" s="2" t="n">
        <v>68</v>
      </c>
      <c r="K26" s="2" t="inlineStr">
        <is>
          <t>gasolina</t>
        </is>
      </c>
      <c r="L26" s="2" t="inlineStr">
        <is>
          <t>utilitario</t>
        </is>
      </c>
      <c r="M26" s="2" t="n">
        <v>2007</v>
      </c>
      <c r="N26" s="2" t="n">
        <v>150561</v>
      </c>
      <c r="O26" s="2" t="n">
        <v>2200</v>
      </c>
      <c r="P26" s="2" t="inlineStr">
        <is>
          <t>manual</t>
        </is>
      </c>
      <c r="Q26" s="2" t="inlineStr">
        <is>
          <t>no</t>
        </is>
      </c>
      <c r="R26" s="2" t="inlineStr">
        <is>
          <t>profesional</t>
        </is>
      </c>
      <c r="S26" s="2" t="inlineStr">
        <is>
          <t>Valencia - Gandía (Gandía, 46702)</t>
        </is>
      </c>
      <c r="T26" s="2" t="inlineStr">
        <is>
          <t>2026-10-23T00:00:00.000Z</t>
        </is>
      </c>
      <c r="U26" s="2" t="n">
        <v>33</v>
      </c>
      <c r="V26" s="2" t="inlineStr">
        <is>
          <t>sí</t>
        </is>
      </c>
      <c r="W26" s="2" t="inlineStr">
        <is>
          <t>sí</t>
        </is>
      </c>
      <c r="X26" s="2" t="n"/>
      <c r="Y26" s="2" t="n">
        <v>0</v>
      </c>
      <c r="Z26" s="2" t="inlineStr">
        <is>
          <t>sí</t>
        </is>
      </c>
      <c r="AA26" s="2" t="n"/>
      <c r="AB26" s="2" t="n">
        <v>12</v>
      </c>
      <c r="AC26" s="2" t="inlineStr">
        <is>
          <t>sí</t>
        </is>
      </c>
      <c r="AD26" s="2" t="n">
        <v>500</v>
      </c>
      <c r="AE26" s="2" t="n">
        <v>200</v>
      </c>
      <c r="AF26" s="2" t="inlineStr">
        <is>
          <t>sí</t>
        </is>
      </c>
      <c r="AG26" s="2" t="n"/>
      <c r="AH26" s="2" t="n">
        <v>2200</v>
      </c>
      <c r="AI26" s="2" t="n">
        <v>2200</v>
      </c>
      <c r="AJ26" s="2" t="inlineStr">
        <is>
          <t>no</t>
        </is>
      </c>
      <c r="AK26" s="2" t="n">
        <v>350</v>
      </c>
      <c r="AL26" s="2" t="inlineStr">
        <is>
          <t>sí</t>
        </is>
      </c>
      <c r="AM26" s="2" t="n">
        <v>58.4</v>
      </c>
      <c r="AN26" s="2" t="inlineStr">
        <is>
          <t>9616FMR</t>
        </is>
      </c>
      <c r="AO26" s="2" t="inlineStr">
        <is>
          <t>2007-03-26</t>
        </is>
      </c>
      <c r="AP26" s="2" t="n">
        <v>2007</v>
      </c>
      <c r="AQ26" s="2" t="n">
        <v>3</v>
      </c>
      <c r="AR26" s="2" t="inlineStr">
        <is>
          <t>C</t>
        </is>
      </c>
      <c r="AS26" s="2" t="inlineStr">
        <is>
          <t>DGT</t>
        </is>
      </c>
      <c r="AT26" s="2" t="n"/>
      <c r="AU26" s="2" t="inlineStr">
        <is>
          <t>no</t>
        </is>
      </c>
      <c r="AV26" s="2" t="inlineStr">
        <is>
          <t>no</t>
        </is>
      </c>
      <c r="AW26" s="2" t="n">
        <v>2200</v>
      </c>
      <c r="AX26" s="2" t="n">
        <v>7</v>
      </c>
      <c r="AY26" s="2" t="inlineStr">
        <is>
          <t>modelo+año</t>
        </is>
      </c>
      <c r="AZ26" s="2" t="inlineStr">
        <is>
          <t>autoscout24:3c5fcb34-830f-4d77-9f43-04e63fcc2092 (https://www.autoscout24.es/anuncios/peugeot-107-1-0i-urban-gasolina-negro-cat_ma55mo18647-3c5fcb34-830f-4d77-9f43-04e63fcc2092); cochesnet:71865442 (https://www.coches.net/peugeot-107-10i-urban-5p-gasolina-2005-en-valencia-71865442-covo.aspx)</t>
        </is>
      </c>
      <c r="BA26" s="2" t="inlineStr">
        <is>
          <t>vendedor profesional: sin ITP (operación con IVA/REBU, confirmar en factura); fiabilidad por plataforma (gemelo: Toyota Aygo); revisar: no menciona la ITV</t>
        </is>
      </c>
      <c r="BB26" s="2" t="inlineStr">
        <is>
          <t>Peugeot 107 1.0i Urban (68 CV)</t>
        </is>
      </c>
      <c r="BC26" s="2" t="inlineStr">
        <is>
          <t>https://www.ocasionplus.com/coches-segunda-mano/peugeot-107-10i-urban-con-150561km-2007-aynqvqai (payload RSC 'vehicle') /home/user/Alopecia/buscador-coches/raw/ocasionplus/8ce852420d9a2326.json</t>
        </is>
      </c>
      <c r="BD26" s="3">
        <f>MAX(ANIO_ACTUAL-M26,0)</f>
        <v/>
      </c>
      <c r="BE26" s="4">
        <f>N26/MAX(BD26,0.5)</f>
        <v/>
      </c>
      <c r="BF26" s="4">
        <f>F26</f>
        <v/>
      </c>
      <c r="BG26" s="3">
        <f>BF26&amp;"|"&amp;INT(M26/SEG_ANIO)*SEG_ANIO</f>
        <v/>
      </c>
      <c r="BH26" s="3">
        <f>BG26&amp;"|"&amp;INT(N26/SEG_KM)*SEG_KM</f>
        <v/>
      </c>
      <c r="BI26" s="4">
        <f>COUNTIF($BF$2:$BF$101,BF26)</f>
        <v/>
      </c>
      <c r="BJ26" s="4">
        <f>COUNTIF($BG$2:$BG$101,BG26)</f>
        <v/>
      </c>
      <c r="BK26" s="4">
        <f>COUNTIF($BH$2:$BH$101,BH26)</f>
        <v/>
      </c>
      <c r="BL26" s="3">
        <f t="array" ref="BL26">IF(N(AX26)&gt;=MIN_N,AW26,IF(BK26&gt;=MIN_N,MEDIAN(IF($BH$2:$BH$101=BH26,$O$2:$O$101)),IF(BJ26&gt;=MIN_N,MEDIAN(IF($BG$2:$BG$101=BG26,$O$2:$O$101)),MEDIAN(IF($BF$2:$BF$101=BF26,$O$2:$O$101)))))</f>
        <v/>
      </c>
      <c r="BM26" s="3">
        <f>IF(N(AX26)&gt;=MIN_N,"mercado "&amp;AY26,IF(BK26&gt;=MIN_N,"modelo+año+km",IF(BJ26&gt;=MIN_N,"modelo+año","modelo")))</f>
        <v/>
      </c>
      <c r="BN26" s="4">
        <f>(BL26-O26)/BL26</f>
        <v/>
      </c>
      <c r="BO26" s="3">
        <f>IF(COUNTIFS(FR_FUEL,K26,FR_YEAR,AP26)&gt;0,1,0)</f>
        <v/>
      </c>
      <c r="BP26" s="3">
        <f>IF(COUNTIFS(FR_FUEL,K26,FR_YEAR,AP26-1)&gt;0,1,0)</f>
        <v/>
      </c>
      <c r="BQ26" s="4">
        <f>IF(N(AQ26)&gt;0,AP26*100+AQ26,IF(AND(BO26=1,BP26=1),(AP26-1)*100+1,AP26*100+1))</f>
        <v/>
      </c>
      <c r="BR26" s="3">
        <f>IF(OR(K26="hibrido",K26="glp",K26="gnc",K26="phev"),"ECO",IF(K26="electrico","CERO",IF(K26="gasolina",IF(BQ26&gt;=GAS_C_YM,"C",IF(BQ26&gt;=GAS_B_YM,"B","A")),IF(K26="diesel",IF(BQ26&gt;=DIE_C_YM,"C",IF(BQ26&gt;=DIE_B_YM,"B","A")),""))))</f>
        <v/>
      </c>
      <c r="BS26" s="2" t="inlineStr">
        <is>
          <t>C</t>
        </is>
      </c>
      <c r="BT26" s="4">
        <f>IF(AU26="sí","sí",IF(AS26="regla",IF(AND(N(AQ26)=0,BO26=1),"sí","no"),"no"))</f>
        <v/>
      </c>
      <c r="BU26" s="3">
        <f>IFERROR(VLOOKUP(F26,MOD_TBL,16,0),IFERROR(VLOOKUP(E26,OCU_TBL,2,0),NEUTRO))</f>
        <v/>
      </c>
      <c r="BV26" s="3">
        <f>SUMIFS(MOT_AJUSTE,MOT_MOTOR,G26,MOT_MARCA,E26,MOT_DESDE,"&lt;="&amp;M26,MOT_HASTA,"&gt;="&amp;M26)+SUMIFS(MOT_AJUSTE,MOT_MOTOR,G26,MOT_MARCA,"(todas)",MOT_DESDE,"&lt;="&amp;M26,MOT_HASTA,"&gt;="&amp;M26)+SUMIFS(MOT_AJUSTE,MOT_MOTOR,"(cualquiera)",MOT_MARCA,E26,MOT_DESDE,"&lt;="&amp;M26,MOT_HASTA,"&gt;="&amp;M26)</f>
        <v/>
      </c>
      <c r="BW26" s="3">
        <f>SUMIFS(COMB_AJUSTE,COMB_COMB,K26)</f>
        <v/>
      </c>
      <c r="BX26" s="3">
        <f>COUNTIFS(MOT_MOTOR,G26,MOT_MARCA,E26,MOT_DESDE,"&lt;="&amp;M26,MOT_HASTA,"&gt;="&amp;M26)+COUNTIFS(MOT_MOTOR,G26,MOT_MARCA,"(todas)",MOT_DESDE,"&lt;="&amp;M26,MOT_HASTA,"&gt;="&amp;M26)+COUNTIFS(MOT_MOTOR,"(cualquiera)",MOT_MARCA,E26,MOT_DESDE,"&lt;="&amp;M26,MOT_HASTA,"&gt;="&amp;M26)</f>
        <v/>
      </c>
      <c r="BY26" s="3">
        <f>IF(AND(K26="diesel",BX26=0),MIN(BU26,NEUTRO),BU26)</f>
        <v/>
      </c>
      <c r="BZ26" s="3">
        <f>MAX(0,MIN(100,BY26+BV26+BW26-IF(AV26="sí",ROB_PEN,0)))</f>
        <v/>
      </c>
      <c r="CA26" s="3">
        <f>100-MAX(0,N26-KM_TOPE_DESDE)/1000*KM_TOPE_PTS</f>
        <v/>
      </c>
      <c r="CB26" s="3">
        <f>MAX(0,MIN(100,50+BN26*PRECIO_PEND,CA26))</f>
        <v/>
      </c>
      <c r="CC26" s="3">
        <f>MAX(0,100*(1-N26/KM_MAX))</f>
        <v/>
      </c>
      <c r="CD26" s="3">
        <f>IF(BE26&lt;KMA_SOSP,IF(AA26="sí",100,KMA_PEN),IF(BE26&lt;=KMA_IDEAL_MAX,100,MAX(0,100*(KMA_CERO-BE26)/(KMA_CERO-KMA_IDEAL_MAX))))</f>
        <v/>
      </c>
      <c r="CE26" s="3">
        <f>MAX(0,MIN(100,100*(M26-ANIO_MIN)/(ANIO_ACTUAL-ANIO_MIN)))</f>
        <v/>
      </c>
      <c r="CF26" s="3">
        <f>W_KMT*CC26+W_KMA*CD26+W_EDAD*CE26</f>
        <v/>
      </c>
      <c r="CG26" s="3">
        <f>P_ITV*(V26="sí")+P_LIBRO*(W26="sí")+P_CORREA*(X26="sí")+P_PROP*(Y26=1)+P_GAR*(Z26="sí")+P_FOTOS*MIN(1,N(U26)/FOTOS_OBJ)</f>
        <v/>
      </c>
      <c r="CH26" s="3">
        <f>MAX(0,MIN(100,IFERROR(VLOOKUP(BS26,ETQ_TBL,2,0),0)-IF(BT26="sí",ETQ_PEN_DUD,IF(AS26="regla",ETQ_PEN_REGLA,0))))</f>
        <v/>
      </c>
      <c r="CI26" s="3">
        <f>NEUTRO</f>
        <v/>
      </c>
      <c r="CJ26" s="3">
        <f>IFERROR(VLOOKUP(L26,SEGURO_TBL,3,0),"")</f>
        <v/>
      </c>
      <c r="CK26" s="3">
        <f>IF(CJ26="",NEUTRO,MAX(0,MIN(100,100*(SEG_REF_MAX-CJ26)/(SEG_REF_MAX-SEG_REF_MIN))))</f>
        <v/>
      </c>
      <c r="CL26" s="3">
        <f>W_CONS*CI26+W_SEG*CK26</f>
        <v/>
      </c>
      <c r="CM26" s="3">
        <f>IF(N(AB26)&gt;0,AB26,IF(AND(R26="profesional",SG_LEGAL_ON=1),GAR_LEGAL,0))</f>
        <v/>
      </c>
      <c r="CN26" s="3">
        <f>SG_GAR*MIN(1,CM26/SG_GAR_FULL)+SG_AMPL*(AC26="sí")+SG_KMC*(AF26="sí")+SG_REV*(N(AE26)&gt;0)+SG_DEV*MIN(1,N(AG26)/SG_DEV_FULL)+SG_HIST*(W26="sí")</f>
        <v/>
      </c>
      <c r="CO26" s="3">
        <f>IFERROR(VLOOKUP(L26,CARR_PEN_TBL,2,0),0)</f>
        <v/>
      </c>
      <c r="CP26" s="3">
        <f>W_FIAB*BZ26+W_PRECIO*CB26+W_KMEDAD*CF26+W_ANUNCIO*CG26+W_USO*CL26+W_SEGURIDAD*CN26+W_ETIQUETA*CH26-CO26</f>
        <v/>
      </c>
      <c r="CQ26" s="4">
        <f>IF(N(I26)&gt;0,I26,IFERROR(ROUND(_xlfn.NUMBERVALUE(LEFT(G26,FIND(" ",G26&amp;" ")-1),".")*1000,0),99999))</f>
        <v/>
      </c>
      <c r="CR26" s="3">
        <f>IF(R26="profesional",0,IF(O26&lt;CUOTA_VALOR_MAX,IF(BD26&gt;ITP_TRAMO_ALTO,SUMIFS(CF_CUOTA,CF_MAS,ITP_TRAMO_ALTO,CF_CCMIN,"&lt;="&amp;CQ26,CF_CCMAX,"&gt;="&amp;CQ26),IF(BD26&gt;ITP_TRAMO_BAJO,SUMIFS(CF_CUOTA,CF_MAS,ITP_TRAMO_BAJO,CF_CCMIN,"&lt;="&amp;CQ26,CF_CCMAX,"&gt;="&amp;CQ26),O26*ITP_TIPO)),O26*ITP_TIPO))</f>
        <v/>
      </c>
      <c r="CS26" s="4">
        <f>IF(R26="profesional",N(AK26),0)</f>
        <v/>
      </c>
      <c r="CT26" s="3">
        <f>IF(AND(R26="profesional",ISNUMBER(AK26),AL26="sí"),0,TASA_DGT)</f>
        <v/>
      </c>
      <c r="CU26" s="3">
        <f>INFORME_DGT</f>
        <v/>
      </c>
      <c r="CV26" s="4">
        <f>O26+CS26+CR26+CT26+CU26</f>
        <v/>
      </c>
      <c r="CW26" s="4">
        <f>CV26+N(CJ26)</f>
        <v/>
      </c>
      <c r="CX26" s="3">
        <f>IF(CV26&lt;=TOTAL_MAX,"sí",IF(CV26&lt;=TOTAL_MAX+MARGEN_NEG,"negociar","no"))</f>
        <v/>
      </c>
      <c r="CY26" s="4">
        <f>IF(CX26&lt;&gt;"no",COUNTIFS($CX$2:$CX$101,"&lt;&gt;no",$CP$2:$CP$101,"&gt;"&amp;CP26)+COUNTIFS($CX$2:CX26,"&lt;&gt;no",$CP$2:CP26,CP26),"")</f>
        <v/>
      </c>
    </row>
    <row r="27">
      <c r="A27" s="2" t="inlineStr">
        <is>
          <t>ocasionplus:zgabhqan</t>
        </is>
      </c>
      <c r="B27" s="2" t="inlineStr">
        <is>
          <t>ocasionplus</t>
        </is>
      </c>
      <c r="C27" s="2" t="inlineStr">
        <is>
          <t>https://www.ocasionplus.com/coches-segunda-mano/renault-clio-14-16v-dynamique-con-106165km-2006-zgabhqan</t>
        </is>
      </c>
      <c r="D27" s="2" t="inlineStr">
        <is>
          <t>Renault Clio 1.4 16v Dynamique (100 CV)</t>
        </is>
      </c>
      <c r="E27" s="2" t="inlineStr">
        <is>
          <t>Renault</t>
        </is>
      </c>
      <c r="F27" s="2" t="inlineStr">
        <is>
          <t>Renault Clio</t>
        </is>
      </c>
      <c r="G27" s="2" t="inlineStr">
        <is>
          <t>1.4</t>
        </is>
      </c>
      <c r="H27" s="2" t="inlineStr">
        <is>
          <t>Renault Clio 1.4 16v Dynamique (100 CV)</t>
        </is>
      </c>
      <c r="I27" s="2" t="n">
        <v>1390</v>
      </c>
      <c r="J27" s="2" t="n">
        <v>100</v>
      </c>
      <c r="K27" s="2" t="inlineStr">
        <is>
          <t>gasolina</t>
        </is>
      </c>
      <c r="L27" s="2" t="inlineStr">
        <is>
          <t>utilitario</t>
        </is>
      </c>
      <c r="M27" s="2" t="n">
        <v>2006</v>
      </c>
      <c r="N27" s="2" t="n">
        <v>106165</v>
      </c>
      <c r="O27" s="2" t="n">
        <v>4700</v>
      </c>
      <c r="P27" s="2" t="inlineStr">
        <is>
          <t>manual</t>
        </is>
      </c>
      <c r="Q27" s="2" t="inlineStr">
        <is>
          <t>no</t>
        </is>
      </c>
      <c r="R27" s="2" t="inlineStr">
        <is>
          <t>profesional</t>
        </is>
      </c>
      <c r="S27" s="2" t="inlineStr">
        <is>
          <t>Valencia - Pista de Silla - Macrocentro (Massanassa, 46470)</t>
        </is>
      </c>
      <c r="T27" s="2" t="inlineStr">
        <is>
          <t>2026-09-30T00:00:00.000Z</t>
        </is>
      </c>
      <c r="U27" s="2" t="n">
        <v>35</v>
      </c>
      <c r="V27" s="2" t="inlineStr">
        <is>
          <t>sí</t>
        </is>
      </c>
      <c r="W27" s="2" t="n"/>
      <c r="X27" s="2" t="n"/>
      <c r="Y27" s="2" t="n">
        <v>1</v>
      </c>
      <c r="Z27" s="2" t="inlineStr">
        <is>
          <t>sí</t>
        </is>
      </c>
      <c r="AA27" s="2" t="n"/>
      <c r="AB27" s="2" t="n">
        <v>12</v>
      </c>
      <c r="AC27" s="2" t="inlineStr">
        <is>
          <t>sí</t>
        </is>
      </c>
      <c r="AD27" s="2" t="n">
        <v>600</v>
      </c>
      <c r="AE27" s="2" t="n">
        <v>200</v>
      </c>
      <c r="AF27" s="2" t="inlineStr">
        <is>
          <t>sí</t>
        </is>
      </c>
      <c r="AG27" s="2" t="n"/>
      <c r="AH27" s="2" t="n">
        <v>4700</v>
      </c>
      <c r="AI27" s="2" t="n">
        <v>4500</v>
      </c>
      <c r="AJ27" s="2" t="inlineStr">
        <is>
          <t>sí</t>
        </is>
      </c>
      <c r="AK27" s="2" t="n">
        <v>350</v>
      </c>
      <c r="AL27" s="2" t="inlineStr">
        <is>
          <t>sí</t>
        </is>
      </c>
      <c r="AM27" s="2" t="n">
        <v>7.8</v>
      </c>
      <c r="AN27" s="2" t="inlineStr">
        <is>
          <t>9285FGY</t>
        </is>
      </c>
      <c r="AO27" s="2" t="inlineStr">
        <is>
          <t>2006-10-27</t>
        </is>
      </c>
      <c r="AP27" s="2" t="n">
        <v>2006</v>
      </c>
      <c r="AQ27" s="2" t="n">
        <v>10</v>
      </c>
      <c r="AR27" s="2" t="inlineStr">
        <is>
          <t>C</t>
        </is>
      </c>
      <c r="AS27" s="2" t="inlineStr">
        <is>
          <t>DGT</t>
        </is>
      </c>
      <c r="AT27" s="2" t="n"/>
      <c r="AU27" s="2" t="inlineStr">
        <is>
          <t>no</t>
        </is>
      </c>
      <c r="AV27" s="2" t="inlineStr">
        <is>
          <t>no</t>
        </is>
      </c>
      <c r="AW27" s="2" t="n">
        <v>2750</v>
      </c>
      <c r="AX27" s="2" t="n">
        <v>18</v>
      </c>
      <c r="AY27" s="2" t="inlineStr">
        <is>
          <t>modelo+año</t>
        </is>
      </c>
      <c r="AZ27" s="2" t="n"/>
      <c r="BA27" s="2" t="inlineStr">
        <is>
          <t>por encima del presupuesto (5059 €), negociar; vendedor profesional: sin ITP (operación con IVA/REBU, confirmar en factura); el precio anunciado (4.500 €) solo vale financiando; se usa el precio al contado; revisar: no menciona la ITV</t>
        </is>
      </c>
      <c r="BB27" s="2" t="inlineStr">
        <is>
          <t>Renault Clio 1.4 16v Dynamique (100 CV)</t>
        </is>
      </c>
      <c r="BC27" s="2" t="inlineStr">
        <is>
          <t>https://www.ocasionplus.com/coches-segunda-mano/renault-clio-14-16v-dynamique-con-106165km-2006-zgabhqan (payload RSC 'vehicle') /home/user/Alopecia/buscador-coches/raw/ocasionplus/f403fe1285048607.json</t>
        </is>
      </c>
      <c r="BD27" s="3">
        <f>MAX(ANIO_ACTUAL-M27,0)</f>
        <v/>
      </c>
      <c r="BE27" s="4">
        <f>N27/MAX(BD27,0.5)</f>
        <v/>
      </c>
      <c r="BF27" s="4">
        <f>F27</f>
        <v/>
      </c>
      <c r="BG27" s="3">
        <f>BF27&amp;"|"&amp;INT(M27/SEG_ANIO)*SEG_ANIO</f>
        <v/>
      </c>
      <c r="BH27" s="3">
        <f>BG27&amp;"|"&amp;INT(N27/SEG_KM)*SEG_KM</f>
        <v/>
      </c>
      <c r="BI27" s="4">
        <f>COUNTIF($BF$2:$BF$101,BF27)</f>
        <v/>
      </c>
      <c r="BJ27" s="4">
        <f>COUNTIF($BG$2:$BG$101,BG27)</f>
        <v/>
      </c>
      <c r="BK27" s="4">
        <f>COUNTIF($BH$2:$BH$101,BH27)</f>
        <v/>
      </c>
      <c r="BL27" s="3">
        <f t="array" ref="BL27">IF(N(AX27)&gt;=MIN_N,AW27,IF(BK27&gt;=MIN_N,MEDIAN(IF($BH$2:$BH$101=BH27,$O$2:$O$101)),IF(BJ27&gt;=MIN_N,MEDIAN(IF($BG$2:$BG$101=BG27,$O$2:$O$101)),MEDIAN(IF($BF$2:$BF$101=BF27,$O$2:$O$101)))))</f>
        <v/>
      </c>
      <c r="BM27" s="3">
        <f>IF(N(AX27)&gt;=MIN_N,"mercado "&amp;AY27,IF(BK27&gt;=MIN_N,"modelo+año+km",IF(BJ27&gt;=MIN_N,"modelo+año","modelo")))</f>
        <v/>
      </c>
      <c r="BN27" s="4">
        <f>(BL27-O27)/BL27</f>
        <v/>
      </c>
      <c r="BO27" s="3">
        <f>IF(COUNTIFS(FR_FUEL,K27,FR_YEAR,AP27)&gt;0,1,0)</f>
        <v/>
      </c>
      <c r="BP27" s="3">
        <f>IF(COUNTIFS(FR_FUEL,K27,FR_YEAR,AP27-1)&gt;0,1,0)</f>
        <v/>
      </c>
      <c r="BQ27" s="4">
        <f>IF(N(AQ27)&gt;0,AP27*100+AQ27,IF(AND(BO27=1,BP27=1),(AP27-1)*100+1,AP27*100+1))</f>
        <v/>
      </c>
      <c r="BR27" s="3">
        <f>IF(OR(K27="hibrido",K27="glp",K27="gnc",K27="phev"),"ECO",IF(K27="electrico","CERO",IF(K27="gasolina",IF(BQ27&gt;=GAS_C_YM,"C",IF(BQ27&gt;=GAS_B_YM,"B","A")),IF(K27="diesel",IF(BQ27&gt;=DIE_C_YM,"C",IF(BQ27&gt;=DIE_B_YM,"B","A")),""))))</f>
        <v/>
      </c>
      <c r="BS27" s="2" t="inlineStr">
        <is>
          <t>C</t>
        </is>
      </c>
      <c r="BT27" s="4">
        <f>IF(AU27="sí","sí",IF(AS27="regla",IF(AND(N(AQ27)=0,BO27=1),"sí","no"),"no"))</f>
        <v/>
      </c>
      <c r="BU27" s="3">
        <f>IFERROR(VLOOKUP(F27,MOD_TBL,16,0),IFERROR(VLOOKUP(E27,OCU_TBL,2,0),NEUTRO))</f>
        <v/>
      </c>
      <c r="BV27" s="3">
        <f>SUMIFS(MOT_AJUSTE,MOT_MOTOR,G27,MOT_MARCA,E27,MOT_DESDE,"&lt;="&amp;M27,MOT_HASTA,"&gt;="&amp;M27)+SUMIFS(MOT_AJUSTE,MOT_MOTOR,G27,MOT_MARCA,"(todas)",MOT_DESDE,"&lt;="&amp;M27,MOT_HASTA,"&gt;="&amp;M27)+SUMIFS(MOT_AJUSTE,MOT_MOTOR,"(cualquiera)",MOT_MARCA,E27,MOT_DESDE,"&lt;="&amp;M27,MOT_HASTA,"&gt;="&amp;M27)</f>
        <v/>
      </c>
      <c r="BW27" s="3">
        <f>SUMIFS(COMB_AJUSTE,COMB_COMB,K27)</f>
        <v/>
      </c>
      <c r="BX27" s="3">
        <f>COUNTIFS(MOT_MOTOR,G27,MOT_MARCA,E27,MOT_DESDE,"&lt;="&amp;M27,MOT_HASTA,"&gt;="&amp;M27)+COUNTIFS(MOT_MOTOR,G27,MOT_MARCA,"(todas)",MOT_DESDE,"&lt;="&amp;M27,MOT_HASTA,"&gt;="&amp;M27)+COUNTIFS(MOT_MOTOR,"(cualquiera)",MOT_MARCA,E27,MOT_DESDE,"&lt;="&amp;M27,MOT_HASTA,"&gt;="&amp;M27)</f>
        <v/>
      </c>
      <c r="BY27" s="3">
        <f>IF(AND(K27="diesel",BX27=0),MIN(BU27,NEUTRO),BU27)</f>
        <v/>
      </c>
      <c r="BZ27" s="3">
        <f>MAX(0,MIN(100,BY27+BV27+BW27-IF(AV27="sí",ROB_PEN,0)))</f>
        <v/>
      </c>
      <c r="CA27" s="3">
        <f>100-MAX(0,N27-KM_TOPE_DESDE)/1000*KM_TOPE_PTS</f>
        <v/>
      </c>
      <c r="CB27" s="3">
        <f>MAX(0,MIN(100,50+BN27*PRECIO_PEND,CA27))</f>
        <v/>
      </c>
      <c r="CC27" s="3">
        <f>MAX(0,100*(1-N27/KM_MAX))</f>
        <v/>
      </c>
      <c r="CD27" s="3">
        <f>IF(BE27&lt;KMA_SOSP,IF(AA27="sí",100,KMA_PEN),IF(BE27&lt;=KMA_IDEAL_MAX,100,MAX(0,100*(KMA_CERO-BE27)/(KMA_CERO-KMA_IDEAL_MAX))))</f>
        <v/>
      </c>
      <c r="CE27" s="3">
        <f>MAX(0,MIN(100,100*(M27-ANIO_MIN)/(ANIO_ACTUAL-ANIO_MIN)))</f>
        <v/>
      </c>
      <c r="CF27" s="3">
        <f>W_KMT*CC27+W_KMA*CD27+W_EDAD*CE27</f>
        <v/>
      </c>
      <c r="CG27" s="3">
        <f>P_ITV*(V27="sí")+P_LIBRO*(W27="sí")+P_CORREA*(X27="sí")+P_PROP*(Y27=1)+P_GAR*(Z27="sí")+P_FOTOS*MIN(1,N(U27)/FOTOS_OBJ)</f>
        <v/>
      </c>
      <c r="CH27" s="3">
        <f>MAX(0,MIN(100,IFERROR(VLOOKUP(BS27,ETQ_TBL,2,0),0)-IF(BT27="sí",ETQ_PEN_DUD,IF(AS27="regla",ETQ_PEN_REGLA,0))))</f>
        <v/>
      </c>
      <c r="CI27" s="3">
        <f>NEUTRO</f>
        <v/>
      </c>
      <c r="CJ27" s="3">
        <f>IFERROR(VLOOKUP(L27,SEGURO_TBL,3,0),"")</f>
        <v/>
      </c>
      <c r="CK27" s="3">
        <f>IF(CJ27="",NEUTRO,MAX(0,MIN(100,100*(SEG_REF_MAX-CJ27)/(SEG_REF_MAX-SEG_REF_MIN))))</f>
        <v/>
      </c>
      <c r="CL27" s="3">
        <f>W_CONS*CI27+W_SEG*CK27</f>
        <v/>
      </c>
      <c r="CM27" s="3">
        <f>IF(N(AB27)&gt;0,AB27,IF(AND(R27="profesional",SG_LEGAL_ON=1),GAR_LEGAL,0))</f>
        <v/>
      </c>
      <c r="CN27" s="3">
        <f>SG_GAR*MIN(1,CM27/SG_GAR_FULL)+SG_AMPL*(AC27="sí")+SG_KMC*(AF27="sí")+SG_REV*(N(AE27)&gt;0)+SG_DEV*MIN(1,N(AG27)/SG_DEV_FULL)+SG_HIST*(W27="sí")</f>
        <v/>
      </c>
      <c r="CO27" s="3">
        <f>IFERROR(VLOOKUP(L27,CARR_PEN_TBL,2,0),0)</f>
        <v/>
      </c>
      <c r="CP27" s="3">
        <f>W_FIAB*BZ27+W_PRECIO*CB27+W_KMEDAD*CF27+W_ANUNCIO*CG27+W_USO*CL27+W_SEGURIDAD*CN27+W_ETIQUETA*CH27-CO27</f>
        <v/>
      </c>
      <c r="CQ27" s="4">
        <f>IF(N(I27)&gt;0,I27,IFERROR(ROUND(_xlfn.NUMBERVALUE(LEFT(G27,FIND(" ",G27&amp;" ")-1),".")*1000,0),99999))</f>
        <v/>
      </c>
      <c r="CR27" s="3">
        <f>IF(R27="profesional",0,IF(O27&lt;CUOTA_VALOR_MAX,IF(BD27&gt;ITP_TRAMO_ALTO,SUMIFS(CF_CUOTA,CF_MAS,ITP_TRAMO_ALTO,CF_CCMIN,"&lt;="&amp;CQ27,CF_CCMAX,"&gt;="&amp;CQ27),IF(BD27&gt;ITP_TRAMO_BAJO,SUMIFS(CF_CUOTA,CF_MAS,ITP_TRAMO_BAJO,CF_CCMIN,"&lt;="&amp;CQ27,CF_CCMAX,"&gt;="&amp;CQ27),O27*ITP_TIPO)),O27*ITP_TIPO))</f>
        <v/>
      </c>
      <c r="CS27" s="4">
        <f>IF(R27="profesional",N(AK27),0)</f>
        <v/>
      </c>
      <c r="CT27" s="3">
        <f>IF(AND(R27="profesional",ISNUMBER(AK27),AL27="sí"),0,TASA_DGT)</f>
        <v/>
      </c>
      <c r="CU27" s="3">
        <f>INFORME_DGT</f>
        <v/>
      </c>
      <c r="CV27" s="4">
        <f>O27+CS27+CR27+CT27+CU27</f>
        <v/>
      </c>
      <c r="CW27" s="4">
        <f>CV27+N(CJ27)</f>
        <v/>
      </c>
      <c r="CX27" s="3">
        <f>IF(CV27&lt;=TOTAL_MAX,"sí",IF(CV27&lt;=TOTAL_MAX+MARGEN_NEG,"negociar","no"))</f>
        <v/>
      </c>
      <c r="CY27" s="4">
        <f>IF(CX27&lt;&gt;"no",COUNTIFS($CX$2:$CX$101,"&lt;&gt;no",$CP$2:$CP$101,"&gt;"&amp;CP27)+COUNTIFS($CX$2:CX27,"&lt;&gt;no",$CP$2:CP27,CP27),"")</f>
        <v/>
      </c>
    </row>
    <row r="28">
      <c r="A28" s="2" t="inlineStr">
        <is>
          <t>ocasionplus:ychajqan</t>
        </is>
      </c>
      <c r="B28" s="2" t="inlineStr">
        <is>
          <t>ocasionplus</t>
        </is>
      </c>
      <c r="C28" s="2" t="inlineStr">
        <is>
          <t>https://www.ocasionplus.com/coches-segunda-mano/seat-ibiza-14-tdi-reference-con-140744km-2007-ychajqan</t>
        </is>
      </c>
      <c r="D28" s="2" t="inlineStr">
        <is>
          <t>Seat Ibiza 1.4 TDI Reference (80 CV)</t>
        </is>
      </c>
      <c r="E28" s="2" t="inlineStr">
        <is>
          <t>Seat</t>
        </is>
      </c>
      <c r="F28" s="2" t="inlineStr">
        <is>
          <t>Seat Ibiza</t>
        </is>
      </c>
      <c r="G28" s="2" t="inlineStr">
        <is>
          <t>1.4 TDI</t>
        </is>
      </c>
      <c r="H28" s="2" t="inlineStr">
        <is>
          <t>Seat Ibiza 1.4 TDI Reference (80 CV)</t>
        </is>
      </c>
      <c r="I28" s="2" t="n">
        <v>1422</v>
      </c>
      <c r="J28" s="2" t="n">
        <v>80</v>
      </c>
      <c r="K28" s="2" t="inlineStr">
        <is>
          <t>diesel</t>
        </is>
      </c>
      <c r="L28" s="2" t="inlineStr">
        <is>
          <t>utilitario</t>
        </is>
      </c>
      <c r="M28" s="2" t="n">
        <v>2007</v>
      </c>
      <c r="N28" s="2" t="n">
        <v>140744</v>
      </c>
      <c r="O28" s="2" t="n">
        <v>3800</v>
      </c>
      <c r="P28" s="2" t="inlineStr">
        <is>
          <t>manual</t>
        </is>
      </c>
      <c r="Q28" s="2" t="inlineStr">
        <is>
          <t>no</t>
        </is>
      </c>
      <c r="R28" s="2" t="inlineStr">
        <is>
          <t>profesional</t>
        </is>
      </c>
      <c r="S28" s="2" t="inlineStr">
        <is>
          <t>Valencia - Sagunto (Sagunto, 46500)</t>
        </is>
      </c>
      <c r="T28" s="2" t="inlineStr">
        <is>
          <t>2026-09-11T00:00:00.000Z</t>
        </is>
      </c>
      <c r="U28" s="2" t="n">
        <v>25</v>
      </c>
      <c r="V28" s="2" t="inlineStr">
        <is>
          <t>sí</t>
        </is>
      </c>
      <c r="W28" s="2" t="n"/>
      <c r="X28" s="2" t="n"/>
      <c r="Y28" s="2" t="n">
        <v>0</v>
      </c>
      <c r="Z28" s="2" t="n"/>
      <c r="AA28" s="2" t="n"/>
      <c r="AB28" s="2" t="n"/>
      <c r="AC28" s="2" t="inlineStr">
        <is>
          <t>sí</t>
        </is>
      </c>
      <c r="AD28" s="2" t="n">
        <v>500</v>
      </c>
      <c r="AE28" s="2" t="n"/>
      <c r="AF28" s="2" t="inlineStr">
        <is>
          <t>sí</t>
        </is>
      </c>
      <c r="AG28" s="2" t="n"/>
      <c r="AH28" s="2" t="n">
        <v>3800</v>
      </c>
      <c r="AI28" s="2" t="n">
        <v>3800</v>
      </c>
      <c r="AJ28" s="2" t="inlineStr">
        <is>
          <t>no</t>
        </is>
      </c>
      <c r="AK28" s="2" t="n">
        <v>350</v>
      </c>
      <c r="AL28" s="2" t="inlineStr">
        <is>
          <t>sí</t>
        </is>
      </c>
      <c r="AM28" s="2" t="n">
        <v>25.5</v>
      </c>
      <c r="AN28" s="2" t="inlineStr">
        <is>
          <t>8191FSH</t>
        </is>
      </c>
      <c r="AO28" s="2" t="inlineStr">
        <is>
          <t>2007-07-11</t>
        </is>
      </c>
      <c r="AP28" s="2" t="n">
        <v>2007</v>
      </c>
      <c r="AQ28" s="2" t="n">
        <v>7</v>
      </c>
      <c r="AR28" s="2" t="inlineStr">
        <is>
          <t>B</t>
        </is>
      </c>
      <c r="AS28" s="2" t="inlineStr">
        <is>
          <t>DGT</t>
        </is>
      </c>
      <c r="AT28" s="2" t="n"/>
      <c r="AU28" s="2" t="inlineStr">
        <is>
          <t>no</t>
        </is>
      </c>
      <c r="AV28" s="2" t="inlineStr">
        <is>
          <t>no</t>
        </is>
      </c>
      <c r="AW28" s="2" t="n">
        <v>3850</v>
      </c>
      <c r="AX28" s="2" t="n">
        <v>26</v>
      </c>
      <c r="AY28" s="2" t="inlineStr">
        <is>
          <t>modelo+año</t>
        </is>
      </c>
      <c r="AZ28" s="2" t="n"/>
      <c r="BA28" s="2" t="inlineStr">
        <is>
          <t>vendedor profesional: sin ITP (operación con IVA/REBU, confirmar en factura); diésel: motor sin fuente de fiabilidad (fiabilidad limitada a neutra); revisar: no menciona la ITV</t>
        </is>
      </c>
      <c r="BB28" s="2" t="inlineStr">
        <is>
          <t>Seat Ibiza 1.4 TDI Reference (80 CV)</t>
        </is>
      </c>
      <c r="BC28" s="2" t="inlineStr">
        <is>
          <t>https://www.ocasionplus.com/coches-segunda-mano/seat-ibiza-14-tdi-reference-con-140744km-2007-ychajqan (payload RSC 'vehicle') /home/user/Alopecia/buscador-coches/raw/ocasionplus/f1d7ea20071e9f36.json</t>
        </is>
      </c>
      <c r="BD28" s="3">
        <f>MAX(ANIO_ACTUAL-M28,0)</f>
        <v/>
      </c>
      <c r="BE28" s="4">
        <f>N28/MAX(BD28,0.5)</f>
        <v/>
      </c>
      <c r="BF28" s="4">
        <f>F28</f>
        <v/>
      </c>
      <c r="BG28" s="3">
        <f>BF28&amp;"|"&amp;INT(M28/SEG_ANIO)*SEG_ANIO</f>
        <v/>
      </c>
      <c r="BH28" s="3">
        <f>BG28&amp;"|"&amp;INT(N28/SEG_KM)*SEG_KM</f>
        <v/>
      </c>
      <c r="BI28" s="4">
        <f>COUNTIF($BF$2:$BF$101,BF28)</f>
        <v/>
      </c>
      <c r="BJ28" s="4">
        <f>COUNTIF($BG$2:$BG$101,BG28)</f>
        <v/>
      </c>
      <c r="BK28" s="4">
        <f>COUNTIF($BH$2:$BH$101,BH28)</f>
        <v/>
      </c>
      <c r="BL28" s="3">
        <f t="array" ref="BL28">IF(N(AX28)&gt;=MIN_N,AW28,IF(BK28&gt;=MIN_N,MEDIAN(IF($BH$2:$BH$101=BH28,$O$2:$O$101)),IF(BJ28&gt;=MIN_N,MEDIAN(IF($BG$2:$BG$101=BG28,$O$2:$O$101)),MEDIAN(IF($BF$2:$BF$101=BF28,$O$2:$O$101)))))</f>
        <v/>
      </c>
      <c r="BM28" s="3">
        <f>IF(N(AX28)&gt;=MIN_N,"mercado "&amp;AY28,IF(BK28&gt;=MIN_N,"modelo+año+km",IF(BJ28&gt;=MIN_N,"modelo+año","modelo")))</f>
        <v/>
      </c>
      <c r="BN28" s="4">
        <f>(BL28-O28)/BL28</f>
        <v/>
      </c>
      <c r="BO28" s="3">
        <f>IF(COUNTIFS(FR_FUEL,K28,FR_YEAR,AP28)&gt;0,1,0)</f>
        <v/>
      </c>
      <c r="BP28" s="3">
        <f>IF(COUNTIFS(FR_FUEL,K28,FR_YEAR,AP28-1)&gt;0,1,0)</f>
        <v/>
      </c>
      <c r="BQ28" s="4">
        <f>IF(N(AQ28)&gt;0,AP28*100+AQ28,IF(AND(BO28=1,BP28=1),(AP28-1)*100+1,AP28*100+1))</f>
        <v/>
      </c>
      <c r="BR28" s="3">
        <f>IF(OR(K28="hibrido",K28="glp",K28="gnc",K28="phev"),"ECO",IF(K28="electrico","CERO",IF(K28="gasolina",IF(BQ28&gt;=GAS_C_YM,"C",IF(BQ28&gt;=GAS_B_YM,"B","A")),IF(K28="diesel",IF(BQ28&gt;=DIE_C_YM,"C",IF(BQ28&gt;=DIE_B_YM,"B","A")),""))))</f>
        <v/>
      </c>
      <c r="BS28" s="2" t="inlineStr">
        <is>
          <t>B</t>
        </is>
      </c>
      <c r="BT28" s="4">
        <f>IF(AU28="sí","sí",IF(AS28="regla",IF(AND(N(AQ28)=0,BO28=1),"sí","no"),"no"))</f>
        <v/>
      </c>
      <c r="BU28" s="3">
        <f>IFERROR(VLOOKUP(F28,MOD_TBL,16,0),IFERROR(VLOOKUP(E28,OCU_TBL,2,0),NEUTRO))</f>
        <v/>
      </c>
      <c r="BV28" s="3">
        <f>SUMIFS(MOT_AJUSTE,MOT_MOTOR,G28,MOT_MARCA,E28,MOT_DESDE,"&lt;="&amp;M28,MOT_HASTA,"&gt;="&amp;M28)+SUMIFS(MOT_AJUSTE,MOT_MOTOR,G28,MOT_MARCA,"(todas)",MOT_DESDE,"&lt;="&amp;M28,MOT_HASTA,"&gt;="&amp;M28)+SUMIFS(MOT_AJUSTE,MOT_MOTOR,"(cualquiera)",MOT_MARCA,E28,MOT_DESDE,"&lt;="&amp;M28,MOT_HASTA,"&gt;="&amp;M28)</f>
        <v/>
      </c>
      <c r="BW28" s="3">
        <f>SUMIFS(COMB_AJUSTE,COMB_COMB,K28)</f>
        <v/>
      </c>
      <c r="BX28" s="3">
        <f>COUNTIFS(MOT_MOTOR,G28,MOT_MARCA,E28,MOT_DESDE,"&lt;="&amp;M28,MOT_HASTA,"&gt;="&amp;M28)+COUNTIFS(MOT_MOTOR,G28,MOT_MARCA,"(todas)",MOT_DESDE,"&lt;="&amp;M28,MOT_HASTA,"&gt;="&amp;M28)+COUNTIFS(MOT_MOTOR,"(cualquiera)",MOT_MARCA,E28,MOT_DESDE,"&lt;="&amp;M28,MOT_HASTA,"&gt;="&amp;M28)</f>
        <v/>
      </c>
      <c r="BY28" s="3">
        <f>IF(AND(K28="diesel",BX28=0),MIN(BU28,NEUTRO),BU28)</f>
        <v/>
      </c>
      <c r="BZ28" s="3">
        <f>MAX(0,MIN(100,BY28+BV28+BW28-IF(AV28="sí",ROB_PEN,0)))</f>
        <v/>
      </c>
      <c r="CA28" s="3">
        <f>100-MAX(0,N28-KM_TOPE_DESDE)/1000*KM_TOPE_PTS</f>
        <v/>
      </c>
      <c r="CB28" s="3">
        <f>MAX(0,MIN(100,50+BN28*PRECIO_PEND,CA28))</f>
        <v/>
      </c>
      <c r="CC28" s="3">
        <f>MAX(0,100*(1-N28/KM_MAX))</f>
        <v/>
      </c>
      <c r="CD28" s="3">
        <f>IF(BE28&lt;KMA_SOSP,IF(AA28="sí",100,KMA_PEN),IF(BE28&lt;=KMA_IDEAL_MAX,100,MAX(0,100*(KMA_CERO-BE28)/(KMA_CERO-KMA_IDEAL_MAX))))</f>
        <v/>
      </c>
      <c r="CE28" s="3">
        <f>MAX(0,MIN(100,100*(M28-ANIO_MIN)/(ANIO_ACTUAL-ANIO_MIN)))</f>
        <v/>
      </c>
      <c r="CF28" s="3">
        <f>W_KMT*CC28+W_KMA*CD28+W_EDAD*CE28</f>
        <v/>
      </c>
      <c r="CG28" s="3">
        <f>P_ITV*(V28="sí")+P_LIBRO*(W28="sí")+P_CORREA*(X28="sí")+P_PROP*(Y28=1)+P_GAR*(Z28="sí")+P_FOTOS*MIN(1,N(U28)/FOTOS_OBJ)</f>
        <v/>
      </c>
      <c r="CH28" s="3">
        <f>MAX(0,MIN(100,IFERROR(VLOOKUP(BS28,ETQ_TBL,2,0),0)-IF(BT28="sí",ETQ_PEN_DUD,IF(AS28="regla",ETQ_PEN_REGLA,0))))</f>
        <v/>
      </c>
      <c r="CI28" s="3">
        <f>NEUTRO</f>
        <v/>
      </c>
      <c r="CJ28" s="3">
        <f>IFERROR(VLOOKUP(L28,SEGURO_TBL,3,0),"")</f>
        <v/>
      </c>
      <c r="CK28" s="3">
        <f>IF(CJ28="",NEUTRO,MAX(0,MIN(100,100*(SEG_REF_MAX-CJ28)/(SEG_REF_MAX-SEG_REF_MIN))))</f>
        <v/>
      </c>
      <c r="CL28" s="3">
        <f>W_CONS*CI28+W_SEG*CK28</f>
        <v/>
      </c>
      <c r="CM28" s="3">
        <f>IF(N(AB28)&gt;0,AB28,IF(AND(R28="profesional",SG_LEGAL_ON=1),GAR_LEGAL,0))</f>
        <v/>
      </c>
      <c r="CN28" s="3">
        <f>SG_GAR*MIN(1,CM28/SG_GAR_FULL)+SG_AMPL*(AC28="sí")+SG_KMC*(AF28="sí")+SG_REV*(N(AE28)&gt;0)+SG_DEV*MIN(1,N(AG28)/SG_DEV_FULL)+SG_HIST*(W28="sí")</f>
        <v/>
      </c>
      <c r="CO28" s="3">
        <f>IFERROR(VLOOKUP(L28,CARR_PEN_TBL,2,0),0)</f>
        <v/>
      </c>
      <c r="CP28" s="3">
        <f>W_FIAB*BZ28+W_PRECIO*CB28+W_KMEDAD*CF28+W_ANUNCIO*CG28+W_USO*CL28+W_SEGURIDAD*CN28+W_ETIQUETA*CH28-CO28</f>
        <v/>
      </c>
      <c r="CQ28" s="4">
        <f>IF(N(I28)&gt;0,I28,IFERROR(ROUND(_xlfn.NUMBERVALUE(LEFT(G28,FIND(" ",G28&amp;" ")-1),".")*1000,0),99999))</f>
        <v/>
      </c>
      <c r="CR28" s="3">
        <f>IF(R28="profesional",0,IF(O28&lt;CUOTA_VALOR_MAX,IF(BD28&gt;ITP_TRAMO_ALTO,SUMIFS(CF_CUOTA,CF_MAS,ITP_TRAMO_ALTO,CF_CCMIN,"&lt;="&amp;CQ28,CF_CCMAX,"&gt;="&amp;CQ28),IF(BD28&gt;ITP_TRAMO_BAJO,SUMIFS(CF_CUOTA,CF_MAS,ITP_TRAMO_BAJO,CF_CCMIN,"&lt;="&amp;CQ28,CF_CCMAX,"&gt;="&amp;CQ28),O28*ITP_TIPO)),O28*ITP_TIPO))</f>
        <v/>
      </c>
      <c r="CS28" s="4">
        <f>IF(R28="profesional",N(AK28),0)</f>
        <v/>
      </c>
      <c r="CT28" s="3">
        <f>IF(AND(R28="profesional",ISNUMBER(AK28),AL28="sí"),0,TASA_DGT)</f>
        <v/>
      </c>
      <c r="CU28" s="3">
        <f>INFORME_DGT</f>
        <v/>
      </c>
      <c r="CV28" s="4">
        <f>O28+CS28+CR28+CT28+CU28</f>
        <v/>
      </c>
      <c r="CW28" s="4">
        <f>CV28+N(CJ28)</f>
        <v/>
      </c>
      <c r="CX28" s="3">
        <f>IF(CV28&lt;=TOTAL_MAX,"sí",IF(CV28&lt;=TOTAL_MAX+MARGEN_NEG,"negociar","no"))</f>
        <v/>
      </c>
      <c r="CY28" s="4">
        <f>IF(CX28&lt;&gt;"no",COUNTIFS($CX$2:$CX$101,"&lt;&gt;no",$CP$2:$CP$101,"&gt;"&amp;CP28)+COUNTIFS($CX$2:CX28,"&lt;&gt;no",$CP$2:CP28,CP28),"")</f>
        <v/>
      </c>
    </row>
    <row r="29">
      <c r="A29" s="2" t="inlineStr">
        <is>
          <t>ocasionplus:somqeqa3</t>
        </is>
      </c>
      <c r="B29" s="2" t="inlineStr">
        <is>
          <t>ocasionplus</t>
        </is>
      </c>
      <c r="C29" s="2" t="inlineStr">
        <is>
          <t>https://www.ocasionplus.com/coches-segunda-mano/ford-mondeo-20-tdci-ghia-con-142530km-2006-somqeqa3</t>
        </is>
      </c>
      <c r="D29" s="2" t="inlineStr">
        <is>
          <t>Ford Mondeo 2.0 TDCI Ghia (130 CV)</t>
        </is>
      </c>
      <c r="E29" s="2" t="inlineStr">
        <is>
          <t>Ford</t>
        </is>
      </c>
      <c r="F29" s="2" t="inlineStr">
        <is>
          <t>Ford Mondeo</t>
        </is>
      </c>
      <c r="G29" s="2" t="inlineStr">
        <is>
          <t>2.0 TDCi</t>
        </is>
      </c>
      <c r="H29" s="2" t="inlineStr">
        <is>
          <t>Ford Mondeo 2.0 TDCI Ghia (130 CV)</t>
        </is>
      </c>
      <c r="I29" s="2" t="n">
        <v>1998</v>
      </c>
      <c r="J29" s="2" t="n">
        <v>130</v>
      </c>
      <c r="K29" s="2" t="inlineStr">
        <is>
          <t>diesel</t>
        </is>
      </c>
      <c r="L29" s="2" t="inlineStr">
        <is>
          <t>berlina</t>
        </is>
      </c>
      <c r="M29" s="2" t="n">
        <v>2006</v>
      </c>
      <c r="N29" s="2" t="n">
        <v>142530</v>
      </c>
      <c r="O29" s="2" t="n">
        <v>3700</v>
      </c>
      <c r="P29" s="2" t="inlineStr">
        <is>
          <t>manual</t>
        </is>
      </c>
      <c r="Q29" s="2" t="inlineStr">
        <is>
          <t>no</t>
        </is>
      </c>
      <c r="R29" s="2" t="inlineStr">
        <is>
          <t>profesional</t>
        </is>
      </c>
      <c r="S29" s="2" t="inlineStr">
        <is>
          <t>Valencia - Paterna (Paterna, 46980)</t>
        </is>
      </c>
      <c r="T29" s="2" t="inlineStr">
        <is>
          <t>2026-05-26T00:00:00.000Z</t>
        </is>
      </c>
      <c r="U29" s="2" t="n">
        <v>33</v>
      </c>
      <c r="V29" s="2" t="inlineStr">
        <is>
          <t>sí</t>
        </is>
      </c>
      <c r="W29" s="2" t="n"/>
      <c r="X29" s="2" t="n"/>
      <c r="Y29" s="2" t="n">
        <v>1</v>
      </c>
      <c r="Z29" s="2" t="n"/>
      <c r="AA29" s="2" t="n"/>
      <c r="AB29" s="2" t="n"/>
      <c r="AC29" s="2" t="inlineStr">
        <is>
          <t>sí</t>
        </is>
      </c>
      <c r="AD29" s="2" t="n">
        <v>900</v>
      </c>
      <c r="AE29" s="2" t="n"/>
      <c r="AF29" s="2" t="inlineStr">
        <is>
          <t>sí</t>
        </is>
      </c>
      <c r="AG29" s="2" t="n"/>
      <c r="AH29" s="2" t="n">
        <v>3700</v>
      </c>
      <c r="AI29" s="2" t="n">
        <v>3700</v>
      </c>
      <c r="AJ29" s="2" t="inlineStr">
        <is>
          <t>no</t>
        </is>
      </c>
      <c r="AK29" s="2" t="n">
        <v>350</v>
      </c>
      <c r="AL29" s="2" t="inlineStr">
        <is>
          <t>sí</t>
        </is>
      </c>
      <c r="AM29" s="2" t="n">
        <v>5.9</v>
      </c>
      <c r="AN29" s="2" t="inlineStr">
        <is>
          <t>8157DVD</t>
        </is>
      </c>
      <c r="AO29" s="2" t="inlineStr">
        <is>
          <t>2006-01-05</t>
        </is>
      </c>
      <c r="AP29" s="2" t="n">
        <v>2006</v>
      </c>
      <c r="AQ29" s="2" t="n">
        <v>1</v>
      </c>
      <c r="AR29" s="2" t="inlineStr">
        <is>
          <t>B</t>
        </is>
      </c>
      <c r="AS29" s="2" t="inlineStr">
        <is>
          <t>DGT</t>
        </is>
      </c>
      <c r="AT29" s="2" t="n"/>
      <c r="AU29" s="2" t="inlineStr">
        <is>
          <t>no</t>
        </is>
      </c>
      <c r="AV29" s="2" t="inlineStr">
        <is>
          <t>no</t>
        </is>
      </c>
      <c r="AW29" s="2" t="n">
        <v>3300</v>
      </c>
      <c r="AX29" s="2" t="n">
        <v>4</v>
      </c>
      <c r="AY29" s="2" t="inlineStr">
        <is>
          <t>modelo+año</t>
        </is>
      </c>
      <c r="AZ29" s="2" t="n"/>
      <c r="BA29" s="2" t="inlineStr">
        <is>
          <t>vendedor profesional: sin ITP (operación con IVA/REBU, confirmar en factura); diésel: motor sin fuente de fiabilidad (fiabilidad limitada a neutra); carrocería berlina: -4 puntos; revisar: no menciona la ITV; fiabilidad del modelo PENDIENTE de fuente (puntuación neutra)</t>
        </is>
      </c>
      <c r="BB29" s="2" t="inlineStr">
        <is>
          <t>Ford Mondeo 2.0 TDCI Ghia (130 CV)</t>
        </is>
      </c>
      <c r="BC29" s="2" t="inlineStr">
        <is>
          <t>https://www.ocasionplus.com/coches-segunda-mano/ford-mondeo-20-tdci-ghia-con-142530km-2006-somqeqa3 (payload RSC 'vehicle') /home/user/Alopecia/buscador-coches/raw/ocasionplus/72f5f2ec09413c7a.json</t>
        </is>
      </c>
      <c r="BD29" s="3">
        <f>MAX(ANIO_ACTUAL-M29,0)</f>
        <v/>
      </c>
      <c r="BE29" s="4">
        <f>N29/MAX(BD29,0.5)</f>
        <v/>
      </c>
      <c r="BF29" s="4">
        <f>F29</f>
        <v/>
      </c>
      <c r="BG29" s="3">
        <f>BF29&amp;"|"&amp;INT(M29/SEG_ANIO)*SEG_ANIO</f>
        <v/>
      </c>
      <c r="BH29" s="3">
        <f>BG29&amp;"|"&amp;INT(N29/SEG_KM)*SEG_KM</f>
        <v/>
      </c>
      <c r="BI29" s="4">
        <f>COUNTIF($BF$2:$BF$101,BF29)</f>
        <v/>
      </c>
      <c r="BJ29" s="4">
        <f>COUNTIF($BG$2:$BG$101,BG29)</f>
        <v/>
      </c>
      <c r="BK29" s="4">
        <f>COUNTIF($BH$2:$BH$101,BH29)</f>
        <v/>
      </c>
      <c r="BL29" s="3">
        <f t="array" ref="BL29">IF(N(AX29)&gt;=MIN_N,AW29,IF(BK29&gt;=MIN_N,MEDIAN(IF($BH$2:$BH$101=BH29,$O$2:$O$101)),IF(BJ29&gt;=MIN_N,MEDIAN(IF($BG$2:$BG$101=BG29,$O$2:$O$101)),MEDIAN(IF($BF$2:$BF$101=BF29,$O$2:$O$101)))))</f>
        <v/>
      </c>
      <c r="BM29" s="3">
        <f>IF(N(AX29)&gt;=MIN_N,"mercado "&amp;AY29,IF(BK29&gt;=MIN_N,"modelo+año+km",IF(BJ29&gt;=MIN_N,"modelo+año","modelo")))</f>
        <v/>
      </c>
      <c r="BN29" s="4">
        <f>(BL29-O29)/BL29</f>
        <v/>
      </c>
      <c r="BO29" s="3">
        <f>IF(COUNTIFS(FR_FUEL,K29,FR_YEAR,AP29)&gt;0,1,0)</f>
        <v/>
      </c>
      <c r="BP29" s="3">
        <f>IF(COUNTIFS(FR_FUEL,K29,FR_YEAR,AP29-1)&gt;0,1,0)</f>
        <v/>
      </c>
      <c r="BQ29" s="4">
        <f>IF(N(AQ29)&gt;0,AP29*100+AQ29,IF(AND(BO29=1,BP29=1),(AP29-1)*100+1,AP29*100+1))</f>
        <v/>
      </c>
      <c r="BR29" s="3">
        <f>IF(OR(K29="hibrido",K29="glp",K29="gnc",K29="phev"),"ECO",IF(K29="electrico","CERO",IF(K29="gasolina",IF(BQ29&gt;=GAS_C_YM,"C",IF(BQ29&gt;=GAS_B_YM,"B","A")),IF(K29="diesel",IF(BQ29&gt;=DIE_C_YM,"C",IF(BQ29&gt;=DIE_B_YM,"B","A")),""))))</f>
        <v/>
      </c>
      <c r="BS29" s="2" t="inlineStr">
        <is>
          <t>B</t>
        </is>
      </c>
      <c r="BT29" s="4">
        <f>IF(AU29="sí","sí",IF(AS29="regla",IF(AND(N(AQ29)=0,BO29=1),"sí","no"),"no"))</f>
        <v/>
      </c>
      <c r="BU29" s="3">
        <f>IFERROR(VLOOKUP(F29,MOD_TBL,16,0),IFERROR(VLOOKUP(E29,OCU_TBL,2,0),NEUTRO))</f>
        <v/>
      </c>
      <c r="BV29" s="3">
        <f>SUMIFS(MOT_AJUSTE,MOT_MOTOR,G29,MOT_MARCA,E29,MOT_DESDE,"&lt;="&amp;M29,MOT_HASTA,"&gt;="&amp;M29)+SUMIFS(MOT_AJUSTE,MOT_MOTOR,G29,MOT_MARCA,"(todas)",MOT_DESDE,"&lt;="&amp;M29,MOT_HASTA,"&gt;="&amp;M29)+SUMIFS(MOT_AJUSTE,MOT_MOTOR,"(cualquiera)",MOT_MARCA,E29,MOT_DESDE,"&lt;="&amp;M29,MOT_HASTA,"&gt;="&amp;M29)</f>
        <v/>
      </c>
      <c r="BW29" s="3">
        <f>SUMIFS(COMB_AJUSTE,COMB_COMB,K29)</f>
        <v/>
      </c>
      <c r="BX29" s="3">
        <f>COUNTIFS(MOT_MOTOR,G29,MOT_MARCA,E29,MOT_DESDE,"&lt;="&amp;M29,MOT_HASTA,"&gt;="&amp;M29)+COUNTIFS(MOT_MOTOR,G29,MOT_MARCA,"(todas)",MOT_DESDE,"&lt;="&amp;M29,MOT_HASTA,"&gt;="&amp;M29)+COUNTIFS(MOT_MOTOR,"(cualquiera)",MOT_MARCA,E29,MOT_DESDE,"&lt;="&amp;M29,MOT_HASTA,"&gt;="&amp;M29)</f>
        <v/>
      </c>
      <c r="BY29" s="3">
        <f>IF(AND(K29="diesel",BX29=0),MIN(BU29,NEUTRO),BU29)</f>
        <v/>
      </c>
      <c r="BZ29" s="3">
        <f>MAX(0,MIN(100,BY29+BV29+BW29-IF(AV29="sí",ROB_PEN,0)))</f>
        <v/>
      </c>
      <c r="CA29" s="3">
        <f>100-MAX(0,N29-KM_TOPE_DESDE)/1000*KM_TOPE_PTS</f>
        <v/>
      </c>
      <c r="CB29" s="3">
        <f>MAX(0,MIN(100,50+BN29*PRECIO_PEND,CA29))</f>
        <v/>
      </c>
      <c r="CC29" s="3">
        <f>MAX(0,100*(1-N29/KM_MAX))</f>
        <v/>
      </c>
      <c r="CD29" s="3">
        <f>IF(BE29&lt;KMA_SOSP,IF(AA29="sí",100,KMA_PEN),IF(BE29&lt;=KMA_IDEAL_MAX,100,MAX(0,100*(KMA_CERO-BE29)/(KMA_CERO-KMA_IDEAL_MAX))))</f>
        <v/>
      </c>
      <c r="CE29" s="3">
        <f>MAX(0,MIN(100,100*(M29-ANIO_MIN)/(ANIO_ACTUAL-ANIO_MIN)))</f>
        <v/>
      </c>
      <c r="CF29" s="3">
        <f>W_KMT*CC29+W_KMA*CD29+W_EDAD*CE29</f>
        <v/>
      </c>
      <c r="CG29" s="3">
        <f>P_ITV*(V29="sí")+P_LIBRO*(W29="sí")+P_CORREA*(X29="sí")+P_PROP*(Y29=1)+P_GAR*(Z29="sí")+P_FOTOS*MIN(1,N(U29)/FOTOS_OBJ)</f>
        <v/>
      </c>
      <c r="CH29" s="3">
        <f>MAX(0,MIN(100,IFERROR(VLOOKUP(BS29,ETQ_TBL,2,0),0)-IF(BT29="sí",ETQ_PEN_DUD,IF(AS29="regla",ETQ_PEN_REGLA,0))))</f>
        <v/>
      </c>
      <c r="CI29" s="3">
        <f>NEUTRO</f>
        <v/>
      </c>
      <c r="CJ29" s="3">
        <f>IFERROR(VLOOKUP(L29,SEGURO_TBL,3,0),"")</f>
        <v/>
      </c>
      <c r="CK29" s="3">
        <f>IF(CJ29="",NEUTRO,MAX(0,MIN(100,100*(SEG_REF_MAX-CJ29)/(SEG_REF_MAX-SEG_REF_MIN))))</f>
        <v/>
      </c>
      <c r="CL29" s="3">
        <f>W_CONS*CI29+W_SEG*CK29</f>
        <v/>
      </c>
      <c r="CM29" s="3">
        <f>IF(N(AB29)&gt;0,AB29,IF(AND(R29="profesional",SG_LEGAL_ON=1),GAR_LEGAL,0))</f>
        <v/>
      </c>
      <c r="CN29" s="3">
        <f>SG_GAR*MIN(1,CM29/SG_GAR_FULL)+SG_AMPL*(AC29="sí")+SG_KMC*(AF29="sí")+SG_REV*(N(AE29)&gt;0)+SG_DEV*MIN(1,N(AG29)/SG_DEV_FULL)+SG_HIST*(W29="sí")</f>
        <v/>
      </c>
      <c r="CO29" s="3">
        <f>IFERROR(VLOOKUP(L29,CARR_PEN_TBL,2,0),0)</f>
        <v/>
      </c>
      <c r="CP29" s="3">
        <f>W_FIAB*BZ29+W_PRECIO*CB29+W_KMEDAD*CF29+W_ANUNCIO*CG29+W_USO*CL29+W_SEGURIDAD*CN29+W_ETIQUETA*CH29-CO29</f>
        <v/>
      </c>
      <c r="CQ29" s="4">
        <f>IF(N(I29)&gt;0,I29,IFERROR(ROUND(_xlfn.NUMBERVALUE(LEFT(G29,FIND(" ",G29&amp;" ")-1),".")*1000,0),99999))</f>
        <v/>
      </c>
      <c r="CR29" s="3">
        <f>IF(R29="profesional",0,IF(O29&lt;CUOTA_VALOR_MAX,IF(BD29&gt;ITP_TRAMO_ALTO,SUMIFS(CF_CUOTA,CF_MAS,ITP_TRAMO_ALTO,CF_CCMIN,"&lt;="&amp;CQ29,CF_CCMAX,"&gt;="&amp;CQ29),IF(BD29&gt;ITP_TRAMO_BAJO,SUMIFS(CF_CUOTA,CF_MAS,ITP_TRAMO_BAJO,CF_CCMIN,"&lt;="&amp;CQ29,CF_CCMAX,"&gt;="&amp;CQ29),O29*ITP_TIPO)),O29*ITP_TIPO))</f>
        <v/>
      </c>
      <c r="CS29" s="4">
        <f>IF(R29="profesional",N(AK29),0)</f>
        <v/>
      </c>
      <c r="CT29" s="3">
        <f>IF(AND(R29="profesional",ISNUMBER(AK29),AL29="sí"),0,TASA_DGT)</f>
        <v/>
      </c>
      <c r="CU29" s="3">
        <f>INFORME_DGT</f>
        <v/>
      </c>
      <c r="CV29" s="4">
        <f>O29+CS29+CR29+CT29+CU29</f>
        <v/>
      </c>
      <c r="CW29" s="4">
        <f>CV29+N(CJ29)</f>
        <v/>
      </c>
      <c r="CX29" s="3">
        <f>IF(CV29&lt;=TOTAL_MAX,"sí",IF(CV29&lt;=TOTAL_MAX+MARGEN_NEG,"negociar","no"))</f>
        <v/>
      </c>
      <c r="CY29" s="4">
        <f>IF(CX29&lt;&gt;"no",COUNTIFS($CX$2:$CX$101,"&lt;&gt;no",$CP$2:$CP$101,"&gt;"&amp;CP29)+COUNTIFS($CX$2:CX29,"&lt;&gt;no",$CP$2:CP29,CP29),"")</f>
        <v/>
      </c>
    </row>
    <row r="30">
      <c r="A30" s="2" t="inlineStr">
        <is>
          <t>ocasionplus:azeojqah</t>
        </is>
      </c>
      <c r="B30" s="2" t="inlineStr">
        <is>
          <t>ocasionplus</t>
        </is>
      </c>
      <c r="C30" s="2" t="inlineStr">
        <is>
          <t>https://www.ocasionplus.com/coches-segunda-mano/seat-ibiza-14-16v-reference-con-70908km-2006-azeojqah</t>
        </is>
      </c>
      <c r="D30" s="2" t="inlineStr">
        <is>
          <t>Seat Ibiza 1.4 16v Reference (100 CV)</t>
        </is>
      </c>
      <c r="E30" s="2" t="inlineStr">
        <is>
          <t>Seat</t>
        </is>
      </c>
      <c r="F30" s="2" t="inlineStr">
        <is>
          <t>Seat Ibiza</t>
        </is>
      </c>
      <c r="G30" s="2" t="inlineStr">
        <is>
          <t>1.4</t>
        </is>
      </c>
      <c r="H30" s="2" t="inlineStr">
        <is>
          <t>Seat Ibiza 1.4 16v Reference (100 CV)</t>
        </is>
      </c>
      <c r="I30" s="2" t="n">
        <v>1390</v>
      </c>
      <c r="J30" s="2" t="n">
        <v>100</v>
      </c>
      <c r="K30" s="2" t="inlineStr">
        <is>
          <t>gasolina</t>
        </is>
      </c>
      <c r="L30" s="2" t="inlineStr">
        <is>
          <t>utilitario</t>
        </is>
      </c>
      <c r="M30" s="2" t="n">
        <v>2006</v>
      </c>
      <c r="N30" s="2" t="n">
        <v>86371</v>
      </c>
      <c r="O30" s="2" t="n">
        <v>4990</v>
      </c>
      <c r="P30" s="2" t="inlineStr">
        <is>
          <t>manual</t>
        </is>
      </c>
      <c r="Q30" s="2" t="inlineStr">
        <is>
          <t>no</t>
        </is>
      </c>
      <c r="R30" s="2" t="inlineStr">
        <is>
          <t>profesional</t>
        </is>
      </c>
      <c r="S30" s="2" t="inlineStr">
        <is>
          <t>Valencia - Pista de Silla - Macrocentro (Massanassa, 46470)</t>
        </is>
      </c>
      <c r="T30" s="2" t="inlineStr">
        <is>
          <t>2026-05-21T00:00:00.000Z</t>
        </is>
      </c>
      <c r="U30" s="2" t="n">
        <v>32</v>
      </c>
      <c r="V30" s="2" t="inlineStr">
        <is>
          <t>sí</t>
        </is>
      </c>
      <c r="W30" s="2" t="n"/>
      <c r="X30" s="2" t="n"/>
      <c r="Y30" s="2" t="n">
        <v>0</v>
      </c>
      <c r="Z30" s="2" t="n"/>
      <c r="AA30" s="2" t="n"/>
      <c r="AB30" s="2" t="n"/>
      <c r="AC30" s="2" t="inlineStr">
        <is>
          <t>sí</t>
        </is>
      </c>
      <c r="AD30" s="2" t="n">
        <v>600</v>
      </c>
      <c r="AE30" s="2" t="n"/>
      <c r="AF30" s="2" t="inlineStr">
        <is>
          <t>sí</t>
        </is>
      </c>
      <c r="AG30" s="2" t="n"/>
      <c r="AH30" s="2" t="n">
        <v>4990</v>
      </c>
      <c r="AI30" s="2" t="n">
        <v>4990</v>
      </c>
      <c r="AJ30" s="2" t="inlineStr">
        <is>
          <t>no</t>
        </is>
      </c>
      <c r="AK30" s="2" t="n">
        <v>350</v>
      </c>
      <c r="AL30" s="2" t="inlineStr">
        <is>
          <t>sí</t>
        </is>
      </c>
      <c r="AM30" s="2" t="n">
        <v>7.8</v>
      </c>
      <c r="AN30" s="2" t="inlineStr">
        <is>
          <t>8323DYB</t>
        </is>
      </c>
      <c r="AO30" s="2" t="inlineStr">
        <is>
          <t>2006-04-06</t>
        </is>
      </c>
      <c r="AP30" s="2" t="n">
        <v>2006</v>
      </c>
      <c r="AQ30" s="2" t="n">
        <v>4</v>
      </c>
      <c r="AR30" s="2" t="inlineStr">
        <is>
          <t>C</t>
        </is>
      </c>
      <c r="AS30" s="2" t="inlineStr">
        <is>
          <t>DGT</t>
        </is>
      </c>
      <c r="AT30" s="2" t="n"/>
      <c r="AU30" s="2" t="inlineStr">
        <is>
          <t>no</t>
        </is>
      </c>
      <c r="AV30" s="2" t="inlineStr">
        <is>
          <t>no</t>
        </is>
      </c>
      <c r="AW30" s="2" t="n">
        <v>3100</v>
      </c>
      <c r="AX30" s="2" t="n">
        <v>28</v>
      </c>
      <c r="AY30" s="2" t="inlineStr">
        <is>
          <t>modelo+año</t>
        </is>
      </c>
      <c r="AZ30" s="2" t="n"/>
      <c r="BA30" s="2" t="inlineStr">
        <is>
          <t>vendedor profesional: sin ITP (operación con IVA/REBU, confirmar en factura); revisar: no menciona la ITV</t>
        </is>
      </c>
      <c r="BB30" s="2" t="inlineStr">
        <is>
          <t>Seat Ibiza 1.4 16v Reference (100 CV)</t>
        </is>
      </c>
      <c r="BC30" s="2" t="inlineStr">
        <is>
          <t>https://www.ocasionplus.com/coches-segunda-mano/seat-ibiza-14-16v-reference-con-70908km-2006-azeojqah (payload RSC 'vehicle') /home/user/Alopecia/buscador-coches/raw/ocasionplus/f23441d331de3a98.json</t>
        </is>
      </c>
      <c r="BD30" s="3">
        <f>MAX(ANIO_ACTUAL-M30,0)</f>
        <v/>
      </c>
      <c r="BE30" s="4">
        <f>N30/MAX(BD30,0.5)</f>
        <v/>
      </c>
      <c r="BF30" s="4">
        <f>F30</f>
        <v/>
      </c>
      <c r="BG30" s="3">
        <f>BF30&amp;"|"&amp;INT(M30/SEG_ANIO)*SEG_ANIO</f>
        <v/>
      </c>
      <c r="BH30" s="3">
        <f>BG30&amp;"|"&amp;INT(N30/SEG_KM)*SEG_KM</f>
        <v/>
      </c>
      <c r="BI30" s="4">
        <f>COUNTIF($BF$2:$BF$101,BF30)</f>
        <v/>
      </c>
      <c r="BJ30" s="4">
        <f>COUNTIF($BG$2:$BG$101,BG30)</f>
        <v/>
      </c>
      <c r="BK30" s="4">
        <f>COUNTIF($BH$2:$BH$101,BH30)</f>
        <v/>
      </c>
      <c r="BL30" s="3">
        <f t="array" ref="BL30">IF(N(AX30)&gt;=MIN_N,AW30,IF(BK30&gt;=MIN_N,MEDIAN(IF($BH$2:$BH$101=BH30,$O$2:$O$101)),IF(BJ30&gt;=MIN_N,MEDIAN(IF($BG$2:$BG$101=BG30,$O$2:$O$101)),MEDIAN(IF($BF$2:$BF$101=BF30,$O$2:$O$101)))))</f>
        <v/>
      </c>
      <c r="BM30" s="3">
        <f>IF(N(AX30)&gt;=MIN_N,"mercado "&amp;AY30,IF(BK30&gt;=MIN_N,"modelo+año+km",IF(BJ30&gt;=MIN_N,"modelo+año","modelo")))</f>
        <v/>
      </c>
      <c r="BN30" s="4">
        <f>(BL30-O30)/BL30</f>
        <v/>
      </c>
      <c r="BO30" s="3">
        <f>IF(COUNTIFS(FR_FUEL,K30,FR_YEAR,AP30)&gt;0,1,0)</f>
        <v/>
      </c>
      <c r="BP30" s="3">
        <f>IF(COUNTIFS(FR_FUEL,K30,FR_YEAR,AP30-1)&gt;0,1,0)</f>
        <v/>
      </c>
      <c r="BQ30" s="4">
        <f>IF(N(AQ30)&gt;0,AP30*100+AQ30,IF(AND(BO30=1,BP30=1),(AP30-1)*100+1,AP30*100+1))</f>
        <v/>
      </c>
      <c r="BR30" s="3">
        <f>IF(OR(K30="hibrido",K30="glp",K30="gnc",K30="phev"),"ECO",IF(K30="electrico","CERO",IF(K30="gasolina",IF(BQ30&gt;=GAS_C_YM,"C",IF(BQ30&gt;=GAS_B_YM,"B","A")),IF(K30="diesel",IF(BQ30&gt;=DIE_C_YM,"C",IF(BQ30&gt;=DIE_B_YM,"B","A")),""))))</f>
        <v/>
      </c>
      <c r="BS30" s="2" t="inlineStr">
        <is>
          <t>C</t>
        </is>
      </c>
      <c r="BT30" s="4">
        <f>IF(AU30="sí","sí",IF(AS30="regla",IF(AND(N(AQ30)=0,BO30=1),"sí","no"),"no"))</f>
        <v/>
      </c>
      <c r="BU30" s="3">
        <f>IFERROR(VLOOKUP(F30,MOD_TBL,16,0),IFERROR(VLOOKUP(E30,OCU_TBL,2,0),NEUTRO))</f>
        <v/>
      </c>
      <c r="BV30" s="3">
        <f>SUMIFS(MOT_AJUSTE,MOT_MOTOR,G30,MOT_MARCA,E30,MOT_DESDE,"&lt;="&amp;M30,MOT_HASTA,"&gt;="&amp;M30)+SUMIFS(MOT_AJUSTE,MOT_MOTOR,G30,MOT_MARCA,"(todas)",MOT_DESDE,"&lt;="&amp;M30,MOT_HASTA,"&gt;="&amp;M30)+SUMIFS(MOT_AJUSTE,MOT_MOTOR,"(cualquiera)",MOT_MARCA,E30,MOT_DESDE,"&lt;="&amp;M30,MOT_HASTA,"&gt;="&amp;M30)</f>
        <v/>
      </c>
      <c r="BW30" s="3">
        <f>SUMIFS(COMB_AJUSTE,COMB_COMB,K30)</f>
        <v/>
      </c>
      <c r="BX30" s="3">
        <f>COUNTIFS(MOT_MOTOR,G30,MOT_MARCA,E30,MOT_DESDE,"&lt;="&amp;M30,MOT_HASTA,"&gt;="&amp;M30)+COUNTIFS(MOT_MOTOR,G30,MOT_MARCA,"(todas)",MOT_DESDE,"&lt;="&amp;M30,MOT_HASTA,"&gt;="&amp;M30)+COUNTIFS(MOT_MOTOR,"(cualquiera)",MOT_MARCA,E30,MOT_DESDE,"&lt;="&amp;M30,MOT_HASTA,"&gt;="&amp;M30)</f>
        <v/>
      </c>
      <c r="BY30" s="3">
        <f>IF(AND(K30="diesel",BX30=0),MIN(BU30,NEUTRO),BU30)</f>
        <v/>
      </c>
      <c r="BZ30" s="3">
        <f>MAX(0,MIN(100,BY30+BV30+BW30-IF(AV30="sí",ROB_PEN,0)))</f>
        <v/>
      </c>
      <c r="CA30" s="3">
        <f>100-MAX(0,N30-KM_TOPE_DESDE)/1000*KM_TOPE_PTS</f>
        <v/>
      </c>
      <c r="CB30" s="3">
        <f>MAX(0,MIN(100,50+BN30*PRECIO_PEND,CA30))</f>
        <v/>
      </c>
      <c r="CC30" s="3">
        <f>MAX(0,100*(1-N30/KM_MAX))</f>
        <v/>
      </c>
      <c r="CD30" s="3">
        <f>IF(BE30&lt;KMA_SOSP,IF(AA30="sí",100,KMA_PEN),IF(BE30&lt;=KMA_IDEAL_MAX,100,MAX(0,100*(KMA_CERO-BE30)/(KMA_CERO-KMA_IDEAL_MAX))))</f>
        <v/>
      </c>
      <c r="CE30" s="3">
        <f>MAX(0,MIN(100,100*(M30-ANIO_MIN)/(ANIO_ACTUAL-ANIO_MIN)))</f>
        <v/>
      </c>
      <c r="CF30" s="3">
        <f>W_KMT*CC30+W_KMA*CD30+W_EDAD*CE30</f>
        <v/>
      </c>
      <c r="CG30" s="3">
        <f>P_ITV*(V30="sí")+P_LIBRO*(W30="sí")+P_CORREA*(X30="sí")+P_PROP*(Y30=1)+P_GAR*(Z30="sí")+P_FOTOS*MIN(1,N(U30)/FOTOS_OBJ)</f>
        <v/>
      </c>
      <c r="CH30" s="3">
        <f>MAX(0,MIN(100,IFERROR(VLOOKUP(BS30,ETQ_TBL,2,0),0)-IF(BT30="sí",ETQ_PEN_DUD,IF(AS30="regla",ETQ_PEN_REGLA,0))))</f>
        <v/>
      </c>
      <c r="CI30" s="3">
        <f>NEUTRO</f>
        <v/>
      </c>
      <c r="CJ30" s="3">
        <f>IFERROR(VLOOKUP(L30,SEGURO_TBL,3,0),"")</f>
        <v/>
      </c>
      <c r="CK30" s="3">
        <f>IF(CJ30="",NEUTRO,MAX(0,MIN(100,100*(SEG_REF_MAX-CJ30)/(SEG_REF_MAX-SEG_REF_MIN))))</f>
        <v/>
      </c>
      <c r="CL30" s="3">
        <f>W_CONS*CI30+W_SEG*CK30</f>
        <v/>
      </c>
      <c r="CM30" s="3">
        <f>IF(N(AB30)&gt;0,AB30,IF(AND(R30="profesional",SG_LEGAL_ON=1),GAR_LEGAL,0))</f>
        <v/>
      </c>
      <c r="CN30" s="3">
        <f>SG_GAR*MIN(1,CM30/SG_GAR_FULL)+SG_AMPL*(AC30="sí")+SG_KMC*(AF30="sí")+SG_REV*(N(AE30)&gt;0)+SG_DEV*MIN(1,N(AG30)/SG_DEV_FULL)+SG_HIST*(W30="sí")</f>
        <v/>
      </c>
      <c r="CO30" s="3">
        <f>IFERROR(VLOOKUP(L30,CARR_PEN_TBL,2,0),0)</f>
        <v/>
      </c>
      <c r="CP30" s="3">
        <f>W_FIAB*BZ30+W_PRECIO*CB30+W_KMEDAD*CF30+W_ANUNCIO*CG30+W_USO*CL30+W_SEGURIDAD*CN30+W_ETIQUETA*CH30-CO30</f>
        <v/>
      </c>
      <c r="CQ30" s="4">
        <f>IF(N(I30)&gt;0,I30,IFERROR(ROUND(_xlfn.NUMBERVALUE(LEFT(G30,FIND(" ",G30&amp;" ")-1),".")*1000,0),99999))</f>
        <v/>
      </c>
      <c r="CR30" s="3">
        <f>IF(R30="profesional",0,IF(O30&lt;CUOTA_VALOR_MAX,IF(BD30&gt;ITP_TRAMO_ALTO,SUMIFS(CF_CUOTA,CF_MAS,ITP_TRAMO_ALTO,CF_CCMIN,"&lt;="&amp;CQ30,CF_CCMAX,"&gt;="&amp;CQ30),IF(BD30&gt;ITP_TRAMO_BAJO,SUMIFS(CF_CUOTA,CF_MAS,ITP_TRAMO_BAJO,CF_CCMIN,"&lt;="&amp;CQ30,CF_CCMAX,"&gt;="&amp;CQ30),O30*ITP_TIPO)),O30*ITP_TIPO))</f>
        <v/>
      </c>
      <c r="CS30" s="4">
        <f>IF(R30="profesional",N(AK30),0)</f>
        <v/>
      </c>
      <c r="CT30" s="3">
        <f>IF(AND(R30="profesional",ISNUMBER(AK30),AL30="sí"),0,TASA_DGT)</f>
        <v/>
      </c>
      <c r="CU30" s="3">
        <f>INFORME_DGT</f>
        <v/>
      </c>
      <c r="CV30" s="4">
        <f>O30+CS30+CR30+CT30+CU30</f>
        <v/>
      </c>
      <c r="CW30" s="4">
        <f>CV30+N(CJ30)</f>
        <v/>
      </c>
      <c r="CX30" s="3">
        <f>IF(CV30&lt;=TOTAL_MAX,"sí",IF(CV30&lt;=TOTAL_MAX+MARGEN_NEG,"negociar","no"))</f>
        <v/>
      </c>
      <c r="CY30" s="4">
        <f>IF(CX30&lt;&gt;"no",COUNTIFS($CX$2:$CX$101,"&lt;&gt;no",$CP$2:$CP$101,"&gt;"&amp;CP30)+COUNTIFS($CX$2:CX30,"&lt;&gt;no",$CP$2:CP30,CP30),"")</f>
        <v/>
      </c>
    </row>
    <row r="31">
      <c r="A31" s="2" t="inlineStr">
        <is>
          <t>ocasionplus:nu8qgqaj</t>
        </is>
      </c>
      <c r="B31" s="2" t="inlineStr">
        <is>
          <t>ocasionplus</t>
        </is>
      </c>
      <c r="C31" s="2" t="inlineStr">
        <is>
          <t>https://www.ocasionplus.com/coches-segunda-mano/opel-corsa-12-enjoy-mta-con-112793km-2007-nu8qgqaj</t>
        </is>
      </c>
      <c r="D31" s="2" t="inlineStr">
        <is>
          <t>Opel Corsa 1.2 Enjoy MTA (80 CV)</t>
        </is>
      </c>
      <c r="E31" s="2" t="inlineStr">
        <is>
          <t>Opel</t>
        </is>
      </c>
      <c r="F31" s="2" t="inlineStr">
        <is>
          <t>Opel Corsa</t>
        </is>
      </c>
      <c r="G31" s="2" t="inlineStr">
        <is>
          <t>1.2</t>
        </is>
      </c>
      <c r="H31" s="2" t="inlineStr">
        <is>
          <t>Opel Corsa 1.2 Enjoy MTA (80 CV)</t>
        </is>
      </c>
      <c r="I31" s="2" t="n">
        <v>1229</v>
      </c>
      <c r="J31" s="2" t="n">
        <v>80</v>
      </c>
      <c r="K31" s="2" t="inlineStr">
        <is>
          <t>gasolina</t>
        </is>
      </c>
      <c r="L31" s="2" t="inlineStr">
        <is>
          <t>utilitario</t>
        </is>
      </c>
      <c r="M31" s="2" t="n">
        <v>2007</v>
      </c>
      <c r="N31" s="2" t="n">
        <v>112793</v>
      </c>
      <c r="O31" s="2" t="n">
        <v>2900</v>
      </c>
      <c r="P31" s="2" t="n"/>
      <c r="Q31" s="2" t="n"/>
      <c r="R31" s="2" t="inlineStr">
        <is>
          <t>profesional</t>
        </is>
      </c>
      <c r="S31" s="2" t="inlineStr">
        <is>
          <t>Valencia - Pista De Silla (Massanassa, 46470)</t>
        </is>
      </c>
      <c r="T31" s="2" t="inlineStr">
        <is>
          <t>2026-02-18T00:00:00.000Z</t>
        </is>
      </c>
      <c r="U31" s="2" t="n">
        <v>33</v>
      </c>
      <c r="V31" s="2" t="inlineStr">
        <is>
          <t>sí</t>
        </is>
      </c>
      <c r="W31" s="2" t="n"/>
      <c r="X31" s="2" t="n"/>
      <c r="Y31" s="2" t="n">
        <v>0</v>
      </c>
      <c r="Z31" s="2" t="n"/>
      <c r="AA31" s="2" t="n"/>
      <c r="AB31" s="2" t="n"/>
      <c r="AC31" s="2" t="inlineStr">
        <is>
          <t>sí</t>
        </is>
      </c>
      <c r="AD31" s="2" t="n">
        <v>500</v>
      </c>
      <c r="AE31" s="2" t="n"/>
      <c r="AF31" s="2" t="inlineStr">
        <is>
          <t>sí</t>
        </is>
      </c>
      <c r="AG31" s="2" t="n"/>
      <c r="AH31" s="2" t="n">
        <v>2900</v>
      </c>
      <c r="AI31" s="2" t="n">
        <v>2300</v>
      </c>
      <c r="AJ31" s="2" t="inlineStr">
        <is>
          <t>sí</t>
        </is>
      </c>
      <c r="AK31" s="2" t="n">
        <v>350</v>
      </c>
      <c r="AL31" s="2" t="inlineStr">
        <is>
          <t>sí</t>
        </is>
      </c>
      <c r="AM31" s="2" t="n">
        <v>7.8</v>
      </c>
      <c r="AN31" s="2" t="inlineStr">
        <is>
          <t>0220FKN</t>
        </is>
      </c>
      <c r="AO31" s="2" t="inlineStr">
        <is>
          <t>2007-01-19</t>
        </is>
      </c>
      <c r="AP31" s="2" t="n">
        <v>2007</v>
      </c>
      <c r="AQ31" s="2" t="n">
        <v>1</v>
      </c>
      <c r="AR31" s="2" t="inlineStr">
        <is>
          <t>C</t>
        </is>
      </c>
      <c r="AS31" s="2" t="inlineStr">
        <is>
          <t>DGT</t>
        </is>
      </c>
      <c r="AT31" s="2" t="n"/>
      <c r="AU31" s="2" t="inlineStr">
        <is>
          <t>no</t>
        </is>
      </c>
      <c r="AV31" s="2" t="inlineStr">
        <is>
          <t>sí</t>
        </is>
      </c>
      <c r="AW31" s="2" t="n">
        <v>3600</v>
      </c>
      <c r="AX31" s="2" t="n">
        <v>9</v>
      </c>
      <c r="AY31" s="2" t="inlineStr">
        <is>
          <t>modelo+año+km</t>
        </is>
      </c>
      <c r="AZ31" s="2" t="n"/>
      <c r="BA31" s="2" t="inlineStr">
        <is>
          <t>vendedor profesional: sin ITP (operación con IVA/REBU, confirmar en factura); el precio anunciado (2.300 €) solo vale financiando; se usa el precio al contado; caja robotizada (mta): -10 en fiabilidad; revisar: no menciona la ITV</t>
        </is>
      </c>
      <c r="BB31" s="2" t="inlineStr">
        <is>
          <t>Opel Corsa 1.2 Enjoy MTA (80 CV)</t>
        </is>
      </c>
      <c r="BC31" s="2" t="inlineStr">
        <is>
          <t>https://www.ocasionplus.com/coches-segunda-mano/opel-corsa-12-enjoy-mta-con-112793km-2007-nu8qgqaj (payload RSC 'vehicle') /home/user/Alopecia/buscador-coches/raw/ocasionplus/f57149c007dd3ca5.json</t>
        </is>
      </c>
      <c r="BD31" s="3">
        <f>MAX(ANIO_ACTUAL-M31,0)</f>
        <v/>
      </c>
      <c r="BE31" s="4">
        <f>N31/MAX(BD31,0.5)</f>
        <v/>
      </c>
      <c r="BF31" s="4">
        <f>F31</f>
        <v/>
      </c>
      <c r="BG31" s="3">
        <f>BF31&amp;"|"&amp;INT(M31/SEG_ANIO)*SEG_ANIO</f>
        <v/>
      </c>
      <c r="BH31" s="3">
        <f>BG31&amp;"|"&amp;INT(N31/SEG_KM)*SEG_KM</f>
        <v/>
      </c>
      <c r="BI31" s="4">
        <f>COUNTIF($BF$2:$BF$101,BF31)</f>
        <v/>
      </c>
      <c r="BJ31" s="4">
        <f>COUNTIF($BG$2:$BG$101,BG31)</f>
        <v/>
      </c>
      <c r="BK31" s="4">
        <f>COUNTIF($BH$2:$BH$101,BH31)</f>
        <v/>
      </c>
      <c r="BL31" s="3">
        <f t="array" ref="BL31">IF(N(AX31)&gt;=MIN_N,AW31,IF(BK31&gt;=MIN_N,MEDIAN(IF($BH$2:$BH$101=BH31,$O$2:$O$101)),IF(BJ31&gt;=MIN_N,MEDIAN(IF($BG$2:$BG$101=BG31,$O$2:$O$101)),MEDIAN(IF($BF$2:$BF$101=BF31,$O$2:$O$101)))))</f>
        <v/>
      </c>
      <c r="BM31" s="3">
        <f>IF(N(AX31)&gt;=MIN_N,"mercado "&amp;AY31,IF(BK31&gt;=MIN_N,"modelo+año+km",IF(BJ31&gt;=MIN_N,"modelo+año","modelo")))</f>
        <v/>
      </c>
      <c r="BN31" s="4">
        <f>(BL31-O31)/BL31</f>
        <v/>
      </c>
      <c r="BO31" s="3">
        <f>IF(COUNTIFS(FR_FUEL,K31,FR_YEAR,AP31)&gt;0,1,0)</f>
        <v/>
      </c>
      <c r="BP31" s="3">
        <f>IF(COUNTIFS(FR_FUEL,K31,FR_YEAR,AP31-1)&gt;0,1,0)</f>
        <v/>
      </c>
      <c r="BQ31" s="4">
        <f>IF(N(AQ31)&gt;0,AP31*100+AQ31,IF(AND(BO31=1,BP31=1),(AP31-1)*100+1,AP31*100+1))</f>
        <v/>
      </c>
      <c r="BR31" s="3">
        <f>IF(OR(K31="hibrido",K31="glp",K31="gnc",K31="phev"),"ECO",IF(K31="electrico","CERO",IF(K31="gasolina",IF(BQ31&gt;=GAS_C_YM,"C",IF(BQ31&gt;=GAS_B_YM,"B","A")),IF(K31="diesel",IF(BQ31&gt;=DIE_C_YM,"C",IF(BQ31&gt;=DIE_B_YM,"B","A")),""))))</f>
        <v/>
      </c>
      <c r="BS31" s="2" t="inlineStr">
        <is>
          <t>C</t>
        </is>
      </c>
      <c r="BT31" s="4">
        <f>IF(AU31="sí","sí",IF(AS31="regla",IF(AND(N(AQ31)=0,BO31=1),"sí","no"),"no"))</f>
        <v/>
      </c>
      <c r="BU31" s="3">
        <f>IFERROR(VLOOKUP(F31,MOD_TBL,16,0),IFERROR(VLOOKUP(E31,OCU_TBL,2,0),NEUTRO))</f>
        <v/>
      </c>
      <c r="BV31" s="3">
        <f>SUMIFS(MOT_AJUSTE,MOT_MOTOR,G31,MOT_MARCA,E31,MOT_DESDE,"&lt;="&amp;M31,MOT_HASTA,"&gt;="&amp;M31)+SUMIFS(MOT_AJUSTE,MOT_MOTOR,G31,MOT_MARCA,"(todas)",MOT_DESDE,"&lt;="&amp;M31,MOT_HASTA,"&gt;="&amp;M31)+SUMIFS(MOT_AJUSTE,MOT_MOTOR,"(cualquiera)",MOT_MARCA,E31,MOT_DESDE,"&lt;="&amp;M31,MOT_HASTA,"&gt;="&amp;M31)</f>
        <v/>
      </c>
      <c r="BW31" s="3">
        <f>SUMIFS(COMB_AJUSTE,COMB_COMB,K31)</f>
        <v/>
      </c>
      <c r="BX31" s="3">
        <f>COUNTIFS(MOT_MOTOR,G31,MOT_MARCA,E31,MOT_DESDE,"&lt;="&amp;M31,MOT_HASTA,"&gt;="&amp;M31)+COUNTIFS(MOT_MOTOR,G31,MOT_MARCA,"(todas)",MOT_DESDE,"&lt;="&amp;M31,MOT_HASTA,"&gt;="&amp;M31)+COUNTIFS(MOT_MOTOR,"(cualquiera)",MOT_MARCA,E31,MOT_DESDE,"&lt;="&amp;M31,MOT_HASTA,"&gt;="&amp;M31)</f>
        <v/>
      </c>
      <c r="BY31" s="3">
        <f>IF(AND(K31="diesel",BX31=0),MIN(BU31,NEUTRO),BU31)</f>
        <v/>
      </c>
      <c r="BZ31" s="3">
        <f>MAX(0,MIN(100,BY31+BV31+BW31-IF(AV31="sí",ROB_PEN,0)))</f>
        <v/>
      </c>
      <c r="CA31" s="3">
        <f>100-MAX(0,N31-KM_TOPE_DESDE)/1000*KM_TOPE_PTS</f>
        <v/>
      </c>
      <c r="CB31" s="3">
        <f>MAX(0,MIN(100,50+BN31*PRECIO_PEND,CA31))</f>
        <v/>
      </c>
      <c r="CC31" s="3">
        <f>MAX(0,100*(1-N31/KM_MAX))</f>
        <v/>
      </c>
      <c r="CD31" s="3">
        <f>IF(BE31&lt;KMA_SOSP,IF(AA31="sí",100,KMA_PEN),IF(BE31&lt;=KMA_IDEAL_MAX,100,MAX(0,100*(KMA_CERO-BE31)/(KMA_CERO-KMA_IDEAL_MAX))))</f>
        <v/>
      </c>
      <c r="CE31" s="3">
        <f>MAX(0,MIN(100,100*(M31-ANIO_MIN)/(ANIO_ACTUAL-ANIO_MIN)))</f>
        <v/>
      </c>
      <c r="CF31" s="3">
        <f>W_KMT*CC31+W_KMA*CD31+W_EDAD*CE31</f>
        <v/>
      </c>
      <c r="CG31" s="3">
        <f>P_ITV*(V31="sí")+P_LIBRO*(W31="sí")+P_CORREA*(X31="sí")+P_PROP*(Y31=1)+P_GAR*(Z31="sí")+P_FOTOS*MIN(1,N(U31)/FOTOS_OBJ)</f>
        <v/>
      </c>
      <c r="CH31" s="3">
        <f>MAX(0,MIN(100,IFERROR(VLOOKUP(BS31,ETQ_TBL,2,0),0)-IF(BT31="sí",ETQ_PEN_DUD,IF(AS31="regla",ETQ_PEN_REGLA,0))))</f>
        <v/>
      </c>
      <c r="CI31" s="3">
        <f>NEUTRO</f>
        <v/>
      </c>
      <c r="CJ31" s="3">
        <f>IFERROR(VLOOKUP(L31,SEGURO_TBL,3,0),"")</f>
        <v/>
      </c>
      <c r="CK31" s="3">
        <f>IF(CJ31="",NEUTRO,MAX(0,MIN(100,100*(SEG_REF_MAX-CJ31)/(SEG_REF_MAX-SEG_REF_MIN))))</f>
        <v/>
      </c>
      <c r="CL31" s="3">
        <f>W_CONS*CI31+W_SEG*CK31</f>
        <v/>
      </c>
      <c r="CM31" s="3">
        <f>IF(N(AB31)&gt;0,AB31,IF(AND(R31="profesional",SG_LEGAL_ON=1),GAR_LEGAL,0))</f>
        <v/>
      </c>
      <c r="CN31" s="3">
        <f>SG_GAR*MIN(1,CM31/SG_GAR_FULL)+SG_AMPL*(AC31="sí")+SG_KMC*(AF31="sí")+SG_REV*(N(AE31)&gt;0)+SG_DEV*MIN(1,N(AG31)/SG_DEV_FULL)+SG_HIST*(W31="sí")</f>
        <v/>
      </c>
      <c r="CO31" s="3">
        <f>IFERROR(VLOOKUP(L31,CARR_PEN_TBL,2,0),0)</f>
        <v/>
      </c>
      <c r="CP31" s="3">
        <f>W_FIAB*BZ31+W_PRECIO*CB31+W_KMEDAD*CF31+W_ANUNCIO*CG31+W_USO*CL31+W_SEGURIDAD*CN31+W_ETIQUETA*CH31-CO31</f>
        <v/>
      </c>
      <c r="CQ31" s="4">
        <f>IF(N(I31)&gt;0,I31,IFERROR(ROUND(_xlfn.NUMBERVALUE(LEFT(G31,FIND(" ",G31&amp;" ")-1),".")*1000,0),99999))</f>
        <v/>
      </c>
      <c r="CR31" s="3">
        <f>IF(R31="profesional",0,IF(O31&lt;CUOTA_VALOR_MAX,IF(BD31&gt;ITP_TRAMO_ALTO,SUMIFS(CF_CUOTA,CF_MAS,ITP_TRAMO_ALTO,CF_CCMIN,"&lt;="&amp;CQ31,CF_CCMAX,"&gt;="&amp;CQ31),IF(BD31&gt;ITP_TRAMO_BAJO,SUMIFS(CF_CUOTA,CF_MAS,ITP_TRAMO_BAJO,CF_CCMIN,"&lt;="&amp;CQ31,CF_CCMAX,"&gt;="&amp;CQ31),O31*ITP_TIPO)),O31*ITP_TIPO))</f>
        <v/>
      </c>
      <c r="CS31" s="4">
        <f>IF(R31="profesional",N(AK31),0)</f>
        <v/>
      </c>
      <c r="CT31" s="3">
        <f>IF(AND(R31="profesional",ISNUMBER(AK31),AL31="sí"),0,TASA_DGT)</f>
        <v/>
      </c>
      <c r="CU31" s="3">
        <f>INFORME_DGT</f>
        <v/>
      </c>
      <c r="CV31" s="4">
        <f>O31+CS31+CR31+CT31+CU31</f>
        <v/>
      </c>
      <c r="CW31" s="4">
        <f>CV31+N(CJ31)</f>
        <v/>
      </c>
      <c r="CX31" s="3">
        <f>IF(CV31&lt;=TOTAL_MAX,"sí",IF(CV31&lt;=TOTAL_MAX+MARGEN_NEG,"negociar","no"))</f>
        <v/>
      </c>
      <c r="CY31" s="4">
        <f>IF(CX31&lt;&gt;"no",COUNTIFS($CX$2:$CX$101,"&lt;&gt;no",$CP$2:$CP$101,"&gt;"&amp;CP31)+COUNTIFS($CX$2:CX31,"&lt;&gt;no",$CP$2:CP31,CP31),"")</f>
        <v/>
      </c>
    </row>
    <row r="32">
      <c r="A32" s="2" t="inlineStr">
        <is>
          <t>ocasionplus:2006</t>
        </is>
      </c>
      <c r="B32" s="2" t="inlineStr">
        <is>
          <t>ocasionplus</t>
        </is>
      </c>
      <c r="C32" s="2" t="inlineStr">
        <is>
          <t>https://www.ocasionplus.com/coches-segunda-mano/fiat-panda-12-dynamic-con-213136km-2006</t>
        </is>
      </c>
      <c r="D32" s="2" t="inlineStr">
        <is>
          <t>Fiat Panda 1.2 Dynamic (60 CV)</t>
        </is>
      </c>
      <c r="E32" s="2" t="inlineStr">
        <is>
          <t>Fiat</t>
        </is>
      </c>
      <c r="F32" s="2" t="inlineStr">
        <is>
          <t>Fiat Panda</t>
        </is>
      </c>
      <c r="G32" s="2" t="inlineStr">
        <is>
          <t>1.2</t>
        </is>
      </c>
      <c r="H32" s="2" t="inlineStr">
        <is>
          <t>Fiat Panda 1.2 Dynamic (60 CV)</t>
        </is>
      </c>
      <c r="I32" s="2" t="n">
        <v>1242</v>
      </c>
      <c r="J32" s="2" t="n">
        <v>60</v>
      </c>
      <c r="K32" s="2" t="inlineStr">
        <is>
          <t>gasolina</t>
        </is>
      </c>
      <c r="L32" s="2" t="inlineStr">
        <is>
          <t>utilitario</t>
        </is>
      </c>
      <c r="M32" s="2" t="n">
        <v>2006</v>
      </c>
      <c r="N32" s="2" t="n">
        <v>213136</v>
      </c>
      <c r="O32" s="2" t="n">
        <v>2200</v>
      </c>
      <c r="P32" s="2" t="inlineStr">
        <is>
          <t>manual</t>
        </is>
      </c>
      <c r="Q32" s="2" t="inlineStr">
        <is>
          <t>no</t>
        </is>
      </c>
      <c r="R32" s="2" t="inlineStr">
        <is>
          <t>profesional</t>
        </is>
      </c>
      <c r="S32" s="2" t="inlineStr">
        <is>
          <t>Valencia - Alzira (Alzira, 46600)</t>
        </is>
      </c>
      <c r="T32" s="2" t="inlineStr">
        <is>
          <t>2024-05-07T13:27:20.000Z</t>
        </is>
      </c>
      <c r="U32" s="2" t="n">
        <v>23</v>
      </c>
      <c r="V32" s="2" t="inlineStr">
        <is>
          <t>sí</t>
        </is>
      </c>
      <c r="W32" s="2" t="n"/>
      <c r="X32" s="2" t="n"/>
      <c r="Y32" s="2" t="n">
        <v>0</v>
      </c>
      <c r="Z32" s="2" t="n"/>
      <c r="AA32" s="2" t="n"/>
      <c r="AB32" s="2" t="n"/>
      <c r="AC32" s="2" t="inlineStr">
        <is>
          <t>sí</t>
        </is>
      </c>
      <c r="AD32" s="2" t="n">
        <v>500</v>
      </c>
      <c r="AE32" s="2" t="n"/>
      <c r="AF32" s="2" t="inlineStr">
        <is>
          <t>sí</t>
        </is>
      </c>
      <c r="AG32" s="2" t="n"/>
      <c r="AH32" s="2" t="n">
        <v>2200</v>
      </c>
      <c r="AI32" s="2" t="n">
        <v>2200</v>
      </c>
      <c r="AJ32" s="2" t="inlineStr">
        <is>
          <t>no</t>
        </is>
      </c>
      <c r="AK32" s="2" t="n">
        <v>350</v>
      </c>
      <c r="AL32" s="2" t="inlineStr">
        <is>
          <t>sí</t>
        </is>
      </c>
      <c r="AM32" s="2" t="n">
        <v>35.7</v>
      </c>
      <c r="AN32" s="2" t="inlineStr">
        <is>
          <t>9605FDM</t>
        </is>
      </c>
      <c r="AO32" s="2" t="inlineStr">
        <is>
          <t>2006-07-31</t>
        </is>
      </c>
      <c r="AP32" s="2" t="n">
        <v>2006</v>
      </c>
      <c r="AQ32" s="2" t="n">
        <v>7</v>
      </c>
      <c r="AR32" s="2" t="inlineStr">
        <is>
          <t>C</t>
        </is>
      </c>
      <c r="AS32" s="2" t="inlineStr">
        <is>
          <t>DGT</t>
        </is>
      </c>
      <c r="AT32" s="2" t="n"/>
      <c r="AU32" s="2" t="inlineStr">
        <is>
          <t>no</t>
        </is>
      </c>
      <c r="AV32" s="2" t="inlineStr">
        <is>
          <t>no</t>
        </is>
      </c>
      <c r="AW32" s="2" t="n"/>
      <c r="AX32" s="2" t="n"/>
      <c r="AY32" s="2" t="n"/>
      <c r="AZ32" s="2" t="n"/>
      <c r="BA32" s="2" t="inlineStr">
        <is>
          <t>vendedor profesional: sin ITP (operación con IVA/REBU, confirmar en factura); revisar: no menciona la ITV; mediana con solo 1 anuncio(s)</t>
        </is>
      </c>
      <c r="BB32" s="2" t="inlineStr">
        <is>
          <t>Fiat Panda 1.2 Dynamic (60 CV)</t>
        </is>
      </c>
      <c r="BC32" s="2" t="inlineStr">
        <is>
          <t>https://www.ocasionplus.com/coches-segunda-mano/fiat-panda-12-dynamic-con-213136km-2006 (payload RSC 'vehicle') /home/user/Alopecia/buscador-coches/raw/ocasionplus/36fb1d575186ed5c.json</t>
        </is>
      </c>
      <c r="BD32" s="3">
        <f>MAX(ANIO_ACTUAL-M32,0)</f>
        <v/>
      </c>
      <c r="BE32" s="4">
        <f>N32/MAX(BD32,0.5)</f>
        <v/>
      </c>
      <c r="BF32" s="4">
        <f>F32</f>
        <v/>
      </c>
      <c r="BG32" s="3">
        <f>BF32&amp;"|"&amp;INT(M32/SEG_ANIO)*SEG_ANIO</f>
        <v/>
      </c>
      <c r="BH32" s="3">
        <f>BG32&amp;"|"&amp;INT(N32/SEG_KM)*SEG_KM</f>
        <v/>
      </c>
      <c r="BI32" s="4">
        <f>COUNTIF($BF$2:$BF$101,BF32)</f>
        <v/>
      </c>
      <c r="BJ32" s="4">
        <f>COUNTIF($BG$2:$BG$101,BG32)</f>
        <v/>
      </c>
      <c r="BK32" s="4">
        <f>COUNTIF($BH$2:$BH$101,BH32)</f>
        <v/>
      </c>
      <c r="BL32" s="3">
        <f t="array" ref="BL32">IF(N(AX32)&gt;=MIN_N,AW32,IF(BK32&gt;=MIN_N,MEDIAN(IF($BH$2:$BH$101=BH32,$O$2:$O$101)),IF(BJ32&gt;=MIN_N,MEDIAN(IF($BG$2:$BG$101=BG32,$O$2:$O$101)),MEDIAN(IF($BF$2:$BF$101=BF32,$O$2:$O$101)))))</f>
        <v/>
      </c>
      <c r="BM32" s="3">
        <f>IF(N(AX32)&gt;=MIN_N,"mercado "&amp;AY32,IF(BK32&gt;=MIN_N,"modelo+año+km",IF(BJ32&gt;=MIN_N,"modelo+año","modelo")))</f>
        <v/>
      </c>
      <c r="BN32" s="4">
        <f>(BL32-O32)/BL32</f>
        <v/>
      </c>
      <c r="BO32" s="3">
        <f>IF(COUNTIFS(FR_FUEL,K32,FR_YEAR,AP32)&gt;0,1,0)</f>
        <v/>
      </c>
      <c r="BP32" s="3">
        <f>IF(COUNTIFS(FR_FUEL,K32,FR_YEAR,AP32-1)&gt;0,1,0)</f>
        <v/>
      </c>
      <c r="BQ32" s="4">
        <f>IF(N(AQ32)&gt;0,AP32*100+AQ32,IF(AND(BO32=1,BP32=1),(AP32-1)*100+1,AP32*100+1))</f>
        <v/>
      </c>
      <c r="BR32" s="3">
        <f>IF(OR(K32="hibrido",K32="glp",K32="gnc",K32="phev"),"ECO",IF(K32="electrico","CERO",IF(K32="gasolina",IF(BQ32&gt;=GAS_C_YM,"C",IF(BQ32&gt;=GAS_B_YM,"B","A")),IF(K32="diesel",IF(BQ32&gt;=DIE_C_YM,"C",IF(BQ32&gt;=DIE_B_YM,"B","A")),""))))</f>
        <v/>
      </c>
      <c r="BS32" s="2" t="inlineStr">
        <is>
          <t>C</t>
        </is>
      </c>
      <c r="BT32" s="4">
        <f>IF(AU32="sí","sí",IF(AS32="regla",IF(AND(N(AQ32)=0,BO32=1),"sí","no"),"no"))</f>
        <v/>
      </c>
      <c r="BU32" s="3">
        <f>IFERROR(VLOOKUP(F32,MOD_TBL,16,0),IFERROR(VLOOKUP(E32,OCU_TBL,2,0),NEUTRO))</f>
        <v/>
      </c>
      <c r="BV32" s="3">
        <f>SUMIFS(MOT_AJUSTE,MOT_MOTOR,G32,MOT_MARCA,E32,MOT_DESDE,"&lt;="&amp;M32,MOT_HASTA,"&gt;="&amp;M32)+SUMIFS(MOT_AJUSTE,MOT_MOTOR,G32,MOT_MARCA,"(todas)",MOT_DESDE,"&lt;="&amp;M32,MOT_HASTA,"&gt;="&amp;M32)+SUMIFS(MOT_AJUSTE,MOT_MOTOR,"(cualquiera)",MOT_MARCA,E32,MOT_DESDE,"&lt;="&amp;M32,MOT_HASTA,"&gt;="&amp;M32)</f>
        <v/>
      </c>
      <c r="BW32" s="3">
        <f>SUMIFS(COMB_AJUSTE,COMB_COMB,K32)</f>
        <v/>
      </c>
      <c r="BX32" s="3">
        <f>COUNTIFS(MOT_MOTOR,G32,MOT_MARCA,E32,MOT_DESDE,"&lt;="&amp;M32,MOT_HASTA,"&gt;="&amp;M32)+COUNTIFS(MOT_MOTOR,G32,MOT_MARCA,"(todas)",MOT_DESDE,"&lt;="&amp;M32,MOT_HASTA,"&gt;="&amp;M32)+COUNTIFS(MOT_MOTOR,"(cualquiera)",MOT_MARCA,E32,MOT_DESDE,"&lt;="&amp;M32,MOT_HASTA,"&gt;="&amp;M32)</f>
        <v/>
      </c>
      <c r="BY32" s="3">
        <f>IF(AND(K32="diesel",BX32=0),MIN(BU32,NEUTRO),BU32)</f>
        <v/>
      </c>
      <c r="BZ32" s="3">
        <f>MAX(0,MIN(100,BY32+BV32+BW32-IF(AV32="sí",ROB_PEN,0)))</f>
        <v/>
      </c>
      <c r="CA32" s="3">
        <f>100-MAX(0,N32-KM_TOPE_DESDE)/1000*KM_TOPE_PTS</f>
        <v/>
      </c>
      <c r="CB32" s="3">
        <f>MAX(0,MIN(100,50+BN32*PRECIO_PEND,CA32))</f>
        <v/>
      </c>
      <c r="CC32" s="3">
        <f>MAX(0,100*(1-N32/KM_MAX))</f>
        <v/>
      </c>
      <c r="CD32" s="3">
        <f>IF(BE32&lt;KMA_SOSP,IF(AA32="sí",100,KMA_PEN),IF(BE32&lt;=KMA_IDEAL_MAX,100,MAX(0,100*(KMA_CERO-BE32)/(KMA_CERO-KMA_IDEAL_MAX))))</f>
        <v/>
      </c>
      <c r="CE32" s="3">
        <f>MAX(0,MIN(100,100*(M32-ANIO_MIN)/(ANIO_ACTUAL-ANIO_MIN)))</f>
        <v/>
      </c>
      <c r="CF32" s="3">
        <f>W_KMT*CC32+W_KMA*CD32+W_EDAD*CE32</f>
        <v/>
      </c>
      <c r="CG32" s="3">
        <f>P_ITV*(V32="sí")+P_LIBRO*(W32="sí")+P_CORREA*(X32="sí")+P_PROP*(Y32=1)+P_GAR*(Z32="sí")+P_FOTOS*MIN(1,N(U32)/FOTOS_OBJ)</f>
        <v/>
      </c>
      <c r="CH32" s="3">
        <f>MAX(0,MIN(100,IFERROR(VLOOKUP(BS32,ETQ_TBL,2,0),0)-IF(BT32="sí",ETQ_PEN_DUD,IF(AS32="regla",ETQ_PEN_REGLA,0))))</f>
        <v/>
      </c>
      <c r="CI32" s="3">
        <f>NEUTRO</f>
        <v/>
      </c>
      <c r="CJ32" s="3">
        <f>IFERROR(VLOOKUP(L32,SEGURO_TBL,3,0),"")</f>
        <v/>
      </c>
      <c r="CK32" s="3">
        <f>IF(CJ32="",NEUTRO,MAX(0,MIN(100,100*(SEG_REF_MAX-CJ32)/(SEG_REF_MAX-SEG_REF_MIN))))</f>
        <v/>
      </c>
      <c r="CL32" s="3">
        <f>W_CONS*CI32+W_SEG*CK32</f>
        <v/>
      </c>
      <c r="CM32" s="3">
        <f>IF(N(AB32)&gt;0,AB32,IF(AND(R32="profesional",SG_LEGAL_ON=1),GAR_LEGAL,0))</f>
        <v/>
      </c>
      <c r="CN32" s="3">
        <f>SG_GAR*MIN(1,CM32/SG_GAR_FULL)+SG_AMPL*(AC32="sí")+SG_KMC*(AF32="sí")+SG_REV*(N(AE32)&gt;0)+SG_DEV*MIN(1,N(AG32)/SG_DEV_FULL)+SG_HIST*(W32="sí")</f>
        <v/>
      </c>
      <c r="CO32" s="3">
        <f>IFERROR(VLOOKUP(L32,CARR_PEN_TBL,2,0),0)</f>
        <v/>
      </c>
      <c r="CP32" s="3">
        <f>W_FIAB*BZ32+W_PRECIO*CB32+W_KMEDAD*CF32+W_ANUNCIO*CG32+W_USO*CL32+W_SEGURIDAD*CN32+W_ETIQUETA*CH32-CO32</f>
        <v/>
      </c>
      <c r="CQ32" s="4">
        <f>IF(N(I32)&gt;0,I32,IFERROR(ROUND(_xlfn.NUMBERVALUE(LEFT(G32,FIND(" ",G32&amp;" ")-1),".")*1000,0),99999))</f>
        <v/>
      </c>
      <c r="CR32" s="3">
        <f>IF(R32="profesional",0,IF(O32&lt;CUOTA_VALOR_MAX,IF(BD32&gt;ITP_TRAMO_ALTO,SUMIFS(CF_CUOTA,CF_MAS,ITP_TRAMO_ALTO,CF_CCMIN,"&lt;="&amp;CQ32,CF_CCMAX,"&gt;="&amp;CQ32),IF(BD32&gt;ITP_TRAMO_BAJO,SUMIFS(CF_CUOTA,CF_MAS,ITP_TRAMO_BAJO,CF_CCMIN,"&lt;="&amp;CQ32,CF_CCMAX,"&gt;="&amp;CQ32),O32*ITP_TIPO)),O32*ITP_TIPO))</f>
        <v/>
      </c>
      <c r="CS32" s="4">
        <f>IF(R32="profesional",N(AK32),0)</f>
        <v/>
      </c>
      <c r="CT32" s="3">
        <f>IF(AND(R32="profesional",ISNUMBER(AK32),AL32="sí"),0,TASA_DGT)</f>
        <v/>
      </c>
      <c r="CU32" s="3">
        <f>INFORME_DGT</f>
        <v/>
      </c>
      <c r="CV32" s="4">
        <f>O32+CS32+CR32+CT32+CU32</f>
        <v/>
      </c>
      <c r="CW32" s="4">
        <f>CV32+N(CJ32)</f>
        <v/>
      </c>
      <c r="CX32" s="3">
        <f>IF(CV32&lt;=TOTAL_MAX,"sí",IF(CV32&lt;=TOTAL_MAX+MARGEN_NEG,"negociar","no"))</f>
        <v/>
      </c>
      <c r="CY32" s="4">
        <f>IF(CX32&lt;&gt;"no",COUNTIFS($CX$2:$CX$101,"&lt;&gt;no",$CP$2:$CP$101,"&gt;"&amp;CP32)+COUNTIFS($CX$2:CX32,"&lt;&gt;no",$CP$2:CP32,CP32),"")</f>
        <v/>
      </c>
    </row>
    <row r="33">
      <c r="A33" s="2" t="inlineStr">
        <is>
          <t>cochesnet:71437236</t>
        </is>
      </c>
      <c r="B33" s="2" t="inlineStr">
        <is>
          <t>cochesnet</t>
        </is>
      </c>
      <c r="C33" s="2" t="inlineStr">
        <is>
          <t>https://www.coches.net/seat-ibiza-14-16v-75-cv-reference-5p-gasolina-2006-en-castellon-71437236-covo.aspx</t>
        </is>
      </c>
      <c r="D33" s="2" t="inlineStr">
        <is>
          <t>SEAT IBIZA 1.4 16V 75 CV REFERENCE</t>
        </is>
      </c>
      <c r="E33" s="2" t="inlineStr">
        <is>
          <t>Seat</t>
        </is>
      </c>
      <c r="F33" s="2" t="inlineStr">
        <is>
          <t>Seat Ibiza</t>
        </is>
      </c>
      <c r="G33" s="2" t="inlineStr">
        <is>
          <t>1.4</t>
        </is>
      </c>
      <c r="H33" s="2" t="inlineStr">
        <is>
          <t>1.4 16V 75 CV REFERENCE</t>
        </is>
      </c>
      <c r="I33" s="2" t="n"/>
      <c r="J33" s="2" t="n">
        <v>75</v>
      </c>
      <c r="K33" s="2" t="inlineStr">
        <is>
          <t>gasolina</t>
        </is>
      </c>
      <c r="L33" s="2" t="inlineStr">
        <is>
          <t>utilitario</t>
        </is>
      </c>
      <c r="M33" s="2" t="n">
        <v>2006</v>
      </c>
      <c r="N33" s="2" t="n">
        <v>170628</v>
      </c>
      <c r="O33" s="2" t="n">
        <v>4000</v>
      </c>
      <c r="P33" s="2" t="inlineStr">
        <is>
          <t>manual</t>
        </is>
      </c>
      <c r="Q33" s="2" t="inlineStr">
        <is>
          <t>no</t>
        </is>
      </c>
      <c r="R33" s="2" t="inlineStr">
        <is>
          <t>profesional</t>
        </is>
      </c>
      <c r="S33" s="2" t="inlineStr">
        <is>
          <t>Ocasionplus CASTELLÓN Castellón de la Plana / Castelló de la Plana</t>
        </is>
      </c>
      <c r="T33" s="2" t="inlineStr">
        <is>
          <t>2026-09-03T19:59:41Z</t>
        </is>
      </c>
      <c r="U33" s="2" t="n">
        <v>29</v>
      </c>
      <c r="V33" s="2" t="n"/>
      <c r="W33" s="2" t="n"/>
      <c r="X33" s="2" t="n"/>
      <c r="Y33" s="2" t="n"/>
      <c r="Z33" s="2" t="inlineStr">
        <is>
          <t>sí</t>
        </is>
      </c>
      <c r="AA33" s="2" t="n"/>
      <c r="AB33" s="2" t="n">
        <v>12</v>
      </c>
      <c r="AC33" s="2" t="n"/>
      <c r="AD33" s="2" t="n"/>
      <c r="AE33" s="2" t="n"/>
      <c r="AF33" s="2" t="n"/>
      <c r="AG33" s="2" t="n"/>
      <c r="AH33" s="2" t="n">
        <v>4000</v>
      </c>
      <c r="AI33" s="2" t="n">
        <v>4000</v>
      </c>
      <c r="AJ33" s="2" t="n"/>
      <c r="AK33" s="2" t="n"/>
      <c r="AL33" s="2" t="n"/>
      <c r="AM33" s="2" t="n"/>
      <c r="AN33" s="2" t="inlineStr">
        <is>
          <t>1000KMS</t>
        </is>
      </c>
      <c r="AO33" s="2" t="inlineStr">
        <is>
          <t>2006</t>
        </is>
      </c>
      <c r="AP33" s="2" t="n">
        <v>2006</v>
      </c>
      <c r="AQ33" s="2" t="n"/>
      <c r="AR33" s="2" t="inlineStr">
        <is>
          <t>B</t>
        </is>
      </c>
      <c r="AS33" s="2" t="inlineStr">
        <is>
          <t>DGT</t>
        </is>
      </c>
      <c r="AT33" s="2" t="n"/>
      <c r="AU33" s="2" t="inlineStr">
        <is>
          <t>no</t>
        </is>
      </c>
      <c r="AV33" s="2" t="inlineStr">
        <is>
          <t>no</t>
        </is>
      </c>
      <c r="AW33" s="2" t="n">
        <v>3750</v>
      </c>
      <c r="AX33" s="2" t="n">
        <v>8</v>
      </c>
      <c r="AY33" s="2" t="inlineStr">
        <is>
          <t>modelo+año+km</t>
        </is>
      </c>
      <c r="AZ33" s="2" t="inlineStr">
        <is>
          <t>autoscout24:2247e51d-2d97-4865-a634-64eb5c9e335d (https://www.autoscout24.es/anuncios/seat-ibiza-1-4-16v-reference-gasolina-negro-cat_ma64mo2006-2247e51d-2d97-4865-a634-64eb5c9e335d); wallapop:1273247713 (https://es.wallapop.com/item/seat-ibiza-1-4-16v-reference-55-kw-75-cv-1273247713)</t>
        </is>
      </c>
      <c r="BA33"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B33"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BC33" s="2" t="inlineStr">
        <is>
          <t>https://www.coches.net/seat-ibiza-14-16v-75-cv-reference-5p-gasolina-2006-en-castellon-71437236-covo.aspx (window.__INITIAL_PROPS__.ad) /home/user/Alopecia/buscador-coches/raw/cochesnet/08cb7df1b155baac.json</t>
        </is>
      </c>
      <c r="BD33" s="3">
        <f>MAX(ANIO_ACTUAL-M33,0)</f>
        <v/>
      </c>
      <c r="BE33" s="4">
        <f>N33/MAX(BD33,0.5)</f>
        <v/>
      </c>
      <c r="BF33" s="4">
        <f>F33</f>
        <v/>
      </c>
      <c r="BG33" s="3">
        <f>BF33&amp;"|"&amp;INT(M33/SEG_ANIO)*SEG_ANIO</f>
        <v/>
      </c>
      <c r="BH33" s="3">
        <f>BG33&amp;"|"&amp;INT(N33/SEG_KM)*SEG_KM</f>
        <v/>
      </c>
      <c r="BI33" s="4">
        <f>COUNTIF($BF$2:$BF$101,BF33)</f>
        <v/>
      </c>
      <c r="BJ33" s="4">
        <f>COUNTIF($BG$2:$BG$101,BG33)</f>
        <v/>
      </c>
      <c r="BK33" s="4">
        <f>COUNTIF($BH$2:$BH$101,BH33)</f>
        <v/>
      </c>
      <c r="BL33" s="3">
        <f t="array" ref="BL33">IF(N(AX33)&gt;=MIN_N,AW33,IF(BK33&gt;=MIN_N,MEDIAN(IF($BH$2:$BH$101=BH33,$O$2:$O$101)),IF(BJ33&gt;=MIN_N,MEDIAN(IF($BG$2:$BG$101=BG33,$O$2:$O$101)),MEDIAN(IF($BF$2:$BF$101=BF33,$O$2:$O$101)))))</f>
        <v/>
      </c>
      <c r="BM33" s="3">
        <f>IF(N(AX33)&gt;=MIN_N,"mercado "&amp;AY33,IF(BK33&gt;=MIN_N,"modelo+año+km",IF(BJ33&gt;=MIN_N,"modelo+año","modelo")))</f>
        <v/>
      </c>
      <c r="BN33" s="4">
        <f>(BL33-O33)/BL33</f>
        <v/>
      </c>
      <c r="BO33" s="3">
        <f>IF(COUNTIFS(FR_FUEL,K33,FR_YEAR,AP33)&gt;0,1,0)</f>
        <v/>
      </c>
      <c r="BP33" s="3">
        <f>IF(COUNTIFS(FR_FUEL,K33,FR_YEAR,AP33-1)&gt;0,1,0)</f>
        <v/>
      </c>
      <c r="BQ33" s="4">
        <f>IF(N(AQ33)&gt;0,AP33*100+AQ33,IF(AND(BO33=1,BP33=1),(AP33-1)*100+1,AP33*100+1))</f>
        <v/>
      </c>
      <c r="BR33" s="3">
        <f>IF(OR(K33="hibrido",K33="glp",K33="gnc",K33="phev"),"ECO",IF(K33="electrico","CERO",IF(K33="gasolina",IF(BQ33&gt;=GAS_C_YM,"C",IF(BQ33&gt;=GAS_B_YM,"B","A")),IF(K33="diesel",IF(BQ33&gt;=DIE_C_YM,"C",IF(BQ33&gt;=DIE_B_YM,"B","A")),""))))</f>
        <v/>
      </c>
      <c r="BS33" s="2" t="inlineStr">
        <is>
          <t>B</t>
        </is>
      </c>
      <c r="BT33" s="4">
        <f>IF(AU33="sí","sí",IF(AS33="regla",IF(AND(N(AQ33)=0,BO33=1),"sí","no"),"no"))</f>
        <v/>
      </c>
      <c r="BU33" s="3">
        <f>IFERROR(VLOOKUP(F33,MOD_TBL,16,0),IFERROR(VLOOKUP(E33,OCU_TBL,2,0),NEUTRO))</f>
        <v/>
      </c>
      <c r="BV33" s="3">
        <f>SUMIFS(MOT_AJUSTE,MOT_MOTOR,G33,MOT_MARCA,E33,MOT_DESDE,"&lt;="&amp;M33,MOT_HASTA,"&gt;="&amp;M33)+SUMIFS(MOT_AJUSTE,MOT_MOTOR,G33,MOT_MARCA,"(todas)",MOT_DESDE,"&lt;="&amp;M33,MOT_HASTA,"&gt;="&amp;M33)+SUMIFS(MOT_AJUSTE,MOT_MOTOR,"(cualquiera)",MOT_MARCA,E33,MOT_DESDE,"&lt;="&amp;M33,MOT_HASTA,"&gt;="&amp;M33)</f>
        <v/>
      </c>
      <c r="BW33" s="3">
        <f>SUMIFS(COMB_AJUSTE,COMB_COMB,K33)</f>
        <v/>
      </c>
      <c r="BX33" s="3">
        <f>COUNTIFS(MOT_MOTOR,G33,MOT_MARCA,E33,MOT_DESDE,"&lt;="&amp;M33,MOT_HASTA,"&gt;="&amp;M33)+COUNTIFS(MOT_MOTOR,G33,MOT_MARCA,"(todas)",MOT_DESDE,"&lt;="&amp;M33,MOT_HASTA,"&gt;="&amp;M33)+COUNTIFS(MOT_MOTOR,"(cualquiera)",MOT_MARCA,E33,MOT_DESDE,"&lt;="&amp;M33,MOT_HASTA,"&gt;="&amp;M33)</f>
        <v/>
      </c>
      <c r="BY33" s="3">
        <f>IF(AND(K33="diesel",BX33=0),MIN(BU33,NEUTRO),BU33)</f>
        <v/>
      </c>
      <c r="BZ33" s="3">
        <f>MAX(0,MIN(100,BY33+BV33+BW33-IF(AV33="sí",ROB_PEN,0)))</f>
        <v/>
      </c>
      <c r="CA33" s="3">
        <f>100-MAX(0,N33-KM_TOPE_DESDE)/1000*KM_TOPE_PTS</f>
        <v/>
      </c>
      <c r="CB33" s="3">
        <f>MAX(0,MIN(100,50+BN33*PRECIO_PEND,CA33))</f>
        <v/>
      </c>
      <c r="CC33" s="3">
        <f>MAX(0,100*(1-N33/KM_MAX))</f>
        <v/>
      </c>
      <c r="CD33" s="3">
        <f>IF(BE33&lt;KMA_SOSP,IF(AA33="sí",100,KMA_PEN),IF(BE33&lt;=KMA_IDEAL_MAX,100,MAX(0,100*(KMA_CERO-BE33)/(KMA_CERO-KMA_IDEAL_MAX))))</f>
        <v/>
      </c>
      <c r="CE33" s="3">
        <f>MAX(0,MIN(100,100*(M33-ANIO_MIN)/(ANIO_ACTUAL-ANIO_MIN)))</f>
        <v/>
      </c>
      <c r="CF33" s="3">
        <f>W_KMT*CC33+W_KMA*CD33+W_EDAD*CE33</f>
        <v/>
      </c>
      <c r="CG33" s="3">
        <f>P_ITV*(V33="sí")+P_LIBRO*(W33="sí")+P_CORREA*(X33="sí")+P_PROP*(Y33=1)+P_GAR*(Z33="sí")+P_FOTOS*MIN(1,N(U33)/FOTOS_OBJ)</f>
        <v/>
      </c>
      <c r="CH33" s="3">
        <f>MAX(0,MIN(100,IFERROR(VLOOKUP(BS33,ETQ_TBL,2,0),0)-IF(BT33="sí",ETQ_PEN_DUD,IF(AS33="regla",ETQ_PEN_REGLA,0))))</f>
        <v/>
      </c>
      <c r="CI33" s="3">
        <f>NEUTRO</f>
        <v/>
      </c>
      <c r="CJ33" s="3">
        <f>IFERROR(VLOOKUP(L33,SEGURO_TBL,3,0),"")</f>
        <v/>
      </c>
      <c r="CK33" s="3">
        <f>IF(CJ33="",NEUTRO,MAX(0,MIN(100,100*(SEG_REF_MAX-CJ33)/(SEG_REF_MAX-SEG_REF_MIN))))</f>
        <v/>
      </c>
      <c r="CL33" s="3">
        <f>W_CONS*CI33+W_SEG*CK33</f>
        <v/>
      </c>
      <c r="CM33" s="3">
        <f>IF(N(AB33)&gt;0,AB33,IF(AND(R33="profesional",SG_LEGAL_ON=1),GAR_LEGAL,0))</f>
        <v/>
      </c>
      <c r="CN33" s="3">
        <f>SG_GAR*MIN(1,CM33/SG_GAR_FULL)+SG_AMPL*(AC33="sí")+SG_KMC*(AF33="sí")+SG_REV*(N(AE33)&gt;0)+SG_DEV*MIN(1,N(AG33)/SG_DEV_FULL)+SG_HIST*(W33="sí")</f>
        <v/>
      </c>
      <c r="CO33" s="3">
        <f>IFERROR(VLOOKUP(L33,CARR_PEN_TBL,2,0),0)</f>
        <v/>
      </c>
      <c r="CP33" s="3">
        <f>W_FIAB*BZ33+W_PRECIO*CB33+W_KMEDAD*CF33+W_ANUNCIO*CG33+W_USO*CL33+W_SEGURIDAD*CN33+W_ETIQUETA*CH33-CO33</f>
        <v/>
      </c>
      <c r="CQ33" s="4">
        <f>IF(N(I33)&gt;0,I33,IFERROR(ROUND(_xlfn.NUMBERVALUE(LEFT(G33,FIND(" ",G33&amp;" ")-1),".")*1000,0),99999))</f>
        <v/>
      </c>
      <c r="CR33" s="3">
        <f>IF(R33="profesional",0,IF(O33&lt;CUOTA_VALOR_MAX,IF(BD33&gt;ITP_TRAMO_ALTO,SUMIFS(CF_CUOTA,CF_MAS,ITP_TRAMO_ALTO,CF_CCMIN,"&lt;="&amp;CQ33,CF_CCMAX,"&gt;="&amp;CQ33),IF(BD33&gt;ITP_TRAMO_BAJO,SUMIFS(CF_CUOTA,CF_MAS,ITP_TRAMO_BAJO,CF_CCMIN,"&lt;="&amp;CQ33,CF_CCMAX,"&gt;="&amp;CQ33),O33*ITP_TIPO)),O33*ITP_TIPO))</f>
        <v/>
      </c>
      <c r="CS33" s="4">
        <f>IF(R33="profesional",N(AK33),0)</f>
        <v/>
      </c>
      <c r="CT33" s="3">
        <f>IF(AND(R33="profesional",ISNUMBER(AK33),AL33="sí"),0,TASA_DGT)</f>
        <v/>
      </c>
      <c r="CU33" s="3">
        <f>INFORME_DGT</f>
        <v/>
      </c>
      <c r="CV33" s="4">
        <f>O33+CS33+CR33+CT33+CU33</f>
        <v/>
      </c>
      <c r="CW33" s="4">
        <f>CV33+N(CJ33)</f>
        <v/>
      </c>
      <c r="CX33" s="3">
        <f>IF(CV33&lt;=TOTAL_MAX,"sí",IF(CV33&lt;=TOTAL_MAX+MARGEN_NEG,"negociar","no"))</f>
        <v/>
      </c>
      <c r="CY33" s="4">
        <f>IF(CX33&lt;&gt;"no",COUNTIFS($CX$2:$CX$101,"&lt;&gt;no",$CP$2:$CP$101,"&gt;"&amp;CP33)+COUNTIFS($CX$2:CX33,"&lt;&gt;no",$CP$2:CP33,CP33),"")</f>
        <v/>
      </c>
    </row>
    <row r="34">
      <c r="A34" s="2" t="inlineStr">
        <is>
          <t>cochesnet:71488801</t>
        </is>
      </c>
      <c r="B34" s="2" t="inlineStr">
        <is>
          <t>cochesnet</t>
        </is>
      </c>
      <c r="C34" s="2" t="inlineStr">
        <is>
          <t>https://www.coches.net/toyota-aygo-10-vvti-aygo-5p-gasolina-2007-en-valencia-71488801-covo.aspx</t>
        </is>
      </c>
      <c r="D34" s="2" t="inlineStr">
        <is>
          <t>TOYOTA Aygo 1.0 VVTi Aygo</t>
        </is>
      </c>
      <c r="E34" s="2" t="inlineStr">
        <is>
          <t>Toyota</t>
        </is>
      </c>
      <c r="F34" s="2" t="inlineStr">
        <is>
          <t>Toyota Aygo</t>
        </is>
      </c>
      <c r="G34" s="2" t="inlineStr">
        <is>
          <t>1.0 VVT-i</t>
        </is>
      </c>
      <c r="H34" s="2" t="inlineStr">
        <is>
          <t>1.0 VVTi Aygo</t>
        </is>
      </c>
      <c r="I34" s="2" t="n"/>
      <c r="J34" s="2" t="n"/>
      <c r="K34" s="2" t="inlineStr">
        <is>
          <t>gasolina</t>
        </is>
      </c>
      <c r="L34" s="2" t="inlineStr">
        <is>
          <t>utilitario</t>
        </is>
      </c>
      <c r="M34" s="2" t="n">
        <v>2007</v>
      </c>
      <c r="N34" s="2" t="n">
        <v>140000</v>
      </c>
      <c r="O34" s="2" t="n">
        <v>3990</v>
      </c>
      <c r="P34" s="2" t="inlineStr">
        <is>
          <t>manual</t>
        </is>
      </c>
      <c r="Q34" s="2" t="inlineStr">
        <is>
          <t>no</t>
        </is>
      </c>
      <c r="R34" s="2" t="inlineStr">
        <is>
          <t>profesional</t>
        </is>
      </c>
      <c r="S34" s="2" t="inlineStr">
        <is>
          <t>Cullera</t>
        </is>
      </c>
      <c r="T34" s="2" t="inlineStr">
        <is>
          <t>2026-09-10T20:23:32Z</t>
        </is>
      </c>
      <c r="U34" s="2" t="n">
        <v>16</v>
      </c>
      <c r="V34" s="2" t="n"/>
      <c r="W34" s="2" t="n"/>
      <c r="X34" s="2" t="n"/>
      <c r="Y34" s="2" t="n"/>
      <c r="Z34" s="2" t="inlineStr">
        <is>
          <t>sí</t>
        </is>
      </c>
      <c r="AA34" s="2" t="n"/>
      <c r="AB34" s="2" t="n">
        <v>12</v>
      </c>
      <c r="AC34" s="2" t="n"/>
      <c r="AD34" s="2" t="n"/>
      <c r="AE34" s="2" t="n"/>
      <c r="AF34" s="2" t="n"/>
      <c r="AG34" s="2" t="n"/>
      <c r="AH34" s="2" t="n">
        <v>3990</v>
      </c>
      <c r="AI34" s="2" t="n"/>
      <c r="AJ34" s="2" t="n"/>
      <c r="AK34" s="2" t="n"/>
      <c r="AL34" s="2" t="n"/>
      <c r="AM34" s="2" t="n">
        <v>35.4</v>
      </c>
      <c r="AN34" s="2" t="n"/>
      <c r="AO34" s="2" t="inlineStr">
        <is>
          <t>2007</t>
        </is>
      </c>
      <c r="AP34" s="2" t="n">
        <v>2007</v>
      </c>
      <c r="AQ34" s="2" t="n"/>
      <c r="AR34" s="2" t="inlineStr">
        <is>
          <t>C</t>
        </is>
      </c>
      <c r="AS34" s="2" t="inlineStr">
        <is>
          <t>anuncio</t>
        </is>
      </c>
      <c r="AT34" s="2" t="n"/>
      <c r="AU34" s="2" t="inlineStr">
        <is>
          <t>no</t>
        </is>
      </c>
      <c r="AV34" s="2" t="inlineStr">
        <is>
          <t>no</t>
        </is>
      </c>
      <c r="AW34" s="2" t="n">
        <v>3795</v>
      </c>
      <c r="AX34" s="2" t="n">
        <v>4</v>
      </c>
      <c r="AY34" s="2" t="inlineStr">
        <is>
          <t>modelo+año</t>
        </is>
      </c>
      <c r="AZ34" s="2" t="n"/>
      <c r="BA34" s="2" t="inlineStr">
        <is>
          <t>vendedor profesional: sin ITP (operación con IVA/REBU, confirmar en factura); gastos de gestión del vendedor no indicados: se suma la tasa DGT; preguntar el precio final; revisar: no menciona la ITV</t>
        </is>
      </c>
      <c r="BB34" s="2" t="inlineStr">
        <is>
          <t>?VEHÍCULO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BC34" s="2" t="inlineStr">
        <is>
          <t>https://www.coches.net/toyota-aygo-10-vvti-aygo-5p-gasolina-2007-en-valencia-71488801-covo.aspx (window.__INITIAL_PROPS__.ad) /home/user/Alopecia/buscador-coches/raw/cochesnet/1fa07c8c6013eed7.json</t>
        </is>
      </c>
      <c r="BD34" s="3">
        <f>MAX(ANIO_ACTUAL-M34,0)</f>
        <v/>
      </c>
      <c r="BE34" s="4">
        <f>N34/MAX(BD34,0.5)</f>
        <v/>
      </c>
      <c r="BF34" s="4">
        <f>F34</f>
        <v/>
      </c>
      <c r="BG34" s="3">
        <f>BF34&amp;"|"&amp;INT(M34/SEG_ANIO)*SEG_ANIO</f>
        <v/>
      </c>
      <c r="BH34" s="3">
        <f>BG34&amp;"|"&amp;INT(N34/SEG_KM)*SEG_KM</f>
        <v/>
      </c>
      <c r="BI34" s="4">
        <f>COUNTIF($BF$2:$BF$101,BF34)</f>
        <v/>
      </c>
      <c r="BJ34" s="4">
        <f>COUNTIF($BG$2:$BG$101,BG34)</f>
        <v/>
      </c>
      <c r="BK34" s="4">
        <f>COUNTIF($BH$2:$BH$101,BH34)</f>
        <v/>
      </c>
      <c r="BL34" s="3">
        <f t="array" ref="BL34">IF(N(AX34)&gt;=MIN_N,AW34,IF(BK34&gt;=MIN_N,MEDIAN(IF($BH$2:$BH$101=BH34,$O$2:$O$101)),IF(BJ34&gt;=MIN_N,MEDIAN(IF($BG$2:$BG$101=BG34,$O$2:$O$101)),MEDIAN(IF($BF$2:$BF$101=BF34,$O$2:$O$101)))))</f>
        <v/>
      </c>
      <c r="BM34" s="3">
        <f>IF(N(AX34)&gt;=MIN_N,"mercado "&amp;AY34,IF(BK34&gt;=MIN_N,"modelo+año+km",IF(BJ34&gt;=MIN_N,"modelo+año","modelo")))</f>
        <v/>
      </c>
      <c r="BN34" s="4">
        <f>(BL34-O34)/BL34</f>
        <v/>
      </c>
      <c r="BO34" s="3">
        <f>IF(COUNTIFS(FR_FUEL,K34,FR_YEAR,AP34)&gt;0,1,0)</f>
        <v/>
      </c>
      <c r="BP34" s="3">
        <f>IF(COUNTIFS(FR_FUEL,K34,FR_YEAR,AP34-1)&gt;0,1,0)</f>
        <v/>
      </c>
      <c r="BQ34" s="4">
        <f>IF(N(AQ34)&gt;0,AP34*100+AQ34,IF(AND(BO34=1,BP34=1),(AP34-1)*100+1,AP34*100+1))</f>
        <v/>
      </c>
      <c r="BR34" s="3">
        <f>IF(OR(K34="hibrido",K34="glp",K34="gnc",K34="phev"),"ECO",IF(K34="electrico","CERO",IF(K34="gasolina",IF(BQ34&gt;=GAS_C_YM,"C",IF(BQ34&gt;=GAS_B_YM,"B","A")),IF(K34="diesel",IF(BQ34&gt;=DIE_C_YM,"C",IF(BQ34&gt;=DIE_B_YM,"B","A")),""))))</f>
        <v/>
      </c>
      <c r="BS34" s="2" t="inlineStr">
        <is>
          <t>C</t>
        </is>
      </c>
      <c r="BT34" s="4">
        <f>IF(AU34="sí","sí",IF(AS34="regla",IF(AND(N(AQ34)=0,BO34=1),"sí","no"),"no"))</f>
        <v/>
      </c>
      <c r="BU34" s="3">
        <f>IFERROR(VLOOKUP(F34,MOD_TBL,16,0),IFERROR(VLOOKUP(E34,OCU_TBL,2,0),NEUTRO))</f>
        <v/>
      </c>
      <c r="BV34" s="3">
        <f>SUMIFS(MOT_AJUSTE,MOT_MOTOR,G34,MOT_MARCA,E34,MOT_DESDE,"&lt;="&amp;M34,MOT_HASTA,"&gt;="&amp;M34)+SUMIFS(MOT_AJUSTE,MOT_MOTOR,G34,MOT_MARCA,"(todas)",MOT_DESDE,"&lt;="&amp;M34,MOT_HASTA,"&gt;="&amp;M34)+SUMIFS(MOT_AJUSTE,MOT_MOTOR,"(cualquiera)",MOT_MARCA,E34,MOT_DESDE,"&lt;="&amp;M34,MOT_HASTA,"&gt;="&amp;M34)</f>
        <v/>
      </c>
      <c r="BW34" s="3">
        <f>SUMIFS(COMB_AJUSTE,COMB_COMB,K34)</f>
        <v/>
      </c>
      <c r="BX34" s="3">
        <f>COUNTIFS(MOT_MOTOR,G34,MOT_MARCA,E34,MOT_DESDE,"&lt;="&amp;M34,MOT_HASTA,"&gt;="&amp;M34)+COUNTIFS(MOT_MOTOR,G34,MOT_MARCA,"(todas)",MOT_DESDE,"&lt;="&amp;M34,MOT_HASTA,"&gt;="&amp;M34)+COUNTIFS(MOT_MOTOR,"(cualquiera)",MOT_MARCA,E34,MOT_DESDE,"&lt;="&amp;M34,MOT_HASTA,"&gt;="&amp;M34)</f>
        <v/>
      </c>
      <c r="BY34" s="3">
        <f>IF(AND(K34="diesel",BX34=0),MIN(BU34,NEUTRO),BU34)</f>
        <v/>
      </c>
      <c r="BZ34" s="3">
        <f>MAX(0,MIN(100,BY34+BV34+BW34-IF(AV34="sí",ROB_PEN,0)))</f>
        <v/>
      </c>
      <c r="CA34" s="3">
        <f>100-MAX(0,N34-KM_TOPE_DESDE)/1000*KM_TOPE_PTS</f>
        <v/>
      </c>
      <c r="CB34" s="3">
        <f>MAX(0,MIN(100,50+BN34*PRECIO_PEND,CA34))</f>
        <v/>
      </c>
      <c r="CC34" s="3">
        <f>MAX(0,100*(1-N34/KM_MAX))</f>
        <v/>
      </c>
      <c r="CD34" s="3">
        <f>IF(BE34&lt;KMA_SOSP,IF(AA34="sí",100,KMA_PEN),IF(BE34&lt;=KMA_IDEAL_MAX,100,MAX(0,100*(KMA_CERO-BE34)/(KMA_CERO-KMA_IDEAL_MAX))))</f>
        <v/>
      </c>
      <c r="CE34" s="3">
        <f>MAX(0,MIN(100,100*(M34-ANIO_MIN)/(ANIO_ACTUAL-ANIO_MIN)))</f>
        <v/>
      </c>
      <c r="CF34" s="3">
        <f>W_KMT*CC34+W_KMA*CD34+W_EDAD*CE34</f>
        <v/>
      </c>
      <c r="CG34" s="3">
        <f>P_ITV*(V34="sí")+P_LIBRO*(W34="sí")+P_CORREA*(X34="sí")+P_PROP*(Y34=1)+P_GAR*(Z34="sí")+P_FOTOS*MIN(1,N(U34)/FOTOS_OBJ)</f>
        <v/>
      </c>
      <c r="CH34" s="3">
        <f>MAX(0,MIN(100,IFERROR(VLOOKUP(BS34,ETQ_TBL,2,0),0)-IF(BT34="sí",ETQ_PEN_DUD,IF(AS34="regla",ETQ_PEN_REGLA,0))))</f>
        <v/>
      </c>
      <c r="CI34" s="3">
        <f>NEUTRO</f>
        <v/>
      </c>
      <c r="CJ34" s="3">
        <f>IFERROR(VLOOKUP(L34,SEGURO_TBL,3,0),"")</f>
        <v/>
      </c>
      <c r="CK34" s="3">
        <f>IF(CJ34="",NEUTRO,MAX(0,MIN(100,100*(SEG_REF_MAX-CJ34)/(SEG_REF_MAX-SEG_REF_MIN))))</f>
        <v/>
      </c>
      <c r="CL34" s="3">
        <f>W_CONS*CI34+W_SEG*CK34</f>
        <v/>
      </c>
      <c r="CM34" s="3">
        <f>IF(N(AB34)&gt;0,AB34,IF(AND(R34="profesional",SG_LEGAL_ON=1),GAR_LEGAL,0))</f>
        <v/>
      </c>
      <c r="CN34" s="3">
        <f>SG_GAR*MIN(1,CM34/SG_GAR_FULL)+SG_AMPL*(AC34="sí")+SG_KMC*(AF34="sí")+SG_REV*(N(AE34)&gt;0)+SG_DEV*MIN(1,N(AG34)/SG_DEV_FULL)+SG_HIST*(W34="sí")</f>
        <v/>
      </c>
      <c r="CO34" s="3">
        <f>IFERROR(VLOOKUP(L34,CARR_PEN_TBL,2,0),0)</f>
        <v/>
      </c>
      <c r="CP34" s="3">
        <f>W_FIAB*BZ34+W_PRECIO*CB34+W_KMEDAD*CF34+W_ANUNCIO*CG34+W_USO*CL34+W_SEGURIDAD*CN34+W_ETIQUETA*CH34-CO34</f>
        <v/>
      </c>
      <c r="CQ34" s="4">
        <f>IF(N(I34)&gt;0,I34,IFERROR(ROUND(_xlfn.NUMBERVALUE(LEFT(G34,FIND(" ",G34&amp;" ")-1),".")*1000,0),99999))</f>
        <v/>
      </c>
      <c r="CR34" s="3">
        <f>IF(R34="profesional",0,IF(O34&lt;CUOTA_VALOR_MAX,IF(BD34&gt;ITP_TRAMO_ALTO,SUMIFS(CF_CUOTA,CF_MAS,ITP_TRAMO_ALTO,CF_CCMIN,"&lt;="&amp;CQ34,CF_CCMAX,"&gt;="&amp;CQ34),IF(BD34&gt;ITP_TRAMO_BAJO,SUMIFS(CF_CUOTA,CF_MAS,ITP_TRAMO_BAJO,CF_CCMIN,"&lt;="&amp;CQ34,CF_CCMAX,"&gt;="&amp;CQ34),O34*ITP_TIPO)),O34*ITP_TIPO))</f>
        <v/>
      </c>
      <c r="CS34" s="4">
        <f>IF(R34="profesional",N(AK34),0)</f>
        <v/>
      </c>
      <c r="CT34" s="3">
        <f>IF(AND(R34="profesional",ISNUMBER(AK34),AL34="sí"),0,TASA_DGT)</f>
        <v/>
      </c>
      <c r="CU34" s="3">
        <f>INFORME_DGT</f>
        <v/>
      </c>
      <c r="CV34" s="4">
        <f>O34+CS34+CR34+CT34+CU34</f>
        <v/>
      </c>
      <c r="CW34" s="4">
        <f>CV34+N(CJ34)</f>
        <v/>
      </c>
      <c r="CX34" s="3">
        <f>IF(CV34&lt;=TOTAL_MAX,"sí",IF(CV34&lt;=TOTAL_MAX+MARGEN_NEG,"negociar","no"))</f>
        <v/>
      </c>
      <c r="CY34" s="4">
        <f>IF(CX34&lt;&gt;"no",COUNTIFS($CX$2:$CX$101,"&lt;&gt;no",$CP$2:$CP$101,"&gt;"&amp;CP34)+COUNTIFS($CX$2:CX34,"&lt;&gt;no",$CP$2:CP34,CP34),"")</f>
        <v/>
      </c>
    </row>
    <row r="35">
      <c r="A35" s="2" t="inlineStr">
        <is>
          <t>cochesnet:71732041</t>
        </is>
      </c>
      <c r="B35" s="2" t="inlineStr">
        <is>
          <t>cochesnet</t>
        </is>
      </c>
      <c r="C35" s="2" t="inlineStr">
        <is>
          <t>https://www.coches.net/mazda-mazda2-active-14-crtd-5p-diesel-2007-en-valencia-71732041-covo.aspx</t>
        </is>
      </c>
      <c r="D35" s="2" t="inlineStr">
        <is>
          <t>MAZDA Mazda2 Active 1.4 CRTD</t>
        </is>
      </c>
      <c r="E35" s="2" t="inlineStr">
        <is>
          <t>Mazda</t>
        </is>
      </c>
      <c r="F35" s="2" t="inlineStr">
        <is>
          <t>Mazda 2</t>
        </is>
      </c>
      <c r="G35" s="2" t="inlineStr">
        <is>
          <t>1.4</t>
        </is>
      </c>
      <c r="H35" s="2" t="inlineStr">
        <is>
          <t>Active 1.4 CRTD</t>
        </is>
      </c>
      <c r="I35" s="2" t="n"/>
      <c r="J35" s="2" t="n"/>
      <c r="K35" s="2" t="inlineStr">
        <is>
          <t>diesel</t>
        </is>
      </c>
      <c r="L35" s="2" t="inlineStr">
        <is>
          <t>utilitario</t>
        </is>
      </c>
      <c r="M35" s="2" t="n">
        <v>2008</v>
      </c>
      <c r="N35" s="2" t="n">
        <v>111000</v>
      </c>
      <c r="O35" s="2" t="n">
        <v>4990</v>
      </c>
      <c r="P35" s="2" t="inlineStr">
        <is>
          <t>manual</t>
        </is>
      </c>
      <c r="Q35" s="2" t="inlineStr">
        <is>
          <t>no</t>
        </is>
      </c>
      <c r="R35" s="2" t="inlineStr">
        <is>
          <t>profesional</t>
        </is>
      </c>
      <c r="S35" s="2" t="inlineStr">
        <is>
          <t>Only Cars Valencia Aldaia</t>
        </is>
      </c>
      <c r="T35" s="2" t="inlineStr">
        <is>
          <t>2026-10-13T12:02:29Z</t>
        </is>
      </c>
      <c r="U35" s="2" t="n">
        <v>10</v>
      </c>
      <c r="V35" s="2" t="n"/>
      <c r="W35" s="2" t="n"/>
      <c r="X35" s="2" t="n"/>
      <c r="Y35" s="2" t="n">
        <v>1</v>
      </c>
      <c r="Z35" s="2" t="inlineStr">
        <is>
          <t>sí</t>
        </is>
      </c>
      <c r="AA35" s="2" t="n"/>
      <c r="AB35" s="2" t="n">
        <v>12</v>
      </c>
      <c r="AC35" s="2" t="n"/>
      <c r="AD35" s="2" t="n"/>
      <c r="AE35" s="2" t="n"/>
      <c r="AF35" s="2" t="n"/>
      <c r="AG35" s="2" t="n"/>
      <c r="AH35" s="2" t="n">
        <v>4990</v>
      </c>
      <c r="AI35" s="2" t="n"/>
      <c r="AJ35" s="2" t="n"/>
      <c r="AK35" s="2" t="n"/>
      <c r="AL35" s="2" t="n"/>
      <c r="AM35" s="2" t="n">
        <v>7.5</v>
      </c>
      <c r="AN35" s="2" t="n"/>
      <c r="AO35" s="2" t="inlineStr">
        <is>
          <t>2008</t>
        </is>
      </c>
      <c r="AP35" s="2" t="n">
        <v>2008</v>
      </c>
      <c r="AQ35" s="2" t="n"/>
      <c r="AR35" s="2" t="inlineStr">
        <is>
          <t>B</t>
        </is>
      </c>
      <c r="AS35" s="2" t="inlineStr">
        <is>
          <t>anuncio</t>
        </is>
      </c>
      <c r="AT35" s="2" t="n">
        <v>2007</v>
      </c>
      <c r="AU35" s="2" t="inlineStr">
        <is>
          <t>no</t>
        </is>
      </c>
      <c r="AV35" s="2" t="inlineStr">
        <is>
          <t>no</t>
        </is>
      </c>
      <c r="AW35" s="2" t="n">
        <v>5000</v>
      </c>
      <c r="AX35" s="2" t="n">
        <v>11</v>
      </c>
      <c r="AY35" s="2" t="inlineStr">
        <is>
          <t>modelo+año</t>
        </is>
      </c>
      <c r="AZ35" s="2" t="n"/>
      <c r="BA35" s="2" t="inlineStr">
        <is>
          <t>año a confirmar: la URL/título dice 2007;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35" s="2" t="inlineStr">
        <is>
          <t>Mazda 2 1.4 Diesel CRTD Active año 2008 con 111.000Kms 70CV.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C35" s="2" t="inlineStr">
        <is>
          <t>https://www.coches.net/mazda-mazda2-active-14-crtd-5p-diesel-2007-en-valencia-71732041-covo.aspx (window.__INITIAL_PROPS__.ad) /home/user/Alopecia/buscador-coches/raw/cochesnet/787c54b4e793f020.json</t>
        </is>
      </c>
      <c r="BD35" s="3">
        <f>MAX(ANIO_ACTUAL-M35,0)</f>
        <v/>
      </c>
      <c r="BE35" s="4">
        <f>N35/MAX(BD35,0.5)</f>
        <v/>
      </c>
      <c r="BF35" s="4">
        <f>F35</f>
        <v/>
      </c>
      <c r="BG35" s="3">
        <f>BF35&amp;"|"&amp;INT(M35/SEG_ANIO)*SEG_ANIO</f>
        <v/>
      </c>
      <c r="BH35" s="3">
        <f>BG35&amp;"|"&amp;INT(N35/SEG_KM)*SEG_KM</f>
        <v/>
      </c>
      <c r="BI35" s="4">
        <f>COUNTIF($BF$2:$BF$101,BF35)</f>
        <v/>
      </c>
      <c r="BJ35" s="4">
        <f>COUNTIF($BG$2:$BG$101,BG35)</f>
        <v/>
      </c>
      <c r="BK35" s="4">
        <f>COUNTIF($BH$2:$BH$101,BH35)</f>
        <v/>
      </c>
      <c r="BL35" s="3">
        <f t="array" ref="BL35">IF(N(AX35)&gt;=MIN_N,AW35,IF(BK35&gt;=MIN_N,MEDIAN(IF($BH$2:$BH$101=BH35,$O$2:$O$101)),IF(BJ35&gt;=MIN_N,MEDIAN(IF($BG$2:$BG$101=BG35,$O$2:$O$101)),MEDIAN(IF($BF$2:$BF$101=BF35,$O$2:$O$101)))))</f>
        <v/>
      </c>
      <c r="BM35" s="3">
        <f>IF(N(AX35)&gt;=MIN_N,"mercado "&amp;AY35,IF(BK35&gt;=MIN_N,"modelo+año+km",IF(BJ35&gt;=MIN_N,"modelo+año","modelo")))</f>
        <v/>
      </c>
      <c r="BN35" s="4">
        <f>(BL35-O35)/BL35</f>
        <v/>
      </c>
      <c r="BO35" s="3">
        <f>IF(COUNTIFS(FR_FUEL,K35,FR_YEAR,AP35)&gt;0,1,0)</f>
        <v/>
      </c>
      <c r="BP35" s="3">
        <f>IF(COUNTIFS(FR_FUEL,K35,FR_YEAR,AP35-1)&gt;0,1,0)</f>
        <v/>
      </c>
      <c r="BQ35" s="4">
        <f>IF(N(AQ35)&gt;0,AP35*100+AQ35,IF(AND(BO35=1,BP35=1),(AP35-1)*100+1,AP35*100+1))</f>
        <v/>
      </c>
      <c r="BR35" s="3">
        <f>IF(OR(K35="hibrido",K35="glp",K35="gnc",K35="phev"),"ECO",IF(K35="electrico","CERO",IF(K35="gasolina",IF(BQ35&gt;=GAS_C_YM,"C",IF(BQ35&gt;=GAS_B_YM,"B","A")),IF(K35="diesel",IF(BQ35&gt;=DIE_C_YM,"C",IF(BQ35&gt;=DIE_B_YM,"B","A")),""))))</f>
        <v/>
      </c>
      <c r="BS35" s="2" t="inlineStr">
        <is>
          <t>B</t>
        </is>
      </c>
      <c r="BT35" s="4">
        <f>IF(AU35="sí","sí",IF(AS35="regla",IF(AND(N(AQ35)=0,BO35=1),"sí","no"),"no"))</f>
        <v/>
      </c>
      <c r="BU35" s="3">
        <f>IFERROR(VLOOKUP(F35,MOD_TBL,16,0),IFERROR(VLOOKUP(E35,OCU_TBL,2,0),NEUTRO))</f>
        <v/>
      </c>
      <c r="BV35" s="3">
        <f>SUMIFS(MOT_AJUSTE,MOT_MOTOR,G35,MOT_MARCA,E35,MOT_DESDE,"&lt;="&amp;M35,MOT_HASTA,"&gt;="&amp;M35)+SUMIFS(MOT_AJUSTE,MOT_MOTOR,G35,MOT_MARCA,"(todas)",MOT_DESDE,"&lt;="&amp;M35,MOT_HASTA,"&gt;="&amp;M35)+SUMIFS(MOT_AJUSTE,MOT_MOTOR,"(cualquiera)",MOT_MARCA,E35,MOT_DESDE,"&lt;="&amp;M35,MOT_HASTA,"&gt;="&amp;M35)</f>
        <v/>
      </c>
      <c r="BW35" s="3">
        <f>SUMIFS(COMB_AJUSTE,COMB_COMB,K35)</f>
        <v/>
      </c>
      <c r="BX35" s="3">
        <f>COUNTIFS(MOT_MOTOR,G35,MOT_MARCA,E35,MOT_DESDE,"&lt;="&amp;M35,MOT_HASTA,"&gt;="&amp;M35)+COUNTIFS(MOT_MOTOR,G35,MOT_MARCA,"(todas)",MOT_DESDE,"&lt;="&amp;M35,MOT_HASTA,"&gt;="&amp;M35)+COUNTIFS(MOT_MOTOR,"(cualquiera)",MOT_MARCA,E35,MOT_DESDE,"&lt;="&amp;M35,MOT_HASTA,"&gt;="&amp;M35)</f>
        <v/>
      </c>
      <c r="BY35" s="3">
        <f>IF(AND(K35="diesel",BX35=0),MIN(BU35,NEUTRO),BU35)</f>
        <v/>
      </c>
      <c r="BZ35" s="3">
        <f>MAX(0,MIN(100,BY35+BV35+BW35-IF(AV35="sí",ROB_PEN,0)))</f>
        <v/>
      </c>
      <c r="CA35" s="3">
        <f>100-MAX(0,N35-KM_TOPE_DESDE)/1000*KM_TOPE_PTS</f>
        <v/>
      </c>
      <c r="CB35" s="3">
        <f>MAX(0,MIN(100,50+BN35*PRECIO_PEND,CA35))</f>
        <v/>
      </c>
      <c r="CC35" s="3">
        <f>MAX(0,100*(1-N35/KM_MAX))</f>
        <v/>
      </c>
      <c r="CD35" s="3">
        <f>IF(BE35&lt;KMA_SOSP,IF(AA35="sí",100,KMA_PEN),IF(BE35&lt;=KMA_IDEAL_MAX,100,MAX(0,100*(KMA_CERO-BE35)/(KMA_CERO-KMA_IDEAL_MAX))))</f>
        <v/>
      </c>
      <c r="CE35" s="3">
        <f>MAX(0,MIN(100,100*(M35-ANIO_MIN)/(ANIO_ACTUAL-ANIO_MIN)))</f>
        <v/>
      </c>
      <c r="CF35" s="3">
        <f>W_KMT*CC35+W_KMA*CD35+W_EDAD*CE35</f>
        <v/>
      </c>
      <c r="CG35" s="3">
        <f>P_ITV*(V35="sí")+P_LIBRO*(W35="sí")+P_CORREA*(X35="sí")+P_PROP*(Y35=1)+P_GAR*(Z35="sí")+P_FOTOS*MIN(1,N(U35)/FOTOS_OBJ)</f>
        <v/>
      </c>
      <c r="CH35" s="3">
        <f>MAX(0,MIN(100,IFERROR(VLOOKUP(BS35,ETQ_TBL,2,0),0)-IF(BT35="sí",ETQ_PEN_DUD,IF(AS35="regla",ETQ_PEN_REGLA,0))))</f>
        <v/>
      </c>
      <c r="CI35" s="3">
        <f>NEUTRO</f>
        <v/>
      </c>
      <c r="CJ35" s="3">
        <f>IFERROR(VLOOKUP(L35,SEGURO_TBL,3,0),"")</f>
        <v/>
      </c>
      <c r="CK35" s="3">
        <f>IF(CJ35="",NEUTRO,MAX(0,MIN(100,100*(SEG_REF_MAX-CJ35)/(SEG_REF_MAX-SEG_REF_MIN))))</f>
        <v/>
      </c>
      <c r="CL35" s="3">
        <f>W_CONS*CI35+W_SEG*CK35</f>
        <v/>
      </c>
      <c r="CM35" s="3">
        <f>IF(N(AB35)&gt;0,AB35,IF(AND(R35="profesional",SG_LEGAL_ON=1),GAR_LEGAL,0))</f>
        <v/>
      </c>
      <c r="CN35" s="3">
        <f>SG_GAR*MIN(1,CM35/SG_GAR_FULL)+SG_AMPL*(AC35="sí")+SG_KMC*(AF35="sí")+SG_REV*(N(AE35)&gt;0)+SG_DEV*MIN(1,N(AG35)/SG_DEV_FULL)+SG_HIST*(W35="sí")</f>
        <v/>
      </c>
      <c r="CO35" s="3">
        <f>IFERROR(VLOOKUP(L35,CARR_PEN_TBL,2,0),0)</f>
        <v/>
      </c>
      <c r="CP35" s="3">
        <f>W_FIAB*BZ35+W_PRECIO*CB35+W_KMEDAD*CF35+W_ANUNCIO*CG35+W_USO*CL35+W_SEGURIDAD*CN35+W_ETIQUETA*CH35-CO35</f>
        <v/>
      </c>
      <c r="CQ35" s="4">
        <f>IF(N(I35)&gt;0,I35,IFERROR(ROUND(_xlfn.NUMBERVALUE(LEFT(G35,FIND(" ",G35&amp;" ")-1),".")*1000,0),99999))</f>
        <v/>
      </c>
      <c r="CR35" s="3">
        <f>IF(R35="profesional",0,IF(O35&lt;CUOTA_VALOR_MAX,IF(BD35&gt;ITP_TRAMO_ALTO,SUMIFS(CF_CUOTA,CF_MAS,ITP_TRAMO_ALTO,CF_CCMIN,"&lt;="&amp;CQ35,CF_CCMAX,"&gt;="&amp;CQ35),IF(BD35&gt;ITP_TRAMO_BAJO,SUMIFS(CF_CUOTA,CF_MAS,ITP_TRAMO_BAJO,CF_CCMIN,"&lt;="&amp;CQ35,CF_CCMAX,"&gt;="&amp;CQ35),O35*ITP_TIPO)),O35*ITP_TIPO))</f>
        <v/>
      </c>
      <c r="CS35" s="4">
        <f>IF(R35="profesional",N(AK35),0)</f>
        <v/>
      </c>
      <c r="CT35" s="3">
        <f>IF(AND(R35="profesional",ISNUMBER(AK35),AL35="sí"),0,TASA_DGT)</f>
        <v/>
      </c>
      <c r="CU35" s="3">
        <f>INFORME_DGT</f>
        <v/>
      </c>
      <c r="CV35" s="4">
        <f>O35+CS35+CR35+CT35+CU35</f>
        <v/>
      </c>
      <c r="CW35" s="4">
        <f>CV35+N(CJ35)</f>
        <v/>
      </c>
      <c r="CX35" s="3">
        <f>IF(CV35&lt;=TOTAL_MAX,"sí",IF(CV35&lt;=TOTAL_MAX+MARGEN_NEG,"negociar","no"))</f>
        <v/>
      </c>
      <c r="CY35" s="4">
        <f>IF(CX35&lt;&gt;"no",COUNTIFS($CX$2:$CX$101,"&lt;&gt;no",$CP$2:$CP$101,"&gt;"&amp;CP35)+COUNTIFS($CX$2:CX35,"&lt;&gt;no",$CP$2:CP35,CP35),"")</f>
        <v/>
      </c>
    </row>
    <row r="36">
      <c r="A36" s="2" t="inlineStr">
        <is>
          <t>cochesnet:71778568</t>
        </is>
      </c>
      <c r="B36" s="2" t="inlineStr">
        <is>
          <t>cochesnet</t>
        </is>
      </c>
      <c r="C36" s="2" t="inlineStr">
        <is>
          <t>https://www.coches.net/kia-picanto-11-sohc-lx-5p-gasolina-2007-en-valencia-71778568-covo.aspx</t>
        </is>
      </c>
      <c r="D36" s="2" t="inlineStr">
        <is>
          <t>KIA Picanto 1.1 SOHC LX</t>
        </is>
      </c>
      <c r="E36" s="2" t="inlineStr">
        <is>
          <t>Kia</t>
        </is>
      </c>
      <c r="F36" s="2" t="inlineStr">
        <is>
          <t>Kia Picanto</t>
        </is>
      </c>
      <c r="G36" s="2" t="inlineStr">
        <is>
          <t>1.1</t>
        </is>
      </c>
      <c r="H36" s="2" t="inlineStr">
        <is>
          <t>1.1 SOHC LX</t>
        </is>
      </c>
      <c r="I36" s="2" t="n"/>
      <c r="J36" s="2" t="n"/>
      <c r="K36" s="2" t="inlineStr">
        <is>
          <t>gasolina</t>
        </is>
      </c>
      <c r="L36" s="2" t="inlineStr">
        <is>
          <t>utilitario</t>
        </is>
      </c>
      <c r="M36" s="2" t="n">
        <v>2007</v>
      </c>
      <c r="N36" s="2" t="n">
        <v>200000</v>
      </c>
      <c r="O36" s="2" t="n">
        <v>2480</v>
      </c>
      <c r="P36" s="2" t="inlineStr">
        <is>
          <t>manual</t>
        </is>
      </c>
      <c r="Q36" s="2" t="inlineStr">
        <is>
          <t>no</t>
        </is>
      </c>
      <c r="R36" s="2" t="inlineStr">
        <is>
          <t>profesional</t>
        </is>
      </c>
      <c r="S36" s="2" t="inlineStr">
        <is>
          <t>AUTOMOVILES CASTILLO PEPE Manises</t>
        </is>
      </c>
      <c r="T36" s="2" t="inlineStr">
        <is>
          <t>2026-10-19T10:37:43Z</t>
        </is>
      </c>
      <c r="U36" s="2" t="n">
        <v>19</v>
      </c>
      <c r="V36" s="2" t="inlineStr">
        <is>
          <t>sí</t>
        </is>
      </c>
      <c r="W36" s="2" t="n"/>
      <c r="X36" s="2" t="inlineStr">
        <is>
          <t>sí</t>
        </is>
      </c>
      <c r="Y36" s="2" t="n"/>
      <c r="Z36" s="2" t="inlineStr">
        <is>
          <t>sí</t>
        </is>
      </c>
      <c r="AA36" s="2" t="n"/>
      <c r="AB36" s="2" t="n">
        <v>12</v>
      </c>
      <c r="AC36" s="2" t="n"/>
      <c r="AD36" s="2" t="n"/>
      <c r="AE36" s="2" t="n"/>
      <c r="AF36" s="2" t="inlineStr">
        <is>
          <t>sí</t>
        </is>
      </c>
      <c r="AG36" s="2" t="n"/>
      <c r="AH36" s="2" t="n">
        <v>2480</v>
      </c>
      <c r="AI36" s="2" t="n">
        <v>2480</v>
      </c>
      <c r="AJ36" s="2" t="n"/>
      <c r="AK36" s="2" t="n"/>
      <c r="AL36" s="2" t="n"/>
      <c r="AM36" s="2" t="n">
        <v>8.1</v>
      </c>
      <c r="AN36" s="2" t="n"/>
      <c r="AO36" s="2" t="inlineStr">
        <is>
          <t>2007</t>
        </is>
      </c>
      <c r="AP36" s="2" t="n">
        <v>2007</v>
      </c>
      <c r="AQ36" s="2" t="n"/>
      <c r="AR36" s="2" t="inlineStr">
        <is>
          <t>C</t>
        </is>
      </c>
      <c r="AS36" s="2" t="inlineStr">
        <is>
          <t>anuncio</t>
        </is>
      </c>
      <c r="AT36" s="2" t="n"/>
      <c r="AU36" s="2" t="inlineStr">
        <is>
          <t>no</t>
        </is>
      </c>
      <c r="AV36" s="2" t="inlineStr">
        <is>
          <t>no</t>
        </is>
      </c>
      <c r="AW36" s="2" t="n">
        <v>2590</v>
      </c>
      <c r="AX36" s="2" t="n">
        <v>4</v>
      </c>
      <c r="AY36" s="2" t="inlineStr">
        <is>
          <t>modelo+año</t>
        </is>
      </c>
      <c r="AZ36" s="2" t="n"/>
      <c r="BA36" s="2" t="inlineStr">
        <is>
          <t>vendedor profesional: sin ITP (operación con IVA/REBU, confirmar en factura); gastos de gestión del vendedor no indicados: se suma la tasa DGT; preguntar el precio final; revisar: detalles «detalles»</t>
        </is>
      </c>
      <c r="BB36"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C36" s="2" t="inlineStr">
        <is>
          <t>https://www.coches.net/kia-picanto-11-sohc-lx-5p-gasolina-2007-en-valencia-71778568-covo.aspx (window.__INITIAL_PROPS__.ad) /home/user/Alopecia/buscador-coches/raw/cochesnet/3d35ecebcd70427d.json</t>
        </is>
      </c>
      <c r="BD36" s="3">
        <f>MAX(ANIO_ACTUAL-M36,0)</f>
        <v/>
      </c>
      <c r="BE36" s="4">
        <f>N36/MAX(BD36,0.5)</f>
        <v/>
      </c>
      <c r="BF36" s="4">
        <f>F36</f>
        <v/>
      </c>
      <c r="BG36" s="3">
        <f>BF36&amp;"|"&amp;INT(M36/SEG_ANIO)*SEG_ANIO</f>
        <v/>
      </c>
      <c r="BH36" s="3">
        <f>BG36&amp;"|"&amp;INT(N36/SEG_KM)*SEG_KM</f>
        <v/>
      </c>
      <c r="BI36" s="4">
        <f>COUNTIF($BF$2:$BF$101,BF36)</f>
        <v/>
      </c>
      <c r="BJ36" s="4">
        <f>COUNTIF($BG$2:$BG$101,BG36)</f>
        <v/>
      </c>
      <c r="BK36" s="4">
        <f>COUNTIF($BH$2:$BH$101,BH36)</f>
        <v/>
      </c>
      <c r="BL36" s="3">
        <f t="array" ref="BL36">IF(N(AX36)&gt;=MIN_N,AW36,IF(BK36&gt;=MIN_N,MEDIAN(IF($BH$2:$BH$101=BH36,$O$2:$O$101)),IF(BJ36&gt;=MIN_N,MEDIAN(IF($BG$2:$BG$101=BG36,$O$2:$O$101)),MEDIAN(IF($BF$2:$BF$101=BF36,$O$2:$O$101)))))</f>
        <v/>
      </c>
      <c r="BM36" s="3">
        <f>IF(N(AX36)&gt;=MIN_N,"mercado "&amp;AY36,IF(BK36&gt;=MIN_N,"modelo+año+km",IF(BJ36&gt;=MIN_N,"modelo+año","modelo")))</f>
        <v/>
      </c>
      <c r="BN36" s="4">
        <f>(BL36-O36)/BL36</f>
        <v/>
      </c>
      <c r="BO36" s="3">
        <f>IF(COUNTIFS(FR_FUEL,K36,FR_YEAR,AP36)&gt;0,1,0)</f>
        <v/>
      </c>
      <c r="BP36" s="3">
        <f>IF(COUNTIFS(FR_FUEL,K36,FR_YEAR,AP36-1)&gt;0,1,0)</f>
        <v/>
      </c>
      <c r="BQ36" s="4">
        <f>IF(N(AQ36)&gt;0,AP36*100+AQ36,IF(AND(BO36=1,BP36=1),(AP36-1)*100+1,AP36*100+1))</f>
        <v/>
      </c>
      <c r="BR36" s="3">
        <f>IF(OR(K36="hibrido",K36="glp",K36="gnc",K36="phev"),"ECO",IF(K36="electrico","CERO",IF(K36="gasolina",IF(BQ36&gt;=GAS_C_YM,"C",IF(BQ36&gt;=GAS_B_YM,"B","A")),IF(K36="diesel",IF(BQ36&gt;=DIE_C_YM,"C",IF(BQ36&gt;=DIE_B_YM,"B","A")),""))))</f>
        <v/>
      </c>
      <c r="BS36" s="2" t="inlineStr">
        <is>
          <t>C</t>
        </is>
      </c>
      <c r="BT36" s="4">
        <f>IF(AU36="sí","sí",IF(AS36="regla",IF(AND(N(AQ36)=0,BO36=1),"sí","no"),"no"))</f>
        <v/>
      </c>
      <c r="BU36" s="3">
        <f>IFERROR(VLOOKUP(F36,MOD_TBL,16,0),IFERROR(VLOOKUP(E36,OCU_TBL,2,0),NEUTRO))</f>
        <v/>
      </c>
      <c r="BV36" s="3">
        <f>SUMIFS(MOT_AJUSTE,MOT_MOTOR,G36,MOT_MARCA,E36,MOT_DESDE,"&lt;="&amp;M36,MOT_HASTA,"&gt;="&amp;M36)+SUMIFS(MOT_AJUSTE,MOT_MOTOR,G36,MOT_MARCA,"(todas)",MOT_DESDE,"&lt;="&amp;M36,MOT_HASTA,"&gt;="&amp;M36)+SUMIFS(MOT_AJUSTE,MOT_MOTOR,"(cualquiera)",MOT_MARCA,E36,MOT_DESDE,"&lt;="&amp;M36,MOT_HASTA,"&gt;="&amp;M36)</f>
        <v/>
      </c>
      <c r="BW36" s="3">
        <f>SUMIFS(COMB_AJUSTE,COMB_COMB,K36)</f>
        <v/>
      </c>
      <c r="BX36" s="3">
        <f>COUNTIFS(MOT_MOTOR,G36,MOT_MARCA,E36,MOT_DESDE,"&lt;="&amp;M36,MOT_HASTA,"&gt;="&amp;M36)+COUNTIFS(MOT_MOTOR,G36,MOT_MARCA,"(todas)",MOT_DESDE,"&lt;="&amp;M36,MOT_HASTA,"&gt;="&amp;M36)+COUNTIFS(MOT_MOTOR,"(cualquiera)",MOT_MARCA,E36,MOT_DESDE,"&lt;="&amp;M36,MOT_HASTA,"&gt;="&amp;M36)</f>
        <v/>
      </c>
      <c r="BY36" s="3">
        <f>IF(AND(K36="diesel",BX36=0),MIN(BU36,NEUTRO),BU36)</f>
        <v/>
      </c>
      <c r="BZ36" s="3">
        <f>MAX(0,MIN(100,BY36+BV36+BW36-IF(AV36="sí",ROB_PEN,0)))</f>
        <v/>
      </c>
      <c r="CA36" s="3">
        <f>100-MAX(0,N36-KM_TOPE_DESDE)/1000*KM_TOPE_PTS</f>
        <v/>
      </c>
      <c r="CB36" s="3">
        <f>MAX(0,MIN(100,50+BN36*PRECIO_PEND,CA36))</f>
        <v/>
      </c>
      <c r="CC36" s="3">
        <f>MAX(0,100*(1-N36/KM_MAX))</f>
        <v/>
      </c>
      <c r="CD36" s="3">
        <f>IF(BE36&lt;KMA_SOSP,IF(AA36="sí",100,KMA_PEN),IF(BE36&lt;=KMA_IDEAL_MAX,100,MAX(0,100*(KMA_CERO-BE36)/(KMA_CERO-KMA_IDEAL_MAX))))</f>
        <v/>
      </c>
      <c r="CE36" s="3">
        <f>MAX(0,MIN(100,100*(M36-ANIO_MIN)/(ANIO_ACTUAL-ANIO_MIN)))</f>
        <v/>
      </c>
      <c r="CF36" s="3">
        <f>W_KMT*CC36+W_KMA*CD36+W_EDAD*CE36</f>
        <v/>
      </c>
      <c r="CG36" s="3">
        <f>P_ITV*(V36="sí")+P_LIBRO*(W36="sí")+P_CORREA*(X36="sí")+P_PROP*(Y36=1)+P_GAR*(Z36="sí")+P_FOTOS*MIN(1,N(U36)/FOTOS_OBJ)</f>
        <v/>
      </c>
      <c r="CH36" s="3">
        <f>MAX(0,MIN(100,IFERROR(VLOOKUP(BS36,ETQ_TBL,2,0),0)-IF(BT36="sí",ETQ_PEN_DUD,IF(AS36="regla",ETQ_PEN_REGLA,0))))</f>
        <v/>
      </c>
      <c r="CI36" s="3">
        <f>NEUTRO</f>
        <v/>
      </c>
      <c r="CJ36" s="3">
        <f>IFERROR(VLOOKUP(L36,SEGURO_TBL,3,0),"")</f>
        <v/>
      </c>
      <c r="CK36" s="3">
        <f>IF(CJ36="",NEUTRO,MAX(0,MIN(100,100*(SEG_REF_MAX-CJ36)/(SEG_REF_MAX-SEG_REF_MIN))))</f>
        <v/>
      </c>
      <c r="CL36" s="3">
        <f>W_CONS*CI36+W_SEG*CK36</f>
        <v/>
      </c>
      <c r="CM36" s="3">
        <f>IF(N(AB36)&gt;0,AB36,IF(AND(R36="profesional",SG_LEGAL_ON=1),GAR_LEGAL,0))</f>
        <v/>
      </c>
      <c r="CN36" s="3">
        <f>SG_GAR*MIN(1,CM36/SG_GAR_FULL)+SG_AMPL*(AC36="sí")+SG_KMC*(AF36="sí")+SG_REV*(N(AE36)&gt;0)+SG_DEV*MIN(1,N(AG36)/SG_DEV_FULL)+SG_HIST*(W36="sí")</f>
        <v/>
      </c>
      <c r="CO36" s="3">
        <f>IFERROR(VLOOKUP(L36,CARR_PEN_TBL,2,0),0)</f>
        <v/>
      </c>
      <c r="CP36" s="3">
        <f>W_FIAB*BZ36+W_PRECIO*CB36+W_KMEDAD*CF36+W_ANUNCIO*CG36+W_USO*CL36+W_SEGURIDAD*CN36+W_ETIQUETA*CH36-CO36</f>
        <v/>
      </c>
      <c r="CQ36" s="4">
        <f>IF(N(I36)&gt;0,I36,IFERROR(ROUND(_xlfn.NUMBERVALUE(LEFT(G36,FIND(" ",G36&amp;" ")-1),".")*1000,0),99999))</f>
        <v/>
      </c>
      <c r="CR36" s="3">
        <f>IF(R36="profesional",0,IF(O36&lt;CUOTA_VALOR_MAX,IF(BD36&gt;ITP_TRAMO_ALTO,SUMIFS(CF_CUOTA,CF_MAS,ITP_TRAMO_ALTO,CF_CCMIN,"&lt;="&amp;CQ36,CF_CCMAX,"&gt;="&amp;CQ36),IF(BD36&gt;ITP_TRAMO_BAJO,SUMIFS(CF_CUOTA,CF_MAS,ITP_TRAMO_BAJO,CF_CCMIN,"&lt;="&amp;CQ36,CF_CCMAX,"&gt;="&amp;CQ36),O36*ITP_TIPO)),O36*ITP_TIPO))</f>
        <v/>
      </c>
      <c r="CS36" s="4">
        <f>IF(R36="profesional",N(AK36),0)</f>
        <v/>
      </c>
      <c r="CT36" s="3">
        <f>IF(AND(R36="profesional",ISNUMBER(AK36),AL36="sí"),0,TASA_DGT)</f>
        <v/>
      </c>
      <c r="CU36" s="3">
        <f>INFORME_DGT</f>
        <v/>
      </c>
      <c r="CV36" s="4">
        <f>O36+CS36+CR36+CT36+CU36</f>
        <v/>
      </c>
      <c r="CW36" s="4">
        <f>CV36+N(CJ36)</f>
        <v/>
      </c>
      <c r="CX36" s="3">
        <f>IF(CV36&lt;=TOTAL_MAX,"sí",IF(CV36&lt;=TOTAL_MAX+MARGEN_NEG,"negociar","no"))</f>
        <v/>
      </c>
      <c r="CY36" s="4">
        <f>IF(CX36&lt;&gt;"no",COUNTIFS($CX$2:$CX$101,"&lt;&gt;no",$CP$2:$CP$101,"&gt;"&amp;CP36)+COUNTIFS($CX$2:CX36,"&lt;&gt;no",$CP$2:CP36,CP36),"")</f>
        <v/>
      </c>
    </row>
    <row r="37">
      <c r="A37" s="2" t="inlineStr">
        <is>
          <t>cochesnet:71687938</t>
        </is>
      </c>
      <c r="B37" s="2" t="inlineStr">
        <is>
          <t>cochesnet</t>
        </is>
      </c>
      <c r="C37" s="2" t="inlineStr">
        <is>
          <t>https://www.coches.net/kia-picanto-11-sohc-ex-5p-gasolina-2006-en-valencia-71687938-covo.aspx</t>
        </is>
      </c>
      <c r="D37" s="2" t="inlineStr">
        <is>
          <t>KIA Picanto 1.1 SOHC EX</t>
        </is>
      </c>
      <c r="E37" s="2" t="inlineStr">
        <is>
          <t>Kia</t>
        </is>
      </c>
      <c r="F37" s="2" t="inlineStr">
        <is>
          <t>Kia Picanto</t>
        </is>
      </c>
      <c r="G37" s="2" t="inlineStr">
        <is>
          <t>1.1</t>
        </is>
      </c>
      <c r="H37" s="2" t="inlineStr">
        <is>
          <t>1.1 SOHC EX</t>
        </is>
      </c>
      <c r="I37" s="2" t="n"/>
      <c r="J37" s="2" t="n"/>
      <c r="K37" s="2" t="inlineStr">
        <is>
          <t>gasolina</t>
        </is>
      </c>
      <c r="L37" s="2" t="inlineStr">
        <is>
          <t>utilitario</t>
        </is>
      </c>
      <c r="M37" s="2" t="n">
        <v>2006</v>
      </c>
      <c r="N37" s="2" t="n">
        <v>117000</v>
      </c>
      <c r="O37" s="2" t="n">
        <v>3400</v>
      </c>
      <c r="P37" s="2" t="inlineStr">
        <is>
          <t>manual</t>
        </is>
      </c>
      <c r="Q37" s="2" t="inlineStr">
        <is>
          <t>no</t>
        </is>
      </c>
      <c r="R37" s="2" t="inlineStr">
        <is>
          <t>profesional</t>
        </is>
      </c>
      <c r="S37" s="2" t="inlineStr">
        <is>
          <t>FERNANDO SEBASTIAN Valencia</t>
        </is>
      </c>
      <c r="T37" s="2" t="inlineStr">
        <is>
          <t>2026-10-06T17:47:32Z</t>
        </is>
      </c>
      <c r="U37" s="2" t="n">
        <v>17</v>
      </c>
      <c r="V37" s="2" t="n"/>
      <c r="W37" s="2" t="n"/>
      <c r="X37" s="2" t="n"/>
      <c r="Y37" s="2" t="n"/>
      <c r="Z37" s="2" t="inlineStr">
        <is>
          <t>sí</t>
        </is>
      </c>
      <c r="AA37" s="2" t="n"/>
      <c r="AB37" s="2" t="n">
        <v>12</v>
      </c>
      <c r="AC37" s="2" t="n"/>
      <c r="AD37" s="2" t="n"/>
      <c r="AE37" s="2" t="n"/>
      <c r="AF37" s="2" t="n"/>
      <c r="AG37" s="2" t="n"/>
      <c r="AH37" s="2" t="n">
        <v>3400</v>
      </c>
      <c r="AI37" s="2" t="n"/>
      <c r="AJ37" s="2" t="n"/>
      <c r="AK37" s="2" t="n"/>
      <c r="AL37" s="2" t="n"/>
      <c r="AM37" s="2" t="n">
        <v>0.1</v>
      </c>
      <c r="AN37" s="2" t="n"/>
      <c r="AO37" s="2" t="inlineStr">
        <is>
          <t>2006</t>
        </is>
      </c>
      <c r="AP37" s="2" t="n">
        <v>2006</v>
      </c>
      <c r="AQ37" s="2" t="n"/>
      <c r="AR37" s="2" t="inlineStr">
        <is>
          <t>C</t>
        </is>
      </c>
      <c r="AS37" s="2" t="inlineStr">
        <is>
          <t>anuncio</t>
        </is>
      </c>
      <c r="AT37" s="2" t="n"/>
      <c r="AU37" s="2" t="inlineStr">
        <is>
          <t>no</t>
        </is>
      </c>
      <c r="AV37" s="2" t="inlineStr">
        <is>
          <t>no</t>
        </is>
      </c>
      <c r="AW37" s="2" t="n">
        <v>3100</v>
      </c>
      <c r="AX37" s="2" t="n">
        <v>6</v>
      </c>
      <c r="AY37" s="2" t="inlineStr">
        <is>
          <t>modelo+año</t>
        </is>
      </c>
      <c r="AZ37" s="2" t="n"/>
      <c r="BA37" s="2" t="inlineStr">
        <is>
          <t>vendedor profesional: sin ITP (operación con IVA/REBU, confirmar en factura); gastos de gestión del vendedor no indicados: se suma la tasa DGT; preguntar el precio final</t>
        </is>
      </c>
      <c r="BB37" s="2" t="inlineStr">
        <is>
          <t>Kia Picanto excelente estado general Etiqueta ambiente verde C, ITV vigente, aire acondicionado, elevalunas en las 4 ventanas, retrovisores electrónico. Excelente estado general.</t>
        </is>
      </c>
      <c r="BC37" s="2" t="inlineStr">
        <is>
          <t>https://www.coches.net/kia-picanto-11-sohc-ex-5p-gasolina-2006-en-valencia-71687938-covo.aspx (window.__INITIAL_PROPS__.ad) /home/user/Alopecia/buscador-coches/raw/cochesnet/f992aa3ba941a317.json</t>
        </is>
      </c>
      <c r="BD37" s="3">
        <f>MAX(ANIO_ACTUAL-M37,0)</f>
        <v/>
      </c>
      <c r="BE37" s="4">
        <f>N37/MAX(BD37,0.5)</f>
        <v/>
      </c>
      <c r="BF37" s="4">
        <f>F37</f>
        <v/>
      </c>
      <c r="BG37" s="3">
        <f>BF37&amp;"|"&amp;INT(M37/SEG_ANIO)*SEG_ANIO</f>
        <v/>
      </c>
      <c r="BH37" s="3">
        <f>BG37&amp;"|"&amp;INT(N37/SEG_KM)*SEG_KM</f>
        <v/>
      </c>
      <c r="BI37" s="4">
        <f>COUNTIF($BF$2:$BF$101,BF37)</f>
        <v/>
      </c>
      <c r="BJ37" s="4">
        <f>COUNTIF($BG$2:$BG$101,BG37)</f>
        <v/>
      </c>
      <c r="BK37" s="4">
        <f>COUNTIF($BH$2:$BH$101,BH37)</f>
        <v/>
      </c>
      <c r="BL37" s="3">
        <f t="array" ref="BL37">IF(N(AX37)&gt;=MIN_N,AW37,IF(BK37&gt;=MIN_N,MEDIAN(IF($BH$2:$BH$101=BH37,$O$2:$O$101)),IF(BJ37&gt;=MIN_N,MEDIAN(IF($BG$2:$BG$101=BG37,$O$2:$O$101)),MEDIAN(IF($BF$2:$BF$101=BF37,$O$2:$O$101)))))</f>
        <v/>
      </c>
      <c r="BM37" s="3">
        <f>IF(N(AX37)&gt;=MIN_N,"mercado "&amp;AY37,IF(BK37&gt;=MIN_N,"modelo+año+km",IF(BJ37&gt;=MIN_N,"modelo+año","modelo")))</f>
        <v/>
      </c>
      <c r="BN37" s="4">
        <f>(BL37-O37)/BL37</f>
        <v/>
      </c>
      <c r="BO37" s="3">
        <f>IF(COUNTIFS(FR_FUEL,K37,FR_YEAR,AP37)&gt;0,1,0)</f>
        <v/>
      </c>
      <c r="BP37" s="3">
        <f>IF(COUNTIFS(FR_FUEL,K37,FR_YEAR,AP37-1)&gt;0,1,0)</f>
        <v/>
      </c>
      <c r="BQ37" s="4">
        <f>IF(N(AQ37)&gt;0,AP37*100+AQ37,IF(AND(BO37=1,BP37=1),(AP37-1)*100+1,AP37*100+1))</f>
        <v/>
      </c>
      <c r="BR37" s="3">
        <f>IF(OR(K37="hibrido",K37="glp",K37="gnc",K37="phev"),"ECO",IF(K37="electrico","CERO",IF(K37="gasolina",IF(BQ37&gt;=GAS_C_YM,"C",IF(BQ37&gt;=GAS_B_YM,"B","A")),IF(K37="diesel",IF(BQ37&gt;=DIE_C_YM,"C",IF(BQ37&gt;=DIE_B_YM,"B","A")),""))))</f>
        <v/>
      </c>
      <c r="BS37" s="2" t="inlineStr">
        <is>
          <t>C</t>
        </is>
      </c>
      <c r="BT37" s="4">
        <f>IF(AU37="sí","sí",IF(AS37="regla",IF(AND(N(AQ37)=0,BO37=1),"sí","no"),"no"))</f>
        <v/>
      </c>
      <c r="BU37" s="3">
        <f>IFERROR(VLOOKUP(F37,MOD_TBL,16,0),IFERROR(VLOOKUP(E37,OCU_TBL,2,0),NEUTRO))</f>
        <v/>
      </c>
      <c r="BV37" s="3">
        <f>SUMIFS(MOT_AJUSTE,MOT_MOTOR,G37,MOT_MARCA,E37,MOT_DESDE,"&lt;="&amp;M37,MOT_HASTA,"&gt;="&amp;M37)+SUMIFS(MOT_AJUSTE,MOT_MOTOR,G37,MOT_MARCA,"(todas)",MOT_DESDE,"&lt;="&amp;M37,MOT_HASTA,"&gt;="&amp;M37)+SUMIFS(MOT_AJUSTE,MOT_MOTOR,"(cualquiera)",MOT_MARCA,E37,MOT_DESDE,"&lt;="&amp;M37,MOT_HASTA,"&gt;="&amp;M37)</f>
        <v/>
      </c>
      <c r="BW37" s="3">
        <f>SUMIFS(COMB_AJUSTE,COMB_COMB,K37)</f>
        <v/>
      </c>
      <c r="BX37" s="3">
        <f>COUNTIFS(MOT_MOTOR,G37,MOT_MARCA,E37,MOT_DESDE,"&lt;="&amp;M37,MOT_HASTA,"&gt;="&amp;M37)+COUNTIFS(MOT_MOTOR,G37,MOT_MARCA,"(todas)",MOT_DESDE,"&lt;="&amp;M37,MOT_HASTA,"&gt;="&amp;M37)+COUNTIFS(MOT_MOTOR,"(cualquiera)",MOT_MARCA,E37,MOT_DESDE,"&lt;="&amp;M37,MOT_HASTA,"&gt;="&amp;M37)</f>
        <v/>
      </c>
      <c r="BY37" s="3">
        <f>IF(AND(K37="diesel",BX37=0),MIN(BU37,NEUTRO),BU37)</f>
        <v/>
      </c>
      <c r="BZ37" s="3">
        <f>MAX(0,MIN(100,BY37+BV37+BW37-IF(AV37="sí",ROB_PEN,0)))</f>
        <v/>
      </c>
      <c r="CA37" s="3">
        <f>100-MAX(0,N37-KM_TOPE_DESDE)/1000*KM_TOPE_PTS</f>
        <v/>
      </c>
      <c r="CB37" s="3">
        <f>MAX(0,MIN(100,50+BN37*PRECIO_PEND,CA37))</f>
        <v/>
      </c>
      <c r="CC37" s="3">
        <f>MAX(0,100*(1-N37/KM_MAX))</f>
        <v/>
      </c>
      <c r="CD37" s="3">
        <f>IF(BE37&lt;KMA_SOSP,IF(AA37="sí",100,KMA_PEN),IF(BE37&lt;=KMA_IDEAL_MAX,100,MAX(0,100*(KMA_CERO-BE37)/(KMA_CERO-KMA_IDEAL_MAX))))</f>
        <v/>
      </c>
      <c r="CE37" s="3">
        <f>MAX(0,MIN(100,100*(M37-ANIO_MIN)/(ANIO_ACTUAL-ANIO_MIN)))</f>
        <v/>
      </c>
      <c r="CF37" s="3">
        <f>W_KMT*CC37+W_KMA*CD37+W_EDAD*CE37</f>
        <v/>
      </c>
      <c r="CG37" s="3">
        <f>P_ITV*(V37="sí")+P_LIBRO*(W37="sí")+P_CORREA*(X37="sí")+P_PROP*(Y37=1)+P_GAR*(Z37="sí")+P_FOTOS*MIN(1,N(U37)/FOTOS_OBJ)</f>
        <v/>
      </c>
      <c r="CH37" s="3">
        <f>MAX(0,MIN(100,IFERROR(VLOOKUP(BS37,ETQ_TBL,2,0),0)-IF(BT37="sí",ETQ_PEN_DUD,IF(AS37="regla",ETQ_PEN_REGLA,0))))</f>
        <v/>
      </c>
      <c r="CI37" s="3">
        <f>NEUTRO</f>
        <v/>
      </c>
      <c r="CJ37" s="3">
        <f>IFERROR(VLOOKUP(L37,SEGURO_TBL,3,0),"")</f>
        <v/>
      </c>
      <c r="CK37" s="3">
        <f>IF(CJ37="",NEUTRO,MAX(0,MIN(100,100*(SEG_REF_MAX-CJ37)/(SEG_REF_MAX-SEG_REF_MIN))))</f>
        <v/>
      </c>
      <c r="CL37" s="3">
        <f>W_CONS*CI37+W_SEG*CK37</f>
        <v/>
      </c>
      <c r="CM37" s="3">
        <f>IF(N(AB37)&gt;0,AB37,IF(AND(R37="profesional",SG_LEGAL_ON=1),GAR_LEGAL,0))</f>
        <v/>
      </c>
      <c r="CN37" s="3">
        <f>SG_GAR*MIN(1,CM37/SG_GAR_FULL)+SG_AMPL*(AC37="sí")+SG_KMC*(AF37="sí")+SG_REV*(N(AE37)&gt;0)+SG_DEV*MIN(1,N(AG37)/SG_DEV_FULL)+SG_HIST*(W37="sí")</f>
        <v/>
      </c>
      <c r="CO37" s="3">
        <f>IFERROR(VLOOKUP(L37,CARR_PEN_TBL,2,0),0)</f>
        <v/>
      </c>
      <c r="CP37" s="3">
        <f>W_FIAB*BZ37+W_PRECIO*CB37+W_KMEDAD*CF37+W_ANUNCIO*CG37+W_USO*CL37+W_SEGURIDAD*CN37+W_ETIQUETA*CH37-CO37</f>
        <v/>
      </c>
      <c r="CQ37" s="4">
        <f>IF(N(I37)&gt;0,I37,IFERROR(ROUND(_xlfn.NUMBERVALUE(LEFT(G37,FIND(" ",G37&amp;" ")-1),".")*1000,0),99999))</f>
        <v/>
      </c>
      <c r="CR37" s="3">
        <f>IF(R37="profesional",0,IF(O37&lt;CUOTA_VALOR_MAX,IF(BD37&gt;ITP_TRAMO_ALTO,SUMIFS(CF_CUOTA,CF_MAS,ITP_TRAMO_ALTO,CF_CCMIN,"&lt;="&amp;CQ37,CF_CCMAX,"&gt;="&amp;CQ37),IF(BD37&gt;ITP_TRAMO_BAJO,SUMIFS(CF_CUOTA,CF_MAS,ITP_TRAMO_BAJO,CF_CCMIN,"&lt;="&amp;CQ37,CF_CCMAX,"&gt;="&amp;CQ37),O37*ITP_TIPO)),O37*ITP_TIPO))</f>
        <v/>
      </c>
      <c r="CS37" s="4">
        <f>IF(R37="profesional",N(AK37),0)</f>
        <v/>
      </c>
      <c r="CT37" s="3">
        <f>IF(AND(R37="profesional",ISNUMBER(AK37),AL37="sí"),0,TASA_DGT)</f>
        <v/>
      </c>
      <c r="CU37" s="3">
        <f>INFORME_DGT</f>
        <v/>
      </c>
      <c r="CV37" s="4">
        <f>O37+CS37+CR37+CT37+CU37</f>
        <v/>
      </c>
      <c r="CW37" s="4">
        <f>CV37+N(CJ37)</f>
        <v/>
      </c>
      <c r="CX37" s="3">
        <f>IF(CV37&lt;=TOTAL_MAX,"sí",IF(CV37&lt;=TOTAL_MAX+MARGEN_NEG,"negociar","no"))</f>
        <v/>
      </c>
      <c r="CY37" s="4">
        <f>IF(CX37&lt;&gt;"no",COUNTIFS($CX$2:$CX$101,"&lt;&gt;no",$CP$2:$CP$101,"&gt;"&amp;CP37)+COUNTIFS($CX$2:CX37,"&lt;&gt;no",$CP$2:CP37,CP37),"")</f>
        <v/>
      </c>
    </row>
    <row r="38">
      <c r="A38" s="2" t="inlineStr">
        <is>
          <t>cochesnet:71704887</t>
        </is>
      </c>
      <c r="B38" s="2" t="inlineStr">
        <is>
          <t>cochesnet</t>
        </is>
      </c>
      <c r="C38" s="2" t="inlineStr">
        <is>
          <t>https://www.coches.net/kia-ceed-16-crdi-115cv-emotion-5p-diesel-2009-en-valencia-71704887-covo.aspx</t>
        </is>
      </c>
      <c r="D38" s="2" t="inlineStr">
        <is>
          <t>KIA cee'd 1.6 CRDi Emotion</t>
        </is>
      </c>
      <c r="E38" s="2" t="inlineStr">
        <is>
          <t>Kia</t>
        </is>
      </c>
      <c r="F38" s="2" t="inlineStr">
        <is>
          <t>Kia Ceed</t>
        </is>
      </c>
      <c r="G38" s="2" t="inlineStr">
        <is>
          <t>1.6 CRDi</t>
        </is>
      </c>
      <c r="H38" s="2" t="inlineStr">
        <is>
          <t>1.6 CRDi 115cv Emotion</t>
        </is>
      </c>
      <c r="I38" s="2" t="n"/>
      <c r="J38" s="2" t="n">
        <v>115</v>
      </c>
      <c r="K38" s="2" t="inlineStr">
        <is>
          <t>diesel</t>
        </is>
      </c>
      <c r="L38" s="2" t="inlineStr">
        <is>
          <t>compacto</t>
        </is>
      </c>
      <c r="M38" s="2" t="n">
        <v>2008</v>
      </c>
      <c r="N38" s="2" t="n">
        <v>110000</v>
      </c>
      <c r="O38" s="2" t="n">
        <v>4990</v>
      </c>
      <c r="P38" s="2" t="inlineStr">
        <is>
          <t>manual</t>
        </is>
      </c>
      <c r="Q38" s="2" t="inlineStr">
        <is>
          <t>no</t>
        </is>
      </c>
      <c r="R38" s="2" t="inlineStr">
        <is>
          <t>profesional</t>
        </is>
      </c>
      <c r="S38" s="2" t="inlineStr">
        <is>
          <t>Autos Solea Alboraya</t>
        </is>
      </c>
      <c r="T38" s="2" t="inlineStr">
        <is>
          <t>2026-10-08T17:37:41Z</t>
        </is>
      </c>
      <c r="U38" s="2" t="n">
        <v>17</v>
      </c>
      <c r="V38" s="2" t="n"/>
      <c r="W38" s="2" t="n"/>
      <c r="X38" s="2" t="n"/>
      <c r="Y38" s="2" t="n"/>
      <c r="Z38" s="2" t="inlineStr">
        <is>
          <t>sí</t>
        </is>
      </c>
      <c r="AA38" s="2" t="n"/>
      <c r="AB38" s="2" t="n">
        <v>12</v>
      </c>
      <c r="AC38" s="2" t="n"/>
      <c r="AD38" s="2" t="n"/>
      <c r="AE38" s="2" t="n"/>
      <c r="AF38" s="2" t="n"/>
      <c r="AG38" s="2" t="n"/>
      <c r="AH38" s="2" t="n">
        <v>4990</v>
      </c>
      <c r="AI38" s="2" t="n">
        <v>4990</v>
      </c>
      <c r="AJ38" s="2" t="n"/>
      <c r="AK38" s="2" t="n"/>
      <c r="AL38" s="2" t="n"/>
      <c r="AM38" s="2" t="n">
        <v>4</v>
      </c>
      <c r="AN38" s="2" t="n"/>
      <c r="AO38" s="2" t="inlineStr">
        <is>
          <t>2008</t>
        </is>
      </c>
      <c r="AP38" s="2" t="n">
        <v>2008</v>
      </c>
      <c r="AQ38" s="2" t="n"/>
      <c r="AR38" s="2" t="inlineStr">
        <is>
          <t>B</t>
        </is>
      </c>
      <c r="AS38" s="2" t="inlineStr">
        <is>
          <t>anuncio</t>
        </is>
      </c>
      <c r="AT38" s="2" t="n">
        <v>2009</v>
      </c>
      <c r="AU38" s="2" t="inlineStr">
        <is>
          <t>no</t>
        </is>
      </c>
      <c r="AV38" s="2" t="inlineStr">
        <is>
          <t>no</t>
        </is>
      </c>
      <c r="AW38" s="2" t="n"/>
      <c r="AX38" s="2" t="n"/>
      <c r="AY38" s="2" t="n"/>
      <c r="AZ38" s="2" t="n"/>
      <c r="BA38" s="2" t="inlineStr">
        <is>
          <t>año a confirmar: la URL/título dice 2009;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 mediana con solo 1 anuncio(s)</t>
        </is>
      </c>
      <c r="BB38" s="2" t="inlineStr">
        <is>
          <t>Kia Ceed Pro_Cee’d 1.6 CRDi Diésel – 2008 | 110.000 km | 3 puertas
Se vende Kia Ceed 1.6 CRDi diésel del año 2008, con únicamente 110.000 km y carrocería deportiva de 3 puertas.
Vehículo que destaca por su bajo kilometraje para su antigüedad, su diseño deportivo y su motor 1.6 CRDi diésel, conocido por ofrecer un buen equilibrio entre prestaciones, fiabilidad y consumo de combustible.
Una opción ideal para quien busca un coche económico, práctico y cómodo tanto para ciudad como para carretera.
* Motor 1.6 CRDi turbodiésel
* Año 2008
* Solo 110.000 km
* Carrocería deportiva de 3 puertas
* Cambio manual
* 5 plazas
* Bajo consumo de combustible
* Dirección asistida
* Aire acondicionado / climatizador según equipamiento
* Elevalunas eléctricos
* Cierre centralizado con mando
* Ordenador de a bordo
* Radio / sistema de sonido
* Volante regulable
* Retrovisores eléctricos según versión
* ABS
* Control de estabilidad según equipamiento
* Airbags frontales y laterales
* Anclajes ISOFIX
* Asientos traseros abatibles
* Buen espacio interior
* Maletero amplio para su segmento
Estado
Una unidad especialmente interesante por contar con tan solo 110.000 km, un kilometraje reducido para un vehículo del año 2008.
El Kia Ceed destaca por su comodidad, practicidad y economía de uso. Su carrocería de tres puertas le aporta una estética más deportiva sin renunciar a la funcionalidad de un compacto.
Una excelente oportunidad para adquirir un Kia Ceed 1.6 CRDi diésel con pocos kilómetros y</t>
        </is>
      </c>
      <c r="BC38" s="2" t="inlineStr">
        <is>
          <t>https://www.coches.net/kia-ceed-16-crdi-115cv-emotion-5p-diesel-2009-en-valencia-71704887-covo.aspx (window.__INITIAL_PROPS__.ad) /home/user/Alopecia/buscador-coches/raw/cochesnet/078396f3bbbe76a5.json</t>
        </is>
      </c>
      <c r="BD38" s="3">
        <f>MAX(ANIO_ACTUAL-M38,0)</f>
        <v/>
      </c>
      <c r="BE38" s="4">
        <f>N38/MAX(BD38,0.5)</f>
        <v/>
      </c>
      <c r="BF38" s="4">
        <f>F38</f>
        <v/>
      </c>
      <c r="BG38" s="3">
        <f>BF38&amp;"|"&amp;INT(M38/SEG_ANIO)*SEG_ANIO</f>
        <v/>
      </c>
      <c r="BH38" s="3">
        <f>BG38&amp;"|"&amp;INT(N38/SEG_KM)*SEG_KM</f>
        <v/>
      </c>
      <c r="BI38" s="4">
        <f>COUNTIF($BF$2:$BF$101,BF38)</f>
        <v/>
      </c>
      <c r="BJ38" s="4">
        <f>COUNTIF($BG$2:$BG$101,BG38)</f>
        <v/>
      </c>
      <c r="BK38" s="4">
        <f>COUNTIF($BH$2:$BH$101,BH38)</f>
        <v/>
      </c>
      <c r="BL38" s="3">
        <f t="array" ref="BL38">IF(N(AX38)&gt;=MIN_N,AW38,IF(BK38&gt;=MIN_N,MEDIAN(IF($BH$2:$BH$101=BH38,$O$2:$O$101)),IF(BJ38&gt;=MIN_N,MEDIAN(IF($BG$2:$BG$101=BG38,$O$2:$O$101)),MEDIAN(IF($BF$2:$BF$101=BF38,$O$2:$O$101)))))</f>
        <v/>
      </c>
      <c r="BM38" s="3">
        <f>IF(N(AX38)&gt;=MIN_N,"mercado "&amp;AY38,IF(BK38&gt;=MIN_N,"modelo+año+km",IF(BJ38&gt;=MIN_N,"modelo+año","modelo")))</f>
        <v/>
      </c>
      <c r="BN38" s="4">
        <f>(BL38-O38)/BL38</f>
        <v/>
      </c>
      <c r="BO38" s="3">
        <f>IF(COUNTIFS(FR_FUEL,K38,FR_YEAR,AP38)&gt;0,1,0)</f>
        <v/>
      </c>
      <c r="BP38" s="3">
        <f>IF(COUNTIFS(FR_FUEL,K38,FR_YEAR,AP38-1)&gt;0,1,0)</f>
        <v/>
      </c>
      <c r="BQ38" s="4">
        <f>IF(N(AQ38)&gt;0,AP38*100+AQ38,IF(AND(BO38=1,BP38=1),(AP38-1)*100+1,AP38*100+1))</f>
        <v/>
      </c>
      <c r="BR38" s="3">
        <f>IF(OR(K38="hibrido",K38="glp",K38="gnc",K38="phev"),"ECO",IF(K38="electrico","CERO",IF(K38="gasolina",IF(BQ38&gt;=GAS_C_YM,"C",IF(BQ38&gt;=GAS_B_YM,"B","A")),IF(K38="diesel",IF(BQ38&gt;=DIE_C_YM,"C",IF(BQ38&gt;=DIE_B_YM,"B","A")),""))))</f>
        <v/>
      </c>
      <c r="BS38" s="2" t="inlineStr">
        <is>
          <t>B</t>
        </is>
      </c>
      <c r="BT38" s="4">
        <f>IF(AU38="sí","sí",IF(AS38="regla",IF(AND(N(AQ38)=0,BO38=1),"sí","no"),"no"))</f>
        <v/>
      </c>
      <c r="BU38" s="3">
        <f>IFERROR(VLOOKUP(F38,MOD_TBL,16,0),IFERROR(VLOOKUP(E38,OCU_TBL,2,0),NEUTRO))</f>
        <v/>
      </c>
      <c r="BV38" s="3">
        <f>SUMIFS(MOT_AJUSTE,MOT_MOTOR,G38,MOT_MARCA,E38,MOT_DESDE,"&lt;="&amp;M38,MOT_HASTA,"&gt;="&amp;M38)+SUMIFS(MOT_AJUSTE,MOT_MOTOR,G38,MOT_MARCA,"(todas)",MOT_DESDE,"&lt;="&amp;M38,MOT_HASTA,"&gt;="&amp;M38)+SUMIFS(MOT_AJUSTE,MOT_MOTOR,"(cualquiera)",MOT_MARCA,E38,MOT_DESDE,"&lt;="&amp;M38,MOT_HASTA,"&gt;="&amp;M38)</f>
        <v/>
      </c>
      <c r="BW38" s="3">
        <f>SUMIFS(COMB_AJUSTE,COMB_COMB,K38)</f>
        <v/>
      </c>
      <c r="BX38" s="3">
        <f>COUNTIFS(MOT_MOTOR,G38,MOT_MARCA,E38,MOT_DESDE,"&lt;="&amp;M38,MOT_HASTA,"&gt;="&amp;M38)+COUNTIFS(MOT_MOTOR,G38,MOT_MARCA,"(todas)",MOT_DESDE,"&lt;="&amp;M38,MOT_HASTA,"&gt;="&amp;M38)+COUNTIFS(MOT_MOTOR,"(cualquiera)",MOT_MARCA,E38,MOT_DESDE,"&lt;="&amp;M38,MOT_HASTA,"&gt;="&amp;M38)</f>
        <v/>
      </c>
      <c r="BY38" s="3">
        <f>IF(AND(K38="diesel",BX38=0),MIN(BU38,NEUTRO),BU38)</f>
        <v/>
      </c>
      <c r="BZ38" s="3">
        <f>MAX(0,MIN(100,BY38+BV38+BW38-IF(AV38="sí",ROB_PEN,0)))</f>
        <v/>
      </c>
      <c r="CA38" s="3">
        <f>100-MAX(0,N38-KM_TOPE_DESDE)/1000*KM_TOPE_PTS</f>
        <v/>
      </c>
      <c r="CB38" s="3">
        <f>MAX(0,MIN(100,50+BN38*PRECIO_PEND,CA38))</f>
        <v/>
      </c>
      <c r="CC38" s="3">
        <f>MAX(0,100*(1-N38/KM_MAX))</f>
        <v/>
      </c>
      <c r="CD38" s="3">
        <f>IF(BE38&lt;KMA_SOSP,IF(AA38="sí",100,KMA_PEN),IF(BE38&lt;=KMA_IDEAL_MAX,100,MAX(0,100*(KMA_CERO-BE38)/(KMA_CERO-KMA_IDEAL_MAX))))</f>
        <v/>
      </c>
      <c r="CE38" s="3">
        <f>MAX(0,MIN(100,100*(M38-ANIO_MIN)/(ANIO_ACTUAL-ANIO_MIN)))</f>
        <v/>
      </c>
      <c r="CF38" s="3">
        <f>W_KMT*CC38+W_KMA*CD38+W_EDAD*CE38</f>
        <v/>
      </c>
      <c r="CG38" s="3">
        <f>P_ITV*(V38="sí")+P_LIBRO*(W38="sí")+P_CORREA*(X38="sí")+P_PROP*(Y38=1)+P_GAR*(Z38="sí")+P_FOTOS*MIN(1,N(U38)/FOTOS_OBJ)</f>
        <v/>
      </c>
      <c r="CH38" s="3">
        <f>MAX(0,MIN(100,IFERROR(VLOOKUP(BS38,ETQ_TBL,2,0),0)-IF(BT38="sí",ETQ_PEN_DUD,IF(AS38="regla",ETQ_PEN_REGLA,0))))</f>
        <v/>
      </c>
      <c r="CI38" s="3">
        <f>NEUTRO</f>
        <v/>
      </c>
      <c r="CJ38" s="3">
        <f>IFERROR(VLOOKUP(L38,SEGURO_TBL,3,0),"")</f>
        <v/>
      </c>
      <c r="CK38" s="3">
        <f>IF(CJ38="",NEUTRO,MAX(0,MIN(100,100*(SEG_REF_MAX-CJ38)/(SEG_REF_MAX-SEG_REF_MIN))))</f>
        <v/>
      </c>
      <c r="CL38" s="3">
        <f>W_CONS*CI38+W_SEG*CK38</f>
        <v/>
      </c>
      <c r="CM38" s="3">
        <f>IF(N(AB38)&gt;0,AB38,IF(AND(R38="profesional",SG_LEGAL_ON=1),GAR_LEGAL,0))</f>
        <v/>
      </c>
      <c r="CN38" s="3">
        <f>SG_GAR*MIN(1,CM38/SG_GAR_FULL)+SG_AMPL*(AC38="sí")+SG_KMC*(AF38="sí")+SG_REV*(N(AE38)&gt;0)+SG_DEV*MIN(1,N(AG38)/SG_DEV_FULL)+SG_HIST*(W38="sí")</f>
        <v/>
      </c>
      <c r="CO38" s="3">
        <f>IFERROR(VLOOKUP(L38,CARR_PEN_TBL,2,0),0)</f>
        <v/>
      </c>
      <c r="CP38" s="3">
        <f>W_FIAB*BZ38+W_PRECIO*CB38+W_KMEDAD*CF38+W_ANUNCIO*CG38+W_USO*CL38+W_SEGURIDAD*CN38+W_ETIQUETA*CH38-CO38</f>
        <v/>
      </c>
      <c r="CQ38" s="4">
        <f>IF(N(I38)&gt;0,I38,IFERROR(ROUND(_xlfn.NUMBERVALUE(LEFT(G38,FIND(" ",G38&amp;" ")-1),".")*1000,0),99999))</f>
        <v/>
      </c>
      <c r="CR38" s="3">
        <f>IF(R38="profesional",0,IF(O38&lt;CUOTA_VALOR_MAX,IF(BD38&gt;ITP_TRAMO_ALTO,SUMIFS(CF_CUOTA,CF_MAS,ITP_TRAMO_ALTO,CF_CCMIN,"&lt;="&amp;CQ38,CF_CCMAX,"&gt;="&amp;CQ38),IF(BD38&gt;ITP_TRAMO_BAJO,SUMIFS(CF_CUOTA,CF_MAS,ITP_TRAMO_BAJO,CF_CCMIN,"&lt;="&amp;CQ38,CF_CCMAX,"&gt;="&amp;CQ38),O38*ITP_TIPO)),O38*ITP_TIPO))</f>
        <v/>
      </c>
      <c r="CS38" s="4">
        <f>IF(R38="profesional",N(AK38),0)</f>
        <v/>
      </c>
      <c r="CT38" s="3">
        <f>IF(AND(R38="profesional",ISNUMBER(AK38),AL38="sí"),0,TASA_DGT)</f>
        <v/>
      </c>
      <c r="CU38" s="3">
        <f>INFORME_DGT</f>
        <v/>
      </c>
      <c r="CV38" s="4">
        <f>O38+CS38+CR38+CT38+CU38</f>
        <v/>
      </c>
      <c r="CW38" s="4">
        <f>CV38+N(CJ38)</f>
        <v/>
      </c>
      <c r="CX38" s="3">
        <f>IF(CV38&lt;=TOTAL_MAX,"sí",IF(CV38&lt;=TOTAL_MAX+MARGEN_NEG,"negociar","no"))</f>
        <v/>
      </c>
      <c r="CY38" s="4">
        <f>IF(CX38&lt;&gt;"no",COUNTIFS($CX$2:$CX$101,"&lt;&gt;no",$CP$2:$CP$101,"&gt;"&amp;CP38)+COUNTIFS($CX$2:CX38,"&lt;&gt;no",$CP$2:CP38,CP38),"")</f>
        <v/>
      </c>
    </row>
    <row r="39">
      <c r="A39" s="2" t="inlineStr">
        <is>
          <t>cochesnet:71648429</t>
        </is>
      </c>
      <c r="B39" s="2" t="inlineStr">
        <is>
          <t>cochesnet</t>
        </is>
      </c>
      <c r="C39" s="2" t="inlineStr">
        <is>
          <t>https://www.coches.net/skoda-citigo-10-mpi-60cv-ambition-3p-gasolina-2015-en-valencia-71648429-covo.aspx</t>
        </is>
      </c>
      <c r="D39" s="2" t="inlineStr">
        <is>
          <t>SKODA Citigo 1.0 MPI Ambition</t>
        </is>
      </c>
      <c r="E39" s="2" t="inlineStr">
        <is>
          <t>Skoda</t>
        </is>
      </c>
      <c r="F39" s="2" t="inlineStr">
        <is>
          <t>Skoda Citigo</t>
        </is>
      </c>
      <c r="G39" s="2" t="inlineStr">
        <is>
          <t>1.0 MPI</t>
        </is>
      </c>
      <c r="H39" s="2" t="inlineStr">
        <is>
          <t>1.0 MPI 60cv Ambition</t>
        </is>
      </c>
      <c r="I39" s="2" t="n"/>
      <c r="J39" s="2" t="n">
        <v>60</v>
      </c>
      <c r="K39" s="2" t="inlineStr">
        <is>
          <t>gasolina</t>
        </is>
      </c>
      <c r="L39" s="2" t="inlineStr">
        <is>
          <t>utilitario</t>
        </is>
      </c>
      <c r="M39" s="2" t="n">
        <v>2014</v>
      </c>
      <c r="N39" s="2" t="n">
        <v>169000</v>
      </c>
      <c r="O39" s="2" t="n">
        <v>4990</v>
      </c>
      <c r="P39" s="2" t="inlineStr">
        <is>
          <t>manual</t>
        </is>
      </c>
      <c r="Q39" s="2" t="inlineStr">
        <is>
          <t>no</t>
        </is>
      </c>
      <c r="R39" s="2" t="inlineStr">
        <is>
          <t>profesional</t>
        </is>
      </c>
      <c r="S39" s="2" t="inlineStr">
        <is>
          <t>APEX MOTOR GALLERY Bétera</t>
        </is>
      </c>
      <c r="T39" s="2" t="inlineStr">
        <is>
          <t>2026-10-01T16:02:53Z</t>
        </is>
      </c>
      <c r="U39" s="2" t="n">
        <v>6</v>
      </c>
      <c r="V39" s="2" t="n"/>
      <c r="W39" s="2" t="n"/>
      <c r="X39" s="2" t="n"/>
      <c r="Y39" s="2" t="n"/>
      <c r="Z39" s="2" t="inlineStr">
        <is>
          <t>sí</t>
        </is>
      </c>
      <c r="AA39" s="2" t="n"/>
      <c r="AB39" s="2" t="n">
        <v>12</v>
      </c>
      <c r="AC39" s="2" t="n"/>
      <c r="AD39" s="2" t="n"/>
      <c r="AE39" s="2" t="n"/>
      <c r="AF39" s="2" t="n"/>
      <c r="AG39" s="2" t="n"/>
      <c r="AH39" s="2" t="n">
        <v>4990</v>
      </c>
      <c r="AI39" s="2" t="n"/>
      <c r="AJ39" s="2" t="n"/>
      <c r="AK39" s="2" t="n"/>
      <c r="AL39" s="2" t="n"/>
      <c r="AM39" s="2" t="n">
        <v>14.1</v>
      </c>
      <c r="AN39" s="2" t="n"/>
      <c r="AO39" s="2" t="inlineStr">
        <is>
          <t>2014</t>
        </is>
      </c>
      <c r="AP39" s="2" t="n">
        <v>2014</v>
      </c>
      <c r="AQ39" s="2" t="n"/>
      <c r="AR39" s="2" t="inlineStr">
        <is>
          <t>C</t>
        </is>
      </c>
      <c r="AS39" s="2" t="inlineStr">
        <is>
          <t>anuncio</t>
        </is>
      </c>
      <c r="AT39" s="2" t="n">
        <v>2015</v>
      </c>
      <c r="AU39" s="2" t="inlineStr">
        <is>
          <t>no</t>
        </is>
      </c>
      <c r="AV39" s="2" t="inlineStr">
        <is>
          <t>no</t>
        </is>
      </c>
      <c r="AW39" s="2" t="n"/>
      <c r="AX39" s="2" t="n"/>
      <c r="AY39" s="2" t="n"/>
      <c r="AZ39" s="2" t="n"/>
      <c r="BA39" s="2" t="inlineStr">
        <is>
          <t>año a confirmar: la URL/título dice 2015; 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 mediana con solo 1 anuncio(s)</t>
        </is>
      </c>
      <c r="BB39" s="2" t="inlineStr"/>
      <c r="BC39" s="2" t="inlineStr">
        <is>
          <t>https://www.coches.net/skoda-citigo-10-mpi-60cv-ambition-3p-gasolina-2015-en-valencia-71648429-covo.aspx (window.__INITIAL_PROPS__.ad) /home/user/Alopecia/buscador-coches/raw/cochesnet/9df83f74e56aa603.json</t>
        </is>
      </c>
      <c r="BD39" s="3">
        <f>MAX(ANIO_ACTUAL-M39,0)</f>
        <v/>
      </c>
      <c r="BE39" s="4">
        <f>N39/MAX(BD39,0.5)</f>
        <v/>
      </c>
      <c r="BF39" s="4">
        <f>F39</f>
        <v/>
      </c>
      <c r="BG39" s="3">
        <f>BF39&amp;"|"&amp;INT(M39/SEG_ANIO)*SEG_ANIO</f>
        <v/>
      </c>
      <c r="BH39" s="3">
        <f>BG39&amp;"|"&amp;INT(N39/SEG_KM)*SEG_KM</f>
        <v/>
      </c>
      <c r="BI39" s="4">
        <f>COUNTIF($BF$2:$BF$101,BF39)</f>
        <v/>
      </c>
      <c r="BJ39" s="4">
        <f>COUNTIF($BG$2:$BG$101,BG39)</f>
        <v/>
      </c>
      <c r="BK39" s="4">
        <f>COUNTIF($BH$2:$BH$101,BH39)</f>
        <v/>
      </c>
      <c r="BL39" s="3">
        <f t="array" ref="BL39">IF(N(AX39)&gt;=MIN_N,AW39,IF(BK39&gt;=MIN_N,MEDIAN(IF($BH$2:$BH$101=BH39,$O$2:$O$101)),IF(BJ39&gt;=MIN_N,MEDIAN(IF($BG$2:$BG$101=BG39,$O$2:$O$101)),MEDIAN(IF($BF$2:$BF$101=BF39,$O$2:$O$101)))))</f>
        <v/>
      </c>
      <c r="BM39" s="3">
        <f>IF(N(AX39)&gt;=MIN_N,"mercado "&amp;AY39,IF(BK39&gt;=MIN_N,"modelo+año+km",IF(BJ39&gt;=MIN_N,"modelo+año","modelo")))</f>
        <v/>
      </c>
      <c r="BN39" s="4">
        <f>(BL39-O39)/BL39</f>
        <v/>
      </c>
      <c r="BO39" s="3">
        <f>IF(COUNTIFS(FR_FUEL,K39,FR_YEAR,AP39)&gt;0,1,0)</f>
        <v/>
      </c>
      <c r="BP39" s="3">
        <f>IF(COUNTIFS(FR_FUEL,K39,FR_YEAR,AP39-1)&gt;0,1,0)</f>
        <v/>
      </c>
      <c r="BQ39" s="4">
        <f>IF(N(AQ39)&gt;0,AP39*100+AQ39,IF(AND(BO39=1,BP39=1),(AP39-1)*100+1,AP39*100+1))</f>
        <v/>
      </c>
      <c r="BR39" s="3">
        <f>IF(OR(K39="hibrido",K39="glp",K39="gnc",K39="phev"),"ECO",IF(K39="electrico","CERO",IF(K39="gasolina",IF(BQ39&gt;=GAS_C_YM,"C",IF(BQ39&gt;=GAS_B_YM,"B","A")),IF(K39="diesel",IF(BQ39&gt;=DIE_C_YM,"C",IF(BQ39&gt;=DIE_B_YM,"B","A")),""))))</f>
        <v/>
      </c>
      <c r="BS39" s="2" t="inlineStr">
        <is>
          <t>C</t>
        </is>
      </c>
      <c r="BT39" s="4">
        <f>IF(AU39="sí","sí",IF(AS39="regla",IF(AND(N(AQ39)=0,BO39=1),"sí","no"),"no"))</f>
        <v/>
      </c>
      <c r="BU39" s="3">
        <f>IFERROR(VLOOKUP(F39,MOD_TBL,16,0),IFERROR(VLOOKUP(E39,OCU_TBL,2,0),NEUTRO))</f>
        <v/>
      </c>
      <c r="BV39" s="3">
        <f>SUMIFS(MOT_AJUSTE,MOT_MOTOR,G39,MOT_MARCA,E39,MOT_DESDE,"&lt;="&amp;M39,MOT_HASTA,"&gt;="&amp;M39)+SUMIFS(MOT_AJUSTE,MOT_MOTOR,G39,MOT_MARCA,"(todas)",MOT_DESDE,"&lt;="&amp;M39,MOT_HASTA,"&gt;="&amp;M39)+SUMIFS(MOT_AJUSTE,MOT_MOTOR,"(cualquiera)",MOT_MARCA,E39,MOT_DESDE,"&lt;="&amp;M39,MOT_HASTA,"&gt;="&amp;M39)</f>
        <v/>
      </c>
      <c r="BW39" s="3">
        <f>SUMIFS(COMB_AJUSTE,COMB_COMB,K39)</f>
        <v/>
      </c>
      <c r="BX39" s="3">
        <f>COUNTIFS(MOT_MOTOR,G39,MOT_MARCA,E39,MOT_DESDE,"&lt;="&amp;M39,MOT_HASTA,"&gt;="&amp;M39)+COUNTIFS(MOT_MOTOR,G39,MOT_MARCA,"(todas)",MOT_DESDE,"&lt;="&amp;M39,MOT_HASTA,"&gt;="&amp;M39)+COUNTIFS(MOT_MOTOR,"(cualquiera)",MOT_MARCA,E39,MOT_DESDE,"&lt;="&amp;M39,MOT_HASTA,"&gt;="&amp;M39)</f>
        <v/>
      </c>
      <c r="BY39" s="3">
        <f>IF(AND(K39="diesel",BX39=0),MIN(BU39,NEUTRO),BU39)</f>
        <v/>
      </c>
      <c r="BZ39" s="3">
        <f>MAX(0,MIN(100,BY39+BV39+BW39-IF(AV39="sí",ROB_PEN,0)))</f>
        <v/>
      </c>
      <c r="CA39" s="3">
        <f>100-MAX(0,N39-KM_TOPE_DESDE)/1000*KM_TOPE_PTS</f>
        <v/>
      </c>
      <c r="CB39" s="3">
        <f>MAX(0,MIN(100,50+BN39*PRECIO_PEND,CA39))</f>
        <v/>
      </c>
      <c r="CC39" s="3">
        <f>MAX(0,100*(1-N39/KM_MAX))</f>
        <v/>
      </c>
      <c r="CD39" s="3">
        <f>IF(BE39&lt;KMA_SOSP,IF(AA39="sí",100,KMA_PEN),IF(BE39&lt;=KMA_IDEAL_MAX,100,MAX(0,100*(KMA_CERO-BE39)/(KMA_CERO-KMA_IDEAL_MAX))))</f>
        <v/>
      </c>
      <c r="CE39" s="3">
        <f>MAX(0,MIN(100,100*(M39-ANIO_MIN)/(ANIO_ACTUAL-ANIO_MIN)))</f>
        <v/>
      </c>
      <c r="CF39" s="3">
        <f>W_KMT*CC39+W_KMA*CD39+W_EDAD*CE39</f>
        <v/>
      </c>
      <c r="CG39" s="3">
        <f>P_ITV*(V39="sí")+P_LIBRO*(W39="sí")+P_CORREA*(X39="sí")+P_PROP*(Y39=1)+P_GAR*(Z39="sí")+P_FOTOS*MIN(1,N(U39)/FOTOS_OBJ)</f>
        <v/>
      </c>
      <c r="CH39" s="3">
        <f>MAX(0,MIN(100,IFERROR(VLOOKUP(BS39,ETQ_TBL,2,0),0)-IF(BT39="sí",ETQ_PEN_DUD,IF(AS39="regla",ETQ_PEN_REGLA,0))))</f>
        <v/>
      </c>
      <c r="CI39" s="3">
        <f>NEUTRO</f>
        <v/>
      </c>
      <c r="CJ39" s="3">
        <f>IFERROR(VLOOKUP(L39,SEGURO_TBL,3,0),"")</f>
        <v/>
      </c>
      <c r="CK39" s="3">
        <f>IF(CJ39="",NEUTRO,MAX(0,MIN(100,100*(SEG_REF_MAX-CJ39)/(SEG_REF_MAX-SEG_REF_MIN))))</f>
        <v/>
      </c>
      <c r="CL39" s="3">
        <f>W_CONS*CI39+W_SEG*CK39</f>
        <v/>
      </c>
      <c r="CM39" s="3">
        <f>IF(N(AB39)&gt;0,AB39,IF(AND(R39="profesional",SG_LEGAL_ON=1),GAR_LEGAL,0))</f>
        <v/>
      </c>
      <c r="CN39" s="3">
        <f>SG_GAR*MIN(1,CM39/SG_GAR_FULL)+SG_AMPL*(AC39="sí")+SG_KMC*(AF39="sí")+SG_REV*(N(AE39)&gt;0)+SG_DEV*MIN(1,N(AG39)/SG_DEV_FULL)+SG_HIST*(W39="sí")</f>
        <v/>
      </c>
      <c r="CO39" s="3">
        <f>IFERROR(VLOOKUP(L39,CARR_PEN_TBL,2,0),0)</f>
        <v/>
      </c>
      <c r="CP39" s="3">
        <f>W_FIAB*BZ39+W_PRECIO*CB39+W_KMEDAD*CF39+W_ANUNCIO*CG39+W_USO*CL39+W_SEGURIDAD*CN39+W_ETIQUETA*CH39-CO39</f>
        <v/>
      </c>
      <c r="CQ39" s="4">
        <f>IF(N(I39)&gt;0,I39,IFERROR(ROUND(_xlfn.NUMBERVALUE(LEFT(G39,FIND(" ",G39&amp;" ")-1),".")*1000,0),99999))</f>
        <v/>
      </c>
      <c r="CR39" s="3">
        <f>IF(R39="profesional",0,IF(O39&lt;CUOTA_VALOR_MAX,IF(BD39&gt;ITP_TRAMO_ALTO,SUMIFS(CF_CUOTA,CF_MAS,ITP_TRAMO_ALTO,CF_CCMIN,"&lt;="&amp;CQ39,CF_CCMAX,"&gt;="&amp;CQ39),IF(BD39&gt;ITP_TRAMO_BAJO,SUMIFS(CF_CUOTA,CF_MAS,ITP_TRAMO_BAJO,CF_CCMIN,"&lt;="&amp;CQ39,CF_CCMAX,"&gt;="&amp;CQ39),O39*ITP_TIPO)),O39*ITP_TIPO))</f>
        <v/>
      </c>
      <c r="CS39" s="4">
        <f>IF(R39="profesional",N(AK39),0)</f>
        <v/>
      </c>
      <c r="CT39" s="3">
        <f>IF(AND(R39="profesional",ISNUMBER(AK39),AL39="sí"),0,TASA_DGT)</f>
        <v/>
      </c>
      <c r="CU39" s="3">
        <f>INFORME_DGT</f>
        <v/>
      </c>
      <c r="CV39" s="4">
        <f>O39+CS39+CR39+CT39+CU39</f>
        <v/>
      </c>
      <c r="CW39" s="4">
        <f>CV39+N(CJ39)</f>
        <v/>
      </c>
      <c r="CX39" s="3">
        <f>IF(CV39&lt;=TOTAL_MAX,"sí",IF(CV39&lt;=TOTAL_MAX+MARGEN_NEG,"negociar","no"))</f>
        <v/>
      </c>
      <c r="CY39" s="4">
        <f>IF(CX39&lt;&gt;"no",COUNTIFS($CX$2:$CX$101,"&lt;&gt;no",$CP$2:$CP$101,"&gt;"&amp;CP39)+COUNTIFS($CX$2:CX39,"&lt;&gt;no",$CP$2:CP39,CP39),"")</f>
        <v/>
      </c>
    </row>
    <row r="40">
      <c r="A40" s="2" t="inlineStr">
        <is>
          <t>cochesnet:71619015</t>
        </is>
      </c>
      <c r="B40" s="2" t="inlineStr">
        <is>
          <t>cochesnet</t>
        </is>
      </c>
      <c r="C40" s="2" t="inlineStr">
        <is>
          <t>https://www.coches.net/skoda-fabia-sedan-14-tdi-80cv-comfort-4p-diesel-2006-en-valencia-71619015-covo.aspx</t>
        </is>
      </c>
      <c r="D40" s="2" t="inlineStr">
        <is>
          <t>SKODA Fabia Sedan 1.4 TDi Comfort</t>
        </is>
      </c>
      <c r="E40" s="2" t="inlineStr">
        <is>
          <t>Skoda</t>
        </is>
      </c>
      <c r="F40" s="2" t="inlineStr">
        <is>
          <t>Skoda Fabia</t>
        </is>
      </c>
      <c r="G40" s="2" t="inlineStr">
        <is>
          <t>1.4 TDI</t>
        </is>
      </c>
      <c r="H40" s="2" t="inlineStr">
        <is>
          <t>Sedan 1.4 TDi 80cv Comfort</t>
        </is>
      </c>
      <c r="I40" s="2" t="n"/>
      <c r="J40" s="2" t="n">
        <v>80</v>
      </c>
      <c r="K40" s="2" t="inlineStr">
        <is>
          <t>diesel</t>
        </is>
      </c>
      <c r="L40" s="2" t="inlineStr">
        <is>
          <t>berlina</t>
        </is>
      </c>
      <c r="M40" s="2" t="n">
        <v>2006</v>
      </c>
      <c r="N40" s="2" t="n">
        <v>131000</v>
      </c>
      <c r="O40" s="2" t="n">
        <v>3990</v>
      </c>
      <c r="P40" s="2" t="inlineStr">
        <is>
          <t>manual</t>
        </is>
      </c>
      <c r="Q40" s="2" t="inlineStr">
        <is>
          <t>no</t>
        </is>
      </c>
      <c r="R40" s="2" t="inlineStr">
        <is>
          <t>profesional</t>
        </is>
      </c>
      <c r="S40" s="2" t="inlineStr">
        <is>
          <t>Garageng Foios Foios</t>
        </is>
      </c>
      <c r="T40" s="2" t="inlineStr">
        <is>
          <t>2026-09-28T20:25:59Z</t>
        </is>
      </c>
      <c r="U40" s="2" t="n">
        <v>27</v>
      </c>
      <c r="V40" s="2" t="inlineStr">
        <is>
          <t>sí</t>
        </is>
      </c>
      <c r="W40" s="2" t="n"/>
      <c r="X40" s="2" t="n"/>
      <c r="Y40" s="2" t="n">
        <v>1</v>
      </c>
      <c r="Z40" s="2" t="inlineStr">
        <is>
          <t>no</t>
        </is>
      </c>
      <c r="AA40" s="2" t="n"/>
      <c r="AB40" s="2" t="n"/>
      <c r="AC40" s="2" t="n"/>
      <c r="AD40" s="2" t="n"/>
      <c r="AE40" s="2" t="n"/>
      <c r="AF40" s="2" t="n"/>
      <c r="AG40" s="2" t="n"/>
      <c r="AH40" s="2" t="n">
        <v>3990</v>
      </c>
      <c r="AI40" s="2" t="n"/>
      <c r="AJ40" s="2" t="n"/>
      <c r="AK40" s="2" t="n"/>
      <c r="AL40" s="2" t="n"/>
      <c r="AM40" s="2" t="n">
        <v>7.7</v>
      </c>
      <c r="AN40" s="2" t="n"/>
      <c r="AO40" s="2" t="inlineStr">
        <is>
          <t>2006</t>
        </is>
      </c>
      <c r="AP40" s="2" t="n">
        <v>2006</v>
      </c>
      <c r="AQ40" s="2" t="n"/>
      <c r="AR40" s="2" t="inlineStr">
        <is>
          <t>B</t>
        </is>
      </c>
      <c r="AS40" s="2" t="inlineStr">
        <is>
          <t>anuncio</t>
        </is>
      </c>
      <c r="AT40" s="2" t="n"/>
      <c r="AU40" s="2" t="inlineStr">
        <is>
          <t>no</t>
        </is>
      </c>
      <c r="AV40" s="2" t="inlineStr">
        <is>
          <t>no</t>
        </is>
      </c>
      <c r="AW40" s="2" t="n">
        <v>3000</v>
      </c>
      <c r="AX40" s="2" t="n">
        <v>5</v>
      </c>
      <c r="AY40" s="2" t="inlineStr">
        <is>
          <t>modelo+año</t>
        </is>
      </c>
      <c r="AZ40" s="2" t="n"/>
      <c r="BA40" s="2" t="inlineStr">
        <is>
          <t>vendedor profesional: sin ITP (operación con IVA/REBU, confirmar en factura); gastos de gestión del vendedor no indicados: se suma la tasa DGT; preguntar el precio final; diésel: motor sin fuente de fiabilidad (fiabilidad limitada a neutra); carrocería berlina: -4 puntos</t>
        </is>
      </c>
      <c r="BB40" s="2" t="inlineStr">
        <is>
          <t>SKODA MODELO FABIA MOTOR  1.4 TDI CON 80CV  DE POTENCIA Y CONSUMO REDUCIDO.
VEHICULO NACIONAL PROCEDENTE DE UNICO PROPIETARIO CON KILOMETRAJE REAL Y CERTIFICADO.
DISPONE DE DISTINTIVO AMBIENTAL
SE ENTREGA CON MANTENIMIENTO RECIEN HECHO E ITV EN VIGOR 10/26.
CONSERVA LIBROS ORIGINALES.
DESTACADOS:
- CIERRE CENTRALIZADO CON MANDO Y DOS LLAVES
- CLIMATIZADOR A/C
- RADIO ORIGINAL
- ELEVALUNAS ELECTRICOS
- TAPICERIA DE TELA MIXTA MUY CONSERVADA
- POSA-VASOS 
- VEHICULO CON IVA/(REBU) INCLUIDO.
- ACEPTAMOS VEHÍCULOS COMO PARTE DE PAGO, TASACIÓN MÁXIMA Y PAGO INMEDIATO.
- ESTE ANUNCIO PUEDE CONTENER ALGÚN ERROR SE MUESTRA A TITULO INFORMATIVO Y NO CONTRACTUAL, PARA MAS INFORMACIÓN CONTACTE CON NOSOTROS.
- CARRER DE LA HORTA 14, FOIOS, POLIGONO INDUSTRIAL EL MOLI, CAMPA AMARILLA</t>
        </is>
      </c>
      <c r="BC40" s="2" t="inlineStr">
        <is>
          <t>https://www.coches.net/skoda-fabia-sedan-14-tdi-80cv-comfort-4p-diesel-2006-en-valencia-71619015-covo.aspx (window.__INITIAL_PROPS__.ad) /home/user/Alopecia/buscador-coches/raw/cochesnet/3d94a7fdd41195d7.json</t>
        </is>
      </c>
      <c r="BD40" s="3">
        <f>MAX(ANIO_ACTUAL-M40,0)</f>
        <v/>
      </c>
      <c r="BE40" s="4">
        <f>N40/MAX(BD40,0.5)</f>
        <v/>
      </c>
      <c r="BF40" s="4">
        <f>F40</f>
        <v/>
      </c>
      <c r="BG40" s="3">
        <f>BF40&amp;"|"&amp;INT(M40/SEG_ANIO)*SEG_ANIO</f>
        <v/>
      </c>
      <c r="BH40" s="3">
        <f>BG40&amp;"|"&amp;INT(N40/SEG_KM)*SEG_KM</f>
        <v/>
      </c>
      <c r="BI40" s="4">
        <f>COUNTIF($BF$2:$BF$101,BF40)</f>
        <v/>
      </c>
      <c r="BJ40" s="4">
        <f>COUNTIF($BG$2:$BG$101,BG40)</f>
        <v/>
      </c>
      <c r="BK40" s="4">
        <f>COUNTIF($BH$2:$BH$101,BH40)</f>
        <v/>
      </c>
      <c r="BL40" s="3">
        <f t="array" ref="BL40">IF(N(AX40)&gt;=MIN_N,AW40,IF(BK40&gt;=MIN_N,MEDIAN(IF($BH$2:$BH$101=BH40,$O$2:$O$101)),IF(BJ40&gt;=MIN_N,MEDIAN(IF($BG$2:$BG$101=BG40,$O$2:$O$101)),MEDIAN(IF($BF$2:$BF$101=BF40,$O$2:$O$101)))))</f>
        <v/>
      </c>
      <c r="BM40" s="3">
        <f>IF(N(AX40)&gt;=MIN_N,"mercado "&amp;AY40,IF(BK40&gt;=MIN_N,"modelo+año+km",IF(BJ40&gt;=MIN_N,"modelo+año","modelo")))</f>
        <v/>
      </c>
      <c r="BN40" s="4">
        <f>(BL40-O40)/BL40</f>
        <v/>
      </c>
      <c r="BO40" s="3">
        <f>IF(COUNTIFS(FR_FUEL,K40,FR_YEAR,AP40)&gt;0,1,0)</f>
        <v/>
      </c>
      <c r="BP40" s="3">
        <f>IF(COUNTIFS(FR_FUEL,K40,FR_YEAR,AP40-1)&gt;0,1,0)</f>
        <v/>
      </c>
      <c r="BQ40" s="4">
        <f>IF(N(AQ40)&gt;0,AP40*100+AQ40,IF(AND(BO40=1,BP40=1),(AP40-1)*100+1,AP40*100+1))</f>
        <v/>
      </c>
      <c r="BR40" s="3">
        <f>IF(OR(K40="hibrido",K40="glp",K40="gnc",K40="phev"),"ECO",IF(K40="electrico","CERO",IF(K40="gasolina",IF(BQ40&gt;=GAS_C_YM,"C",IF(BQ40&gt;=GAS_B_YM,"B","A")),IF(K40="diesel",IF(BQ40&gt;=DIE_C_YM,"C",IF(BQ40&gt;=DIE_B_YM,"B","A")),""))))</f>
        <v/>
      </c>
      <c r="BS40" s="2" t="inlineStr">
        <is>
          <t>B</t>
        </is>
      </c>
      <c r="BT40" s="4">
        <f>IF(AU40="sí","sí",IF(AS40="regla",IF(AND(N(AQ40)=0,BO40=1),"sí","no"),"no"))</f>
        <v/>
      </c>
      <c r="BU40" s="3">
        <f>IFERROR(VLOOKUP(F40,MOD_TBL,16,0),IFERROR(VLOOKUP(E40,OCU_TBL,2,0),NEUTRO))</f>
        <v/>
      </c>
      <c r="BV40" s="3">
        <f>SUMIFS(MOT_AJUSTE,MOT_MOTOR,G40,MOT_MARCA,E40,MOT_DESDE,"&lt;="&amp;M40,MOT_HASTA,"&gt;="&amp;M40)+SUMIFS(MOT_AJUSTE,MOT_MOTOR,G40,MOT_MARCA,"(todas)",MOT_DESDE,"&lt;="&amp;M40,MOT_HASTA,"&gt;="&amp;M40)+SUMIFS(MOT_AJUSTE,MOT_MOTOR,"(cualquiera)",MOT_MARCA,E40,MOT_DESDE,"&lt;="&amp;M40,MOT_HASTA,"&gt;="&amp;M40)</f>
        <v/>
      </c>
      <c r="BW40" s="3">
        <f>SUMIFS(COMB_AJUSTE,COMB_COMB,K40)</f>
        <v/>
      </c>
      <c r="BX40" s="3">
        <f>COUNTIFS(MOT_MOTOR,G40,MOT_MARCA,E40,MOT_DESDE,"&lt;="&amp;M40,MOT_HASTA,"&gt;="&amp;M40)+COUNTIFS(MOT_MOTOR,G40,MOT_MARCA,"(todas)",MOT_DESDE,"&lt;="&amp;M40,MOT_HASTA,"&gt;="&amp;M40)+COUNTIFS(MOT_MOTOR,"(cualquiera)",MOT_MARCA,E40,MOT_DESDE,"&lt;="&amp;M40,MOT_HASTA,"&gt;="&amp;M40)</f>
        <v/>
      </c>
      <c r="BY40" s="3">
        <f>IF(AND(K40="diesel",BX40=0),MIN(BU40,NEUTRO),BU40)</f>
        <v/>
      </c>
      <c r="BZ40" s="3">
        <f>MAX(0,MIN(100,BY40+BV40+BW40-IF(AV40="sí",ROB_PEN,0)))</f>
        <v/>
      </c>
      <c r="CA40" s="3">
        <f>100-MAX(0,N40-KM_TOPE_DESDE)/1000*KM_TOPE_PTS</f>
        <v/>
      </c>
      <c r="CB40" s="3">
        <f>MAX(0,MIN(100,50+BN40*PRECIO_PEND,CA40))</f>
        <v/>
      </c>
      <c r="CC40" s="3">
        <f>MAX(0,100*(1-N40/KM_MAX))</f>
        <v/>
      </c>
      <c r="CD40" s="3">
        <f>IF(BE40&lt;KMA_SOSP,IF(AA40="sí",100,KMA_PEN),IF(BE40&lt;=KMA_IDEAL_MAX,100,MAX(0,100*(KMA_CERO-BE40)/(KMA_CERO-KMA_IDEAL_MAX))))</f>
        <v/>
      </c>
      <c r="CE40" s="3">
        <f>MAX(0,MIN(100,100*(M40-ANIO_MIN)/(ANIO_ACTUAL-ANIO_MIN)))</f>
        <v/>
      </c>
      <c r="CF40" s="3">
        <f>W_KMT*CC40+W_KMA*CD40+W_EDAD*CE40</f>
        <v/>
      </c>
      <c r="CG40" s="3">
        <f>P_ITV*(V40="sí")+P_LIBRO*(W40="sí")+P_CORREA*(X40="sí")+P_PROP*(Y40=1)+P_GAR*(Z40="sí")+P_FOTOS*MIN(1,N(U40)/FOTOS_OBJ)</f>
        <v/>
      </c>
      <c r="CH40" s="3">
        <f>MAX(0,MIN(100,IFERROR(VLOOKUP(BS40,ETQ_TBL,2,0),0)-IF(BT40="sí",ETQ_PEN_DUD,IF(AS40="regla",ETQ_PEN_REGLA,0))))</f>
        <v/>
      </c>
      <c r="CI40" s="3">
        <f>NEUTRO</f>
        <v/>
      </c>
      <c r="CJ40" s="3">
        <f>IFERROR(VLOOKUP(L40,SEGURO_TBL,3,0),"")</f>
        <v/>
      </c>
      <c r="CK40" s="3">
        <f>IF(CJ40="",NEUTRO,MAX(0,MIN(100,100*(SEG_REF_MAX-CJ40)/(SEG_REF_MAX-SEG_REF_MIN))))</f>
        <v/>
      </c>
      <c r="CL40" s="3">
        <f>W_CONS*CI40+W_SEG*CK40</f>
        <v/>
      </c>
      <c r="CM40" s="3">
        <f>IF(N(AB40)&gt;0,AB40,IF(AND(R40="profesional",SG_LEGAL_ON=1),GAR_LEGAL,0))</f>
        <v/>
      </c>
      <c r="CN40" s="3">
        <f>SG_GAR*MIN(1,CM40/SG_GAR_FULL)+SG_AMPL*(AC40="sí")+SG_KMC*(AF40="sí")+SG_REV*(N(AE40)&gt;0)+SG_DEV*MIN(1,N(AG40)/SG_DEV_FULL)+SG_HIST*(W40="sí")</f>
        <v/>
      </c>
      <c r="CO40" s="3">
        <f>IFERROR(VLOOKUP(L40,CARR_PEN_TBL,2,0),0)</f>
        <v/>
      </c>
      <c r="CP40" s="3">
        <f>W_FIAB*BZ40+W_PRECIO*CB40+W_KMEDAD*CF40+W_ANUNCIO*CG40+W_USO*CL40+W_SEGURIDAD*CN40+W_ETIQUETA*CH40-CO40</f>
        <v/>
      </c>
      <c r="CQ40" s="4">
        <f>IF(N(I40)&gt;0,I40,IFERROR(ROUND(_xlfn.NUMBERVALUE(LEFT(G40,FIND(" ",G40&amp;" ")-1),".")*1000,0),99999))</f>
        <v/>
      </c>
      <c r="CR40" s="3">
        <f>IF(R40="profesional",0,IF(O40&lt;CUOTA_VALOR_MAX,IF(BD40&gt;ITP_TRAMO_ALTO,SUMIFS(CF_CUOTA,CF_MAS,ITP_TRAMO_ALTO,CF_CCMIN,"&lt;="&amp;CQ40,CF_CCMAX,"&gt;="&amp;CQ40),IF(BD40&gt;ITP_TRAMO_BAJO,SUMIFS(CF_CUOTA,CF_MAS,ITP_TRAMO_BAJO,CF_CCMIN,"&lt;="&amp;CQ40,CF_CCMAX,"&gt;="&amp;CQ40),O40*ITP_TIPO)),O40*ITP_TIPO))</f>
        <v/>
      </c>
      <c r="CS40" s="4">
        <f>IF(R40="profesional",N(AK40),0)</f>
        <v/>
      </c>
      <c r="CT40" s="3">
        <f>IF(AND(R40="profesional",ISNUMBER(AK40),AL40="sí"),0,TASA_DGT)</f>
        <v/>
      </c>
      <c r="CU40" s="3">
        <f>INFORME_DGT</f>
        <v/>
      </c>
      <c r="CV40" s="4">
        <f>O40+CS40+CR40+CT40+CU40</f>
        <v/>
      </c>
      <c r="CW40" s="4">
        <f>CV40+N(CJ40)</f>
        <v/>
      </c>
      <c r="CX40" s="3">
        <f>IF(CV40&lt;=TOTAL_MAX,"sí",IF(CV40&lt;=TOTAL_MAX+MARGEN_NEG,"negociar","no"))</f>
        <v/>
      </c>
      <c r="CY40" s="4">
        <f>IF(CX40&lt;&gt;"no",COUNTIFS($CX$2:$CX$101,"&lt;&gt;no",$CP$2:$CP$101,"&gt;"&amp;CP40)+COUNTIFS($CX$2:CX40,"&lt;&gt;no",$CP$2:CP40,CP40),"")</f>
        <v/>
      </c>
    </row>
    <row r="41">
      <c r="A41" s="2" t="inlineStr">
        <is>
          <t>cochesnet:71867781</t>
        </is>
      </c>
      <c r="B41" s="2" t="inlineStr">
        <is>
          <t>cochesnet</t>
        </is>
      </c>
      <c r="C41" s="2" t="inlineStr">
        <is>
          <t>https://www.coches.net/seat-ibiza-19-tdi-100cv-sport-5p-diesel-2008-en-valencia-71867781-covo.aspx</t>
        </is>
      </c>
      <c r="D41" s="2" t="inlineStr">
        <is>
          <t>SEAT Ibiza 1.9 TDI Sport</t>
        </is>
      </c>
      <c r="E41" s="2" t="inlineStr">
        <is>
          <t>Seat</t>
        </is>
      </c>
      <c r="F41" s="2" t="inlineStr">
        <is>
          <t>Seat Ibiza</t>
        </is>
      </c>
      <c r="G41" s="2" t="inlineStr">
        <is>
          <t>1.9 TDI</t>
        </is>
      </c>
      <c r="H41" s="2" t="inlineStr">
        <is>
          <t>1.9 TDI 100cv Sport</t>
        </is>
      </c>
      <c r="I41" s="2" t="n"/>
      <c r="J41" s="2" t="n">
        <v>100</v>
      </c>
      <c r="K41" s="2" t="inlineStr">
        <is>
          <t>diesel</t>
        </is>
      </c>
      <c r="L41" s="2" t="inlineStr">
        <is>
          <t>utilitario</t>
        </is>
      </c>
      <c r="M41" s="2" t="n">
        <v>2007</v>
      </c>
      <c r="N41" s="2" t="n">
        <v>117000</v>
      </c>
      <c r="O41" s="2" t="n">
        <v>4990</v>
      </c>
      <c r="P41" s="2" t="inlineStr">
        <is>
          <t>manual</t>
        </is>
      </c>
      <c r="Q41" s="2" t="inlineStr">
        <is>
          <t>no</t>
        </is>
      </c>
      <c r="R41" s="2" t="inlineStr">
        <is>
          <t>profesional</t>
        </is>
      </c>
      <c r="S41" s="2" t="inlineStr">
        <is>
          <t>MSG Car 4 Valencia</t>
        </is>
      </c>
      <c r="T41" s="2" t="inlineStr">
        <is>
          <t>2026-10-30T09:30:55Z</t>
        </is>
      </c>
      <c r="U41" s="2" t="n">
        <v>13</v>
      </c>
      <c r="V41" s="2" t="n"/>
      <c r="W41" s="2" t="n"/>
      <c r="X41" s="2" t="n"/>
      <c r="Y41" s="2" t="n"/>
      <c r="Z41" s="2" t="inlineStr">
        <is>
          <t>sí</t>
        </is>
      </c>
      <c r="AA41" s="2" t="inlineStr">
        <is>
          <t>sí</t>
        </is>
      </c>
      <c r="AB41" s="2" t="n">
        <v>12</v>
      </c>
      <c r="AC41" s="2" t="n"/>
      <c r="AD41" s="2" t="n"/>
      <c r="AE41" s="2" t="n"/>
      <c r="AF41" s="2" t="inlineStr">
        <is>
          <t>sí</t>
        </is>
      </c>
      <c r="AG41" s="2" t="n"/>
      <c r="AH41" s="2" t="n">
        <v>4990</v>
      </c>
      <c r="AI41" s="2" t="n"/>
      <c r="AJ41" s="2" t="n"/>
      <c r="AK41" s="2" t="n"/>
      <c r="AL41" s="2" t="n"/>
      <c r="AM41" s="2" t="n">
        <v>0.1</v>
      </c>
      <c r="AN41" s="2" t="n"/>
      <c r="AO41" s="2" t="inlineStr">
        <is>
          <t>2007</t>
        </is>
      </c>
      <c r="AP41" s="2" t="n">
        <v>2007</v>
      </c>
      <c r="AQ41" s="2" t="n"/>
      <c r="AR41" s="2" t="inlineStr">
        <is>
          <t>B</t>
        </is>
      </c>
      <c r="AS41" s="2" t="inlineStr">
        <is>
          <t>anuncio</t>
        </is>
      </c>
      <c r="AT41" s="2" t="n">
        <v>2008</v>
      </c>
      <c r="AU41" s="2" t="inlineStr">
        <is>
          <t>no</t>
        </is>
      </c>
      <c r="AV41" s="2" t="inlineStr">
        <is>
          <t>no</t>
        </is>
      </c>
      <c r="AW41" s="2" t="n">
        <v>3850</v>
      </c>
      <c r="AX41" s="2" t="n">
        <v>26</v>
      </c>
      <c r="AY41" s="2" t="inlineStr">
        <is>
          <t>modelo+año</t>
        </is>
      </c>
      <c r="AZ41" s="2" t="n"/>
      <c r="BA41" s="2" t="inlineStr">
        <is>
          <t>año a confirmar: la URL/título dice 2008;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41" s="2" t="inlineStr">
        <is>
          <t>-Nacional-Kilometraje certificado-Etiqueta medioambiental B-Recién revisado-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BC41" s="2" t="inlineStr">
        <is>
          <t>https://www.coches.net/seat-ibiza-19-tdi-100cv-sport-5p-diesel-2008-en-valencia-71867781-covo.aspx (window.__INITIAL_PROPS__.ad) /home/user/Alopecia/buscador-coches/raw/cochesnet/04fc7723d9dff820.json</t>
        </is>
      </c>
      <c r="BD41" s="3">
        <f>MAX(ANIO_ACTUAL-M41,0)</f>
        <v/>
      </c>
      <c r="BE41" s="4">
        <f>N41/MAX(BD41,0.5)</f>
        <v/>
      </c>
      <c r="BF41" s="4">
        <f>F41</f>
        <v/>
      </c>
      <c r="BG41" s="3">
        <f>BF41&amp;"|"&amp;INT(M41/SEG_ANIO)*SEG_ANIO</f>
        <v/>
      </c>
      <c r="BH41" s="3">
        <f>BG41&amp;"|"&amp;INT(N41/SEG_KM)*SEG_KM</f>
        <v/>
      </c>
      <c r="BI41" s="4">
        <f>COUNTIF($BF$2:$BF$101,BF41)</f>
        <v/>
      </c>
      <c r="BJ41" s="4">
        <f>COUNTIF($BG$2:$BG$101,BG41)</f>
        <v/>
      </c>
      <c r="BK41" s="4">
        <f>COUNTIF($BH$2:$BH$101,BH41)</f>
        <v/>
      </c>
      <c r="BL41" s="3">
        <f t="array" ref="BL41">IF(N(AX41)&gt;=MIN_N,AW41,IF(BK41&gt;=MIN_N,MEDIAN(IF($BH$2:$BH$101=BH41,$O$2:$O$101)),IF(BJ41&gt;=MIN_N,MEDIAN(IF($BG$2:$BG$101=BG41,$O$2:$O$101)),MEDIAN(IF($BF$2:$BF$101=BF41,$O$2:$O$101)))))</f>
        <v/>
      </c>
      <c r="BM41" s="3">
        <f>IF(N(AX41)&gt;=MIN_N,"mercado "&amp;AY41,IF(BK41&gt;=MIN_N,"modelo+año+km",IF(BJ41&gt;=MIN_N,"modelo+año","modelo")))</f>
        <v/>
      </c>
      <c r="BN41" s="4">
        <f>(BL41-O41)/BL41</f>
        <v/>
      </c>
      <c r="BO41" s="3">
        <f>IF(COUNTIFS(FR_FUEL,K41,FR_YEAR,AP41)&gt;0,1,0)</f>
        <v/>
      </c>
      <c r="BP41" s="3">
        <f>IF(COUNTIFS(FR_FUEL,K41,FR_YEAR,AP41-1)&gt;0,1,0)</f>
        <v/>
      </c>
      <c r="BQ41" s="4">
        <f>IF(N(AQ41)&gt;0,AP41*100+AQ41,IF(AND(BO41=1,BP41=1),(AP41-1)*100+1,AP41*100+1))</f>
        <v/>
      </c>
      <c r="BR41" s="3">
        <f>IF(OR(K41="hibrido",K41="glp",K41="gnc",K41="phev"),"ECO",IF(K41="electrico","CERO",IF(K41="gasolina",IF(BQ41&gt;=GAS_C_YM,"C",IF(BQ41&gt;=GAS_B_YM,"B","A")),IF(K41="diesel",IF(BQ41&gt;=DIE_C_YM,"C",IF(BQ41&gt;=DIE_B_YM,"B","A")),""))))</f>
        <v/>
      </c>
      <c r="BS41" s="2" t="inlineStr">
        <is>
          <t>B</t>
        </is>
      </c>
      <c r="BT41" s="4">
        <f>IF(AU41="sí","sí",IF(AS41="regla",IF(AND(N(AQ41)=0,BO41=1),"sí","no"),"no"))</f>
        <v/>
      </c>
      <c r="BU41" s="3">
        <f>IFERROR(VLOOKUP(F41,MOD_TBL,16,0),IFERROR(VLOOKUP(E41,OCU_TBL,2,0),NEUTRO))</f>
        <v/>
      </c>
      <c r="BV41" s="3">
        <f>SUMIFS(MOT_AJUSTE,MOT_MOTOR,G41,MOT_MARCA,E41,MOT_DESDE,"&lt;="&amp;M41,MOT_HASTA,"&gt;="&amp;M41)+SUMIFS(MOT_AJUSTE,MOT_MOTOR,G41,MOT_MARCA,"(todas)",MOT_DESDE,"&lt;="&amp;M41,MOT_HASTA,"&gt;="&amp;M41)+SUMIFS(MOT_AJUSTE,MOT_MOTOR,"(cualquiera)",MOT_MARCA,E41,MOT_DESDE,"&lt;="&amp;M41,MOT_HASTA,"&gt;="&amp;M41)</f>
        <v/>
      </c>
      <c r="BW41" s="3">
        <f>SUMIFS(COMB_AJUSTE,COMB_COMB,K41)</f>
        <v/>
      </c>
      <c r="BX41" s="3">
        <f>COUNTIFS(MOT_MOTOR,G41,MOT_MARCA,E41,MOT_DESDE,"&lt;="&amp;M41,MOT_HASTA,"&gt;="&amp;M41)+COUNTIFS(MOT_MOTOR,G41,MOT_MARCA,"(todas)",MOT_DESDE,"&lt;="&amp;M41,MOT_HASTA,"&gt;="&amp;M41)+COUNTIFS(MOT_MOTOR,"(cualquiera)",MOT_MARCA,E41,MOT_DESDE,"&lt;="&amp;M41,MOT_HASTA,"&gt;="&amp;M41)</f>
        <v/>
      </c>
      <c r="BY41" s="3">
        <f>IF(AND(K41="diesel",BX41=0),MIN(BU41,NEUTRO),BU41)</f>
        <v/>
      </c>
      <c r="BZ41" s="3">
        <f>MAX(0,MIN(100,BY41+BV41+BW41-IF(AV41="sí",ROB_PEN,0)))</f>
        <v/>
      </c>
      <c r="CA41" s="3">
        <f>100-MAX(0,N41-KM_TOPE_DESDE)/1000*KM_TOPE_PTS</f>
        <v/>
      </c>
      <c r="CB41" s="3">
        <f>MAX(0,MIN(100,50+BN41*PRECIO_PEND,CA41))</f>
        <v/>
      </c>
      <c r="CC41" s="3">
        <f>MAX(0,100*(1-N41/KM_MAX))</f>
        <v/>
      </c>
      <c r="CD41" s="3">
        <f>IF(BE41&lt;KMA_SOSP,IF(AA41="sí",100,KMA_PEN),IF(BE41&lt;=KMA_IDEAL_MAX,100,MAX(0,100*(KMA_CERO-BE41)/(KMA_CERO-KMA_IDEAL_MAX))))</f>
        <v/>
      </c>
      <c r="CE41" s="3">
        <f>MAX(0,MIN(100,100*(M41-ANIO_MIN)/(ANIO_ACTUAL-ANIO_MIN)))</f>
        <v/>
      </c>
      <c r="CF41" s="3">
        <f>W_KMT*CC41+W_KMA*CD41+W_EDAD*CE41</f>
        <v/>
      </c>
      <c r="CG41" s="3">
        <f>P_ITV*(V41="sí")+P_LIBRO*(W41="sí")+P_CORREA*(X41="sí")+P_PROP*(Y41=1)+P_GAR*(Z41="sí")+P_FOTOS*MIN(1,N(U41)/FOTOS_OBJ)</f>
        <v/>
      </c>
      <c r="CH41" s="3">
        <f>MAX(0,MIN(100,IFERROR(VLOOKUP(BS41,ETQ_TBL,2,0),0)-IF(BT41="sí",ETQ_PEN_DUD,IF(AS41="regla",ETQ_PEN_REGLA,0))))</f>
        <v/>
      </c>
      <c r="CI41" s="3">
        <f>NEUTRO</f>
        <v/>
      </c>
      <c r="CJ41" s="3">
        <f>IFERROR(VLOOKUP(L41,SEGURO_TBL,3,0),"")</f>
        <v/>
      </c>
      <c r="CK41" s="3">
        <f>IF(CJ41="",NEUTRO,MAX(0,MIN(100,100*(SEG_REF_MAX-CJ41)/(SEG_REF_MAX-SEG_REF_MIN))))</f>
        <v/>
      </c>
      <c r="CL41" s="3">
        <f>W_CONS*CI41+W_SEG*CK41</f>
        <v/>
      </c>
      <c r="CM41" s="3">
        <f>IF(N(AB41)&gt;0,AB41,IF(AND(R41="profesional",SG_LEGAL_ON=1),GAR_LEGAL,0))</f>
        <v/>
      </c>
      <c r="CN41" s="3">
        <f>SG_GAR*MIN(1,CM41/SG_GAR_FULL)+SG_AMPL*(AC41="sí")+SG_KMC*(AF41="sí")+SG_REV*(N(AE41)&gt;0)+SG_DEV*MIN(1,N(AG41)/SG_DEV_FULL)+SG_HIST*(W41="sí")</f>
        <v/>
      </c>
      <c r="CO41" s="3">
        <f>IFERROR(VLOOKUP(L41,CARR_PEN_TBL,2,0),0)</f>
        <v/>
      </c>
      <c r="CP41" s="3">
        <f>W_FIAB*BZ41+W_PRECIO*CB41+W_KMEDAD*CF41+W_ANUNCIO*CG41+W_USO*CL41+W_SEGURIDAD*CN41+W_ETIQUETA*CH41-CO41</f>
        <v/>
      </c>
      <c r="CQ41" s="4">
        <f>IF(N(I41)&gt;0,I41,IFERROR(ROUND(_xlfn.NUMBERVALUE(LEFT(G41,FIND(" ",G41&amp;" ")-1),".")*1000,0),99999))</f>
        <v/>
      </c>
      <c r="CR41" s="3">
        <f>IF(R41="profesional",0,IF(O41&lt;CUOTA_VALOR_MAX,IF(BD41&gt;ITP_TRAMO_ALTO,SUMIFS(CF_CUOTA,CF_MAS,ITP_TRAMO_ALTO,CF_CCMIN,"&lt;="&amp;CQ41,CF_CCMAX,"&gt;="&amp;CQ41),IF(BD41&gt;ITP_TRAMO_BAJO,SUMIFS(CF_CUOTA,CF_MAS,ITP_TRAMO_BAJO,CF_CCMIN,"&lt;="&amp;CQ41,CF_CCMAX,"&gt;="&amp;CQ41),O41*ITP_TIPO)),O41*ITP_TIPO))</f>
        <v/>
      </c>
      <c r="CS41" s="4">
        <f>IF(R41="profesional",N(AK41),0)</f>
        <v/>
      </c>
      <c r="CT41" s="3">
        <f>IF(AND(R41="profesional",ISNUMBER(AK41),AL41="sí"),0,TASA_DGT)</f>
        <v/>
      </c>
      <c r="CU41" s="3">
        <f>INFORME_DGT</f>
        <v/>
      </c>
      <c r="CV41" s="4">
        <f>O41+CS41+CR41+CT41+CU41</f>
        <v/>
      </c>
      <c r="CW41" s="4">
        <f>CV41+N(CJ41)</f>
        <v/>
      </c>
      <c r="CX41" s="3">
        <f>IF(CV41&lt;=TOTAL_MAX,"sí",IF(CV41&lt;=TOTAL_MAX+MARGEN_NEG,"negociar","no"))</f>
        <v/>
      </c>
      <c r="CY41" s="4">
        <f>IF(CX41&lt;&gt;"no",COUNTIFS($CX$2:$CX$101,"&lt;&gt;no",$CP$2:$CP$101,"&gt;"&amp;CP41)+COUNTIFS($CX$2:CX41,"&lt;&gt;no",$CP$2:CP41,CP41),"")</f>
        <v/>
      </c>
    </row>
    <row r="42">
      <c r="A42" s="2" t="inlineStr">
        <is>
          <t>cochesnet:71866787</t>
        </is>
      </c>
      <c r="B42" s="2" t="inlineStr">
        <is>
          <t>cochesnet</t>
        </is>
      </c>
      <c r="C42" s="2" t="inlineStr">
        <is>
          <t>https://www.coches.net/volkswagen-polo-12-edition-70cv-5p-gasolina-2008-en-valencia-71866787-covo.aspx</t>
        </is>
      </c>
      <c r="D42" s="2" t="inlineStr">
        <is>
          <t>VOLKSWAGEN Polo 1.2 Edition</t>
        </is>
      </c>
      <c r="E42" s="2" t="inlineStr">
        <is>
          <t>Volkswagen</t>
        </is>
      </c>
      <c r="F42" s="2" t="inlineStr">
        <is>
          <t>Volkswagen Polo</t>
        </is>
      </c>
      <c r="G42" s="2" t="inlineStr">
        <is>
          <t>1.2</t>
        </is>
      </c>
      <c r="H42" s="2" t="inlineStr">
        <is>
          <t>1.2 Edition 70cv</t>
        </is>
      </c>
      <c r="I42" s="2" t="n"/>
      <c r="J42" s="2" t="n">
        <v>70</v>
      </c>
      <c r="K42" s="2" t="inlineStr">
        <is>
          <t>gasolina</t>
        </is>
      </c>
      <c r="L42" s="2" t="inlineStr">
        <is>
          <t>utilitario</t>
        </is>
      </c>
      <c r="M42" s="2" t="n">
        <v>2008</v>
      </c>
      <c r="N42" s="2" t="n">
        <v>134000</v>
      </c>
      <c r="O42" s="2" t="n">
        <v>4990</v>
      </c>
      <c r="P42" s="2" t="inlineStr">
        <is>
          <t>manual</t>
        </is>
      </c>
      <c r="Q42" s="2" t="inlineStr">
        <is>
          <t>no</t>
        </is>
      </c>
      <c r="R42" s="2" t="inlineStr">
        <is>
          <t>profesional</t>
        </is>
      </c>
      <c r="S42" s="2" t="inlineStr">
        <is>
          <t>Alboraya</t>
        </is>
      </c>
      <c r="T42" s="2" t="inlineStr">
        <is>
          <t>2026-10-29T23:22:57Z</t>
        </is>
      </c>
      <c r="U42" s="2" t="n">
        <v>13</v>
      </c>
      <c r="V42" s="2" t="inlineStr">
        <is>
          <t>sí</t>
        </is>
      </c>
      <c r="W42" s="2" t="n"/>
      <c r="X42" s="2" t="n"/>
      <c r="Y42" s="2" t="n"/>
      <c r="Z42" s="2" t="inlineStr">
        <is>
          <t>sí</t>
        </is>
      </c>
      <c r="AA42" s="2" t="n"/>
      <c r="AB42" s="2" t="n">
        <v>12</v>
      </c>
      <c r="AC42" s="2" t="n"/>
      <c r="AD42" s="2" t="n"/>
      <c r="AE42" s="2" t="n"/>
      <c r="AF42" s="2" t="n"/>
      <c r="AG42" s="2" t="n"/>
      <c r="AH42" s="2" t="n">
        <v>4990</v>
      </c>
      <c r="AI42" s="2" t="n">
        <v>4990</v>
      </c>
      <c r="AJ42" s="2" t="n"/>
      <c r="AK42" s="2" t="n"/>
      <c r="AL42" s="2" t="n"/>
      <c r="AM42" s="2" t="n">
        <v>4</v>
      </c>
      <c r="AN42" s="2" t="n"/>
      <c r="AO42" s="2" t="inlineStr">
        <is>
          <t>2008</t>
        </is>
      </c>
      <c r="AP42" s="2" t="n">
        <v>2008</v>
      </c>
      <c r="AQ42" s="2" t="n"/>
      <c r="AR42" s="2" t="inlineStr">
        <is>
          <t>C</t>
        </is>
      </c>
      <c r="AS42" s="2" t="inlineStr">
        <is>
          <t>anuncio</t>
        </is>
      </c>
      <c r="AT42" s="2" t="n"/>
      <c r="AU42" s="2" t="inlineStr">
        <is>
          <t>no</t>
        </is>
      </c>
      <c r="AV42" s="2" t="inlineStr">
        <is>
          <t>no</t>
        </is>
      </c>
      <c r="AW42" s="2" t="n">
        <v>4990</v>
      </c>
      <c r="AX42" s="2" t="n">
        <v>7</v>
      </c>
      <c r="AY42" s="2" t="inlineStr">
        <is>
          <t>modelo+año+km</t>
        </is>
      </c>
      <c r="AZ42" s="2" t="n"/>
      <c r="BA42" s="2" t="inlineStr">
        <is>
          <t>por encima del presupuesto (5054 €), negociar; vendedor profesional: sin ITP (operación con IVA/REBU, confirmar en factura); gastos de gestión del vendedor no indicados: se suma la tasa DGT; preguntar el precio final</t>
        </is>
      </c>
      <c r="BB42"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BC42" s="2" t="inlineStr">
        <is>
          <t>https://www.coches.net/volkswagen-polo-12-edition-70cv-5p-gasolina-2008-en-valencia-71866787-covo.aspx (window.__INITIAL_PROPS__.ad) /home/user/Alopecia/buscador-coches/raw/cochesnet/b16c9cb1905015d4.json</t>
        </is>
      </c>
      <c r="BD42" s="3">
        <f>MAX(ANIO_ACTUAL-M42,0)</f>
        <v/>
      </c>
      <c r="BE42" s="4">
        <f>N42/MAX(BD42,0.5)</f>
        <v/>
      </c>
      <c r="BF42" s="4">
        <f>F42</f>
        <v/>
      </c>
      <c r="BG42" s="3">
        <f>BF42&amp;"|"&amp;INT(M42/SEG_ANIO)*SEG_ANIO</f>
        <v/>
      </c>
      <c r="BH42" s="3">
        <f>BG42&amp;"|"&amp;INT(N42/SEG_KM)*SEG_KM</f>
        <v/>
      </c>
      <c r="BI42" s="4">
        <f>COUNTIF($BF$2:$BF$101,BF42)</f>
        <v/>
      </c>
      <c r="BJ42" s="4">
        <f>COUNTIF($BG$2:$BG$101,BG42)</f>
        <v/>
      </c>
      <c r="BK42" s="4">
        <f>COUNTIF($BH$2:$BH$101,BH42)</f>
        <v/>
      </c>
      <c r="BL42" s="3">
        <f t="array" ref="BL42">IF(N(AX42)&gt;=MIN_N,AW42,IF(BK42&gt;=MIN_N,MEDIAN(IF($BH$2:$BH$101=BH42,$O$2:$O$101)),IF(BJ42&gt;=MIN_N,MEDIAN(IF($BG$2:$BG$101=BG42,$O$2:$O$101)),MEDIAN(IF($BF$2:$BF$101=BF42,$O$2:$O$101)))))</f>
        <v/>
      </c>
      <c r="BM42" s="3">
        <f>IF(N(AX42)&gt;=MIN_N,"mercado "&amp;AY42,IF(BK42&gt;=MIN_N,"modelo+año+km",IF(BJ42&gt;=MIN_N,"modelo+año","modelo")))</f>
        <v/>
      </c>
      <c r="BN42" s="4">
        <f>(BL42-O42)/BL42</f>
        <v/>
      </c>
      <c r="BO42" s="3">
        <f>IF(COUNTIFS(FR_FUEL,K42,FR_YEAR,AP42)&gt;0,1,0)</f>
        <v/>
      </c>
      <c r="BP42" s="3">
        <f>IF(COUNTIFS(FR_FUEL,K42,FR_YEAR,AP42-1)&gt;0,1,0)</f>
        <v/>
      </c>
      <c r="BQ42" s="4">
        <f>IF(N(AQ42)&gt;0,AP42*100+AQ42,IF(AND(BO42=1,BP42=1),(AP42-1)*100+1,AP42*100+1))</f>
        <v/>
      </c>
      <c r="BR42" s="3">
        <f>IF(OR(K42="hibrido",K42="glp",K42="gnc",K42="phev"),"ECO",IF(K42="electrico","CERO",IF(K42="gasolina",IF(BQ42&gt;=GAS_C_YM,"C",IF(BQ42&gt;=GAS_B_YM,"B","A")),IF(K42="diesel",IF(BQ42&gt;=DIE_C_YM,"C",IF(BQ42&gt;=DIE_B_YM,"B","A")),""))))</f>
        <v/>
      </c>
      <c r="BS42" s="2" t="inlineStr">
        <is>
          <t>C</t>
        </is>
      </c>
      <c r="BT42" s="4">
        <f>IF(AU42="sí","sí",IF(AS42="regla",IF(AND(N(AQ42)=0,BO42=1),"sí","no"),"no"))</f>
        <v/>
      </c>
      <c r="BU42" s="3">
        <f>IFERROR(VLOOKUP(F42,MOD_TBL,16,0),IFERROR(VLOOKUP(E42,OCU_TBL,2,0),NEUTRO))</f>
        <v/>
      </c>
      <c r="BV42" s="3">
        <f>SUMIFS(MOT_AJUSTE,MOT_MOTOR,G42,MOT_MARCA,E42,MOT_DESDE,"&lt;="&amp;M42,MOT_HASTA,"&gt;="&amp;M42)+SUMIFS(MOT_AJUSTE,MOT_MOTOR,G42,MOT_MARCA,"(todas)",MOT_DESDE,"&lt;="&amp;M42,MOT_HASTA,"&gt;="&amp;M42)+SUMIFS(MOT_AJUSTE,MOT_MOTOR,"(cualquiera)",MOT_MARCA,E42,MOT_DESDE,"&lt;="&amp;M42,MOT_HASTA,"&gt;="&amp;M42)</f>
        <v/>
      </c>
      <c r="BW42" s="3">
        <f>SUMIFS(COMB_AJUSTE,COMB_COMB,K42)</f>
        <v/>
      </c>
      <c r="BX42" s="3">
        <f>COUNTIFS(MOT_MOTOR,G42,MOT_MARCA,E42,MOT_DESDE,"&lt;="&amp;M42,MOT_HASTA,"&gt;="&amp;M42)+COUNTIFS(MOT_MOTOR,G42,MOT_MARCA,"(todas)",MOT_DESDE,"&lt;="&amp;M42,MOT_HASTA,"&gt;="&amp;M42)+COUNTIFS(MOT_MOTOR,"(cualquiera)",MOT_MARCA,E42,MOT_DESDE,"&lt;="&amp;M42,MOT_HASTA,"&gt;="&amp;M42)</f>
        <v/>
      </c>
      <c r="BY42" s="3">
        <f>IF(AND(K42="diesel",BX42=0),MIN(BU42,NEUTRO),BU42)</f>
        <v/>
      </c>
      <c r="BZ42" s="3">
        <f>MAX(0,MIN(100,BY42+BV42+BW42-IF(AV42="sí",ROB_PEN,0)))</f>
        <v/>
      </c>
      <c r="CA42" s="3">
        <f>100-MAX(0,N42-KM_TOPE_DESDE)/1000*KM_TOPE_PTS</f>
        <v/>
      </c>
      <c r="CB42" s="3">
        <f>MAX(0,MIN(100,50+BN42*PRECIO_PEND,CA42))</f>
        <v/>
      </c>
      <c r="CC42" s="3">
        <f>MAX(0,100*(1-N42/KM_MAX))</f>
        <v/>
      </c>
      <c r="CD42" s="3">
        <f>IF(BE42&lt;KMA_SOSP,IF(AA42="sí",100,KMA_PEN),IF(BE42&lt;=KMA_IDEAL_MAX,100,MAX(0,100*(KMA_CERO-BE42)/(KMA_CERO-KMA_IDEAL_MAX))))</f>
        <v/>
      </c>
      <c r="CE42" s="3">
        <f>MAX(0,MIN(100,100*(M42-ANIO_MIN)/(ANIO_ACTUAL-ANIO_MIN)))</f>
        <v/>
      </c>
      <c r="CF42" s="3">
        <f>W_KMT*CC42+W_KMA*CD42+W_EDAD*CE42</f>
        <v/>
      </c>
      <c r="CG42" s="3">
        <f>P_ITV*(V42="sí")+P_LIBRO*(W42="sí")+P_CORREA*(X42="sí")+P_PROP*(Y42=1)+P_GAR*(Z42="sí")+P_FOTOS*MIN(1,N(U42)/FOTOS_OBJ)</f>
        <v/>
      </c>
      <c r="CH42" s="3">
        <f>MAX(0,MIN(100,IFERROR(VLOOKUP(BS42,ETQ_TBL,2,0),0)-IF(BT42="sí",ETQ_PEN_DUD,IF(AS42="regla",ETQ_PEN_REGLA,0))))</f>
        <v/>
      </c>
      <c r="CI42" s="3">
        <f>NEUTRO</f>
        <v/>
      </c>
      <c r="CJ42" s="3">
        <f>IFERROR(VLOOKUP(L42,SEGURO_TBL,3,0),"")</f>
        <v/>
      </c>
      <c r="CK42" s="3">
        <f>IF(CJ42="",NEUTRO,MAX(0,MIN(100,100*(SEG_REF_MAX-CJ42)/(SEG_REF_MAX-SEG_REF_MIN))))</f>
        <v/>
      </c>
      <c r="CL42" s="3">
        <f>W_CONS*CI42+W_SEG*CK42</f>
        <v/>
      </c>
      <c r="CM42" s="3">
        <f>IF(N(AB42)&gt;0,AB42,IF(AND(R42="profesional",SG_LEGAL_ON=1),GAR_LEGAL,0))</f>
        <v/>
      </c>
      <c r="CN42" s="3">
        <f>SG_GAR*MIN(1,CM42/SG_GAR_FULL)+SG_AMPL*(AC42="sí")+SG_KMC*(AF42="sí")+SG_REV*(N(AE42)&gt;0)+SG_DEV*MIN(1,N(AG42)/SG_DEV_FULL)+SG_HIST*(W42="sí")</f>
        <v/>
      </c>
      <c r="CO42" s="3">
        <f>IFERROR(VLOOKUP(L42,CARR_PEN_TBL,2,0),0)</f>
        <v/>
      </c>
      <c r="CP42" s="3">
        <f>W_FIAB*BZ42+W_PRECIO*CB42+W_KMEDAD*CF42+W_ANUNCIO*CG42+W_USO*CL42+W_SEGURIDAD*CN42+W_ETIQUETA*CH42-CO42</f>
        <v/>
      </c>
      <c r="CQ42" s="4">
        <f>IF(N(I42)&gt;0,I42,IFERROR(ROUND(_xlfn.NUMBERVALUE(LEFT(G42,FIND(" ",G42&amp;" ")-1),".")*1000,0),99999))</f>
        <v/>
      </c>
      <c r="CR42" s="3">
        <f>IF(R42="profesional",0,IF(O42&lt;CUOTA_VALOR_MAX,IF(BD42&gt;ITP_TRAMO_ALTO,SUMIFS(CF_CUOTA,CF_MAS,ITP_TRAMO_ALTO,CF_CCMIN,"&lt;="&amp;CQ42,CF_CCMAX,"&gt;="&amp;CQ42),IF(BD42&gt;ITP_TRAMO_BAJO,SUMIFS(CF_CUOTA,CF_MAS,ITP_TRAMO_BAJO,CF_CCMIN,"&lt;="&amp;CQ42,CF_CCMAX,"&gt;="&amp;CQ42),O42*ITP_TIPO)),O42*ITP_TIPO))</f>
        <v/>
      </c>
      <c r="CS42" s="4">
        <f>IF(R42="profesional",N(AK42),0)</f>
        <v/>
      </c>
      <c r="CT42" s="3">
        <f>IF(AND(R42="profesional",ISNUMBER(AK42),AL42="sí"),0,TASA_DGT)</f>
        <v/>
      </c>
      <c r="CU42" s="3">
        <f>INFORME_DGT</f>
        <v/>
      </c>
      <c r="CV42" s="4">
        <f>O42+CS42+CR42+CT42+CU42</f>
        <v/>
      </c>
      <c r="CW42" s="4">
        <f>CV42+N(CJ42)</f>
        <v/>
      </c>
      <c r="CX42" s="3">
        <f>IF(CV42&lt;=TOTAL_MAX,"sí",IF(CV42&lt;=TOTAL_MAX+MARGEN_NEG,"negociar","no"))</f>
        <v/>
      </c>
      <c r="CY42" s="4">
        <f>IF(CX42&lt;&gt;"no",COUNTIFS($CX$2:$CX$101,"&lt;&gt;no",$CP$2:$CP$101,"&gt;"&amp;CP42)+COUNTIFS($CX$2:CX42,"&lt;&gt;no",$CP$2:CP42,CP42),"")</f>
        <v/>
      </c>
    </row>
    <row r="43">
      <c r="A43" s="2" t="inlineStr">
        <is>
          <t>cochesnet:71806576</t>
        </is>
      </c>
      <c r="B43" s="2" t="inlineStr">
        <is>
          <t>cochesnet</t>
        </is>
      </c>
      <c r="C43" s="2" t="inlineStr">
        <is>
          <t>https://www.coches.net/opel-corsa-enjoy-12-5p-gasolina-2008-en-valencia-71806576-covo.aspx</t>
        </is>
      </c>
      <c r="D43" s="2" t="inlineStr">
        <is>
          <t>OPEL Corsa Enjoy 1.2</t>
        </is>
      </c>
      <c r="E43" s="2" t="inlineStr">
        <is>
          <t>Opel</t>
        </is>
      </c>
      <c r="F43" s="2" t="inlineStr">
        <is>
          <t>Opel Corsa</t>
        </is>
      </c>
      <c r="G43" s="2" t="inlineStr">
        <is>
          <t>1.2</t>
        </is>
      </c>
      <c r="H43" s="2" t="inlineStr">
        <is>
          <t>Enjoy 1.2</t>
        </is>
      </c>
      <c r="I43" s="2" t="n"/>
      <c r="J43" s="2" t="n"/>
      <c r="K43" s="2" t="inlineStr">
        <is>
          <t>gasolina</t>
        </is>
      </c>
      <c r="L43" s="2" t="inlineStr">
        <is>
          <t>utilitario</t>
        </is>
      </c>
      <c r="M43" s="2" t="n">
        <v>2008</v>
      </c>
      <c r="N43" s="2" t="n">
        <v>93267</v>
      </c>
      <c r="O43" s="2" t="n">
        <v>4990</v>
      </c>
      <c r="P43" s="2" t="inlineStr">
        <is>
          <t>manual</t>
        </is>
      </c>
      <c r="Q43" s="2" t="inlineStr">
        <is>
          <t>no</t>
        </is>
      </c>
      <c r="R43" s="2" t="inlineStr">
        <is>
          <t>profesional</t>
        </is>
      </c>
      <c r="S43" s="2" t="inlineStr">
        <is>
          <t>Alzira</t>
        </is>
      </c>
      <c r="T43" s="2" t="inlineStr">
        <is>
          <t>2026-10-22T10:45:15Z</t>
        </is>
      </c>
      <c r="U43" s="2" t="n">
        <v>18</v>
      </c>
      <c r="V43" s="2" t="n"/>
      <c r="W43" s="2" t="n"/>
      <c r="X43" s="2" t="n"/>
      <c r="Y43" s="2" t="n"/>
      <c r="Z43" s="2" t="inlineStr">
        <is>
          <t>no</t>
        </is>
      </c>
      <c r="AA43" s="2" t="n"/>
      <c r="AB43" s="2" t="n"/>
      <c r="AC43" s="2" t="n"/>
      <c r="AD43" s="2" t="n"/>
      <c r="AE43" s="2" t="n"/>
      <c r="AF43" s="2" t="n"/>
      <c r="AG43" s="2" t="n"/>
      <c r="AH43" s="2" t="n">
        <v>4990</v>
      </c>
      <c r="AI43" s="2" t="n"/>
      <c r="AJ43" s="2" t="n"/>
      <c r="AK43" s="2" t="n"/>
      <c r="AL43" s="2" t="n"/>
      <c r="AM43" s="2" t="n">
        <v>35.7</v>
      </c>
      <c r="AN43" s="2" t="n"/>
      <c r="AO43" s="2" t="inlineStr">
        <is>
          <t>2008</t>
        </is>
      </c>
      <c r="AP43" s="2" t="n">
        <v>2008</v>
      </c>
      <c r="AQ43" s="2" t="n"/>
      <c r="AR43" s="2" t="inlineStr">
        <is>
          <t>C</t>
        </is>
      </c>
      <c r="AS43" s="2" t="inlineStr">
        <is>
          <t>anuncio</t>
        </is>
      </c>
      <c r="AT43" s="2" t="n"/>
      <c r="AU43" s="2" t="inlineStr">
        <is>
          <t>no</t>
        </is>
      </c>
      <c r="AV43" s="2" t="inlineStr">
        <is>
          <t>no</t>
        </is>
      </c>
      <c r="AW43" s="2" t="n">
        <v>3000</v>
      </c>
      <c r="AX43" s="2" t="n">
        <v>35</v>
      </c>
      <c r="AY43" s="2" t="inlineStr">
        <is>
          <t>modelo+año</t>
        </is>
      </c>
      <c r="AZ43" s="2" t="n"/>
      <c r="BA43" s="2" t="inlineStr">
        <is>
          <t>por encima del presupuesto (5054 €), negociar; vendedor profesional: sin ITP (operación con IVA/REBU, confirmar en factura); gastos de gestión del vendedor no indicados: se suma la tasa DGT; preguntar el precio final; revisar: no menciona la ITV</t>
        </is>
      </c>
      <c r="BB43"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BC43" s="2" t="inlineStr">
        <is>
          <t>https://www.coches.net/opel-corsa-enjoy-12-5p-gasolina-2008-en-valencia-71806576-covo.aspx (window.__INITIAL_PROPS__.ad) /home/user/Alopecia/buscador-coches/raw/cochesnet/06d5c7ae03c437e7.json</t>
        </is>
      </c>
      <c r="BD43" s="3">
        <f>MAX(ANIO_ACTUAL-M43,0)</f>
        <v/>
      </c>
      <c r="BE43" s="4">
        <f>N43/MAX(BD43,0.5)</f>
        <v/>
      </c>
      <c r="BF43" s="4">
        <f>F43</f>
        <v/>
      </c>
      <c r="BG43" s="3">
        <f>BF43&amp;"|"&amp;INT(M43/SEG_ANIO)*SEG_ANIO</f>
        <v/>
      </c>
      <c r="BH43" s="3">
        <f>BG43&amp;"|"&amp;INT(N43/SEG_KM)*SEG_KM</f>
        <v/>
      </c>
      <c r="BI43" s="4">
        <f>COUNTIF($BF$2:$BF$101,BF43)</f>
        <v/>
      </c>
      <c r="BJ43" s="4">
        <f>COUNTIF($BG$2:$BG$101,BG43)</f>
        <v/>
      </c>
      <c r="BK43" s="4">
        <f>COUNTIF($BH$2:$BH$101,BH43)</f>
        <v/>
      </c>
      <c r="BL43" s="3">
        <f t="array" ref="BL43">IF(N(AX43)&gt;=MIN_N,AW43,IF(BK43&gt;=MIN_N,MEDIAN(IF($BH$2:$BH$101=BH43,$O$2:$O$101)),IF(BJ43&gt;=MIN_N,MEDIAN(IF($BG$2:$BG$101=BG43,$O$2:$O$101)),MEDIAN(IF($BF$2:$BF$101=BF43,$O$2:$O$101)))))</f>
        <v/>
      </c>
      <c r="BM43" s="3">
        <f>IF(N(AX43)&gt;=MIN_N,"mercado "&amp;AY43,IF(BK43&gt;=MIN_N,"modelo+año+km",IF(BJ43&gt;=MIN_N,"modelo+año","modelo")))</f>
        <v/>
      </c>
      <c r="BN43" s="4">
        <f>(BL43-O43)/BL43</f>
        <v/>
      </c>
      <c r="BO43" s="3">
        <f>IF(COUNTIFS(FR_FUEL,K43,FR_YEAR,AP43)&gt;0,1,0)</f>
        <v/>
      </c>
      <c r="BP43" s="3">
        <f>IF(COUNTIFS(FR_FUEL,K43,FR_YEAR,AP43-1)&gt;0,1,0)</f>
        <v/>
      </c>
      <c r="BQ43" s="4">
        <f>IF(N(AQ43)&gt;0,AP43*100+AQ43,IF(AND(BO43=1,BP43=1),(AP43-1)*100+1,AP43*100+1))</f>
        <v/>
      </c>
      <c r="BR43" s="3">
        <f>IF(OR(K43="hibrido",K43="glp",K43="gnc",K43="phev"),"ECO",IF(K43="electrico","CERO",IF(K43="gasolina",IF(BQ43&gt;=GAS_C_YM,"C",IF(BQ43&gt;=GAS_B_YM,"B","A")),IF(K43="diesel",IF(BQ43&gt;=DIE_C_YM,"C",IF(BQ43&gt;=DIE_B_YM,"B","A")),""))))</f>
        <v/>
      </c>
      <c r="BS43" s="2" t="inlineStr">
        <is>
          <t>C</t>
        </is>
      </c>
      <c r="BT43" s="4">
        <f>IF(AU43="sí","sí",IF(AS43="regla",IF(AND(N(AQ43)=0,BO43=1),"sí","no"),"no"))</f>
        <v/>
      </c>
      <c r="BU43" s="3">
        <f>IFERROR(VLOOKUP(F43,MOD_TBL,16,0),IFERROR(VLOOKUP(E43,OCU_TBL,2,0),NEUTRO))</f>
        <v/>
      </c>
      <c r="BV43" s="3">
        <f>SUMIFS(MOT_AJUSTE,MOT_MOTOR,G43,MOT_MARCA,E43,MOT_DESDE,"&lt;="&amp;M43,MOT_HASTA,"&gt;="&amp;M43)+SUMIFS(MOT_AJUSTE,MOT_MOTOR,G43,MOT_MARCA,"(todas)",MOT_DESDE,"&lt;="&amp;M43,MOT_HASTA,"&gt;="&amp;M43)+SUMIFS(MOT_AJUSTE,MOT_MOTOR,"(cualquiera)",MOT_MARCA,E43,MOT_DESDE,"&lt;="&amp;M43,MOT_HASTA,"&gt;="&amp;M43)</f>
        <v/>
      </c>
      <c r="BW43" s="3">
        <f>SUMIFS(COMB_AJUSTE,COMB_COMB,K43)</f>
        <v/>
      </c>
      <c r="BX43" s="3">
        <f>COUNTIFS(MOT_MOTOR,G43,MOT_MARCA,E43,MOT_DESDE,"&lt;="&amp;M43,MOT_HASTA,"&gt;="&amp;M43)+COUNTIFS(MOT_MOTOR,G43,MOT_MARCA,"(todas)",MOT_DESDE,"&lt;="&amp;M43,MOT_HASTA,"&gt;="&amp;M43)+COUNTIFS(MOT_MOTOR,"(cualquiera)",MOT_MARCA,E43,MOT_DESDE,"&lt;="&amp;M43,MOT_HASTA,"&gt;="&amp;M43)</f>
        <v/>
      </c>
      <c r="BY43" s="3">
        <f>IF(AND(K43="diesel",BX43=0),MIN(BU43,NEUTRO),BU43)</f>
        <v/>
      </c>
      <c r="BZ43" s="3">
        <f>MAX(0,MIN(100,BY43+BV43+BW43-IF(AV43="sí",ROB_PEN,0)))</f>
        <v/>
      </c>
      <c r="CA43" s="3">
        <f>100-MAX(0,N43-KM_TOPE_DESDE)/1000*KM_TOPE_PTS</f>
        <v/>
      </c>
      <c r="CB43" s="3">
        <f>MAX(0,MIN(100,50+BN43*PRECIO_PEND,CA43))</f>
        <v/>
      </c>
      <c r="CC43" s="3">
        <f>MAX(0,100*(1-N43/KM_MAX))</f>
        <v/>
      </c>
      <c r="CD43" s="3">
        <f>IF(BE43&lt;KMA_SOSP,IF(AA43="sí",100,KMA_PEN),IF(BE43&lt;=KMA_IDEAL_MAX,100,MAX(0,100*(KMA_CERO-BE43)/(KMA_CERO-KMA_IDEAL_MAX))))</f>
        <v/>
      </c>
      <c r="CE43" s="3">
        <f>MAX(0,MIN(100,100*(M43-ANIO_MIN)/(ANIO_ACTUAL-ANIO_MIN)))</f>
        <v/>
      </c>
      <c r="CF43" s="3">
        <f>W_KMT*CC43+W_KMA*CD43+W_EDAD*CE43</f>
        <v/>
      </c>
      <c r="CG43" s="3">
        <f>P_ITV*(V43="sí")+P_LIBRO*(W43="sí")+P_CORREA*(X43="sí")+P_PROP*(Y43=1)+P_GAR*(Z43="sí")+P_FOTOS*MIN(1,N(U43)/FOTOS_OBJ)</f>
        <v/>
      </c>
      <c r="CH43" s="3">
        <f>MAX(0,MIN(100,IFERROR(VLOOKUP(BS43,ETQ_TBL,2,0),0)-IF(BT43="sí",ETQ_PEN_DUD,IF(AS43="regla",ETQ_PEN_REGLA,0))))</f>
        <v/>
      </c>
      <c r="CI43" s="3">
        <f>NEUTRO</f>
        <v/>
      </c>
      <c r="CJ43" s="3">
        <f>IFERROR(VLOOKUP(L43,SEGURO_TBL,3,0),"")</f>
        <v/>
      </c>
      <c r="CK43" s="3">
        <f>IF(CJ43="",NEUTRO,MAX(0,MIN(100,100*(SEG_REF_MAX-CJ43)/(SEG_REF_MAX-SEG_REF_MIN))))</f>
        <v/>
      </c>
      <c r="CL43" s="3">
        <f>W_CONS*CI43+W_SEG*CK43</f>
        <v/>
      </c>
      <c r="CM43" s="3">
        <f>IF(N(AB43)&gt;0,AB43,IF(AND(R43="profesional",SG_LEGAL_ON=1),GAR_LEGAL,0))</f>
        <v/>
      </c>
      <c r="CN43" s="3">
        <f>SG_GAR*MIN(1,CM43/SG_GAR_FULL)+SG_AMPL*(AC43="sí")+SG_KMC*(AF43="sí")+SG_REV*(N(AE43)&gt;0)+SG_DEV*MIN(1,N(AG43)/SG_DEV_FULL)+SG_HIST*(W43="sí")</f>
        <v/>
      </c>
      <c r="CO43" s="3">
        <f>IFERROR(VLOOKUP(L43,CARR_PEN_TBL,2,0),0)</f>
        <v/>
      </c>
      <c r="CP43" s="3">
        <f>W_FIAB*BZ43+W_PRECIO*CB43+W_KMEDAD*CF43+W_ANUNCIO*CG43+W_USO*CL43+W_SEGURIDAD*CN43+W_ETIQUETA*CH43-CO43</f>
        <v/>
      </c>
      <c r="CQ43" s="4">
        <f>IF(N(I43)&gt;0,I43,IFERROR(ROUND(_xlfn.NUMBERVALUE(LEFT(G43,FIND(" ",G43&amp;" ")-1),".")*1000,0),99999))</f>
        <v/>
      </c>
      <c r="CR43" s="3">
        <f>IF(R43="profesional",0,IF(O43&lt;CUOTA_VALOR_MAX,IF(BD43&gt;ITP_TRAMO_ALTO,SUMIFS(CF_CUOTA,CF_MAS,ITP_TRAMO_ALTO,CF_CCMIN,"&lt;="&amp;CQ43,CF_CCMAX,"&gt;="&amp;CQ43),IF(BD43&gt;ITP_TRAMO_BAJO,SUMIFS(CF_CUOTA,CF_MAS,ITP_TRAMO_BAJO,CF_CCMIN,"&lt;="&amp;CQ43,CF_CCMAX,"&gt;="&amp;CQ43),O43*ITP_TIPO)),O43*ITP_TIPO))</f>
        <v/>
      </c>
      <c r="CS43" s="4">
        <f>IF(R43="profesional",N(AK43),0)</f>
        <v/>
      </c>
      <c r="CT43" s="3">
        <f>IF(AND(R43="profesional",ISNUMBER(AK43),AL43="sí"),0,TASA_DGT)</f>
        <v/>
      </c>
      <c r="CU43" s="3">
        <f>INFORME_DGT</f>
        <v/>
      </c>
      <c r="CV43" s="4">
        <f>O43+CS43+CR43+CT43+CU43</f>
        <v/>
      </c>
      <c r="CW43" s="4">
        <f>CV43+N(CJ43)</f>
        <v/>
      </c>
      <c r="CX43" s="3">
        <f>IF(CV43&lt;=TOTAL_MAX,"sí",IF(CV43&lt;=TOTAL_MAX+MARGEN_NEG,"negociar","no"))</f>
        <v/>
      </c>
      <c r="CY43" s="4">
        <f>IF(CX43&lt;&gt;"no",COUNTIFS($CX$2:$CX$101,"&lt;&gt;no",$CP$2:$CP$101,"&gt;"&amp;CP43)+COUNTIFS($CX$2:CX43,"&lt;&gt;no",$CP$2:CP43,CP43),"")</f>
        <v/>
      </c>
    </row>
    <row r="44">
      <c r="A44" s="2" t="inlineStr">
        <is>
          <t>cochesnet:71790451</t>
        </is>
      </c>
      <c r="B44" s="2" t="inlineStr">
        <is>
          <t>cochesnet</t>
        </is>
      </c>
      <c r="C44" s="2" t="inlineStr">
        <is>
          <t>https://www.coches.net/opel-corsa-enjoy-12-3p-gasolina-2007-en-valencia-71790451-covo.aspx</t>
        </is>
      </c>
      <c r="D44" s="2" t="inlineStr">
        <is>
          <t>OPEL Corsa Enjoy 1.2</t>
        </is>
      </c>
      <c r="E44" s="2" t="inlineStr">
        <is>
          <t>Opel</t>
        </is>
      </c>
      <c r="F44" s="2" t="inlineStr">
        <is>
          <t>Opel Corsa</t>
        </is>
      </c>
      <c r="G44" s="2" t="inlineStr">
        <is>
          <t>1.2</t>
        </is>
      </c>
      <c r="H44" s="2" t="inlineStr">
        <is>
          <t>Enjoy 1.2</t>
        </is>
      </c>
      <c r="I44" s="2" t="n"/>
      <c r="J44" s="2" t="n"/>
      <c r="K44" s="2" t="inlineStr">
        <is>
          <t>gasolina</t>
        </is>
      </c>
      <c r="L44" s="2" t="inlineStr">
        <is>
          <t>utilitario</t>
        </is>
      </c>
      <c r="M44" s="2" t="n">
        <v>2007</v>
      </c>
      <c r="N44" s="2" t="n">
        <v>206000</v>
      </c>
      <c r="O44" s="2" t="n">
        <v>2990</v>
      </c>
      <c r="P44" s="2" t="inlineStr">
        <is>
          <t>manual</t>
        </is>
      </c>
      <c r="Q44" s="2" t="inlineStr">
        <is>
          <t>no</t>
        </is>
      </c>
      <c r="R44" s="2" t="inlineStr">
        <is>
          <t>profesional</t>
        </is>
      </c>
      <c r="S44" s="2" t="inlineStr">
        <is>
          <t>Blessed drive Torrent</t>
        </is>
      </c>
      <c r="T44" s="2" t="inlineStr">
        <is>
          <t>2026-10-20T13:40:40Z</t>
        </is>
      </c>
      <c r="U44" s="2" t="n">
        <v>18</v>
      </c>
      <c r="V44" s="2" t="n"/>
      <c r="W44" s="2" t="n"/>
      <c r="X44" s="2" t="n"/>
      <c r="Y44" s="2" t="n"/>
      <c r="Z44" s="2" t="inlineStr">
        <is>
          <t>sí</t>
        </is>
      </c>
      <c r="AA44" s="2" t="n"/>
      <c r="AB44" s="2" t="n">
        <v>12</v>
      </c>
      <c r="AC44" s="2" t="n"/>
      <c r="AD44" s="2" t="n"/>
      <c r="AE44" s="2" t="n"/>
      <c r="AF44" s="2" t="n"/>
      <c r="AG44" s="2" t="n"/>
      <c r="AH44" s="2" t="n">
        <v>2990</v>
      </c>
      <c r="AI44" s="2" t="n">
        <v>2999</v>
      </c>
      <c r="AJ44" s="2" t="n"/>
      <c r="AK44" s="2" t="n"/>
      <c r="AL44" s="2" t="n"/>
      <c r="AM44" s="2" t="n">
        <v>8.800000000000001</v>
      </c>
      <c r="AN44" s="2" t="n"/>
      <c r="AO44" s="2" t="inlineStr">
        <is>
          <t>2007</t>
        </is>
      </c>
      <c r="AP44" s="2" t="n">
        <v>2007</v>
      </c>
      <c r="AQ44" s="2" t="n"/>
      <c r="AR44" s="2" t="inlineStr">
        <is>
          <t>C</t>
        </is>
      </c>
      <c r="AS44" s="2" t="inlineStr">
        <is>
          <t>anuncio</t>
        </is>
      </c>
      <c r="AT44" s="2" t="n"/>
      <c r="AU44" s="2" t="inlineStr">
        <is>
          <t>no</t>
        </is>
      </c>
      <c r="AV44" s="2" t="inlineStr">
        <is>
          <t>no</t>
        </is>
      </c>
      <c r="AW44" s="2" t="n">
        <v>2990</v>
      </c>
      <c r="AX44" s="2" t="n">
        <v>11</v>
      </c>
      <c r="AY44" s="2" t="inlineStr">
        <is>
          <t>modelo+año+km</t>
        </is>
      </c>
      <c r="AZ44" s="2" t="n"/>
      <c r="BA44" s="2" t="inlineStr">
        <is>
          <t>vendedor profesional: sin ITP (operación con IVA/REBU, confirmar en factura); gastos de gestión del vendedor no indicados: se suma la tasa DGT; preguntar el precio final; revisar: no menciona la ITV</t>
        </is>
      </c>
      <c r="BB44" s="2" t="inlineStr">
        <is>
          <t xml:space="preserve">SE VENDE 
CON 1AÑO DE GARANTÍA 
CON POSIBILIDAD DE TRANSPORTAR A CUALQUIER PUNTO 
SE ENTREGA CON TODOS SUS MANTENIMIENTOS HECHOS 
EXTRAS
LLANTAS 
CLIMA
ELEVALUNAS ELÉCTRICOS 
DIRECCIÓN ASISTIDA 
AIRBAG 
ORDENADOR ABORDO 
ABS
VOLANTE MULTIFUNCION 
SISTEMA DE AUDIO 
RETROVISORES ELÉCTRICOS 
ANCLAJES ISOFIX 
CIERRE CENTRALIZADO 
MUCHISIMOS EXTRAS MAS 
</t>
        </is>
      </c>
      <c r="BC44" s="2" t="inlineStr">
        <is>
          <t>https://www.coches.net/opel-corsa-enjoy-12-3p-gasolina-2007-en-valencia-71790451-covo.aspx (window.__INITIAL_PROPS__.ad) /home/user/Alopecia/buscador-coches/raw/cochesnet/e73d25cb95237e9a.json</t>
        </is>
      </c>
      <c r="BD44" s="3">
        <f>MAX(ANIO_ACTUAL-M44,0)</f>
        <v/>
      </c>
      <c r="BE44" s="4">
        <f>N44/MAX(BD44,0.5)</f>
        <v/>
      </c>
      <c r="BF44" s="4">
        <f>F44</f>
        <v/>
      </c>
      <c r="BG44" s="3">
        <f>BF44&amp;"|"&amp;INT(M44/SEG_ANIO)*SEG_ANIO</f>
        <v/>
      </c>
      <c r="BH44" s="3">
        <f>BG44&amp;"|"&amp;INT(N44/SEG_KM)*SEG_KM</f>
        <v/>
      </c>
      <c r="BI44" s="4">
        <f>COUNTIF($BF$2:$BF$101,BF44)</f>
        <v/>
      </c>
      <c r="BJ44" s="4">
        <f>COUNTIF($BG$2:$BG$101,BG44)</f>
        <v/>
      </c>
      <c r="BK44" s="4">
        <f>COUNTIF($BH$2:$BH$101,BH44)</f>
        <v/>
      </c>
      <c r="BL44" s="3">
        <f t="array" ref="BL44">IF(N(AX44)&gt;=MIN_N,AW44,IF(BK44&gt;=MIN_N,MEDIAN(IF($BH$2:$BH$101=BH44,$O$2:$O$101)),IF(BJ44&gt;=MIN_N,MEDIAN(IF($BG$2:$BG$101=BG44,$O$2:$O$101)),MEDIAN(IF($BF$2:$BF$101=BF44,$O$2:$O$101)))))</f>
        <v/>
      </c>
      <c r="BM44" s="3">
        <f>IF(N(AX44)&gt;=MIN_N,"mercado "&amp;AY44,IF(BK44&gt;=MIN_N,"modelo+año+km",IF(BJ44&gt;=MIN_N,"modelo+año","modelo")))</f>
        <v/>
      </c>
      <c r="BN44" s="4">
        <f>(BL44-O44)/BL44</f>
        <v/>
      </c>
      <c r="BO44" s="3">
        <f>IF(COUNTIFS(FR_FUEL,K44,FR_YEAR,AP44)&gt;0,1,0)</f>
        <v/>
      </c>
      <c r="BP44" s="3">
        <f>IF(COUNTIFS(FR_FUEL,K44,FR_YEAR,AP44-1)&gt;0,1,0)</f>
        <v/>
      </c>
      <c r="BQ44" s="4">
        <f>IF(N(AQ44)&gt;0,AP44*100+AQ44,IF(AND(BO44=1,BP44=1),(AP44-1)*100+1,AP44*100+1))</f>
        <v/>
      </c>
      <c r="BR44" s="3">
        <f>IF(OR(K44="hibrido",K44="glp",K44="gnc",K44="phev"),"ECO",IF(K44="electrico","CERO",IF(K44="gasolina",IF(BQ44&gt;=GAS_C_YM,"C",IF(BQ44&gt;=GAS_B_YM,"B","A")),IF(K44="diesel",IF(BQ44&gt;=DIE_C_YM,"C",IF(BQ44&gt;=DIE_B_YM,"B","A")),""))))</f>
        <v/>
      </c>
      <c r="BS44" s="2" t="inlineStr">
        <is>
          <t>C</t>
        </is>
      </c>
      <c r="BT44" s="4">
        <f>IF(AU44="sí","sí",IF(AS44="regla",IF(AND(N(AQ44)=0,BO44=1),"sí","no"),"no"))</f>
        <v/>
      </c>
      <c r="BU44" s="3">
        <f>IFERROR(VLOOKUP(F44,MOD_TBL,16,0),IFERROR(VLOOKUP(E44,OCU_TBL,2,0),NEUTRO))</f>
        <v/>
      </c>
      <c r="BV44" s="3">
        <f>SUMIFS(MOT_AJUSTE,MOT_MOTOR,G44,MOT_MARCA,E44,MOT_DESDE,"&lt;="&amp;M44,MOT_HASTA,"&gt;="&amp;M44)+SUMIFS(MOT_AJUSTE,MOT_MOTOR,G44,MOT_MARCA,"(todas)",MOT_DESDE,"&lt;="&amp;M44,MOT_HASTA,"&gt;="&amp;M44)+SUMIFS(MOT_AJUSTE,MOT_MOTOR,"(cualquiera)",MOT_MARCA,E44,MOT_DESDE,"&lt;="&amp;M44,MOT_HASTA,"&gt;="&amp;M44)</f>
        <v/>
      </c>
      <c r="BW44" s="3">
        <f>SUMIFS(COMB_AJUSTE,COMB_COMB,K44)</f>
        <v/>
      </c>
      <c r="BX44" s="3">
        <f>COUNTIFS(MOT_MOTOR,G44,MOT_MARCA,E44,MOT_DESDE,"&lt;="&amp;M44,MOT_HASTA,"&gt;="&amp;M44)+COUNTIFS(MOT_MOTOR,G44,MOT_MARCA,"(todas)",MOT_DESDE,"&lt;="&amp;M44,MOT_HASTA,"&gt;="&amp;M44)+COUNTIFS(MOT_MOTOR,"(cualquiera)",MOT_MARCA,E44,MOT_DESDE,"&lt;="&amp;M44,MOT_HASTA,"&gt;="&amp;M44)</f>
        <v/>
      </c>
      <c r="BY44" s="3">
        <f>IF(AND(K44="diesel",BX44=0),MIN(BU44,NEUTRO),BU44)</f>
        <v/>
      </c>
      <c r="BZ44" s="3">
        <f>MAX(0,MIN(100,BY44+BV44+BW44-IF(AV44="sí",ROB_PEN,0)))</f>
        <v/>
      </c>
      <c r="CA44" s="3">
        <f>100-MAX(0,N44-KM_TOPE_DESDE)/1000*KM_TOPE_PTS</f>
        <v/>
      </c>
      <c r="CB44" s="3">
        <f>MAX(0,MIN(100,50+BN44*PRECIO_PEND,CA44))</f>
        <v/>
      </c>
      <c r="CC44" s="3">
        <f>MAX(0,100*(1-N44/KM_MAX))</f>
        <v/>
      </c>
      <c r="CD44" s="3">
        <f>IF(BE44&lt;KMA_SOSP,IF(AA44="sí",100,KMA_PEN),IF(BE44&lt;=KMA_IDEAL_MAX,100,MAX(0,100*(KMA_CERO-BE44)/(KMA_CERO-KMA_IDEAL_MAX))))</f>
        <v/>
      </c>
      <c r="CE44" s="3">
        <f>MAX(0,MIN(100,100*(M44-ANIO_MIN)/(ANIO_ACTUAL-ANIO_MIN)))</f>
        <v/>
      </c>
      <c r="CF44" s="3">
        <f>W_KMT*CC44+W_KMA*CD44+W_EDAD*CE44</f>
        <v/>
      </c>
      <c r="CG44" s="3">
        <f>P_ITV*(V44="sí")+P_LIBRO*(W44="sí")+P_CORREA*(X44="sí")+P_PROP*(Y44=1)+P_GAR*(Z44="sí")+P_FOTOS*MIN(1,N(U44)/FOTOS_OBJ)</f>
        <v/>
      </c>
      <c r="CH44" s="3">
        <f>MAX(0,MIN(100,IFERROR(VLOOKUP(BS44,ETQ_TBL,2,0),0)-IF(BT44="sí",ETQ_PEN_DUD,IF(AS44="regla",ETQ_PEN_REGLA,0))))</f>
        <v/>
      </c>
      <c r="CI44" s="3">
        <f>NEUTRO</f>
        <v/>
      </c>
      <c r="CJ44" s="3">
        <f>IFERROR(VLOOKUP(L44,SEGURO_TBL,3,0),"")</f>
        <v/>
      </c>
      <c r="CK44" s="3">
        <f>IF(CJ44="",NEUTRO,MAX(0,MIN(100,100*(SEG_REF_MAX-CJ44)/(SEG_REF_MAX-SEG_REF_MIN))))</f>
        <v/>
      </c>
      <c r="CL44" s="3">
        <f>W_CONS*CI44+W_SEG*CK44</f>
        <v/>
      </c>
      <c r="CM44" s="3">
        <f>IF(N(AB44)&gt;0,AB44,IF(AND(R44="profesional",SG_LEGAL_ON=1),GAR_LEGAL,0))</f>
        <v/>
      </c>
      <c r="CN44" s="3">
        <f>SG_GAR*MIN(1,CM44/SG_GAR_FULL)+SG_AMPL*(AC44="sí")+SG_KMC*(AF44="sí")+SG_REV*(N(AE44)&gt;0)+SG_DEV*MIN(1,N(AG44)/SG_DEV_FULL)+SG_HIST*(W44="sí")</f>
        <v/>
      </c>
      <c r="CO44" s="3">
        <f>IFERROR(VLOOKUP(L44,CARR_PEN_TBL,2,0),0)</f>
        <v/>
      </c>
      <c r="CP44" s="3">
        <f>W_FIAB*BZ44+W_PRECIO*CB44+W_KMEDAD*CF44+W_ANUNCIO*CG44+W_USO*CL44+W_SEGURIDAD*CN44+W_ETIQUETA*CH44-CO44</f>
        <v/>
      </c>
      <c r="CQ44" s="4">
        <f>IF(N(I44)&gt;0,I44,IFERROR(ROUND(_xlfn.NUMBERVALUE(LEFT(G44,FIND(" ",G44&amp;" ")-1),".")*1000,0),99999))</f>
        <v/>
      </c>
      <c r="CR44" s="3">
        <f>IF(R44="profesional",0,IF(O44&lt;CUOTA_VALOR_MAX,IF(BD44&gt;ITP_TRAMO_ALTO,SUMIFS(CF_CUOTA,CF_MAS,ITP_TRAMO_ALTO,CF_CCMIN,"&lt;="&amp;CQ44,CF_CCMAX,"&gt;="&amp;CQ44),IF(BD44&gt;ITP_TRAMO_BAJO,SUMIFS(CF_CUOTA,CF_MAS,ITP_TRAMO_BAJO,CF_CCMIN,"&lt;="&amp;CQ44,CF_CCMAX,"&gt;="&amp;CQ44),O44*ITP_TIPO)),O44*ITP_TIPO))</f>
        <v/>
      </c>
      <c r="CS44" s="4">
        <f>IF(R44="profesional",N(AK44),0)</f>
        <v/>
      </c>
      <c r="CT44" s="3">
        <f>IF(AND(R44="profesional",ISNUMBER(AK44),AL44="sí"),0,TASA_DGT)</f>
        <v/>
      </c>
      <c r="CU44" s="3">
        <f>INFORME_DGT</f>
        <v/>
      </c>
      <c r="CV44" s="4">
        <f>O44+CS44+CR44+CT44+CU44</f>
        <v/>
      </c>
      <c r="CW44" s="4">
        <f>CV44+N(CJ44)</f>
        <v/>
      </c>
      <c r="CX44" s="3">
        <f>IF(CV44&lt;=TOTAL_MAX,"sí",IF(CV44&lt;=TOTAL_MAX+MARGEN_NEG,"negociar","no"))</f>
        <v/>
      </c>
      <c r="CY44" s="4">
        <f>IF(CX44&lt;&gt;"no",COUNTIFS($CX$2:$CX$101,"&lt;&gt;no",$CP$2:$CP$101,"&gt;"&amp;CP44)+COUNTIFS($CX$2:CX44,"&lt;&gt;no",$CP$2:CP44,CP44),"")</f>
        <v/>
      </c>
    </row>
    <row r="45">
      <c r="A45" s="2" t="inlineStr">
        <is>
          <t>cochesnet:71248981</t>
        </is>
      </c>
      <c r="B45" s="2" t="inlineStr">
        <is>
          <t>cochesnet</t>
        </is>
      </c>
      <c r="C45" s="2" t="inlineStr">
        <is>
          <t>https://www.coches.net/opel-corsa-13-cdti-color-edition-3p-diesel-2012-en-valencia-71248981-covo.aspx</t>
        </is>
      </c>
      <c r="D45" s="2" t="inlineStr">
        <is>
          <t>OPEL Corsa 1.3 CDTi Color Edition</t>
        </is>
      </c>
      <c r="E45" s="2" t="inlineStr">
        <is>
          <t>Opel</t>
        </is>
      </c>
      <c r="F45" s="2" t="inlineStr">
        <is>
          <t>Opel Corsa</t>
        </is>
      </c>
      <c r="G45" s="2" t="inlineStr">
        <is>
          <t>1.3 CDTi</t>
        </is>
      </c>
      <c r="H45" s="2" t="inlineStr">
        <is>
          <t>1.3 CDTi Color Edition</t>
        </is>
      </c>
      <c r="I45" s="2" t="n"/>
      <c r="J45" s="2" t="n"/>
      <c r="K45" s="2" t="inlineStr">
        <is>
          <t>diesel</t>
        </is>
      </c>
      <c r="L45" s="2" t="inlineStr">
        <is>
          <t>utilitario</t>
        </is>
      </c>
      <c r="M45" s="2" t="n">
        <v>2012</v>
      </c>
      <c r="N45" s="2" t="n">
        <v>120000</v>
      </c>
      <c r="O45" s="2" t="n">
        <v>4999</v>
      </c>
      <c r="P45" s="2" t="inlineStr">
        <is>
          <t>manual</t>
        </is>
      </c>
      <c r="Q45" s="2" t="inlineStr">
        <is>
          <t>no</t>
        </is>
      </c>
      <c r="R45" s="2" t="inlineStr">
        <is>
          <t>profesional</t>
        </is>
      </c>
      <c r="S45" s="2" t="inlineStr">
        <is>
          <t>Cars Premium Albal Albal</t>
        </is>
      </c>
      <c r="T45" s="2" t="inlineStr">
        <is>
          <t>2026-08-07T11:56:55Z</t>
        </is>
      </c>
      <c r="U45" s="2" t="n">
        <v>14</v>
      </c>
      <c r="V45" s="2" t="n"/>
      <c r="W45" s="2" t="n"/>
      <c r="X45" s="2" t="n"/>
      <c r="Y45" s="2" t="n"/>
      <c r="Z45" s="2" t="inlineStr">
        <is>
          <t>sí</t>
        </is>
      </c>
      <c r="AA45" s="2" t="n"/>
      <c r="AB45" s="2" t="n">
        <v>12</v>
      </c>
      <c r="AC45" s="2" t="n"/>
      <c r="AD45" s="2" t="n"/>
      <c r="AE45" s="2" t="n"/>
      <c r="AF45" s="2" t="n"/>
      <c r="AG45" s="2" t="n"/>
      <c r="AH45" s="2" t="n">
        <v>4999</v>
      </c>
      <c r="AI45" s="2" t="n">
        <v>4999</v>
      </c>
      <c r="AJ45" s="2" t="n"/>
      <c r="AK45" s="2" t="n"/>
      <c r="AL45" s="2" t="n"/>
      <c r="AM45" s="2" t="n">
        <v>8.699999999999999</v>
      </c>
      <c r="AN45" s="2" t="n"/>
      <c r="AO45" s="2" t="inlineStr">
        <is>
          <t>2012</t>
        </is>
      </c>
      <c r="AP45" s="2" t="n">
        <v>2012</v>
      </c>
      <c r="AQ45" s="2" t="n"/>
      <c r="AR45" s="2" t="inlineStr">
        <is>
          <t>B</t>
        </is>
      </c>
      <c r="AS45" s="2" t="inlineStr">
        <is>
          <t>anuncio</t>
        </is>
      </c>
      <c r="AT45" s="2" t="n"/>
      <c r="AU45" s="2" t="inlineStr">
        <is>
          <t>no</t>
        </is>
      </c>
      <c r="AV45" s="2" t="inlineStr">
        <is>
          <t>no</t>
        </is>
      </c>
      <c r="AW45" s="2" t="n">
        <v>4625</v>
      </c>
      <c r="AX45" s="2" t="n">
        <v>8</v>
      </c>
      <c r="AY45" s="2" t="inlineStr">
        <is>
          <t>modelo+año+km</t>
        </is>
      </c>
      <c r="AZ45" s="2" t="n"/>
      <c r="BA45"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BB45" s="2" t="inlineStr">
        <is>
          <t>MARCA: Opel
MODELO: Corsa ( version muy equipada)
AÑO: 2012
KM: 120.000
MOTOR: 1.3Cdti 95cv ( motor a cadena )
ETIQUETA MEDIOAMBIENTAL: Tipo B
ITV: Se entregaria recien pasada
GARANTIA: 12 meses
TIPS: Vehiculo deportivo con unas medidas muy practicas tanto para circular como para aparcar con todo el equipamiento necesario.
EQUIPAMIENTO: Llanta aleacion negra, volante multi-funcion, 6 velocidades, Rcd con bluetooth, Navegador, retrovisotes electricos negro, ordenador a bordo, cierre centralizado con llave, elevalunas electricas, etc etc…
DIRECCION: Av padre Carlos Ferris 87, Albal, Valencia
Para mas info contacten</t>
        </is>
      </c>
      <c r="BC45" s="2" t="inlineStr">
        <is>
          <t>https://www.coches.net/opel-corsa-13-cdti-color-edition-3p-diesel-2012-en-valencia-71248981-covo.aspx (window.__INITIAL_PROPS__.ad) /home/user/Alopecia/buscador-coches/raw/cochesnet/bb9e43134c341f33.json</t>
        </is>
      </c>
      <c r="BD45" s="3">
        <f>MAX(ANIO_ACTUAL-M45,0)</f>
        <v/>
      </c>
      <c r="BE45" s="4">
        <f>N45/MAX(BD45,0.5)</f>
        <v/>
      </c>
      <c r="BF45" s="4">
        <f>F45</f>
        <v/>
      </c>
      <c r="BG45" s="3">
        <f>BF45&amp;"|"&amp;INT(M45/SEG_ANIO)*SEG_ANIO</f>
        <v/>
      </c>
      <c r="BH45" s="3">
        <f>BG45&amp;"|"&amp;INT(N45/SEG_KM)*SEG_KM</f>
        <v/>
      </c>
      <c r="BI45" s="4">
        <f>COUNTIF($BF$2:$BF$101,BF45)</f>
        <v/>
      </c>
      <c r="BJ45" s="4">
        <f>COUNTIF($BG$2:$BG$101,BG45)</f>
        <v/>
      </c>
      <c r="BK45" s="4">
        <f>COUNTIF($BH$2:$BH$101,BH45)</f>
        <v/>
      </c>
      <c r="BL45" s="3">
        <f t="array" ref="BL45">IF(N(AX45)&gt;=MIN_N,AW45,IF(BK45&gt;=MIN_N,MEDIAN(IF($BH$2:$BH$101=BH45,$O$2:$O$101)),IF(BJ45&gt;=MIN_N,MEDIAN(IF($BG$2:$BG$101=BG45,$O$2:$O$101)),MEDIAN(IF($BF$2:$BF$101=BF45,$O$2:$O$101)))))</f>
        <v/>
      </c>
      <c r="BM45" s="3">
        <f>IF(N(AX45)&gt;=MIN_N,"mercado "&amp;AY45,IF(BK45&gt;=MIN_N,"modelo+año+km",IF(BJ45&gt;=MIN_N,"modelo+año","modelo")))</f>
        <v/>
      </c>
      <c r="BN45" s="4">
        <f>(BL45-O45)/BL45</f>
        <v/>
      </c>
      <c r="BO45" s="3">
        <f>IF(COUNTIFS(FR_FUEL,K45,FR_YEAR,AP45)&gt;0,1,0)</f>
        <v/>
      </c>
      <c r="BP45" s="3">
        <f>IF(COUNTIFS(FR_FUEL,K45,FR_YEAR,AP45-1)&gt;0,1,0)</f>
        <v/>
      </c>
      <c r="BQ45" s="4">
        <f>IF(N(AQ45)&gt;0,AP45*100+AQ45,IF(AND(BO45=1,BP45=1),(AP45-1)*100+1,AP45*100+1))</f>
        <v/>
      </c>
      <c r="BR45" s="3">
        <f>IF(OR(K45="hibrido",K45="glp",K45="gnc",K45="phev"),"ECO",IF(K45="electrico","CERO",IF(K45="gasolina",IF(BQ45&gt;=GAS_C_YM,"C",IF(BQ45&gt;=GAS_B_YM,"B","A")),IF(K45="diesel",IF(BQ45&gt;=DIE_C_YM,"C",IF(BQ45&gt;=DIE_B_YM,"B","A")),""))))</f>
        <v/>
      </c>
      <c r="BS45" s="2" t="inlineStr">
        <is>
          <t>B</t>
        </is>
      </c>
      <c r="BT45" s="4">
        <f>IF(AU45="sí","sí",IF(AS45="regla",IF(AND(N(AQ45)=0,BO45=1),"sí","no"),"no"))</f>
        <v/>
      </c>
      <c r="BU45" s="3">
        <f>IFERROR(VLOOKUP(F45,MOD_TBL,16,0),IFERROR(VLOOKUP(E45,OCU_TBL,2,0),NEUTRO))</f>
        <v/>
      </c>
      <c r="BV45" s="3">
        <f>SUMIFS(MOT_AJUSTE,MOT_MOTOR,G45,MOT_MARCA,E45,MOT_DESDE,"&lt;="&amp;M45,MOT_HASTA,"&gt;="&amp;M45)+SUMIFS(MOT_AJUSTE,MOT_MOTOR,G45,MOT_MARCA,"(todas)",MOT_DESDE,"&lt;="&amp;M45,MOT_HASTA,"&gt;="&amp;M45)+SUMIFS(MOT_AJUSTE,MOT_MOTOR,"(cualquiera)",MOT_MARCA,E45,MOT_DESDE,"&lt;="&amp;M45,MOT_HASTA,"&gt;="&amp;M45)</f>
        <v/>
      </c>
      <c r="BW45" s="3">
        <f>SUMIFS(COMB_AJUSTE,COMB_COMB,K45)</f>
        <v/>
      </c>
      <c r="BX45" s="3">
        <f>COUNTIFS(MOT_MOTOR,G45,MOT_MARCA,E45,MOT_DESDE,"&lt;="&amp;M45,MOT_HASTA,"&gt;="&amp;M45)+COUNTIFS(MOT_MOTOR,G45,MOT_MARCA,"(todas)",MOT_DESDE,"&lt;="&amp;M45,MOT_HASTA,"&gt;="&amp;M45)+COUNTIFS(MOT_MOTOR,"(cualquiera)",MOT_MARCA,E45,MOT_DESDE,"&lt;="&amp;M45,MOT_HASTA,"&gt;="&amp;M45)</f>
        <v/>
      </c>
      <c r="BY45" s="3">
        <f>IF(AND(K45="diesel",BX45=0),MIN(BU45,NEUTRO),BU45)</f>
        <v/>
      </c>
      <c r="BZ45" s="3">
        <f>MAX(0,MIN(100,BY45+BV45+BW45-IF(AV45="sí",ROB_PEN,0)))</f>
        <v/>
      </c>
      <c r="CA45" s="3">
        <f>100-MAX(0,N45-KM_TOPE_DESDE)/1000*KM_TOPE_PTS</f>
        <v/>
      </c>
      <c r="CB45" s="3">
        <f>MAX(0,MIN(100,50+BN45*PRECIO_PEND,CA45))</f>
        <v/>
      </c>
      <c r="CC45" s="3">
        <f>MAX(0,100*(1-N45/KM_MAX))</f>
        <v/>
      </c>
      <c r="CD45" s="3">
        <f>IF(BE45&lt;KMA_SOSP,IF(AA45="sí",100,KMA_PEN),IF(BE45&lt;=KMA_IDEAL_MAX,100,MAX(0,100*(KMA_CERO-BE45)/(KMA_CERO-KMA_IDEAL_MAX))))</f>
        <v/>
      </c>
      <c r="CE45" s="3">
        <f>MAX(0,MIN(100,100*(M45-ANIO_MIN)/(ANIO_ACTUAL-ANIO_MIN)))</f>
        <v/>
      </c>
      <c r="CF45" s="3">
        <f>W_KMT*CC45+W_KMA*CD45+W_EDAD*CE45</f>
        <v/>
      </c>
      <c r="CG45" s="3">
        <f>P_ITV*(V45="sí")+P_LIBRO*(W45="sí")+P_CORREA*(X45="sí")+P_PROP*(Y45=1)+P_GAR*(Z45="sí")+P_FOTOS*MIN(1,N(U45)/FOTOS_OBJ)</f>
        <v/>
      </c>
      <c r="CH45" s="3">
        <f>MAX(0,MIN(100,IFERROR(VLOOKUP(BS45,ETQ_TBL,2,0),0)-IF(BT45="sí",ETQ_PEN_DUD,IF(AS45="regla",ETQ_PEN_REGLA,0))))</f>
        <v/>
      </c>
      <c r="CI45" s="3">
        <f>NEUTRO</f>
        <v/>
      </c>
      <c r="CJ45" s="3">
        <f>IFERROR(VLOOKUP(L45,SEGURO_TBL,3,0),"")</f>
        <v/>
      </c>
      <c r="CK45" s="3">
        <f>IF(CJ45="",NEUTRO,MAX(0,MIN(100,100*(SEG_REF_MAX-CJ45)/(SEG_REF_MAX-SEG_REF_MIN))))</f>
        <v/>
      </c>
      <c r="CL45" s="3">
        <f>W_CONS*CI45+W_SEG*CK45</f>
        <v/>
      </c>
      <c r="CM45" s="3">
        <f>IF(N(AB45)&gt;0,AB45,IF(AND(R45="profesional",SG_LEGAL_ON=1),GAR_LEGAL,0))</f>
        <v/>
      </c>
      <c r="CN45" s="3">
        <f>SG_GAR*MIN(1,CM45/SG_GAR_FULL)+SG_AMPL*(AC45="sí")+SG_KMC*(AF45="sí")+SG_REV*(N(AE45)&gt;0)+SG_DEV*MIN(1,N(AG45)/SG_DEV_FULL)+SG_HIST*(W45="sí")</f>
        <v/>
      </c>
      <c r="CO45" s="3">
        <f>IFERROR(VLOOKUP(L45,CARR_PEN_TBL,2,0),0)</f>
        <v/>
      </c>
      <c r="CP45" s="3">
        <f>W_FIAB*BZ45+W_PRECIO*CB45+W_KMEDAD*CF45+W_ANUNCIO*CG45+W_USO*CL45+W_SEGURIDAD*CN45+W_ETIQUETA*CH45-CO45</f>
        <v/>
      </c>
      <c r="CQ45" s="4">
        <f>IF(N(I45)&gt;0,I45,IFERROR(ROUND(_xlfn.NUMBERVALUE(LEFT(G45,FIND(" ",G45&amp;" ")-1),".")*1000,0),99999))</f>
        <v/>
      </c>
      <c r="CR45" s="3">
        <f>IF(R45="profesional",0,IF(O45&lt;CUOTA_VALOR_MAX,IF(BD45&gt;ITP_TRAMO_ALTO,SUMIFS(CF_CUOTA,CF_MAS,ITP_TRAMO_ALTO,CF_CCMIN,"&lt;="&amp;CQ45,CF_CCMAX,"&gt;="&amp;CQ45),IF(BD45&gt;ITP_TRAMO_BAJO,SUMIFS(CF_CUOTA,CF_MAS,ITP_TRAMO_BAJO,CF_CCMIN,"&lt;="&amp;CQ45,CF_CCMAX,"&gt;="&amp;CQ45),O45*ITP_TIPO)),O45*ITP_TIPO))</f>
        <v/>
      </c>
      <c r="CS45" s="4">
        <f>IF(R45="profesional",N(AK45),0)</f>
        <v/>
      </c>
      <c r="CT45" s="3">
        <f>IF(AND(R45="profesional",ISNUMBER(AK45),AL45="sí"),0,TASA_DGT)</f>
        <v/>
      </c>
      <c r="CU45" s="3">
        <f>INFORME_DGT</f>
        <v/>
      </c>
      <c r="CV45" s="4">
        <f>O45+CS45+CR45+CT45+CU45</f>
        <v/>
      </c>
      <c r="CW45" s="4">
        <f>CV45+N(CJ45)</f>
        <v/>
      </c>
      <c r="CX45" s="3">
        <f>IF(CV45&lt;=TOTAL_MAX,"sí",IF(CV45&lt;=TOTAL_MAX+MARGEN_NEG,"negociar","no"))</f>
        <v/>
      </c>
      <c r="CY45" s="4">
        <f>IF(CX45&lt;&gt;"no",COUNTIFS($CX$2:$CX$101,"&lt;&gt;no",$CP$2:$CP$101,"&gt;"&amp;CP45)+COUNTIFS($CX$2:CX45,"&lt;&gt;no",$CP$2:CP45,CP45),"")</f>
        <v/>
      </c>
    </row>
    <row r="46">
      <c r="A46" s="2" t="inlineStr">
        <is>
          <t>wallapop:1286345810</t>
        </is>
      </c>
      <c r="B46" s="2" t="inlineStr">
        <is>
          <t>wallapop</t>
        </is>
      </c>
      <c r="C46" s="2" t="inlineStr">
        <is>
          <t>https://es.wallapop.com/item/kia-picanto-1-1-active-48-kw-65-cv-1286345810</t>
        </is>
      </c>
      <c r="D46" s="2" t="inlineStr">
        <is>
          <t>Kia Picanto 1.1 Active 48 kW (65 CV)</t>
        </is>
      </c>
      <c r="E46" s="2" t="inlineStr">
        <is>
          <t>Kia</t>
        </is>
      </c>
      <c r="F46" s="2" t="inlineStr">
        <is>
          <t>Kia Picanto</t>
        </is>
      </c>
      <c r="G46" s="2" t="inlineStr">
        <is>
          <t>1.1</t>
        </is>
      </c>
      <c r="H46" s="2" t="inlineStr">
        <is>
          <t>1.1 Active 48 kW (65 CV)</t>
        </is>
      </c>
      <c r="I46" s="2" t="n"/>
      <c r="J46" s="2" t="n">
        <v>65</v>
      </c>
      <c r="K46" s="2" t="inlineStr">
        <is>
          <t>gasolina</t>
        </is>
      </c>
      <c r="L46" s="2" t="inlineStr">
        <is>
          <t>utilitario</t>
        </is>
      </c>
      <c r="M46" s="2" t="n">
        <v>2008</v>
      </c>
      <c r="N46" s="2" t="n">
        <v>61608</v>
      </c>
      <c r="O46" s="2" t="n">
        <v>5190</v>
      </c>
      <c r="P46" s="2" t="inlineStr">
        <is>
          <t>manual</t>
        </is>
      </c>
      <c r="Q46" s="2" t="inlineStr">
        <is>
          <t>no</t>
        </is>
      </c>
      <c r="R46" s="2" t="inlineStr">
        <is>
          <t>profesional</t>
        </is>
      </c>
      <c r="S46" s="2" t="inlineStr">
        <is>
          <t>Paterna (46980)</t>
        </is>
      </c>
      <c r="T46" s="2" t="inlineStr">
        <is>
          <t>2026-10-26T15:14:44</t>
        </is>
      </c>
      <c r="U46" s="2" t="n">
        <v>11</v>
      </c>
      <c r="V46" s="2" t="n"/>
      <c r="W46" s="2" t="inlineStr">
        <is>
          <t>sí</t>
        </is>
      </c>
      <c r="X46" s="2" t="n"/>
      <c r="Y46" s="2" t="n"/>
      <c r="Z46" s="2" t="inlineStr">
        <is>
          <t>sí</t>
        </is>
      </c>
      <c r="AA46" s="2" t="n"/>
      <c r="AB46" s="2" t="n"/>
      <c r="AC46" s="2" t="n"/>
      <c r="AD46" s="2" t="n"/>
      <c r="AE46" s="2" t="n"/>
      <c r="AF46" s="2" t="inlineStr">
        <is>
          <t>sí</t>
        </is>
      </c>
      <c r="AG46" s="2" t="n"/>
      <c r="AH46" s="2" t="n"/>
      <c r="AI46" s="2" t="n"/>
      <c r="AJ46" s="2" t="n"/>
      <c r="AK46" s="2" t="n"/>
      <c r="AL46" s="2" t="n"/>
      <c r="AM46" s="2" t="n">
        <v>6.4</v>
      </c>
      <c r="AN46" s="2" t="inlineStr">
        <is>
          <t>1000KMS</t>
        </is>
      </c>
      <c r="AO46" s="2" t="inlineStr">
        <is>
          <t>2008</t>
        </is>
      </c>
      <c r="AP46" s="2" t="n">
        <v>2008</v>
      </c>
      <c r="AQ46" s="2" t="n"/>
      <c r="AR46" s="2" t="inlineStr">
        <is>
          <t>B</t>
        </is>
      </c>
      <c r="AS46" s="2" t="inlineStr">
        <is>
          <t>DGT</t>
        </is>
      </c>
      <c r="AT46" s="2" t="n"/>
      <c r="AU46" s="2" t="inlineStr">
        <is>
          <t>no</t>
        </is>
      </c>
      <c r="AV46" s="2" t="inlineStr">
        <is>
          <t>no</t>
        </is>
      </c>
      <c r="AW46" s="2" t="n">
        <v>2590</v>
      </c>
      <c r="AX46" s="2" t="n">
        <v>4</v>
      </c>
      <c r="AY46" s="2" t="inlineStr">
        <is>
          <t>modelo+año</t>
        </is>
      </c>
      <c r="AZ46" s="2" t="n"/>
      <c r="BA46" s="2" t="inlineStr">
        <is>
          <t>por encima del presupuesto (5254 €), negociar; vendedor profesional: sin ITP (operación con IVA/REBU, confirmar en factura); gastos de gestión del vendedor no indicados: se suma la tasa DGT; preguntar el precio final; revisar: no menciona la ITV</t>
        </is>
      </c>
      <c r="BB46"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46" s="2" t="inlineStr">
        <is>
          <t>https://es.wallapop.com/item/kia-picanto-1-1-active-48-kw-65-cv-1286345810 (__NEXT_DATA__ item) /home/user/Alopecia/buscador-coches/raw/wallapop/7fffdc11438be09e.json</t>
        </is>
      </c>
      <c r="BD46" s="3">
        <f>MAX(ANIO_ACTUAL-M46,0)</f>
        <v/>
      </c>
      <c r="BE46" s="4">
        <f>N46/MAX(BD46,0.5)</f>
        <v/>
      </c>
      <c r="BF46" s="4">
        <f>F46</f>
        <v/>
      </c>
      <c r="BG46" s="3">
        <f>BF46&amp;"|"&amp;INT(M46/SEG_ANIO)*SEG_ANIO</f>
        <v/>
      </c>
      <c r="BH46" s="3">
        <f>BG46&amp;"|"&amp;INT(N46/SEG_KM)*SEG_KM</f>
        <v/>
      </c>
      <c r="BI46" s="4">
        <f>COUNTIF($BF$2:$BF$101,BF46)</f>
        <v/>
      </c>
      <c r="BJ46" s="4">
        <f>COUNTIF($BG$2:$BG$101,BG46)</f>
        <v/>
      </c>
      <c r="BK46" s="4">
        <f>COUNTIF($BH$2:$BH$101,BH46)</f>
        <v/>
      </c>
      <c r="BL46" s="3">
        <f t="array" ref="BL46">IF(N(AX46)&gt;=MIN_N,AW46,IF(BK46&gt;=MIN_N,MEDIAN(IF($BH$2:$BH$101=BH46,$O$2:$O$101)),IF(BJ46&gt;=MIN_N,MEDIAN(IF($BG$2:$BG$101=BG46,$O$2:$O$101)),MEDIAN(IF($BF$2:$BF$101=BF46,$O$2:$O$101)))))</f>
        <v/>
      </c>
      <c r="BM46" s="3">
        <f>IF(N(AX46)&gt;=MIN_N,"mercado "&amp;AY46,IF(BK46&gt;=MIN_N,"modelo+año+km",IF(BJ46&gt;=MIN_N,"modelo+año","modelo")))</f>
        <v/>
      </c>
      <c r="BN46" s="4">
        <f>(BL46-O46)/BL46</f>
        <v/>
      </c>
      <c r="BO46" s="3">
        <f>IF(COUNTIFS(FR_FUEL,K46,FR_YEAR,AP46)&gt;0,1,0)</f>
        <v/>
      </c>
      <c r="BP46" s="3">
        <f>IF(COUNTIFS(FR_FUEL,K46,FR_YEAR,AP46-1)&gt;0,1,0)</f>
        <v/>
      </c>
      <c r="BQ46" s="4">
        <f>IF(N(AQ46)&gt;0,AP46*100+AQ46,IF(AND(BO46=1,BP46=1),(AP46-1)*100+1,AP46*100+1))</f>
        <v/>
      </c>
      <c r="BR46" s="3">
        <f>IF(OR(K46="hibrido",K46="glp",K46="gnc",K46="phev"),"ECO",IF(K46="electrico","CERO",IF(K46="gasolina",IF(BQ46&gt;=GAS_C_YM,"C",IF(BQ46&gt;=GAS_B_YM,"B","A")),IF(K46="diesel",IF(BQ46&gt;=DIE_C_YM,"C",IF(BQ46&gt;=DIE_B_YM,"B","A")),""))))</f>
        <v/>
      </c>
      <c r="BS46" s="2" t="inlineStr">
        <is>
          <t>B</t>
        </is>
      </c>
      <c r="BT46" s="4">
        <f>IF(AU46="sí","sí",IF(AS46="regla",IF(AND(N(AQ46)=0,BO46=1),"sí","no"),"no"))</f>
        <v/>
      </c>
      <c r="BU46" s="3">
        <f>IFERROR(VLOOKUP(F46,MOD_TBL,16,0),IFERROR(VLOOKUP(E46,OCU_TBL,2,0),NEUTRO))</f>
        <v/>
      </c>
      <c r="BV46" s="3">
        <f>SUMIFS(MOT_AJUSTE,MOT_MOTOR,G46,MOT_MARCA,E46,MOT_DESDE,"&lt;="&amp;M46,MOT_HASTA,"&gt;="&amp;M46)+SUMIFS(MOT_AJUSTE,MOT_MOTOR,G46,MOT_MARCA,"(todas)",MOT_DESDE,"&lt;="&amp;M46,MOT_HASTA,"&gt;="&amp;M46)+SUMIFS(MOT_AJUSTE,MOT_MOTOR,"(cualquiera)",MOT_MARCA,E46,MOT_DESDE,"&lt;="&amp;M46,MOT_HASTA,"&gt;="&amp;M46)</f>
        <v/>
      </c>
      <c r="BW46" s="3">
        <f>SUMIFS(COMB_AJUSTE,COMB_COMB,K46)</f>
        <v/>
      </c>
      <c r="BX46" s="3">
        <f>COUNTIFS(MOT_MOTOR,G46,MOT_MARCA,E46,MOT_DESDE,"&lt;="&amp;M46,MOT_HASTA,"&gt;="&amp;M46)+COUNTIFS(MOT_MOTOR,G46,MOT_MARCA,"(todas)",MOT_DESDE,"&lt;="&amp;M46,MOT_HASTA,"&gt;="&amp;M46)+COUNTIFS(MOT_MOTOR,"(cualquiera)",MOT_MARCA,E46,MOT_DESDE,"&lt;="&amp;M46,MOT_HASTA,"&gt;="&amp;M46)</f>
        <v/>
      </c>
      <c r="BY46" s="3">
        <f>IF(AND(K46="diesel",BX46=0),MIN(BU46,NEUTRO),BU46)</f>
        <v/>
      </c>
      <c r="BZ46" s="3">
        <f>MAX(0,MIN(100,BY46+BV46+BW46-IF(AV46="sí",ROB_PEN,0)))</f>
        <v/>
      </c>
      <c r="CA46" s="3">
        <f>100-MAX(0,N46-KM_TOPE_DESDE)/1000*KM_TOPE_PTS</f>
        <v/>
      </c>
      <c r="CB46" s="3">
        <f>MAX(0,MIN(100,50+BN46*PRECIO_PEND,CA46))</f>
        <v/>
      </c>
      <c r="CC46" s="3">
        <f>MAX(0,100*(1-N46/KM_MAX))</f>
        <v/>
      </c>
      <c r="CD46" s="3">
        <f>IF(BE46&lt;KMA_SOSP,IF(AA46="sí",100,KMA_PEN),IF(BE46&lt;=KMA_IDEAL_MAX,100,MAX(0,100*(KMA_CERO-BE46)/(KMA_CERO-KMA_IDEAL_MAX))))</f>
        <v/>
      </c>
      <c r="CE46" s="3">
        <f>MAX(0,MIN(100,100*(M46-ANIO_MIN)/(ANIO_ACTUAL-ANIO_MIN)))</f>
        <v/>
      </c>
      <c r="CF46" s="3">
        <f>W_KMT*CC46+W_KMA*CD46+W_EDAD*CE46</f>
        <v/>
      </c>
      <c r="CG46" s="3">
        <f>P_ITV*(V46="sí")+P_LIBRO*(W46="sí")+P_CORREA*(X46="sí")+P_PROP*(Y46=1)+P_GAR*(Z46="sí")+P_FOTOS*MIN(1,N(U46)/FOTOS_OBJ)</f>
        <v/>
      </c>
      <c r="CH46" s="3">
        <f>MAX(0,MIN(100,IFERROR(VLOOKUP(BS46,ETQ_TBL,2,0),0)-IF(BT46="sí",ETQ_PEN_DUD,IF(AS46="regla",ETQ_PEN_REGLA,0))))</f>
        <v/>
      </c>
      <c r="CI46" s="3">
        <f>NEUTRO</f>
        <v/>
      </c>
      <c r="CJ46" s="3">
        <f>IFERROR(VLOOKUP(L46,SEGURO_TBL,3,0),"")</f>
        <v/>
      </c>
      <c r="CK46" s="3">
        <f>IF(CJ46="",NEUTRO,MAX(0,MIN(100,100*(SEG_REF_MAX-CJ46)/(SEG_REF_MAX-SEG_REF_MIN))))</f>
        <v/>
      </c>
      <c r="CL46" s="3">
        <f>W_CONS*CI46+W_SEG*CK46</f>
        <v/>
      </c>
      <c r="CM46" s="3">
        <f>IF(N(AB46)&gt;0,AB46,IF(AND(R46="profesional",SG_LEGAL_ON=1),GAR_LEGAL,0))</f>
        <v/>
      </c>
      <c r="CN46" s="3">
        <f>SG_GAR*MIN(1,CM46/SG_GAR_FULL)+SG_AMPL*(AC46="sí")+SG_KMC*(AF46="sí")+SG_REV*(N(AE46)&gt;0)+SG_DEV*MIN(1,N(AG46)/SG_DEV_FULL)+SG_HIST*(W46="sí")</f>
        <v/>
      </c>
      <c r="CO46" s="3">
        <f>IFERROR(VLOOKUP(L46,CARR_PEN_TBL,2,0),0)</f>
        <v/>
      </c>
      <c r="CP46" s="3">
        <f>W_FIAB*BZ46+W_PRECIO*CB46+W_KMEDAD*CF46+W_ANUNCIO*CG46+W_USO*CL46+W_SEGURIDAD*CN46+W_ETIQUETA*CH46-CO46</f>
        <v/>
      </c>
      <c r="CQ46" s="4">
        <f>IF(N(I46)&gt;0,I46,IFERROR(ROUND(_xlfn.NUMBERVALUE(LEFT(G46,FIND(" ",G46&amp;" ")-1),".")*1000,0),99999))</f>
        <v/>
      </c>
      <c r="CR46" s="3">
        <f>IF(R46="profesional",0,IF(O46&lt;CUOTA_VALOR_MAX,IF(BD46&gt;ITP_TRAMO_ALTO,SUMIFS(CF_CUOTA,CF_MAS,ITP_TRAMO_ALTO,CF_CCMIN,"&lt;="&amp;CQ46,CF_CCMAX,"&gt;="&amp;CQ46),IF(BD46&gt;ITP_TRAMO_BAJO,SUMIFS(CF_CUOTA,CF_MAS,ITP_TRAMO_BAJO,CF_CCMIN,"&lt;="&amp;CQ46,CF_CCMAX,"&gt;="&amp;CQ46),O46*ITP_TIPO)),O46*ITP_TIPO))</f>
        <v/>
      </c>
      <c r="CS46" s="4">
        <f>IF(R46="profesional",N(AK46),0)</f>
        <v/>
      </c>
      <c r="CT46" s="3">
        <f>IF(AND(R46="profesional",ISNUMBER(AK46),AL46="sí"),0,TASA_DGT)</f>
        <v/>
      </c>
      <c r="CU46" s="3">
        <f>INFORME_DGT</f>
        <v/>
      </c>
      <c r="CV46" s="4">
        <f>O46+CS46+CR46+CT46+CU46</f>
        <v/>
      </c>
      <c r="CW46" s="4">
        <f>CV46+N(CJ46)</f>
        <v/>
      </c>
      <c r="CX46" s="3">
        <f>IF(CV46&lt;=TOTAL_MAX,"sí",IF(CV46&lt;=TOTAL_MAX+MARGEN_NEG,"negociar","no"))</f>
        <v/>
      </c>
      <c r="CY46" s="4">
        <f>IF(CX46&lt;&gt;"no",COUNTIFS($CX$2:$CX$101,"&lt;&gt;no",$CP$2:$CP$101,"&gt;"&amp;CP46)+COUNTIFS($CX$2:CX46,"&lt;&gt;no",$CP$2:CP46,CP46),"")</f>
        <v/>
      </c>
    </row>
    <row r="47">
      <c r="A47" s="2" t="inlineStr">
        <is>
          <t>wallapop:1316246339</t>
        </is>
      </c>
      <c r="B47" s="2" t="inlineStr">
        <is>
          <t>wallapop</t>
        </is>
      </c>
      <c r="C47" s="2" t="inlineStr">
        <is>
          <t>https://es.wallapop.com/item/opel-corsa-1-2-111-years-63-kw-85-cv-1316246339</t>
        </is>
      </c>
      <c r="D47" s="2" t="inlineStr">
        <is>
          <t>Opel Corsa 1.2 111 Years 63 kW (85 CV)</t>
        </is>
      </c>
      <c r="E47" s="2" t="inlineStr">
        <is>
          <t>Opel</t>
        </is>
      </c>
      <c r="F47" s="2" t="inlineStr">
        <is>
          <t>Opel Corsa</t>
        </is>
      </c>
      <c r="G47" s="2" t="inlineStr">
        <is>
          <t>1.2</t>
        </is>
      </c>
      <c r="H47" s="2" t="inlineStr">
        <is>
          <t>1.2 111 Years 63 kW (85 CV)</t>
        </is>
      </c>
      <c r="I47" s="2" t="n"/>
      <c r="J47" s="2" t="n">
        <v>85</v>
      </c>
      <c r="K47" s="2" t="inlineStr">
        <is>
          <t>gasolina</t>
        </is>
      </c>
      <c r="L47" s="2" t="inlineStr">
        <is>
          <t>utilitario</t>
        </is>
      </c>
      <c r="M47" s="2" t="n">
        <v>2011</v>
      </c>
      <c r="N47" s="2" t="n">
        <v>142307</v>
      </c>
      <c r="O47" s="2" t="n">
        <v>4750</v>
      </c>
      <c r="P47" s="2" t="inlineStr">
        <is>
          <t>manual</t>
        </is>
      </c>
      <c r="Q47" s="2" t="inlineStr">
        <is>
          <t>no</t>
        </is>
      </c>
      <c r="R47" s="2" t="inlineStr">
        <is>
          <t>profesional</t>
        </is>
      </c>
      <c r="S47" s="2" t="inlineStr">
        <is>
          <t>Paterna (46980)</t>
        </is>
      </c>
      <c r="T47" s="2" t="inlineStr">
        <is>
          <t>2026-10-26T19:54:36</t>
        </is>
      </c>
      <c r="U47" s="2" t="n">
        <v>11</v>
      </c>
      <c r="V47" s="2" t="n"/>
      <c r="W47" s="2" t="inlineStr">
        <is>
          <t>sí</t>
        </is>
      </c>
      <c r="X47" s="2" t="n"/>
      <c r="Y47" s="2" t="n"/>
      <c r="Z47" s="2" t="inlineStr">
        <is>
          <t>sí</t>
        </is>
      </c>
      <c r="AA47" s="2" t="n"/>
      <c r="AB47" s="2" t="n"/>
      <c r="AC47" s="2" t="n"/>
      <c r="AD47" s="2" t="n"/>
      <c r="AE47" s="2" t="n"/>
      <c r="AF47" s="2" t="inlineStr">
        <is>
          <t>sí</t>
        </is>
      </c>
      <c r="AG47" s="2" t="n"/>
      <c r="AH47" s="2" t="n"/>
      <c r="AI47" s="2" t="n"/>
      <c r="AJ47" s="2" t="n"/>
      <c r="AK47" s="2" t="n"/>
      <c r="AL47" s="2" t="n"/>
      <c r="AM47" s="2" t="n">
        <v>6.4</v>
      </c>
      <c r="AN47" s="2" t="inlineStr">
        <is>
          <t>1000KMS</t>
        </is>
      </c>
      <c r="AO47" s="2" t="inlineStr">
        <is>
          <t>2011</t>
        </is>
      </c>
      <c r="AP47" s="2" t="n">
        <v>2011</v>
      </c>
      <c r="AQ47" s="2" t="n"/>
      <c r="AR47" s="2" t="inlineStr">
        <is>
          <t>B</t>
        </is>
      </c>
      <c r="AS47" s="2" t="inlineStr">
        <is>
          <t>DGT</t>
        </is>
      </c>
      <c r="AT47" s="2" t="n"/>
      <c r="AU47" s="2" t="inlineStr">
        <is>
          <t>no</t>
        </is>
      </c>
      <c r="AV47" s="2" t="inlineStr">
        <is>
          <t>no</t>
        </is>
      </c>
      <c r="AW47" s="2" t="n">
        <v>4625</v>
      </c>
      <c r="AX47" s="2" t="n">
        <v>8</v>
      </c>
      <c r="AY47" s="2" t="inlineStr">
        <is>
          <t>modelo+año+km</t>
        </is>
      </c>
      <c r="AZ47" s="2" t="n"/>
      <c r="BA47" s="2" t="inlineStr">
        <is>
          <t>vendedor profesional: sin ITP (operación con IVA/REBU, confirmar en factura); gastos de gestión del vendedor no indicados: se suma la tasa DGT; preguntar el precio final; revisar: no menciona la ITV</t>
        </is>
      </c>
      <c r="BB47"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47" s="2" t="inlineStr">
        <is>
          <t>https://es.wallapop.com/item/opel-corsa-1-2-111-years-63-kw-85-cv-1316246339 (__NEXT_DATA__ item) /home/user/Alopecia/buscador-coches/raw/wallapop/7bf69f17a3c2bded.json</t>
        </is>
      </c>
      <c r="BD47" s="3">
        <f>MAX(ANIO_ACTUAL-M47,0)</f>
        <v/>
      </c>
      <c r="BE47" s="4">
        <f>N47/MAX(BD47,0.5)</f>
        <v/>
      </c>
      <c r="BF47" s="4">
        <f>F47</f>
        <v/>
      </c>
      <c r="BG47" s="3">
        <f>BF47&amp;"|"&amp;INT(M47/SEG_ANIO)*SEG_ANIO</f>
        <v/>
      </c>
      <c r="BH47" s="3">
        <f>BG47&amp;"|"&amp;INT(N47/SEG_KM)*SEG_KM</f>
        <v/>
      </c>
      <c r="BI47" s="4">
        <f>COUNTIF($BF$2:$BF$101,BF47)</f>
        <v/>
      </c>
      <c r="BJ47" s="4">
        <f>COUNTIF($BG$2:$BG$101,BG47)</f>
        <v/>
      </c>
      <c r="BK47" s="4">
        <f>COUNTIF($BH$2:$BH$101,BH47)</f>
        <v/>
      </c>
      <c r="BL47" s="3">
        <f t="array" ref="BL47">IF(N(AX47)&gt;=MIN_N,AW47,IF(BK47&gt;=MIN_N,MEDIAN(IF($BH$2:$BH$101=BH47,$O$2:$O$101)),IF(BJ47&gt;=MIN_N,MEDIAN(IF($BG$2:$BG$101=BG47,$O$2:$O$101)),MEDIAN(IF($BF$2:$BF$101=BF47,$O$2:$O$101)))))</f>
        <v/>
      </c>
      <c r="BM47" s="3">
        <f>IF(N(AX47)&gt;=MIN_N,"mercado "&amp;AY47,IF(BK47&gt;=MIN_N,"modelo+año+km",IF(BJ47&gt;=MIN_N,"modelo+año","modelo")))</f>
        <v/>
      </c>
      <c r="BN47" s="4">
        <f>(BL47-O47)/BL47</f>
        <v/>
      </c>
      <c r="BO47" s="3">
        <f>IF(COUNTIFS(FR_FUEL,K47,FR_YEAR,AP47)&gt;0,1,0)</f>
        <v/>
      </c>
      <c r="BP47" s="3">
        <f>IF(COUNTIFS(FR_FUEL,K47,FR_YEAR,AP47-1)&gt;0,1,0)</f>
        <v/>
      </c>
      <c r="BQ47" s="4">
        <f>IF(N(AQ47)&gt;0,AP47*100+AQ47,IF(AND(BO47=1,BP47=1),(AP47-1)*100+1,AP47*100+1))</f>
        <v/>
      </c>
      <c r="BR47" s="3">
        <f>IF(OR(K47="hibrido",K47="glp",K47="gnc",K47="phev"),"ECO",IF(K47="electrico","CERO",IF(K47="gasolina",IF(BQ47&gt;=GAS_C_YM,"C",IF(BQ47&gt;=GAS_B_YM,"B","A")),IF(K47="diesel",IF(BQ47&gt;=DIE_C_YM,"C",IF(BQ47&gt;=DIE_B_YM,"B","A")),""))))</f>
        <v/>
      </c>
      <c r="BS47" s="2" t="inlineStr">
        <is>
          <t>B</t>
        </is>
      </c>
      <c r="BT47" s="4">
        <f>IF(AU47="sí","sí",IF(AS47="regla",IF(AND(N(AQ47)=0,BO47=1),"sí","no"),"no"))</f>
        <v/>
      </c>
      <c r="BU47" s="3">
        <f>IFERROR(VLOOKUP(F47,MOD_TBL,16,0),IFERROR(VLOOKUP(E47,OCU_TBL,2,0),NEUTRO))</f>
        <v/>
      </c>
      <c r="BV47" s="3">
        <f>SUMIFS(MOT_AJUSTE,MOT_MOTOR,G47,MOT_MARCA,E47,MOT_DESDE,"&lt;="&amp;M47,MOT_HASTA,"&gt;="&amp;M47)+SUMIFS(MOT_AJUSTE,MOT_MOTOR,G47,MOT_MARCA,"(todas)",MOT_DESDE,"&lt;="&amp;M47,MOT_HASTA,"&gt;="&amp;M47)+SUMIFS(MOT_AJUSTE,MOT_MOTOR,"(cualquiera)",MOT_MARCA,E47,MOT_DESDE,"&lt;="&amp;M47,MOT_HASTA,"&gt;="&amp;M47)</f>
        <v/>
      </c>
      <c r="BW47" s="3">
        <f>SUMIFS(COMB_AJUSTE,COMB_COMB,K47)</f>
        <v/>
      </c>
      <c r="BX47" s="3">
        <f>COUNTIFS(MOT_MOTOR,G47,MOT_MARCA,E47,MOT_DESDE,"&lt;="&amp;M47,MOT_HASTA,"&gt;="&amp;M47)+COUNTIFS(MOT_MOTOR,G47,MOT_MARCA,"(todas)",MOT_DESDE,"&lt;="&amp;M47,MOT_HASTA,"&gt;="&amp;M47)+COUNTIFS(MOT_MOTOR,"(cualquiera)",MOT_MARCA,E47,MOT_DESDE,"&lt;="&amp;M47,MOT_HASTA,"&gt;="&amp;M47)</f>
        <v/>
      </c>
      <c r="BY47" s="3">
        <f>IF(AND(K47="diesel",BX47=0),MIN(BU47,NEUTRO),BU47)</f>
        <v/>
      </c>
      <c r="BZ47" s="3">
        <f>MAX(0,MIN(100,BY47+BV47+BW47-IF(AV47="sí",ROB_PEN,0)))</f>
        <v/>
      </c>
      <c r="CA47" s="3">
        <f>100-MAX(0,N47-KM_TOPE_DESDE)/1000*KM_TOPE_PTS</f>
        <v/>
      </c>
      <c r="CB47" s="3">
        <f>MAX(0,MIN(100,50+BN47*PRECIO_PEND,CA47))</f>
        <v/>
      </c>
      <c r="CC47" s="3">
        <f>MAX(0,100*(1-N47/KM_MAX))</f>
        <v/>
      </c>
      <c r="CD47" s="3">
        <f>IF(BE47&lt;KMA_SOSP,IF(AA47="sí",100,KMA_PEN),IF(BE47&lt;=KMA_IDEAL_MAX,100,MAX(0,100*(KMA_CERO-BE47)/(KMA_CERO-KMA_IDEAL_MAX))))</f>
        <v/>
      </c>
      <c r="CE47" s="3">
        <f>MAX(0,MIN(100,100*(M47-ANIO_MIN)/(ANIO_ACTUAL-ANIO_MIN)))</f>
        <v/>
      </c>
      <c r="CF47" s="3">
        <f>W_KMT*CC47+W_KMA*CD47+W_EDAD*CE47</f>
        <v/>
      </c>
      <c r="CG47" s="3">
        <f>P_ITV*(V47="sí")+P_LIBRO*(W47="sí")+P_CORREA*(X47="sí")+P_PROP*(Y47=1)+P_GAR*(Z47="sí")+P_FOTOS*MIN(1,N(U47)/FOTOS_OBJ)</f>
        <v/>
      </c>
      <c r="CH47" s="3">
        <f>MAX(0,MIN(100,IFERROR(VLOOKUP(BS47,ETQ_TBL,2,0),0)-IF(BT47="sí",ETQ_PEN_DUD,IF(AS47="regla",ETQ_PEN_REGLA,0))))</f>
        <v/>
      </c>
      <c r="CI47" s="3">
        <f>NEUTRO</f>
        <v/>
      </c>
      <c r="CJ47" s="3">
        <f>IFERROR(VLOOKUP(L47,SEGURO_TBL,3,0),"")</f>
        <v/>
      </c>
      <c r="CK47" s="3">
        <f>IF(CJ47="",NEUTRO,MAX(0,MIN(100,100*(SEG_REF_MAX-CJ47)/(SEG_REF_MAX-SEG_REF_MIN))))</f>
        <v/>
      </c>
      <c r="CL47" s="3">
        <f>W_CONS*CI47+W_SEG*CK47</f>
        <v/>
      </c>
      <c r="CM47" s="3">
        <f>IF(N(AB47)&gt;0,AB47,IF(AND(R47="profesional",SG_LEGAL_ON=1),GAR_LEGAL,0))</f>
        <v/>
      </c>
      <c r="CN47" s="3">
        <f>SG_GAR*MIN(1,CM47/SG_GAR_FULL)+SG_AMPL*(AC47="sí")+SG_KMC*(AF47="sí")+SG_REV*(N(AE47)&gt;0)+SG_DEV*MIN(1,N(AG47)/SG_DEV_FULL)+SG_HIST*(W47="sí")</f>
        <v/>
      </c>
      <c r="CO47" s="3">
        <f>IFERROR(VLOOKUP(L47,CARR_PEN_TBL,2,0),0)</f>
        <v/>
      </c>
      <c r="CP47" s="3">
        <f>W_FIAB*BZ47+W_PRECIO*CB47+W_KMEDAD*CF47+W_ANUNCIO*CG47+W_USO*CL47+W_SEGURIDAD*CN47+W_ETIQUETA*CH47-CO47</f>
        <v/>
      </c>
      <c r="CQ47" s="4">
        <f>IF(N(I47)&gt;0,I47,IFERROR(ROUND(_xlfn.NUMBERVALUE(LEFT(G47,FIND(" ",G47&amp;" ")-1),".")*1000,0),99999))</f>
        <v/>
      </c>
      <c r="CR47" s="3">
        <f>IF(R47="profesional",0,IF(O47&lt;CUOTA_VALOR_MAX,IF(BD47&gt;ITP_TRAMO_ALTO,SUMIFS(CF_CUOTA,CF_MAS,ITP_TRAMO_ALTO,CF_CCMIN,"&lt;="&amp;CQ47,CF_CCMAX,"&gt;="&amp;CQ47),IF(BD47&gt;ITP_TRAMO_BAJO,SUMIFS(CF_CUOTA,CF_MAS,ITP_TRAMO_BAJO,CF_CCMIN,"&lt;="&amp;CQ47,CF_CCMAX,"&gt;="&amp;CQ47),O47*ITP_TIPO)),O47*ITP_TIPO))</f>
        <v/>
      </c>
      <c r="CS47" s="4">
        <f>IF(R47="profesional",N(AK47),0)</f>
        <v/>
      </c>
      <c r="CT47" s="3">
        <f>IF(AND(R47="profesional",ISNUMBER(AK47),AL47="sí"),0,TASA_DGT)</f>
        <v/>
      </c>
      <c r="CU47" s="3">
        <f>INFORME_DGT</f>
        <v/>
      </c>
      <c r="CV47" s="4">
        <f>O47+CS47+CR47+CT47+CU47</f>
        <v/>
      </c>
      <c r="CW47" s="4">
        <f>CV47+N(CJ47)</f>
        <v/>
      </c>
      <c r="CX47" s="3">
        <f>IF(CV47&lt;=TOTAL_MAX,"sí",IF(CV47&lt;=TOTAL_MAX+MARGEN_NEG,"negociar","no"))</f>
        <v/>
      </c>
      <c r="CY47" s="4">
        <f>IF(CX47&lt;&gt;"no",COUNTIFS($CX$2:$CX$101,"&lt;&gt;no",$CP$2:$CP$101,"&gt;"&amp;CP47)+COUNTIFS($CX$2:CX47,"&lt;&gt;no",$CP$2:CP47,CP47),"")</f>
        <v/>
      </c>
    </row>
    <row r="48">
      <c r="A48" s="2" t="inlineStr">
        <is>
          <t>wallapop:1302134212</t>
        </is>
      </c>
      <c r="B48" s="2" t="inlineStr">
        <is>
          <t>wallapop</t>
        </is>
      </c>
      <c r="C48" s="2" t="inlineStr">
        <is>
          <t>https://es.wallapop.com/item/opel-astra-1-7-cdti-enjoy-74-kw-100-cv-1302134212</t>
        </is>
      </c>
      <c r="D48" s="2" t="inlineStr">
        <is>
          <t>Opel Astra 1.7 CDTI Enjoy 74 kW (100 CV)</t>
        </is>
      </c>
      <c r="E48" s="2" t="inlineStr">
        <is>
          <t>Opel</t>
        </is>
      </c>
      <c r="F48" s="2" t="inlineStr">
        <is>
          <t>Opel Astra</t>
        </is>
      </c>
      <c r="G48" s="2" t="inlineStr">
        <is>
          <t>1.7 CDTi</t>
        </is>
      </c>
      <c r="H48" s="2" t="inlineStr">
        <is>
          <t>1.7 CDTI Enjoy 74 kW (100 CV)</t>
        </is>
      </c>
      <c r="I48" s="2" t="n"/>
      <c r="J48" s="2" t="n">
        <v>100</v>
      </c>
      <c r="K48" s="2" t="inlineStr">
        <is>
          <t>diesel</t>
        </is>
      </c>
      <c r="L48" s="2" t="inlineStr">
        <is>
          <t>compacto</t>
        </is>
      </c>
      <c r="M48" s="2" t="n">
        <v>2007</v>
      </c>
      <c r="N48" s="2" t="n">
        <v>111852</v>
      </c>
      <c r="O48" s="2" t="n">
        <v>5200</v>
      </c>
      <c r="P48" s="2" t="inlineStr">
        <is>
          <t>manual</t>
        </is>
      </c>
      <c r="Q48" s="2" t="inlineStr">
        <is>
          <t>no</t>
        </is>
      </c>
      <c r="R48" s="2" t="inlineStr">
        <is>
          <t>profesional</t>
        </is>
      </c>
      <c r="S48" s="2" t="inlineStr">
        <is>
          <t>Paterna (46980)</t>
        </is>
      </c>
      <c r="T48" s="2" t="inlineStr">
        <is>
          <t>2026-10-26T14:08:26</t>
        </is>
      </c>
      <c r="U48" s="2" t="n">
        <v>11</v>
      </c>
      <c r="V48" s="2" t="n"/>
      <c r="W48" s="2" t="inlineStr">
        <is>
          <t>sí</t>
        </is>
      </c>
      <c r="X48" s="2" t="n"/>
      <c r="Y48" s="2" t="n">
        <v>1</v>
      </c>
      <c r="Z48" s="2" t="inlineStr">
        <is>
          <t>sí</t>
        </is>
      </c>
      <c r="AA48" s="2" t="n"/>
      <c r="AB48" s="2" t="n"/>
      <c r="AC48" s="2" t="n"/>
      <c r="AD48" s="2" t="n"/>
      <c r="AE48" s="2" t="n"/>
      <c r="AF48" s="2" t="inlineStr">
        <is>
          <t>sí</t>
        </is>
      </c>
      <c r="AG48" s="2" t="n"/>
      <c r="AH48" s="2" t="n"/>
      <c r="AI48" s="2" t="n"/>
      <c r="AJ48" s="2" t="n"/>
      <c r="AK48" s="2" t="n"/>
      <c r="AL48" s="2" t="n"/>
      <c r="AM48" s="2" t="n">
        <v>6.4</v>
      </c>
      <c r="AN48" s="2" t="inlineStr">
        <is>
          <t>1000KMS</t>
        </is>
      </c>
      <c r="AO48" s="2" t="inlineStr">
        <is>
          <t>2007</t>
        </is>
      </c>
      <c r="AP48" s="2" t="n">
        <v>2007</v>
      </c>
      <c r="AQ48" s="2" t="n"/>
      <c r="AR48" s="2" t="inlineStr">
        <is>
          <t>B</t>
        </is>
      </c>
      <c r="AS48" s="2" t="inlineStr">
        <is>
          <t>DGT</t>
        </is>
      </c>
      <c r="AT48" s="2" t="n"/>
      <c r="AU48" s="2" t="inlineStr">
        <is>
          <t>no</t>
        </is>
      </c>
      <c r="AV48" s="2" t="inlineStr">
        <is>
          <t>no</t>
        </is>
      </c>
      <c r="AW48" s="2" t="n">
        <v>4445</v>
      </c>
      <c r="AX48" s="2" t="n">
        <v>10</v>
      </c>
      <c r="AY48" s="2" t="inlineStr">
        <is>
          <t>modelo+año+km</t>
        </is>
      </c>
      <c r="AZ48" s="2" t="inlineStr">
        <is>
          <t>wallapop:1302137427 (https://es.wallapop.com/item/opel-astra-1-7-cdti-enjoy-74-kw-100-cv-1302137427)</t>
        </is>
      </c>
      <c r="BA48" s="2" t="inlineStr">
        <is>
          <t>por encima del presupuesto (5264 €),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48" s="2" t="inlineStr">
        <is>
          <t>Ref.180623812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Volante multifunción, Aire Acondicionado, Isofix, Llantas de aleación (16").
                - Coche Nacional, Historial Mantenimiento, Único propietario.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48" s="2" t="inlineStr">
        <is>
          <t>https://es.wallapop.com/item/opel-astra-1-7-cdti-enjoy-74-kw-100-cv-1302134212 (__NEXT_DATA__ item) /home/user/Alopecia/buscador-coches/raw/wallapop/76ab7fe3853ffe54.json</t>
        </is>
      </c>
      <c r="BD48" s="3">
        <f>MAX(ANIO_ACTUAL-M48,0)</f>
        <v/>
      </c>
      <c r="BE48" s="4">
        <f>N48/MAX(BD48,0.5)</f>
        <v/>
      </c>
      <c r="BF48" s="4">
        <f>F48</f>
        <v/>
      </c>
      <c r="BG48" s="3">
        <f>BF48&amp;"|"&amp;INT(M48/SEG_ANIO)*SEG_ANIO</f>
        <v/>
      </c>
      <c r="BH48" s="3">
        <f>BG48&amp;"|"&amp;INT(N48/SEG_KM)*SEG_KM</f>
        <v/>
      </c>
      <c r="BI48" s="4">
        <f>COUNTIF($BF$2:$BF$101,BF48)</f>
        <v/>
      </c>
      <c r="BJ48" s="4">
        <f>COUNTIF($BG$2:$BG$101,BG48)</f>
        <v/>
      </c>
      <c r="BK48" s="4">
        <f>COUNTIF($BH$2:$BH$101,BH48)</f>
        <v/>
      </c>
      <c r="BL48" s="3">
        <f t="array" ref="BL48">IF(N(AX48)&gt;=MIN_N,AW48,IF(BK48&gt;=MIN_N,MEDIAN(IF($BH$2:$BH$101=BH48,$O$2:$O$101)),IF(BJ48&gt;=MIN_N,MEDIAN(IF($BG$2:$BG$101=BG48,$O$2:$O$101)),MEDIAN(IF($BF$2:$BF$101=BF48,$O$2:$O$101)))))</f>
        <v/>
      </c>
      <c r="BM48" s="3">
        <f>IF(N(AX48)&gt;=MIN_N,"mercado "&amp;AY48,IF(BK48&gt;=MIN_N,"modelo+año+km",IF(BJ48&gt;=MIN_N,"modelo+año","modelo")))</f>
        <v/>
      </c>
      <c r="BN48" s="4">
        <f>(BL48-O48)/BL48</f>
        <v/>
      </c>
      <c r="BO48" s="3">
        <f>IF(COUNTIFS(FR_FUEL,K48,FR_YEAR,AP48)&gt;0,1,0)</f>
        <v/>
      </c>
      <c r="BP48" s="3">
        <f>IF(COUNTIFS(FR_FUEL,K48,FR_YEAR,AP48-1)&gt;0,1,0)</f>
        <v/>
      </c>
      <c r="BQ48" s="4">
        <f>IF(N(AQ48)&gt;0,AP48*100+AQ48,IF(AND(BO48=1,BP48=1),(AP48-1)*100+1,AP48*100+1))</f>
        <v/>
      </c>
      <c r="BR48" s="3">
        <f>IF(OR(K48="hibrido",K48="glp",K48="gnc",K48="phev"),"ECO",IF(K48="electrico","CERO",IF(K48="gasolina",IF(BQ48&gt;=GAS_C_YM,"C",IF(BQ48&gt;=GAS_B_YM,"B","A")),IF(K48="diesel",IF(BQ48&gt;=DIE_C_YM,"C",IF(BQ48&gt;=DIE_B_YM,"B","A")),""))))</f>
        <v/>
      </c>
      <c r="BS48" s="2" t="inlineStr">
        <is>
          <t>B</t>
        </is>
      </c>
      <c r="BT48" s="4">
        <f>IF(AU48="sí","sí",IF(AS48="regla",IF(AND(N(AQ48)=0,BO48=1),"sí","no"),"no"))</f>
        <v/>
      </c>
      <c r="BU48" s="3">
        <f>IFERROR(VLOOKUP(F48,MOD_TBL,16,0),IFERROR(VLOOKUP(E48,OCU_TBL,2,0),NEUTRO))</f>
        <v/>
      </c>
      <c r="BV48" s="3">
        <f>SUMIFS(MOT_AJUSTE,MOT_MOTOR,G48,MOT_MARCA,E48,MOT_DESDE,"&lt;="&amp;M48,MOT_HASTA,"&gt;="&amp;M48)+SUMIFS(MOT_AJUSTE,MOT_MOTOR,G48,MOT_MARCA,"(todas)",MOT_DESDE,"&lt;="&amp;M48,MOT_HASTA,"&gt;="&amp;M48)+SUMIFS(MOT_AJUSTE,MOT_MOTOR,"(cualquiera)",MOT_MARCA,E48,MOT_DESDE,"&lt;="&amp;M48,MOT_HASTA,"&gt;="&amp;M48)</f>
        <v/>
      </c>
      <c r="BW48" s="3">
        <f>SUMIFS(COMB_AJUSTE,COMB_COMB,K48)</f>
        <v/>
      </c>
      <c r="BX48" s="3">
        <f>COUNTIFS(MOT_MOTOR,G48,MOT_MARCA,E48,MOT_DESDE,"&lt;="&amp;M48,MOT_HASTA,"&gt;="&amp;M48)+COUNTIFS(MOT_MOTOR,G48,MOT_MARCA,"(todas)",MOT_DESDE,"&lt;="&amp;M48,MOT_HASTA,"&gt;="&amp;M48)+COUNTIFS(MOT_MOTOR,"(cualquiera)",MOT_MARCA,E48,MOT_DESDE,"&lt;="&amp;M48,MOT_HASTA,"&gt;="&amp;M48)</f>
        <v/>
      </c>
      <c r="BY48" s="3">
        <f>IF(AND(K48="diesel",BX48=0),MIN(BU48,NEUTRO),BU48)</f>
        <v/>
      </c>
      <c r="BZ48" s="3">
        <f>MAX(0,MIN(100,BY48+BV48+BW48-IF(AV48="sí",ROB_PEN,0)))</f>
        <v/>
      </c>
      <c r="CA48" s="3">
        <f>100-MAX(0,N48-KM_TOPE_DESDE)/1000*KM_TOPE_PTS</f>
        <v/>
      </c>
      <c r="CB48" s="3">
        <f>MAX(0,MIN(100,50+BN48*PRECIO_PEND,CA48))</f>
        <v/>
      </c>
      <c r="CC48" s="3">
        <f>MAX(0,100*(1-N48/KM_MAX))</f>
        <v/>
      </c>
      <c r="CD48" s="3">
        <f>IF(BE48&lt;KMA_SOSP,IF(AA48="sí",100,KMA_PEN),IF(BE48&lt;=KMA_IDEAL_MAX,100,MAX(0,100*(KMA_CERO-BE48)/(KMA_CERO-KMA_IDEAL_MAX))))</f>
        <v/>
      </c>
      <c r="CE48" s="3">
        <f>MAX(0,MIN(100,100*(M48-ANIO_MIN)/(ANIO_ACTUAL-ANIO_MIN)))</f>
        <v/>
      </c>
      <c r="CF48" s="3">
        <f>W_KMT*CC48+W_KMA*CD48+W_EDAD*CE48</f>
        <v/>
      </c>
      <c r="CG48" s="3">
        <f>P_ITV*(V48="sí")+P_LIBRO*(W48="sí")+P_CORREA*(X48="sí")+P_PROP*(Y48=1)+P_GAR*(Z48="sí")+P_FOTOS*MIN(1,N(U48)/FOTOS_OBJ)</f>
        <v/>
      </c>
      <c r="CH48" s="3">
        <f>MAX(0,MIN(100,IFERROR(VLOOKUP(BS48,ETQ_TBL,2,0),0)-IF(BT48="sí",ETQ_PEN_DUD,IF(AS48="regla",ETQ_PEN_REGLA,0))))</f>
        <v/>
      </c>
      <c r="CI48" s="3">
        <f>NEUTRO</f>
        <v/>
      </c>
      <c r="CJ48" s="3">
        <f>IFERROR(VLOOKUP(L48,SEGURO_TBL,3,0),"")</f>
        <v/>
      </c>
      <c r="CK48" s="3">
        <f>IF(CJ48="",NEUTRO,MAX(0,MIN(100,100*(SEG_REF_MAX-CJ48)/(SEG_REF_MAX-SEG_REF_MIN))))</f>
        <v/>
      </c>
      <c r="CL48" s="3">
        <f>W_CONS*CI48+W_SEG*CK48</f>
        <v/>
      </c>
      <c r="CM48" s="3">
        <f>IF(N(AB48)&gt;0,AB48,IF(AND(R48="profesional",SG_LEGAL_ON=1),GAR_LEGAL,0))</f>
        <v/>
      </c>
      <c r="CN48" s="3">
        <f>SG_GAR*MIN(1,CM48/SG_GAR_FULL)+SG_AMPL*(AC48="sí")+SG_KMC*(AF48="sí")+SG_REV*(N(AE48)&gt;0)+SG_DEV*MIN(1,N(AG48)/SG_DEV_FULL)+SG_HIST*(W48="sí")</f>
        <v/>
      </c>
      <c r="CO48" s="3">
        <f>IFERROR(VLOOKUP(L48,CARR_PEN_TBL,2,0),0)</f>
        <v/>
      </c>
      <c r="CP48" s="3">
        <f>W_FIAB*BZ48+W_PRECIO*CB48+W_KMEDAD*CF48+W_ANUNCIO*CG48+W_USO*CL48+W_SEGURIDAD*CN48+W_ETIQUETA*CH48-CO48</f>
        <v/>
      </c>
      <c r="CQ48" s="4">
        <f>IF(N(I48)&gt;0,I48,IFERROR(ROUND(_xlfn.NUMBERVALUE(LEFT(G48,FIND(" ",G48&amp;" ")-1),".")*1000,0),99999))</f>
        <v/>
      </c>
      <c r="CR48" s="3">
        <f>IF(R48="profesional",0,IF(O48&lt;CUOTA_VALOR_MAX,IF(BD48&gt;ITP_TRAMO_ALTO,SUMIFS(CF_CUOTA,CF_MAS,ITP_TRAMO_ALTO,CF_CCMIN,"&lt;="&amp;CQ48,CF_CCMAX,"&gt;="&amp;CQ48),IF(BD48&gt;ITP_TRAMO_BAJO,SUMIFS(CF_CUOTA,CF_MAS,ITP_TRAMO_BAJO,CF_CCMIN,"&lt;="&amp;CQ48,CF_CCMAX,"&gt;="&amp;CQ48),O48*ITP_TIPO)),O48*ITP_TIPO))</f>
        <v/>
      </c>
      <c r="CS48" s="4">
        <f>IF(R48="profesional",N(AK48),0)</f>
        <v/>
      </c>
      <c r="CT48" s="3">
        <f>IF(AND(R48="profesional",ISNUMBER(AK48),AL48="sí"),0,TASA_DGT)</f>
        <v/>
      </c>
      <c r="CU48" s="3">
        <f>INFORME_DGT</f>
        <v/>
      </c>
      <c r="CV48" s="4">
        <f>O48+CS48+CR48+CT48+CU48</f>
        <v/>
      </c>
      <c r="CW48" s="4">
        <f>CV48+N(CJ48)</f>
        <v/>
      </c>
      <c r="CX48" s="3">
        <f>IF(CV48&lt;=TOTAL_MAX,"sí",IF(CV48&lt;=TOTAL_MAX+MARGEN_NEG,"negociar","no"))</f>
        <v/>
      </c>
      <c r="CY48" s="4">
        <f>IF(CX48&lt;&gt;"no",COUNTIFS($CX$2:$CX$101,"&lt;&gt;no",$CP$2:$CP$101,"&gt;"&amp;CP48)+COUNTIFS($CX$2:CX48,"&lt;&gt;no",$CP$2:CP48,CP48),"")</f>
        <v/>
      </c>
    </row>
    <row r="49">
      <c r="A49" s="2" t="inlineStr">
        <is>
          <t>wallapop:1314881088</t>
        </is>
      </c>
      <c r="B49" s="2" t="inlineStr">
        <is>
          <t>wallapop</t>
        </is>
      </c>
      <c r="C49" s="2" t="inlineStr">
        <is>
          <t>https://es.wallapop.com/item/renault-clio-1-6-16v-exception2-auto-82-kw-110-cv-1314881088</t>
        </is>
      </c>
      <c r="D49" s="2" t="inlineStr">
        <is>
          <t>Renault Clio 1.6 16v Exception2 Auto 82 kW (110 CV)</t>
        </is>
      </c>
      <c r="E49" s="2" t="inlineStr">
        <is>
          <t>Renault</t>
        </is>
      </c>
      <c r="F49" s="2" t="inlineStr">
        <is>
          <t>Renault Clio</t>
        </is>
      </c>
      <c r="G49" s="2" t="inlineStr">
        <is>
          <t>1.6</t>
        </is>
      </c>
      <c r="H49" s="2" t="inlineStr">
        <is>
          <t>1.6 16v Exception2 Auto 82 kW (110 CV)</t>
        </is>
      </c>
      <c r="I49" s="2" t="n"/>
      <c r="J49" s="2" t="n">
        <v>110</v>
      </c>
      <c r="K49" s="2" t="inlineStr">
        <is>
          <t>gasolina</t>
        </is>
      </c>
      <c r="L49" s="2" t="inlineStr">
        <is>
          <t>utilitario</t>
        </is>
      </c>
      <c r="M49" s="2" t="n">
        <v>2008</v>
      </c>
      <c r="N49" s="2" t="n">
        <v>131878</v>
      </c>
      <c r="O49" s="2" t="n">
        <v>4200</v>
      </c>
      <c r="P49" s="2" t="inlineStr">
        <is>
          <t>automatico</t>
        </is>
      </c>
      <c r="Q49" s="2" t="inlineStr">
        <is>
          <t>sí</t>
        </is>
      </c>
      <c r="R49" s="2" t="inlineStr">
        <is>
          <t>profesional</t>
        </is>
      </c>
      <c r="S49" s="2" t="inlineStr">
        <is>
          <t>Paterna (46980)</t>
        </is>
      </c>
      <c r="T49" s="2" t="inlineStr">
        <is>
          <t>2026-10-26T11:25:51</t>
        </is>
      </c>
      <c r="U49" s="2" t="n">
        <v>11</v>
      </c>
      <c r="V49" s="2" t="n"/>
      <c r="W49" s="2" t="n"/>
      <c r="X49" s="2" t="n"/>
      <c r="Y49" s="2" t="n"/>
      <c r="Z49" s="2" t="inlineStr">
        <is>
          <t>sí</t>
        </is>
      </c>
      <c r="AA49" s="2" t="n"/>
      <c r="AB49" s="2" t="n"/>
      <c r="AC49" s="2" t="n"/>
      <c r="AD49" s="2" t="n"/>
      <c r="AE49" s="2" t="n"/>
      <c r="AF49" s="2" t="inlineStr">
        <is>
          <t>sí</t>
        </is>
      </c>
      <c r="AG49" s="2" t="n"/>
      <c r="AH49" s="2" t="n"/>
      <c r="AI49" s="2" t="n"/>
      <c r="AJ49" s="2" t="n"/>
      <c r="AK49" s="2" t="n"/>
      <c r="AL49" s="2" t="n"/>
      <c r="AM49" s="2" t="n">
        <v>6.4</v>
      </c>
      <c r="AN49" s="2" t="inlineStr">
        <is>
          <t>1000KMS</t>
        </is>
      </c>
      <c r="AO49" s="2" t="inlineStr">
        <is>
          <t>2008</t>
        </is>
      </c>
      <c r="AP49" s="2" t="n">
        <v>2008</v>
      </c>
      <c r="AQ49" s="2" t="n"/>
      <c r="AR49" s="2" t="inlineStr">
        <is>
          <t>B</t>
        </is>
      </c>
      <c r="AS49" s="2" t="inlineStr">
        <is>
          <t>DGT</t>
        </is>
      </c>
      <c r="AT49" s="2" t="n"/>
      <c r="AU49" s="2" t="inlineStr">
        <is>
          <t>no</t>
        </is>
      </c>
      <c r="AV49" s="2" t="inlineStr">
        <is>
          <t>no</t>
        </is>
      </c>
      <c r="AW49" s="2" t="n">
        <v>3500</v>
      </c>
      <c r="AX49" s="2" t="n">
        <v>7</v>
      </c>
      <c r="AY49" s="2" t="inlineStr">
        <is>
          <t>modelo+año+km</t>
        </is>
      </c>
      <c r="AZ49" s="2" t="inlineStr">
        <is>
          <t>wallapop:1314880814 (https://es.wallapop.com/item/renault-clio-1-6-16v-exception2-auto-82-kw-110-cv-1314880814)</t>
        </is>
      </c>
      <c r="BA49" s="2" t="inlineStr">
        <is>
          <t>vendedor profesional: sin ITP (operación con IVA/REBU, confirmar en factura); gastos de gestión del vendedor no indicados: se suma la tasa DGT; preguntar el precio final; revisar: no menciona la ITV</t>
        </is>
      </c>
      <c r="BB49" s="2" t="inlineStr">
        <is>
          <t>Ref.199411564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Ayuda aparcamiento, Control de velocidad, Limitador de velocidad, Aire Acondicionado (Climatizador), Arranque por botón,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49" s="2" t="inlineStr">
        <is>
          <t>https://es.wallapop.com/item/renault-clio-1-6-16v-exception2-auto-82-kw-110-cv-1314881088 (__NEXT_DATA__ item) /home/user/Alopecia/buscador-coches/raw/wallapop/1112c3ecfdaf507a.json</t>
        </is>
      </c>
      <c r="BD49" s="3">
        <f>MAX(ANIO_ACTUAL-M49,0)</f>
        <v/>
      </c>
      <c r="BE49" s="4">
        <f>N49/MAX(BD49,0.5)</f>
        <v/>
      </c>
      <c r="BF49" s="4">
        <f>F49</f>
        <v/>
      </c>
      <c r="BG49" s="3">
        <f>BF49&amp;"|"&amp;INT(M49/SEG_ANIO)*SEG_ANIO</f>
        <v/>
      </c>
      <c r="BH49" s="3">
        <f>BG49&amp;"|"&amp;INT(N49/SEG_KM)*SEG_KM</f>
        <v/>
      </c>
      <c r="BI49" s="4">
        <f>COUNTIF($BF$2:$BF$101,BF49)</f>
        <v/>
      </c>
      <c r="BJ49" s="4">
        <f>COUNTIF($BG$2:$BG$101,BG49)</f>
        <v/>
      </c>
      <c r="BK49" s="4">
        <f>COUNTIF($BH$2:$BH$101,BH49)</f>
        <v/>
      </c>
      <c r="BL49" s="3">
        <f t="array" ref="BL49">IF(N(AX49)&gt;=MIN_N,AW49,IF(BK49&gt;=MIN_N,MEDIAN(IF($BH$2:$BH$101=BH49,$O$2:$O$101)),IF(BJ49&gt;=MIN_N,MEDIAN(IF($BG$2:$BG$101=BG49,$O$2:$O$101)),MEDIAN(IF($BF$2:$BF$101=BF49,$O$2:$O$101)))))</f>
        <v/>
      </c>
      <c r="BM49" s="3">
        <f>IF(N(AX49)&gt;=MIN_N,"mercado "&amp;AY49,IF(BK49&gt;=MIN_N,"modelo+año+km",IF(BJ49&gt;=MIN_N,"modelo+año","modelo")))</f>
        <v/>
      </c>
      <c r="BN49" s="4">
        <f>(BL49-O49)/BL49</f>
        <v/>
      </c>
      <c r="BO49" s="3">
        <f>IF(COUNTIFS(FR_FUEL,K49,FR_YEAR,AP49)&gt;0,1,0)</f>
        <v/>
      </c>
      <c r="BP49" s="3">
        <f>IF(COUNTIFS(FR_FUEL,K49,FR_YEAR,AP49-1)&gt;0,1,0)</f>
        <v/>
      </c>
      <c r="BQ49" s="4">
        <f>IF(N(AQ49)&gt;0,AP49*100+AQ49,IF(AND(BO49=1,BP49=1),(AP49-1)*100+1,AP49*100+1))</f>
        <v/>
      </c>
      <c r="BR49" s="3">
        <f>IF(OR(K49="hibrido",K49="glp",K49="gnc",K49="phev"),"ECO",IF(K49="electrico","CERO",IF(K49="gasolina",IF(BQ49&gt;=GAS_C_YM,"C",IF(BQ49&gt;=GAS_B_YM,"B","A")),IF(K49="diesel",IF(BQ49&gt;=DIE_C_YM,"C",IF(BQ49&gt;=DIE_B_YM,"B","A")),""))))</f>
        <v/>
      </c>
      <c r="BS49" s="2" t="inlineStr">
        <is>
          <t>B</t>
        </is>
      </c>
      <c r="BT49" s="4">
        <f>IF(AU49="sí","sí",IF(AS49="regla",IF(AND(N(AQ49)=0,BO49=1),"sí","no"),"no"))</f>
        <v/>
      </c>
      <c r="BU49" s="3">
        <f>IFERROR(VLOOKUP(F49,MOD_TBL,16,0),IFERROR(VLOOKUP(E49,OCU_TBL,2,0),NEUTRO))</f>
        <v/>
      </c>
      <c r="BV49" s="3">
        <f>SUMIFS(MOT_AJUSTE,MOT_MOTOR,G49,MOT_MARCA,E49,MOT_DESDE,"&lt;="&amp;M49,MOT_HASTA,"&gt;="&amp;M49)+SUMIFS(MOT_AJUSTE,MOT_MOTOR,G49,MOT_MARCA,"(todas)",MOT_DESDE,"&lt;="&amp;M49,MOT_HASTA,"&gt;="&amp;M49)+SUMIFS(MOT_AJUSTE,MOT_MOTOR,"(cualquiera)",MOT_MARCA,E49,MOT_DESDE,"&lt;="&amp;M49,MOT_HASTA,"&gt;="&amp;M49)</f>
        <v/>
      </c>
      <c r="BW49" s="3">
        <f>SUMIFS(COMB_AJUSTE,COMB_COMB,K49)</f>
        <v/>
      </c>
      <c r="BX49" s="3">
        <f>COUNTIFS(MOT_MOTOR,G49,MOT_MARCA,E49,MOT_DESDE,"&lt;="&amp;M49,MOT_HASTA,"&gt;="&amp;M49)+COUNTIFS(MOT_MOTOR,G49,MOT_MARCA,"(todas)",MOT_DESDE,"&lt;="&amp;M49,MOT_HASTA,"&gt;="&amp;M49)+COUNTIFS(MOT_MOTOR,"(cualquiera)",MOT_MARCA,E49,MOT_DESDE,"&lt;="&amp;M49,MOT_HASTA,"&gt;="&amp;M49)</f>
        <v/>
      </c>
      <c r="BY49" s="3">
        <f>IF(AND(K49="diesel",BX49=0),MIN(BU49,NEUTRO),BU49)</f>
        <v/>
      </c>
      <c r="BZ49" s="3">
        <f>MAX(0,MIN(100,BY49+BV49+BW49-IF(AV49="sí",ROB_PEN,0)))</f>
        <v/>
      </c>
      <c r="CA49" s="3">
        <f>100-MAX(0,N49-KM_TOPE_DESDE)/1000*KM_TOPE_PTS</f>
        <v/>
      </c>
      <c r="CB49" s="3">
        <f>MAX(0,MIN(100,50+BN49*PRECIO_PEND,CA49))</f>
        <v/>
      </c>
      <c r="CC49" s="3">
        <f>MAX(0,100*(1-N49/KM_MAX))</f>
        <v/>
      </c>
      <c r="CD49" s="3">
        <f>IF(BE49&lt;KMA_SOSP,IF(AA49="sí",100,KMA_PEN),IF(BE49&lt;=KMA_IDEAL_MAX,100,MAX(0,100*(KMA_CERO-BE49)/(KMA_CERO-KMA_IDEAL_MAX))))</f>
        <v/>
      </c>
      <c r="CE49" s="3">
        <f>MAX(0,MIN(100,100*(M49-ANIO_MIN)/(ANIO_ACTUAL-ANIO_MIN)))</f>
        <v/>
      </c>
      <c r="CF49" s="3">
        <f>W_KMT*CC49+W_KMA*CD49+W_EDAD*CE49</f>
        <v/>
      </c>
      <c r="CG49" s="3">
        <f>P_ITV*(V49="sí")+P_LIBRO*(W49="sí")+P_CORREA*(X49="sí")+P_PROP*(Y49=1)+P_GAR*(Z49="sí")+P_FOTOS*MIN(1,N(U49)/FOTOS_OBJ)</f>
        <v/>
      </c>
      <c r="CH49" s="3">
        <f>MAX(0,MIN(100,IFERROR(VLOOKUP(BS49,ETQ_TBL,2,0),0)-IF(BT49="sí",ETQ_PEN_DUD,IF(AS49="regla",ETQ_PEN_REGLA,0))))</f>
        <v/>
      </c>
      <c r="CI49" s="3">
        <f>NEUTRO</f>
        <v/>
      </c>
      <c r="CJ49" s="3">
        <f>IFERROR(VLOOKUP(L49,SEGURO_TBL,3,0),"")</f>
        <v/>
      </c>
      <c r="CK49" s="3">
        <f>IF(CJ49="",NEUTRO,MAX(0,MIN(100,100*(SEG_REF_MAX-CJ49)/(SEG_REF_MAX-SEG_REF_MIN))))</f>
        <v/>
      </c>
      <c r="CL49" s="3">
        <f>W_CONS*CI49+W_SEG*CK49</f>
        <v/>
      </c>
      <c r="CM49" s="3">
        <f>IF(N(AB49)&gt;0,AB49,IF(AND(R49="profesional",SG_LEGAL_ON=1),GAR_LEGAL,0))</f>
        <v/>
      </c>
      <c r="CN49" s="3">
        <f>SG_GAR*MIN(1,CM49/SG_GAR_FULL)+SG_AMPL*(AC49="sí")+SG_KMC*(AF49="sí")+SG_REV*(N(AE49)&gt;0)+SG_DEV*MIN(1,N(AG49)/SG_DEV_FULL)+SG_HIST*(W49="sí")</f>
        <v/>
      </c>
      <c r="CO49" s="3">
        <f>IFERROR(VLOOKUP(L49,CARR_PEN_TBL,2,0),0)</f>
        <v/>
      </c>
      <c r="CP49" s="3">
        <f>W_FIAB*BZ49+W_PRECIO*CB49+W_KMEDAD*CF49+W_ANUNCIO*CG49+W_USO*CL49+W_SEGURIDAD*CN49+W_ETIQUETA*CH49-CO49</f>
        <v/>
      </c>
      <c r="CQ49" s="4">
        <f>IF(N(I49)&gt;0,I49,IFERROR(ROUND(_xlfn.NUMBERVALUE(LEFT(G49,FIND(" ",G49&amp;" ")-1),".")*1000,0),99999))</f>
        <v/>
      </c>
      <c r="CR49" s="3">
        <f>IF(R49="profesional",0,IF(O49&lt;CUOTA_VALOR_MAX,IF(BD49&gt;ITP_TRAMO_ALTO,SUMIFS(CF_CUOTA,CF_MAS,ITP_TRAMO_ALTO,CF_CCMIN,"&lt;="&amp;CQ49,CF_CCMAX,"&gt;="&amp;CQ49),IF(BD49&gt;ITP_TRAMO_BAJO,SUMIFS(CF_CUOTA,CF_MAS,ITP_TRAMO_BAJO,CF_CCMIN,"&lt;="&amp;CQ49,CF_CCMAX,"&gt;="&amp;CQ49),O49*ITP_TIPO)),O49*ITP_TIPO))</f>
        <v/>
      </c>
      <c r="CS49" s="4">
        <f>IF(R49="profesional",N(AK49),0)</f>
        <v/>
      </c>
      <c r="CT49" s="3">
        <f>IF(AND(R49="profesional",ISNUMBER(AK49),AL49="sí"),0,TASA_DGT)</f>
        <v/>
      </c>
      <c r="CU49" s="3">
        <f>INFORME_DGT</f>
        <v/>
      </c>
      <c r="CV49" s="4">
        <f>O49+CS49+CR49+CT49+CU49</f>
        <v/>
      </c>
      <c r="CW49" s="4">
        <f>CV49+N(CJ49)</f>
        <v/>
      </c>
      <c r="CX49" s="3">
        <f>IF(CV49&lt;=TOTAL_MAX,"sí",IF(CV49&lt;=TOTAL_MAX+MARGEN_NEG,"negociar","no"))</f>
        <v/>
      </c>
      <c r="CY49" s="4">
        <f>IF(CX49&lt;&gt;"no",COUNTIFS($CX$2:$CX$101,"&lt;&gt;no",$CP$2:$CP$101,"&gt;"&amp;CP49)+COUNTIFS($CX$2:CX49,"&lt;&gt;no",$CP$2:CP49,CP49),"")</f>
        <v/>
      </c>
    </row>
    <row r="50">
      <c r="A50" s="2" t="inlineStr">
        <is>
          <t>wallapop:1283471685</t>
        </is>
      </c>
      <c r="B50" s="2" t="inlineStr">
        <is>
          <t>wallapop</t>
        </is>
      </c>
      <c r="C50" s="2" t="inlineStr">
        <is>
          <t>https://es.wallapop.com/item/renault-megane-sport-tourer-dynamique-dci-81-kw-110-cv-1283471685</t>
        </is>
      </c>
      <c r="D50" s="2" t="inlineStr">
        <is>
          <t>Renault Megane Sport Tourer Dynamique dCi 81 kW (110 CV)</t>
        </is>
      </c>
      <c r="E50" s="2" t="inlineStr">
        <is>
          <t>Renault</t>
        </is>
      </c>
      <c r="F50" s="2" t="inlineStr">
        <is>
          <t>Renault Mégane</t>
        </is>
      </c>
      <c r="G50" s="2" t="inlineStr">
        <is>
          <t>? dCi</t>
        </is>
      </c>
      <c r="H50" s="2" t="inlineStr">
        <is>
          <t>Sport Tourer Dynamique dCi 81 kW (110 CV)</t>
        </is>
      </c>
      <c r="I50" s="2" t="n"/>
      <c r="J50" s="2" t="n">
        <v>110</v>
      </c>
      <c r="K50" s="2" t="inlineStr">
        <is>
          <t>diesel</t>
        </is>
      </c>
      <c r="L50" s="2" t="inlineStr">
        <is>
          <t>familiar</t>
        </is>
      </c>
      <c r="M50" s="2" t="n">
        <v>2011</v>
      </c>
      <c r="N50" s="2" t="n">
        <v>116570</v>
      </c>
      <c r="O50" s="2" t="n">
        <v>4600</v>
      </c>
      <c r="P50" s="2" t="inlineStr">
        <is>
          <t>manual</t>
        </is>
      </c>
      <c r="Q50" s="2" t="inlineStr">
        <is>
          <t>no</t>
        </is>
      </c>
      <c r="R50" s="2" t="inlineStr">
        <is>
          <t>profesional</t>
        </is>
      </c>
      <c r="S50" s="2" t="inlineStr">
        <is>
          <t>Paterna (46980)</t>
        </is>
      </c>
      <c r="T50" s="2" t="inlineStr">
        <is>
          <t>2026-10-31T09:13:38</t>
        </is>
      </c>
      <c r="U50" s="2" t="n">
        <v>11</v>
      </c>
      <c r="V50" s="2" t="n"/>
      <c r="W50" s="2" t="n"/>
      <c r="X50" s="2" t="n"/>
      <c r="Y50" s="2" t="n"/>
      <c r="Z50" s="2" t="inlineStr">
        <is>
          <t>sí</t>
        </is>
      </c>
      <c r="AA50" s="2" t="n"/>
      <c r="AB50" s="2" t="n"/>
      <c r="AC50" s="2" t="n"/>
      <c r="AD50" s="2" t="n"/>
      <c r="AE50" s="2" t="n"/>
      <c r="AF50" s="2" t="inlineStr">
        <is>
          <t>sí</t>
        </is>
      </c>
      <c r="AG50" s="2" t="n"/>
      <c r="AH50" s="2" t="n"/>
      <c r="AI50" s="2" t="n"/>
      <c r="AJ50" s="2" t="n"/>
      <c r="AK50" s="2" t="n"/>
      <c r="AL50" s="2" t="n"/>
      <c r="AM50" s="2" t="n">
        <v>6.4</v>
      </c>
      <c r="AN50" s="2" t="inlineStr">
        <is>
          <t>1000KMS</t>
        </is>
      </c>
      <c r="AO50" s="2" t="inlineStr">
        <is>
          <t>2011</t>
        </is>
      </c>
      <c r="AP50" s="2" t="n">
        <v>2011</v>
      </c>
      <c r="AQ50" s="2" t="n"/>
      <c r="AR50" s="2" t="inlineStr">
        <is>
          <t>B</t>
        </is>
      </c>
      <c r="AS50" s="2" t="inlineStr">
        <is>
          <t>DGT</t>
        </is>
      </c>
      <c r="AT50" s="2" t="n"/>
      <c r="AU50" s="2" t="inlineStr">
        <is>
          <t>no</t>
        </is>
      </c>
      <c r="AV50" s="2" t="inlineStr">
        <is>
          <t>no</t>
        </is>
      </c>
      <c r="AW50" s="2" t="n">
        <v>5900</v>
      </c>
      <c r="AX50" s="2" t="n">
        <v>5</v>
      </c>
      <c r="AY50" s="2" t="inlineStr">
        <is>
          <t>modelo+año+km</t>
        </is>
      </c>
      <c r="AZ50" s="2" t="n"/>
      <c r="BA50"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 revisar: no menciona la ITV</t>
        </is>
      </c>
      <c r="BB50" s="2" t="inlineStr">
        <is>
          <t>Ref.85015406
¡VILLA TAMBIÉN FICHA POR OCASIONPLUS!
VEN A GANAR. ¡VEN A OCASIONPLUS!
OCASIONPLUS - 20.000 COCHES  - 120 CENTROS
OCASIONPLUS Nº1 CALIDAD - PRECIO
Elige el coche que te guste y te lo llevamos a tu ciudad sólo con reservarlo
15 DÍAS / 1000 KMS DE PRUEBA
Hasta 3300€ de descuento en este coche
ADEMÁS, HACEMOS LAS MEJORES FINANCIACIONES DEL MERCADO, PREGÚNTANOS!!
            Equipamiento destacado: Sensor de lluvia, Control de velocidad, Limitador de velocidad, Volante multifunción, Aire Acondicionado (Climatizador), Bluetooth,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50" s="2" t="inlineStr">
        <is>
          <t>https://es.wallapop.com/item/renault-megane-sport-tourer-dynamique-dci-81-kw-110-cv-1283471685 (__NEXT_DATA__ item) /home/user/Alopecia/buscador-coches/raw/wallapop/e533e34ac38d4fc7.json</t>
        </is>
      </c>
      <c r="BD50" s="3">
        <f>MAX(ANIO_ACTUAL-M50,0)</f>
        <v/>
      </c>
      <c r="BE50" s="4">
        <f>N50/MAX(BD50,0.5)</f>
        <v/>
      </c>
      <c r="BF50" s="4">
        <f>F50</f>
        <v/>
      </c>
      <c r="BG50" s="3">
        <f>BF50&amp;"|"&amp;INT(M50/SEG_ANIO)*SEG_ANIO</f>
        <v/>
      </c>
      <c r="BH50" s="3">
        <f>BG50&amp;"|"&amp;INT(N50/SEG_KM)*SEG_KM</f>
        <v/>
      </c>
      <c r="BI50" s="4">
        <f>COUNTIF($BF$2:$BF$101,BF50)</f>
        <v/>
      </c>
      <c r="BJ50" s="4">
        <f>COUNTIF($BG$2:$BG$101,BG50)</f>
        <v/>
      </c>
      <c r="BK50" s="4">
        <f>COUNTIF($BH$2:$BH$101,BH50)</f>
        <v/>
      </c>
      <c r="BL50" s="3">
        <f t="array" ref="BL50">IF(N(AX50)&gt;=MIN_N,AW50,IF(BK50&gt;=MIN_N,MEDIAN(IF($BH$2:$BH$101=BH50,$O$2:$O$101)),IF(BJ50&gt;=MIN_N,MEDIAN(IF($BG$2:$BG$101=BG50,$O$2:$O$101)),MEDIAN(IF($BF$2:$BF$101=BF50,$O$2:$O$101)))))</f>
        <v/>
      </c>
      <c r="BM50" s="3">
        <f>IF(N(AX50)&gt;=MIN_N,"mercado "&amp;AY50,IF(BK50&gt;=MIN_N,"modelo+año+km",IF(BJ50&gt;=MIN_N,"modelo+año","modelo")))</f>
        <v/>
      </c>
      <c r="BN50" s="4">
        <f>(BL50-O50)/BL50</f>
        <v/>
      </c>
      <c r="BO50" s="3">
        <f>IF(COUNTIFS(FR_FUEL,K50,FR_YEAR,AP50)&gt;0,1,0)</f>
        <v/>
      </c>
      <c r="BP50" s="3">
        <f>IF(COUNTIFS(FR_FUEL,K50,FR_YEAR,AP50-1)&gt;0,1,0)</f>
        <v/>
      </c>
      <c r="BQ50" s="4">
        <f>IF(N(AQ50)&gt;0,AP50*100+AQ50,IF(AND(BO50=1,BP50=1),(AP50-1)*100+1,AP50*100+1))</f>
        <v/>
      </c>
      <c r="BR50" s="3">
        <f>IF(OR(K50="hibrido",K50="glp",K50="gnc",K50="phev"),"ECO",IF(K50="electrico","CERO",IF(K50="gasolina",IF(BQ50&gt;=GAS_C_YM,"C",IF(BQ50&gt;=GAS_B_YM,"B","A")),IF(K50="diesel",IF(BQ50&gt;=DIE_C_YM,"C",IF(BQ50&gt;=DIE_B_YM,"B","A")),""))))</f>
        <v/>
      </c>
      <c r="BS50" s="2" t="inlineStr">
        <is>
          <t>B</t>
        </is>
      </c>
      <c r="BT50" s="4">
        <f>IF(AU50="sí","sí",IF(AS50="regla",IF(AND(N(AQ50)=0,BO50=1),"sí","no"),"no"))</f>
        <v/>
      </c>
      <c r="BU50" s="3">
        <f>IFERROR(VLOOKUP(F50,MOD_TBL,16,0),IFERROR(VLOOKUP(E50,OCU_TBL,2,0),NEUTRO))</f>
        <v/>
      </c>
      <c r="BV50" s="3">
        <f>SUMIFS(MOT_AJUSTE,MOT_MOTOR,G50,MOT_MARCA,E50,MOT_DESDE,"&lt;="&amp;M50,MOT_HASTA,"&gt;="&amp;M50)+SUMIFS(MOT_AJUSTE,MOT_MOTOR,G50,MOT_MARCA,"(todas)",MOT_DESDE,"&lt;="&amp;M50,MOT_HASTA,"&gt;="&amp;M50)+SUMIFS(MOT_AJUSTE,MOT_MOTOR,"(cualquiera)",MOT_MARCA,E50,MOT_DESDE,"&lt;="&amp;M50,MOT_HASTA,"&gt;="&amp;M50)</f>
        <v/>
      </c>
      <c r="BW50" s="3">
        <f>SUMIFS(COMB_AJUSTE,COMB_COMB,K50)</f>
        <v/>
      </c>
      <c r="BX50" s="3">
        <f>COUNTIFS(MOT_MOTOR,G50,MOT_MARCA,E50,MOT_DESDE,"&lt;="&amp;M50,MOT_HASTA,"&gt;="&amp;M50)+COUNTIFS(MOT_MOTOR,G50,MOT_MARCA,"(todas)",MOT_DESDE,"&lt;="&amp;M50,MOT_HASTA,"&gt;="&amp;M50)+COUNTIFS(MOT_MOTOR,"(cualquiera)",MOT_MARCA,E50,MOT_DESDE,"&lt;="&amp;M50,MOT_HASTA,"&gt;="&amp;M50)</f>
        <v/>
      </c>
      <c r="BY50" s="3">
        <f>IF(AND(K50="diesel",BX50=0),MIN(BU50,NEUTRO),BU50)</f>
        <v/>
      </c>
      <c r="BZ50" s="3">
        <f>MAX(0,MIN(100,BY50+BV50+BW50-IF(AV50="sí",ROB_PEN,0)))</f>
        <v/>
      </c>
      <c r="CA50" s="3">
        <f>100-MAX(0,N50-KM_TOPE_DESDE)/1000*KM_TOPE_PTS</f>
        <v/>
      </c>
      <c r="CB50" s="3">
        <f>MAX(0,MIN(100,50+BN50*PRECIO_PEND,CA50))</f>
        <v/>
      </c>
      <c r="CC50" s="3">
        <f>MAX(0,100*(1-N50/KM_MAX))</f>
        <v/>
      </c>
      <c r="CD50" s="3">
        <f>IF(BE50&lt;KMA_SOSP,IF(AA50="sí",100,KMA_PEN),IF(BE50&lt;=KMA_IDEAL_MAX,100,MAX(0,100*(KMA_CERO-BE50)/(KMA_CERO-KMA_IDEAL_MAX))))</f>
        <v/>
      </c>
      <c r="CE50" s="3">
        <f>MAX(0,MIN(100,100*(M50-ANIO_MIN)/(ANIO_ACTUAL-ANIO_MIN)))</f>
        <v/>
      </c>
      <c r="CF50" s="3">
        <f>W_KMT*CC50+W_KMA*CD50+W_EDAD*CE50</f>
        <v/>
      </c>
      <c r="CG50" s="3">
        <f>P_ITV*(V50="sí")+P_LIBRO*(W50="sí")+P_CORREA*(X50="sí")+P_PROP*(Y50=1)+P_GAR*(Z50="sí")+P_FOTOS*MIN(1,N(U50)/FOTOS_OBJ)</f>
        <v/>
      </c>
      <c r="CH50" s="3">
        <f>MAX(0,MIN(100,IFERROR(VLOOKUP(BS50,ETQ_TBL,2,0),0)-IF(BT50="sí",ETQ_PEN_DUD,IF(AS50="regla",ETQ_PEN_REGLA,0))))</f>
        <v/>
      </c>
      <c r="CI50" s="3">
        <f>NEUTRO</f>
        <v/>
      </c>
      <c r="CJ50" s="3">
        <f>IFERROR(VLOOKUP(L50,SEGURO_TBL,3,0),"")</f>
        <v/>
      </c>
      <c r="CK50" s="3">
        <f>IF(CJ50="",NEUTRO,MAX(0,MIN(100,100*(SEG_REF_MAX-CJ50)/(SEG_REF_MAX-SEG_REF_MIN))))</f>
        <v/>
      </c>
      <c r="CL50" s="3">
        <f>W_CONS*CI50+W_SEG*CK50</f>
        <v/>
      </c>
      <c r="CM50" s="3">
        <f>IF(N(AB50)&gt;0,AB50,IF(AND(R50="profesional",SG_LEGAL_ON=1),GAR_LEGAL,0))</f>
        <v/>
      </c>
      <c r="CN50" s="3">
        <f>SG_GAR*MIN(1,CM50/SG_GAR_FULL)+SG_AMPL*(AC50="sí")+SG_KMC*(AF50="sí")+SG_REV*(N(AE50)&gt;0)+SG_DEV*MIN(1,N(AG50)/SG_DEV_FULL)+SG_HIST*(W50="sí")</f>
        <v/>
      </c>
      <c r="CO50" s="3">
        <f>IFERROR(VLOOKUP(L50,CARR_PEN_TBL,2,0),0)</f>
        <v/>
      </c>
      <c r="CP50" s="3">
        <f>W_FIAB*BZ50+W_PRECIO*CB50+W_KMEDAD*CF50+W_ANUNCIO*CG50+W_USO*CL50+W_SEGURIDAD*CN50+W_ETIQUETA*CH50-CO50</f>
        <v/>
      </c>
      <c r="CQ50" s="4">
        <f>IF(N(I50)&gt;0,I50,IFERROR(ROUND(_xlfn.NUMBERVALUE(LEFT(G50,FIND(" ",G50&amp;" ")-1),".")*1000,0),99999))</f>
        <v/>
      </c>
      <c r="CR50" s="3">
        <f>IF(R50="profesional",0,IF(O50&lt;CUOTA_VALOR_MAX,IF(BD50&gt;ITP_TRAMO_ALTO,SUMIFS(CF_CUOTA,CF_MAS,ITP_TRAMO_ALTO,CF_CCMIN,"&lt;="&amp;CQ50,CF_CCMAX,"&gt;="&amp;CQ50),IF(BD50&gt;ITP_TRAMO_BAJO,SUMIFS(CF_CUOTA,CF_MAS,ITP_TRAMO_BAJO,CF_CCMIN,"&lt;="&amp;CQ50,CF_CCMAX,"&gt;="&amp;CQ50),O50*ITP_TIPO)),O50*ITP_TIPO))</f>
        <v/>
      </c>
      <c r="CS50" s="4">
        <f>IF(R50="profesional",N(AK50),0)</f>
        <v/>
      </c>
      <c r="CT50" s="3">
        <f>IF(AND(R50="profesional",ISNUMBER(AK50),AL50="sí"),0,TASA_DGT)</f>
        <v/>
      </c>
      <c r="CU50" s="3">
        <f>INFORME_DGT</f>
        <v/>
      </c>
      <c r="CV50" s="4">
        <f>O50+CS50+CR50+CT50+CU50</f>
        <v/>
      </c>
      <c r="CW50" s="4">
        <f>CV50+N(CJ50)</f>
        <v/>
      </c>
      <c r="CX50" s="3">
        <f>IF(CV50&lt;=TOTAL_MAX,"sí",IF(CV50&lt;=TOTAL_MAX+MARGEN_NEG,"negociar","no"))</f>
        <v/>
      </c>
      <c r="CY50" s="4">
        <f>IF(CX50&lt;&gt;"no",COUNTIFS($CX$2:$CX$101,"&lt;&gt;no",$CP$2:$CP$101,"&gt;"&amp;CP50)+COUNTIFS($CX$2:CX50,"&lt;&gt;no",$CP$2:CP50,CP50),"")</f>
        <v/>
      </c>
    </row>
    <row r="51">
      <c r="A51" s="2" t="inlineStr">
        <is>
          <t>wallapop:1305071192</t>
        </is>
      </c>
      <c r="B51" s="2" t="inlineStr">
        <is>
          <t>wallapop</t>
        </is>
      </c>
      <c r="C51" s="2" t="inlineStr">
        <is>
          <t>https://es.wallapop.com/item/fiat-punto-1-4-t-jet-sport-88-kw-120-cv-1305071192</t>
        </is>
      </c>
      <c r="D51" s="2" t="inlineStr">
        <is>
          <t>Fiat Punto 1.4 T-Jet Sport 88 kW (120 CV)</t>
        </is>
      </c>
      <c r="E51" s="2" t="inlineStr">
        <is>
          <t>Fiat</t>
        </is>
      </c>
      <c r="F51" s="2" t="inlineStr">
        <is>
          <t>Fiat Punto</t>
        </is>
      </c>
      <c r="G51" s="2" t="inlineStr">
        <is>
          <t>1.4 T-Jet</t>
        </is>
      </c>
      <c r="H51" s="2" t="inlineStr">
        <is>
          <t>1.4 T-Jet Sport 88 kW (120 CV)</t>
        </is>
      </c>
      <c r="I51" s="2" t="n"/>
      <c r="J51" s="2" t="n">
        <v>120</v>
      </c>
      <c r="K51" s="2" t="inlineStr">
        <is>
          <t>gasolina</t>
        </is>
      </c>
      <c r="L51" s="2" t="inlineStr">
        <is>
          <t>utilitario</t>
        </is>
      </c>
      <c r="M51" s="2" t="n">
        <v>2010</v>
      </c>
      <c r="N51" s="2" t="n">
        <v>135827</v>
      </c>
      <c r="O51" s="2" t="n">
        <v>4990</v>
      </c>
      <c r="P51" s="2" t="inlineStr">
        <is>
          <t>manual</t>
        </is>
      </c>
      <c r="Q51" s="2" t="inlineStr">
        <is>
          <t>no</t>
        </is>
      </c>
      <c r="R51" s="2" t="inlineStr">
        <is>
          <t>profesional</t>
        </is>
      </c>
      <c r="S51" s="2" t="inlineStr">
        <is>
          <t>Paterna (46980)</t>
        </is>
      </c>
      <c r="T51" s="2" t="inlineStr">
        <is>
          <t>2026-10-26T14:33:00</t>
        </is>
      </c>
      <c r="U51" s="2" t="n">
        <v>11</v>
      </c>
      <c r="V51" s="2" t="n"/>
      <c r="W51" s="2" t="inlineStr">
        <is>
          <t>sí</t>
        </is>
      </c>
      <c r="X51" s="2" t="n"/>
      <c r="Y51" s="2" t="n"/>
      <c r="Z51" s="2" t="inlineStr">
        <is>
          <t>sí</t>
        </is>
      </c>
      <c r="AA51" s="2" t="n"/>
      <c r="AB51" s="2" t="n"/>
      <c r="AC51" s="2" t="n"/>
      <c r="AD51" s="2" t="n"/>
      <c r="AE51" s="2" t="n"/>
      <c r="AF51" s="2" t="inlineStr">
        <is>
          <t>sí</t>
        </is>
      </c>
      <c r="AG51" s="2" t="n"/>
      <c r="AH51" s="2" t="n"/>
      <c r="AI51" s="2" t="n"/>
      <c r="AJ51" s="2" t="n"/>
      <c r="AK51" s="2" t="n"/>
      <c r="AL51" s="2" t="n"/>
      <c r="AM51" s="2" t="n">
        <v>6.4</v>
      </c>
      <c r="AN51" s="2" t="inlineStr">
        <is>
          <t>1000KMS</t>
        </is>
      </c>
      <c r="AO51" s="2" t="inlineStr">
        <is>
          <t>2010</t>
        </is>
      </c>
      <c r="AP51" s="2" t="n">
        <v>2010</v>
      </c>
      <c r="AQ51" s="2" t="n"/>
      <c r="AR51" s="2" t="inlineStr">
        <is>
          <t>B</t>
        </is>
      </c>
      <c r="AS51" s="2" t="inlineStr">
        <is>
          <t>DGT</t>
        </is>
      </c>
      <c r="AT51" s="2" t="n"/>
      <c r="AU51" s="2" t="inlineStr">
        <is>
          <t>no</t>
        </is>
      </c>
      <c r="AV51" s="2" t="inlineStr">
        <is>
          <t>no</t>
        </is>
      </c>
      <c r="AW51" s="2" t="n">
        <v>4990</v>
      </c>
      <c r="AX51" s="2" t="n">
        <v>4</v>
      </c>
      <c r="AY51" s="2" t="inlineStr">
        <is>
          <t>modelo+año+km</t>
        </is>
      </c>
      <c r="AZ51" s="2" t="n"/>
      <c r="BA51"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B51"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C51" s="2" t="inlineStr">
        <is>
          <t>https://es.wallapop.com/item/fiat-punto-1-4-t-jet-sport-88-kw-120-cv-1305071192 (__NEXT_DATA__ item) /home/user/Alopecia/buscador-coches/raw/wallapop/dc1b925771b4a0c9.json</t>
        </is>
      </c>
      <c r="BD51" s="3">
        <f>MAX(ANIO_ACTUAL-M51,0)</f>
        <v/>
      </c>
      <c r="BE51" s="4">
        <f>N51/MAX(BD51,0.5)</f>
        <v/>
      </c>
      <c r="BF51" s="4">
        <f>F51</f>
        <v/>
      </c>
      <c r="BG51" s="3">
        <f>BF51&amp;"|"&amp;INT(M51/SEG_ANIO)*SEG_ANIO</f>
        <v/>
      </c>
      <c r="BH51" s="3">
        <f>BG51&amp;"|"&amp;INT(N51/SEG_KM)*SEG_KM</f>
        <v/>
      </c>
      <c r="BI51" s="4">
        <f>COUNTIF($BF$2:$BF$101,BF51)</f>
        <v/>
      </c>
      <c r="BJ51" s="4">
        <f>COUNTIF($BG$2:$BG$101,BG51)</f>
        <v/>
      </c>
      <c r="BK51" s="4">
        <f>COUNTIF($BH$2:$BH$101,BH51)</f>
        <v/>
      </c>
      <c r="BL51" s="3">
        <f t="array" ref="BL51">IF(N(AX51)&gt;=MIN_N,AW51,IF(BK51&gt;=MIN_N,MEDIAN(IF($BH$2:$BH$101=BH51,$O$2:$O$101)),IF(BJ51&gt;=MIN_N,MEDIAN(IF($BG$2:$BG$101=BG51,$O$2:$O$101)),MEDIAN(IF($BF$2:$BF$101=BF51,$O$2:$O$101)))))</f>
        <v/>
      </c>
      <c r="BM51" s="3">
        <f>IF(N(AX51)&gt;=MIN_N,"mercado "&amp;AY51,IF(BK51&gt;=MIN_N,"modelo+año+km",IF(BJ51&gt;=MIN_N,"modelo+año","modelo")))</f>
        <v/>
      </c>
      <c r="BN51" s="4">
        <f>(BL51-O51)/BL51</f>
        <v/>
      </c>
      <c r="BO51" s="3">
        <f>IF(COUNTIFS(FR_FUEL,K51,FR_YEAR,AP51)&gt;0,1,0)</f>
        <v/>
      </c>
      <c r="BP51" s="3">
        <f>IF(COUNTIFS(FR_FUEL,K51,FR_YEAR,AP51-1)&gt;0,1,0)</f>
        <v/>
      </c>
      <c r="BQ51" s="4">
        <f>IF(N(AQ51)&gt;0,AP51*100+AQ51,IF(AND(BO51=1,BP51=1),(AP51-1)*100+1,AP51*100+1))</f>
        <v/>
      </c>
      <c r="BR51" s="3">
        <f>IF(OR(K51="hibrido",K51="glp",K51="gnc",K51="phev"),"ECO",IF(K51="electrico","CERO",IF(K51="gasolina",IF(BQ51&gt;=GAS_C_YM,"C",IF(BQ51&gt;=GAS_B_YM,"B","A")),IF(K51="diesel",IF(BQ51&gt;=DIE_C_YM,"C",IF(BQ51&gt;=DIE_B_YM,"B","A")),""))))</f>
        <v/>
      </c>
      <c r="BS51" s="2" t="inlineStr">
        <is>
          <t>B</t>
        </is>
      </c>
      <c r="BT51" s="4">
        <f>IF(AU51="sí","sí",IF(AS51="regla",IF(AND(N(AQ51)=0,BO51=1),"sí","no"),"no"))</f>
        <v/>
      </c>
      <c r="BU51" s="3">
        <f>IFERROR(VLOOKUP(F51,MOD_TBL,16,0),IFERROR(VLOOKUP(E51,OCU_TBL,2,0),NEUTRO))</f>
        <v/>
      </c>
      <c r="BV51" s="3">
        <f>SUMIFS(MOT_AJUSTE,MOT_MOTOR,G51,MOT_MARCA,E51,MOT_DESDE,"&lt;="&amp;M51,MOT_HASTA,"&gt;="&amp;M51)+SUMIFS(MOT_AJUSTE,MOT_MOTOR,G51,MOT_MARCA,"(todas)",MOT_DESDE,"&lt;="&amp;M51,MOT_HASTA,"&gt;="&amp;M51)+SUMIFS(MOT_AJUSTE,MOT_MOTOR,"(cualquiera)",MOT_MARCA,E51,MOT_DESDE,"&lt;="&amp;M51,MOT_HASTA,"&gt;="&amp;M51)</f>
        <v/>
      </c>
      <c r="BW51" s="3">
        <f>SUMIFS(COMB_AJUSTE,COMB_COMB,K51)</f>
        <v/>
      </c>
      <c r="BX51" s="3">
        <f>COUNTIFS(MOT_MOTOR,G51,MOT_MARCA,E51,MOT_DESDE,"&lt;="&amp;M51,MOT_HASTA,"&gt;="&amp;M51)+COUNTIFS(MOT_MOTOR,G51,MOT_MARCA,"(todas)",MOT_DESDE,"&lt;="&amp;M51,MOT_HASTA,"&gt;="&amp;M51)+COUNTIFS(MOT_MOTOR,"(cualquiera)",MOT_MARCA,E51,MOT_DESDE,"&lt;="&amp;M51,MOT_HASTA,"&gt;="&amp;M51)</f>
        <v/>
      </c>
      <c r="BY51" s="3">
        <f>IF(AND(K51="diesel",BX51=0),MIN(BU51,NEUTRO),BU51)</f>
        <v/>
      </c>
      <c r="BZ51" s="3">
        <f>MAX(0,MIN(100,BY51+BV51+BW51-IF(AV51="sí",ROB_PEN,0)))</f>
        <v/>
      </c>
      <c r="CA51" s="3">
        <f>100-MAX(0,N51-KM_TOPE_DESDE)/1000*KM_TOPE_PTS</f>
        <v/>
      </c>
      <c r="CB51" s="3">
        <f>MAX(0,MIN(100,50+BN51*PRECIO_PEND,CA51))</f>
        <v/>
      </c>
      <c r="CC51" s="3">
        <f>MAX(0,100*(1-N51/KM_MAX))</f>
        <v/>
      </c>
      <c r="CD51" s="3">
        <f>IF(BE51&lt;KMA_SOSP,IF(AA51="sí",100,KMA_PEN),IF(BE51&lt;=KMA_IDEAL_MAX,100,MAX(0,100*(KMA_CERO-BE51)/(KMA_CERO-KMA_IDEAL_MAX))))</f>
        <v/>
      </c>
      <c r="CE51" s="3">
        <f>MAX(0,MIN(100,100*(M51-ANIO_MIN)/(ANIO_ACTUAL-ANIO_MIN)))</f>
        <v/>
      </c>
      <c r="CF51" s="3">
        <f>W_KMT*CC51+W_KMA*CD51+W_EDAD*CE51</f>
        <v/>
      </c>
      <c r="CG51" s="3">
        <f>P_ITV*(V51="sí")+P_LIBRO*(W51="sí")+P_CORREA*(X51="sí")+P_PROP*(Y51=1)+P_GAR*(Z51="sí")+P_FOTOS*MIN(1,N(U51)/FOTOS_OBJ)</f>
        <v/>
      </c>
      <c r="CH51" s="3">
        <f>MAX(0,MIN(100,IFERROR(VLOOKUP(BS51,ETQ_TBL,2,0),0)-IF(BT51="sí",ETQ_PEN_DUD,IF(AS51="regla",ETQ_PEN_REGLA,0))))</f>
        <v/>
      </c>
      <c r="CI51" s="3">
        <f>NEUTRO</f>
        <v/>
      </c>
      <c r="CJ51" s="3">
        <f>IFERROR(VLOOKUP(L51,SEGURO_TBL,3,0),"")</f>
        <v/>
      </c>
      <c r="CK51" s="3">
        <f>IF(CJ51="",NEUTRO,MAX(0,MIN(100,100*(SEG_REF_MAX-CJ51)/(SEG_REF_MAX-SEG_REF_MIN))))</f>
        <v/>
      </c>
      <c r="CL51" s="3">
        <f>W_CONS*CI51+W_SEG*CK51</f>
        <v/>
      </c>
      <c r="CM51" s="3">
        <f>IF(N(AB51)&gt;0,AB51,IF(AND(R51="profesional",SG_LEGAL_ON=1),GAR_LEGAL,0))</f>
        <v/>
      </c>
      <c r="CN51" s="3">
        <f>SG_GAR*MIN(1,CM51/SG_GAR_FULL)+SG_AMPL*(AC51="sí")+SG_KMC*(AF51="sí")+SG_REV*(N(AE51)&gt;0)+SG_DEV*MIN(1,N(AG51)/SG_DEV_FULL)+SG_HIST*(W51="sí")</f>
        <v/>
      </c>
      <c r="CO51" s="3">
        <f>IFERROR(VLOOKUP(L51,CARR_PEN_TBL,2,0),0)</f>
        <v/>
      </c>
      <c r="CP51" s="3">
        <f>W_FIAB*BZ51+W_PRECIO*CB51+W_KMEDAD*CF51+W_ANUNCIO*CG51+W_USO*CL51+W_SEGURIDAD*CN51+W_ETIQUETA*CH51-CO51</f>
        <v/>
      </c>
      <c r="CQ51" s="4">
        <f>IF(N(I51)&gt;0,I51,IFERROR(ROUND(_xlfn.NUMBERVALUE(LEFT(G51,FIND(" ",G51&amp;" ")-1),".")*1000,0),99999))</f>
        <v/>
      </c>
      <c r="CR51" s="3">
        <f>IF(R51="profesional",0,IF(O51&lt;CUOTA_VALOR_MAX,IF(BD51&gt;ITP_TRAMO_ALTO,SUMIFS(CF_CUOTA,CF_MAS,ITP_TRAMO_ALTO,CF_CCMIN,"&lt;="&amp;CQ51,CF_CCMAX,"&gt;="&amp;CQ51),IF(BD51&gt;ITP_TRAMO_BAJO,SUMIFS(CF_CUOTA,CF_MAS,ITP_TRAMO_BAJO,CF_CCMIN,"&lt;="&amp;CQ51,CF_CCMAX,"&gt;="&amp;CQ51),O51*ITP_TIPO)),O51*ITP_TIPO))</f>
        <v/>
      </c>
      <c r="CS51" s="4">
        <f>IF(R51="profesional",N(AK51),0)</f>
        <v/>
      </c>
      <c r="CT51" s="3">
        <f>IF(AND(R51="profesional",ISNUMBER(AK51),AL51="sí"),0,TASA_DGT)</f>
        <v/>
      </c>
      <c r="CU51" s="3">
        <f>INFORME_DGT</f>
        <v/>
      </c>
      <c r="CV51" s="4">
        <f>O51+CS51+CR51+CT51+CU51</f>
        <v/>
      </c>
      <c r="CW51" s="4">
        <f>CV51+N(CJ51)</f>
        <v/>
      </c>
      <c r="CX51" s="3">
        <f>IF(CV51&lt;=TOTAL_MAX,"sí",IF(CV51&lt;=TOTAL_MAX+MARGEN_NEG,"negociar","no"))</f>
        <v/>
      </c>
      <c r="CY51" s="4">
        <f>IF(CX51&lt;&gt;"no",COUNTIFS($CX$2:$CX$101,"&lt;&gt;no",$CP$2:$CP$101,"&gt;"&amp;CP51)+COUNTIFS($CX$2:CX51,"&lt;&gt;no",$CP$2:CP51,CP51),"")</f>
        <v/>
      </c>
    </row>
    <row r="52">
      <c r="A52" s="2" t="inlineStr">
        <is>
          <t>cochesnet:71799024</t>
        </is>
      </c>
      <c r="B52" s="2" t="inlineStr">
        <is>
          <t>cochesnet</t>
        </is>
      </c>
      <c r="C52" s="2" t="inlineStr">
        <is>
          <t>https://www.coches.net/opel-astra-13-cdti-111-years-gtc-3p-diesel-2011-en-valencia-71799024-covo.aspx</t>
        </is>
      </c>
      <c r="D52" s="2" t="inlineStr">
        <is>
          <t>OPEL Astra 1.3 CDTi 111 Years GTC</t>
        </is>
      </c>
      <c r="E52" s="2" t="inlineStr">
        <is>
          <t>Opel</t>
        </is>
      </c>
      <c r="F52" s="2" t="inlineStr">
        <is>
          <t>Opel Astra</t>
        </is>
      </c>
      <c r="G52" s="2" t="inlineStr">
        <is>
          <t>1.3 CDTi</t>
        </is>
      </c>
      <c r="H52" s="2" t="inlineStr">
        <is>
          <t>1.3 CDTi 111 Years GTC</t>
        </is>
      </c>
      <c r="I52" s="2" t="n"/>
      <c r="J52" s="2" t="n"/>
      <c r="K52" s="2" t="inlineStr">
        <is>
          <t>diesel</t>
        </is>
      </c>
      <c r="L52" s="2" t="inlineStr">
        <is>
          <t>compacto</t>
        </is>
      </c>
      <c r="M52" s="2" t="n">
        <v>2010</v>
      </c>
      <c r="N52" s="2" t="n">
        <v>114000</v>
      </c>
      <c r="O52" s="2" t="n">
        <v>4990</v>
      </c>
      <c r="P52" s="2" t="inlineStr">
        <is>
          <t>manual</t>
        </is>
      </c>
      <c r="Q52" s="2" t="inlineStr">
        <is>
          <t>no</t>
        </is>
      </c>
      <c r="R52" s="2" t="inlineStr">
        <is>
          <t>profesional</t>
        </is>
      </c>
      <c r="S52" s="2" t="inlineStr">
        <is>
          <t>JM Automóviles Alboraya</t>
        </is>
      </c>
      <c r="T52" s="2" t="inlineStr">
        <is>
          <t>2026-10-21T12:55:24Z</t>
        </is>
      </c>
      <c r="U52" s="2" t="n">
        <v>14</v>
      </c>
      <c r="V52" s="2" t="n"/>
      <c r="W52" s="2" t="n"/>
      <c r="X52" s="2" t="n"/>
      <c r="Y52" s="2" t="n"/>
      <c r="Z52" s="2" t="inlineStr">
        <is>
          <t>sí</t>
        </is>
      </c>
      <c r="AA52" s="2" t="n"/>
      <c r="AB52" s="2" t="n">
        <v>12</v>
      </c>
      <c r="AC52" s="2" t="n"/>
      <c r="AD52" s="2" t="n"/>
      <c r="AE52" s="2" t="n"/>
      <c r="AF52" s="2" t="n"/>
      <c r="AG52" s="2" t="n"/>
      <c r="AH52" s="2" t="n">
        <v>4990</v>
      </c>
      <c r="AI52" s="2" t="n">
        <v>4990</v>
      </c>
      <c r="AJ52" s="2" t="n"/>
      <c r="AK52" s="2" t="n"/>
      <c r="AL52" s="2" t="n"/>
      <c r="AM52" s="2" t="n">
        <v>4</v>
      </c>
      <c r="AN52" s="2" t="n"/>
      <c r="AO52" s="2" t="inlineStr">
        <is>
          <t>2010</t>
        </is>
      </c>
      <c r="AP52" s="2" t="n">
        <v>2010</v>
      </c>
      <c r="AQ52" s="2" t="n"/>
      <c r="AR52" s="2" t="inlineStr">
        <is>
          <t>B</t>
        </is>
      </c>
      <c r="AS52" s="2" t="inlineStr">
        <is>
          <t>anuncio</t>
        </is>
      </c>
      <c r="AT52" s="2" t="n">
        <v>2011</v>
      </c>
      <c r="AU52" s="2" t="inlineStr">
        <is>
          <t>no</t>
        </is>
      </c>
      <c r="AV52" s="2" t="inlineStr">
        <is>
          <t>no</t>
        </is>
      </c>
      <c r="AW52" s="2" t="n">
        <v>5695</v>
      </c>
      <c r="AX52" s="2" t="n">
        <v>8</v>
      </c>
      <c r="AY52" s="2" t="inlineStr">
        <is>
          <t>modelo+año+km</t>
        </is>
      </c>
      <c r="AZ52" s="2" t="n"/>
      <c r="BA52" s="2" t="inlineStr">
        <is>
          <t>año a confirmar: la URL/título dice 2011; 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52" s="2" t="inlineStr">
        <is>
          <t>OPEL ASTRA GTC 1.3 CDTI 90 CV ESSENTIA – 2010
Opel Astra GTC del año 2010, equipado con motor 1.3 CDTI diésel de 90 CV y acabado Essentia. Un compacto de diseño deportivo, práctico y económico, ideal para el día a día y los desplazamientos por carretera.
DATOS PRINCIPALES
Año: 2010
Motor: 1.3 CDTI diésel
Potencia: 90 CV
Cambio: Manual
Acabado: Essentia
Carrocería: GTC
EQUIPAMIENTO DESTACADO
Aire acondicionado
Radio/CD
Volante multifunción
Elevalunas eléctricos
Cierre centralizado
Luces antiniebla
ABS + ESP
Ordenador de a bordo
LO MEJOR
Motor 1.3 CDTI de 90 CV
Acabado Essentia
Diseño deportivo GTC
Motor diésel de consumo contenido
Compacto y práctico
Ideal para uso diario y carretera
Vehículo en buen estado, cuidado y preparado para su entrega.</t>
        </is>
      </c>
      <c r="BC52" s="2" t="inlineStr">
        <is>
          <t>https://www.coches.net/opel-astra-13-cdti-111-years-gtc-3p-diesel-2011-en-valencia-71799024-covo.aspx (window.__INITIAL_PROPS__.ad) /home/user/Alopecia/buscador-coches/raw/cochesnet/9933ecb8a0c80054.json</t>
        </is>
      </c>
      <c r="BD52" s="3">
        <f>MAX(ANIO_ACTUAL-M52,0)</f>
        <v/>
      </c>
      <c r="BE52" s="4">
        <f>N52/MAX(BD52,0.5)</f>
        <v/>
      </c>
      <c r="BF52" s="4">
        <f>F52</f>
        <v/>
      </c>
      <c r="BG52" s="3">
        <f>BF52&amp;"|"&amp;INT(M52/SEG_ANIO)*SEG_ANIO</f>
        <v/>
      </c>
      <c r="BH52" s="3">
        <f>BG52&amp;"|"&amp;INT(N52/SEG_KM)*SEG_KM</f>
        <v/>
      </c>
      <c r="BI52" s="4">
        <f>COUNTIF($BF$2:$BF$101,BF52)</f>
        <v/>
      </c>
      <c r="BJ52" s="4">
        <f>COUNTIF($BG$2:$BG$101,BG52)</f>
        <v/>
      </c>
      <c r="BK52" s="4">
        <f>COUNTIF($BH$2:$BH$101,BH52)</f>
        <v/>
      </c>
      <c r="BL52" s="3">
        <f t="array" ref="BL52">IF(N(AX52)&gt;=MIN_N,AW52,IF(BK52&gt;=MIN_N,MEDIAN(IF($BH$2:$BH$101=BH52,$O$2:$O$101)),IF(BJ52&gt;=MIN_N,MEDIAN(IF($BG$2:$BG$101=BG52,$O$2:$O$101)),MEDIAN(IF($BF$2:$BF$101=BF52,$O$2:$O$101)))))</f>
        <v/>
      </c>
      <c r="BM52" s="3">
        <f>IF(N(AX52)&gt;=MIN_N,"mercado "&amp;AY52,IF(BK52&gt;=MIN_N,"modelo+año+km",IF(BJ52&gt;=MIN_N,"modelo+año","modelo")))</f>
        <v/>
      </c>
      <c r="BN52" s="4">
        <f>(BL52-O52)/BL52</f>
        <v/>
      </c>
      <c r="BO52" s="3">
        <f>IF(COUNTIFS(FR_FUEL,K52,FR_YEAR,AP52)&gt;0,1,0)</f>
        <v/>
      </c>
      <c r="BP52" s="3">
        <f>IF(COUNTIFS(FR_FUEL,K52,FR_YEAR,AP52-1)&gt;0,1,0)</f>
        <v/>
      </c>
      <c r="BQ52" s="4">
        <f>IF(N(AQ52)&gt;0,AP52*100+AQ52,IF(AND(BO52=1,BP52=1),(AP52-1)*100+1,AP52*100+1))</f>
        <v/>
      </c>
      <c r="BR52" s="3">
        <f>IF(OR(K52="hibrido",K52="glp",K52="gnc",K52="phev"),"ECO",IF(K52="electrico","CERO",IF(K52="gasolina",IF(BQ52&gt;=GAS_C_YM,"C",IF(BQ52&gt;=GAS_B_YM,"B","A")),IF(K52="diesel",IF(BQ52&gt;=DIE_C_YM,"C",IF(BQ52&gt;=DIE_B_YM,"B","A")),""))))</f>
        <v/>
      </c>
      <c r="BS52" s="2" t="inlineStr">
        <is>
          <t>B</t>
        </is>
      </c>
      <c r="BT52" s="4">
        <f>IF(AU52="sí","sí",IF(AS52="regla",IF(AND(N(AQ52)=0,BO52=1),"sí","no"),"no"))</f>
        <v/>
      </c>
      <c r="BU52" s="3">
        <f>IFERROR(VLOOKUP(F52,MOD_TBL,16,0),IFERROR(VLOOKUP(E52,OCU_TBL,2,0),NEUTRO))</f>
        <v/>
      </c>
      <c r="BV52" s="3">
        <f>SUMIFS(MOT_AJUSTE,MOT_MOTOR,G52,MOT_MARCA,E52,MOT_DESDE,"&lt;="&amp;M52,MOT_HASTA,"&gt;="&amp;M52)+SUMIFS(MOT_AJUSTE,MOT_MOTOR,G52,MOT_MARCA,"(todas)",MOT_DESDE,"&lt;="&amp;M52,MOT_HASTA,"&gt;="&amp;M52)+SUMIFS(MOT_AJUSTE,MOT_MOTOR,"(cualquiera)",MOT_MARCA,E52,MOT_DESDE,"&lt;="&amp;M52,MOT_HASTA,"&gt;="&amp;M52)</f>
        <v/>
      </c>
      <c r="BW52" s="3">
        <f>SUMIFS(COMB_AJUSTE,COMB_COMB,K52)</f>
        <v/>
      </c>
      <c r="BX52" s="3">
        <f>COUNTIFS(MOT_MOTOR,G52,MOT_MARCA,E52,MOT_DESDE,"&lt;="&amp;M52,MOT_HASTA,"&gt;="&amp;M52)+COUNTIFS(MOT_MOTOR,G52,MOT_MARCA,"(todas)",MOT_DESDE,"&lt;="&amp;M52,MOT_HASTA,"&gt;="&amp;M52)+COUNTIFS(MOT_MOTOR,"(cualquiera)",MOT_MARCA,E52,MOT_DESDE,"&lt;="&amp;M52,MOT_HASTA,"&gt;="&amp;M52)</f>
        <v/>
      </c>
      <c r="BY52" s="3">
        <f>IF(AND(K52="diesel",BX52=0),MIN(BU52,NEUTRO),BU52)</f>
        <v/>
      </c>
      <c r="BZ52" s="3">
        <f>MAX(0,MIN(100,BY52+BV52+BW52-IF(AV52="sí",ROB_PEN,0)))</f>
        <v/>
      </c>
      <c r="CA52" s="3">
        <f>100-MAX(0,N52-KM_TOPE_DESDE)/1000*KM_TOPE_PTS</f>
        <v/>
      </c>
      <c r="CB52" s="3">
        <f>MAX(0,MIN(100,50+BN52*PRECIO_PEND,CA52))</f>
        <v/>
      </c>
      <c r="CC52" s="3">
        <f>MAX(0,100*(1-N52/KM_MAX))</f>
        <v/>
      </c>
      <c r="CD52" s="3">
        <f>IF(BE52&lt;KMA_SOSP,IF(AA52="sí",100,KMA_PEN),IF(BE52&lt;=KMA_IDEAL_MAX,100,MAX(0,100*(KMA_CERO-BE52)/(KMA_CERO-KMA_IDEAL_MAX))))</f>
        <v/>
      </c>
      <c r="CE52" s="3">
        <f>MAX(0,MIN(100,100*(M52-ANIO_MIN)/(ANIO_ACTUAL-ANIO_MIN)))</f>
        <v/>
      </c>
      <c r="CF52" s="3">
        <f>W_KMT*CC52+W_KMA*CD52+W_EDAD*CE52</f>
        <v/>
      </c>
      <c r="CG52" s="3">
        <f>P_ITV*(V52="sí")+P_LIBRO*(W52="sí")+P_CORREA*(X52="sí")+P_PROP*(Y52=1)+P_GAR*(Z52="sí")+P_FOTOS*MIN(1,N(U52)/FOTOS_OBJ)</f>
        <v/>
      </c>
      <c r="CH52" s="3">
        <f>MAX(0,MIN(100,IFERROR(VLOOKUP(BS52,ETQ_TBL,2,0),0)-IF(BT52="sí",ETQ_PEN_DUD,IF(AS52="regla",ETQ_PEN_REGLA,0))))</f>
        <v/>
      </c>
      <c r="CI52" s="3">
        <f>NEUTRO</f>
        <v/>
      </c>
      <c r="CJ52" s="3">
        <f>IFERROR(VLOOKUP(L52,SEGURO_TBL,3,0),"")</f>
        <v/>
      </c>
      <c r="CK52" s="3">
        <f>IF(CJ52="",NEUTRO,MAX(0,MIN(100,100*(SEG_REF_MAX-CJ52)/(SEG_REF_MAX-SEG_REF_MIN))))</f>
        <v/>
      </c>
      <c r="CL52" s="3">
        <f>W_CONS*CI52+W_SEG*CK52</f>
        <v/>
      </c>
      <c r="CM52" s="3">
        <f>IF(N(AB52)&gt;0,AB52,IF(AND(R52="profesional",SG_LEGAL_ON=1),GAR_LEGAL,0))</f>
        <v/>
      </c>
      <c r="CN52" s="3">
        <f>SG_GAR*MIN(1,CM52/SG_GAR_FULL)+SG_AMPL*(AC52="sí")+SG_KMC*(AF52="sí")+SG_REV*(N(AE52)&gt;0)+SG_DEV*MIN(1,N(AG52)/SG_DEV_FULL)+SG_HIST*(W52="sí")</f>
        <v/>
      </c>
      <c r="CO52" s="3">
        <f>IFERROR(VLOOKUP(L52,CARR_PEN_TBL,2,0),0)</f>
        <v/>
      </c>
      <c r="CP52" s="3">
        <f>W_FIAB*BZ52+W_PRECIO*CB52+W_KMEDAD*CF52+W_ANUNCIO*CG52+W_USO*CL52+W_SEGURIDAD*CN52+W_ETIQUETA*CH52-CO52</f>
        <v/>
      </c>
      <c r="CQ52" s="4">
        <f>IF(N(I52)&gt;0,I52,IFERROR(ROUND(_xlfn.NUMBERVALUE(LEFT(G52,FIND(" ",G52&amp;" ")-1),".")*1000,0),99999))</f>
        <v/>
      </c>
      <c r="CR52" s="3">
        <f>IF(R52="profesional",0,IF(O52&lt;CUOTA_VALOR_MAX,IF(BD52&gt;ITP_TRAMO_ALTO,SUMIFS(CF_CUOTA,CF_MAS,ITP_TRAMO_ALTO,CF_CCMIN,"&lt;="&amp;CQ52,CF_CCMAX,"&gt;="&amp;CQ52),IF(BD52&gt;ITP_TRAMO_BAJO,SUMIFS(CF_CUOTA,CF_MAS,ITP_TRAMO_BAJO,CF_CCMIN,"&lt;="&amp;CQ52,CF_CCMAX,"&gt;="&amp;CQ52),O52*ITP_TIPO)),O52*ITP_TIPO))</f>
        <v/>
      </c>
      <c r="CS52" s="4">
        <f>IF(R52="profesional",N(AK52),0)</f>
        <v/>
      </c>
      <c r="CT52" s="3">
        <f>IF(AND(R52="profesional",ISNUMBER(AK52),AL52="sí"),0,TASA_DGT)</f>
        <v/>
      </c>
      <c r="CU52" s="3">
        <f>INFORME_DGT</f>
        <v/>
      </c>
      <c r="CV52" s="4">
        <f>O52+CS52+CR52+CT52+CU52</f>
        <v/>
      </c>
      <c r="CW52" s="4">
        <f>CV52+N(CJ52)</f>
        <v/>
      </c>
      <c r="CX52" s="3">
        <f>IF(CV52&lt;=TOTAL_MAX,"sí",IF(CV52&lt;=TOTAL_MAX+MARGEN_NEG,"negociar","no"))</f>
        <v/>
      </c>
      <c r="CY52" s="4">
        <f>IF(CX52&lt;&gt;"no",COUNTIFS($CX$2:$CX$101,"&lt;&gt;no",$CP$2:$CP$101,"&gt;"&amp;CP52)+COUNTIFS($CX$2:CX52,"&lt;&gt;no",$CP$2:CP52,CP52),"")</f>
        <v/>
      </c>
    </row>
    <row r="53">
      <c r="A53" s="2" t="inlineStr">
        <is>
          <t>cochesnet:71599225</t>
        </is>
      </c>
      <c r="B53" s="2" t="inlineStr">
        <is>
          <t>cochesnet</t>
        </is>
      </c>
      <c r="C53" s="2" t="inlineStr">
        <is>
          <t>https://www.coches.net/opel-astra-19-cdti-enjoy-120-cv-5p-diesel-2007-en-valencia-71599225-covo.aspx</t>
        </is>
      </c>
      <c r="D53" s="2" t="inlineStr">
        <is>
          <t>OPEL Astra 1.9 CDTi Enjoy 120 CV</t>
        </is>
      </c>
      <c r="E53" s="2" t="inlineStr">
        <is>
          <t>Opel</t>
        </is>
      </c>
      <c r="F53" s="2" t="inlineStr">
        <is>
          <t>Opel Astra</t>
        </is>
      </c>
      <c r="G53" s="2" t="inlineStr">
        <is>
          <t>1.9 CDTi</t>
        </is>
      </c>
      <c r="H53" s="2" t="inlineStr">
        <is>
          <t>1.9 CDTi Enjoy 120 CV</t>
        </is>
      </c>
      <c r="I53" s="2" t="n"/>
      <c r="J53" s="2" t="n">
        <v>120</v>
      </c>
      <c r="K53" s="2" t="inlineStr">
        <is>
          <t>diesel</t>
        </is>
      </c>
      <c r="L53" s="2" t="inlineStr">
        <is>
          <t>compacto</t>
        </is>
      </c>
      <c r="M53" s="2" t="n">
        <v>2006</v>
      </c>
      <c r="N53" s="2" t="n">
        <v>129000</v>
      </c>
      <c r="O53" s="2" t="n">
        <v>4190</v>
      </c>
      <c r="P53" s="2" t="inlineStr">
        <is>
          <t>manual</t>
        </is>
      </c>
      <c r="Q53" s="2" t="inlineStr">
        <is>
          <t>no</t>
        </is>
      </c>
      <c r="R53" s="2" t="inlineStr">
        <is>
          <t>profesional</t>
        </is>
      </c>
      <c r="S53" s="2" t="inlineStr">
        <is>
          <t>Only Cars Valencia Aldaia</t>
        </is>
      </c>
      <c r="T53" s="2" t="inlineStr">
        <is>
          <t>2026-09-25T16:51:25Z</t>
        </is>
      </c>
      <c r="U53" s="2" t="n">
        <v>11</v>
      </c>
      <c r="V53" s="2" t="n"/>
      <c r="W53" s="2" t="n"/>
      <c r="X53" s="2" t="n"/>
      <c r="Y53" s="2" t="n"/>
      <c r="Z53" s="2" t="inlineStr">
        <is>
          <t>sí</t>
        </is>
      </c>
      <c r="AA53" s="2" t="n"/>
      <c r="AB53" s="2" t="n">
        <v>12</v>
      </c>
      <c r="AC53" s="2" t="n"/>
      <c r="AD53" s="2" t="n"/>
      <c r="AE53" s="2" t="n"/>
      <c r="AF53" s="2" t="n"/>
      <c r="AG53" s="2" t="n"/>
      <c r="AH53" s="2" t="n">
        <v>4190</v>
      </c>
      <c r="AI53" s="2" t="n"/>
      <c r="AJ53" s="2" t="n"/>
      <c r="AK53" s="2" t="n"/>
      <c r="AL53" s="2" t="n"/>
      <c r="AM53" s="2" t="n">
        <v>7.5</v>
      </c>
      <c r="AN53" s="2" t="n"/>
      <c r="AO53" s="2" t="inlineStr">
        <is>
          <t>2006</t>
        </is>
      </c>
      <c r="AP53" s="2" t="n">
        <v>2006</v>
      </c>
      <c r="AQ53" s="2" t="n"/>
      <c r="AR53" s="2" t="inlineStr">
        <is>
          <t>B</t>
        </is>
      </c>
      <c r="AS53" s="2" t="inlineStr">
        <is>
          <t>anuncio</t>
        </is>
      </c>
      <c r="AT53" s="2" t="n">
        <v>2007</v>
      </c>
      <c r="AU53" s="2" t="inlineStr">
        <is>
          <t>no</t>
        </is>
      </c>
      <c r="AV53" s="2" t="inlineStr">
        <is>
          <t>no</t>
        </is>
      </c>
      <c r="AW53" s="2" t="n">
        <v>3725</v>
      </c>
      <c r="AX53" s="2" t="n">
        <v>12</v>
      </c>
      <c r="AY53" s="2" t="inlineStr">
        <is>
          <t>modelo+año+km</t>
        </is>
      </c>
      <c r="AZ53" s="2" t="n"/>
      <c r="BA53"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no menciona la ITV</t>
        </is>
      </c>
      <c r="BB53" s="2" t="inlineStr">
        <is>
          <t>Opel Astra 1.9 CDTI Enjoy año 2006 con 129.000Kms 120CV.
Equipamiento:
- elevalunas eléctricos 
- Espejos eléctricos 
- Aire acondicionado 
- Dirección asistida
- Mando a distancia 
Mantenimiento:
   - cambio de filtro de aire
   - cambio de filtro de aceite
   - cambio de aceite 
   - Dos juegos de llave
   - Alfombrillas</t>
        </is>
      </c>
      <c r="BC53" s="2" t="inlineStr">
        <is>
          <t>https://www.coches.net/opel-astra-19-cdti-enjoy-120-cv-5p-diesel-2007-en-valencia-71599225-covo.aspx (window.__INITIAL_PROPS__.ad) /home/user/Alopecia/buscador-coches/raw/cochesnet/f421bcba4a0c6277.json</t>
        </is>
      </c>
      <c r="BD53" s="3">
        <f>MAX(ANIO_ACTUAL-M53,0)</f>
        <v/>
      </c>
      <c r="BE53" s="4">
        <f>N53/MAX(BD53,0.5)</f>
        <v/>
      </c>
      <c r="BF53" s="4">
        <f>F53</f>
        <v/>
      </c>
      <c r="BG53" s="3">
        <f>BF53&amp;"|"&amp;INT(M53/SEG_ANIO)*SEG_ANIO</f>
        <v/>
      </c>
      <c r="BH53" s="3">
        <f>BG53&amp;"|"&amp;INT(N53/SEG_KM)*SEG_KM</f>
        <v/>
      </c>
      <c r="BI53" s="4">
        <f>COUNTIF($BF$2:$BF$101,BF53)</f>
        <v/>
      </c>
      <c r="BJ53" s="4">
        <f>COUNTIF($BG$2:$BG$101,BG53)</f>
        <v/>
      </c>
      <c r="BK53" s="4">
        <f>COUNTIF($BH$2:$BH$101,BH53)</f>
        <v/>
      </c>
      <c r="BL53" s="3">
        <f t="array" ref="BL53">IF(N(AX53)&gt;=MIN_N,AW53,IF(BK53&gt;=MIN_N,MEDIAN(IF($BH$2:$BH$101=BH53,$O$2:$O$101)),IF(BJ53&gt;=MIN_N,MEDIAN(IF($BG$2:$BG$101=BG53,$O$2:$O$101)),MEDIAN(IF($BF$2:$BF$101=BF53,$O$2:$O$101)))))</f>
        <v/>
      </c>
      <c r="BM53" s="3">
        <f>IF(N(AX53)&gt;=MIN_N,"mercado "&amp;AY53,IF(BK53&gt;=MIN_N,"modelo+año+km",IF(BJ53&gt;=MIN_N,"modelo+año","modelo")))</f>
        <v/>
      </c>
      <c r="BN53" s="4">
        <f>(BL53-O53)/BL53</f>
        <v/>
      </c>
      <c r="BO53" s="3">
        <f>IF(COUNTIFS(FR_FUEL,K53,FR_YEAR,AP53)&gt;0,1,0)</f>
        <v/>
      </c>
      <c r="BP53" s="3">
        <f>IF(COUNTIFS(FR_FUEL,K53,FR_YEAR,AP53-1)&gt;0,1,0)</f>
        <v/>
      </c>
      <c r="BQ53" s="4">
        <f>IF(N(AQ53)&gt;0,AP53*100+AQ53,IF(AND(BO53=1,BP53=1),(AP53-1)*100+1,AP53*100+1))</f>
        <v/>
      </c>
      <c r="BR53" s="3">
        <f>IF(OR(K53="hibrido",K53="glp",K53="gnc",K53="phev"),"ECO",IF(K53="electrico","CERO",IF(K53="gasolina",IF(BQ53&gt;=GAS_C_YM,"C",IF(BQ53&gt;=GAS_B_YM,"B","A")),IF(K53="diesel",IF(BQ53&gt;=DIE_C_YM,"C",IF(BQ53&gt;=DIE_B_YM,"B","A")),""))))</f>
        <v/>
      </c>
      <c r="BS53" s="2" t="inlineStr">
        <is>
          <t>B</t>
        </is>
      </c>
      <c r="BT53" s="4">
        <f>IF(AU53="sí","sí",IF(AS53="regla",IF(AND(N(AQ53)=0,BO53=1),"sí","no"),"no"))</f>
        <v/>
      </c>
      <c r="BU53" s="3">
        <f>IFERROR(VLOOKUP(F53,MOD_TBL,16,0),IFERROR(VLOOKUP(E53,OCU_TBL,2,0),NEUTRO))</f>
        <v/>
      </c>
      <c r="BV53" s="3">
        <f>SUMIFS(MOT_AJUSTE,MOT_MOTOR,G53,MOT_MARCA,E53,MOT_DESDE,"&lt;="&amp;M53,MOT_HASTA,"&gt;="&amp;M53)+SUMIFS(MOT_AJUSTE,MOT_MOTOR,G53,MOT_MARCA,"(todas)",MOT_DESDE,"&lt;="&amp;M53,MOT_HASTA,"&gt;="&amp;M53)+SUMIFS(MOT_AJUSTE,MOT_MOTOR,"(cualquiera)",MOT_MARCA,E53,MOT_DESDE,"&lt;="&amp;M53,MOT_HASTA,"&gt;="&amp;M53)</f>
        <v/>
      </c>
      <c r="BW53" s="3">
        <f>SUMIFS(COMB_AJUSTE,COMB_COMB,K53)</f>
        <v/>
      </c>
      <c r="BX53" s="3">
        <f>COUNTIFS(MOT_MOTOR,G53,MOT_MARCA,E53,MOT_DESDE,"&lt;="&amp;M53,MOT_HASTA,"&gt;="&amp;M53)+COUNTIFS(MOT_MOTOR,G53,MOT_MARCA,"(todas)",MOT_DESDE,"&lt;="&amp;M53,MOT_HASTA,"&gt;="&amp;M53)+COUNTIFS(MOT_MOTOR,"(cualquiera)",MOT_MARCA,E53,MOT_DESDE,"&lt;="&amp;M53,MOT_HASTA,"&gt;="&amp;M53)</f>
        <v/>
      </c>
      <c r="BY53" s="3">
        <f>IF(AND(K53="diesel",BX53=0),MIN(BU53,NEUTRO),BU53)</f>
        <v/>
      </c>
      <c r="BZ53" s="3">
        <f>MAX(0,MIN(100,BY53+BV53+BW53-IF(AV53="sí",ROB_PEN,0)))</f>
        <v/>
      </c>
      <c r="CA53" s="3">
        <f>100-MAX(0,N53-KM_TOPE_DESDE)/1000*KM_TOPE_PTS</f>
        <v/>
      </c>
      <c r="CB53" s="3">
        <f>MAX(0,MIN(100,50+BN53*PRECIO_PEND,CA53))</f>
        <v/>
      </c>
      <c r="CC53" s="3">
        <f>MAX(0,100*(1-N53/KM_MAX))</f>
        <v/>
      </c>
      <c r="CD53" s="3">
        <f>IF(BE53&lt;KMA_SOSP,IF(AA53="sí",100,KMA_PEN),IF(BE53&lt;=KMA_IDEAL_MAX,100,MAX(0,100*(KMA_CERO-BE53)/(KMA_CERO-KMA_IDEAL_MAX))))</f>
        <v/>
      </c>
      <c r="CE53" s="3">
        <f>MAX(0,MIN(100,100*(M53-ANIO_MIN)/(ANIO_ACTUAL-ANIO_MIN)))</f>
        <v/>
      </c>
      <c r="CF53" s="3">
        <f>W_KMT*CC53+W_KMA*CD53+W_EDAD*CE53</f>
        <v/>
      </c>
      <c r="CG53" s="3">
        <f>P_ITV*(V53="sí")+P_LIBRO*(W53="sí")+P_CORREA*(X53="sí")+P_PROP*(Y53=1)+P_GAR*(Z53="sí")+P_FOTOS*MIN(1,N(U53)/FOTOS_OBJ)</f>
        <v/>
      </c>
      <c r="CH53" s="3">
        <f>MAX(0,MIN(100,IFERROR(VLOOKUP(BS53,ETQ_TBL,2,0),0)-IF(BT53="sí",ETQ_PEN_DUD,IF(AS53="regla",ETQ_PEN_REGLA,0))))</f>
        <v/>
      </c>
      <c r="CI53" s="3">
        <f>NEUTRO</f>
        <v/>
      </c>
      <c r="CJ53" s="3">
        <f>IFERROR(VLOOKUP(L53,SEGURO_TBL,3,0),"")</f>
        <v/>
      </c>
      <c r="CK53" s="3">
        <f>IF(CJ53="",NEUTRO,MAX(0,MIN(100,100*(SEG_REF_MAX-CJ53)/(SEG_REF_MAX-SEG_REF_MIN))))</f>
        <v/>
      </c>
      <c r="CL53" s="3">
        <f>W_CONS*CI53+W_SEG*CK53</f>
        <v/>
      </c>
      <c r="CM53" s="3">
        <f>IF(N(AB53)&gt;0,AB53,IF(AND(R53="profesional",SG_LEGAL_ON=1),GAR_LEGAL,0))</f>
        <v/>
      </c>
      <c r="CN53" s="3">
        <f>SG_GAR*MIN(1,CM53/SG_GAR_FULL)+SG_AMPL*(AC53="sí")+SG_KMC*(AF53="sí")+SG_REV*(N(AE53)&gt;0)+SG_DEV*MIN(1,N(AG53)/SG_DEV_FULL)+SG_HIST*(W53="sí")</f>
        <v/>
      </c>
      <c r="CO53" s="3">
        <f>IFERROR(VLOOKUP(L53,CARR_PEN_TBL,2,0),0)</f>
        <v/>
      </c>
      <c r="CP53" s="3">
        <f>W_FIAB*BZ53+W_PRECIO*CB53+W_KMEDAD*CF53+W_ANUNCIO*CG53+W_USO*CL53+W_SEGURIDAD*CN53+W_ETIQUETA*CH53-CO53</f>
        <v/>
      </c>
      <c r="CQ53" s="4">
        <f>IF(N(I53)&gt;0,I53,IFERROR(ROUND(_xlfn.NUMBERVALUE(LEFT(G53,FIND(" ",G53&amp;" ")-1),".")*1000,0),99999))</f>
        <v/>
      </c>
      <c r="CR53" s="3">
        <f>IF(R53="profesional",0,IF(O53&lt;CUOTA_VALOR_MAX,IF(BD53&gt;ITP_TRAMO_ALTO,SUMIFS(CF_CUOTA,CF_MAS,ITP_TRAMO_ALTO,CF_CCMIN,"&lt;="&amp;CQ53,CF_CCMAX,"&gt;="&amp;CQ53),IF(BD53&gt;ITP_TRAMO_BAJO,SUMIFS(CF_CUOTA,CF_MAS,ITP_TRAMO_BAJO,CF_CCMIN,"&lt;="&amp;CQ53,CF_CCMAX,"&gt;="&amp;CQ53),O53*ITP_TIPO)),O53*ITP_TIPO))</f>
        <v/>
      </c>
      <c r="CS53" s="4">
        <f>IF(R53="profesional",N(AK53),0)</f>
        <v/>
      </c>
      <c r="CT53" s="3">
        <f>IF(AND(R53="profesional",ISNUMBER(AK53),AL53="sí"),0,TASA_DGT)</f>
        <v/>
      </c>
      <c r="CU53" s="3">
        <f>INFORME_DGT</f>
        <v/>
      </c>
      <c r="CV53" s="4">
        <f>O53+CS53+CR53+CT53+CU53</f>
        <v/>
      </c>
      <c r="CW53" s="4">
        <f>CV53+N(CJ53)</f>
        <v/>
      </c>
      <c r="CX53" s="3">
        <f>IF(CV53&lt;=TOTAL_MAX,"sí",IF(CV53&lt;=TOTAL_MAX+MARGEN_NEG,"negociar","no"))</f>
        <v/>
      </c>
      <c r="CY53" s="4">
        <f>IF(CX53&lt;&gt;"no",COUNTIFS($CX$2:$CX$101,"&lt;&gt;no",$CP$2:$CP$101,"&gt;"&amp;CP53)+COUNTIFS($CX$2:CX53,"&lt;&gt;no",$CP$2:CP53,CP53),"")</f>
        <v/>
      </c>
    </row>
    <row r="54">
      <c r="A54" s="2" t="inlineStr">
        <is>
          <t>cochesnet:71722524</t>
        </is>
      </c>
      <c r="B54" s="2" t="inlineStr">
        <is>
          <t>cochesnet</t>
        </is>
      </c>
      <c r="C54" s="2" t="inlineStr">
        <is>
          <t>https://www.coches.net/opel-astra-14-enjoy-5p-gasolina-2006-en-valencia-71722524-covo.aspx</t>
        </is>
      </c>
      <c r="D54" s="2" t="inlineStr">
        <is>
          <t>OPEL Astra 1.4 Enjoy</t>
        </is>
      </c>
      <c r="E54" s="2" t="inlineStr">
        <is>
          <t>Opel</t>
        </is>
      </c>
      <c r="F54" s="2" t="inlineStr">
        <is>
          <t>Opel Astra</t>
        </is>
      </c>
      <c r="G54" s="2" t="inlineStr">
        <is>
          <t>1.4</t>
        </is>
      </c>
      <c r="H54" s="2" t="inlineStr">
        <is>
          <t>1.4 Enjoy</t>
        </is>
      </c>
      <c r="I54" s="2" t="n"/>
      <c r="J54" s="2" t="n"/>
      <c r="K54" s="2" t="inlineStr">
        <is>
          <t>gasolina</t>
        </is>
      </c>
      <c r="L54" s="2" t="inlineStr">
        <is>
          <t>compacto</t>
        </is>
      </c>
      <c r="M54" s="2" t="n">
        <v>2006</v>
      </c>
      <c r="N54" s="2" t="n">
        <v>78450</v>
      </c>
      <c r="O54" s="2" t="n">
        <v>4490</v>
      </c>
      <c r="P54" s="2" t="inlineStr">
        <is>
          <t>manual</t>
        </is>
      </c>
      <c r="Q54" s="2" t="inlineStr">
        <is>
          <t>no</t>
        </is>
      </c>
      <c r="R54" s="2" t="inlineStr">
        <is>
          <t>profesional</t>
        </is>
      </c>
      <c r="S54" s="2" t="inlineStr">
        <is>
          <t>Automóviles OCASIÓN.  Valencia</t>
        </is>
      </c>
      <c r="T54" s="2" t="inlineStr">
        <is>
          <t>2026-10-11T14:37:16Z</t>
        </is>
      </c>
      <c r="U54" s="2" t="n">
        <v>81</v>
      </c>
      <c r="V54" s="2" t="inlineStr">
        <is>
          <t>sí</t>
        </is>
      </c>
      <c r="W54" s="2" t="inlineStr">
        <is>
          <t>sí</t>
        </is>
      </c>
      <c r="X54" s="2" t="n"/>
      <c r="Y54" s="2" t="n">
        <v>1</v>
      </c>
      <c r="Z54" s="2" t="inlineStr">
        <is>
          <t>sí</t>
        </is>
      </c>
      <c r="AA54" s="2" t="n"/>
      <c r="AB54" s="2" t="n">
        <v>12</v>
      </c>
      <c r="AC54" s="2" t="n"/>
      <c r="AD54" s="2" t="n"/>
      <c r="AE54" s="2" t="n"/>
      <c r="AF54" s="2" t="inlineStr">
        <is>
          <t>sí</t>
        </is>
      </c>
      <c r="AG54" s="2" t="n"/>
      <c r="AH54" s="2" t="n">
        <v>4490</v>
      </c>
      <c r="AI54" s="2" t="n"/>
      <c r="AJ54" s="2" t="n"/>
      <c r="AK54" s="2" t="n"/>
      <c r="AL54" s="2" t="n"/>
      <c r="AM54" s="2" t="n">
        <v>0.1</v>
      </c>
      <c r="AN54" s="2" t="n"/>
      <c r="AO54" s="2" t="inlineStr">
        <is>
          <t>2006</t>
        </is>
      </c>
      <c r="AP54" s="2" t="n">
        <v>2006</v>
      </c>
      <c r="AQ54" s="2" t="n"/>
      <c r="AR54" s="2" t="inlineStr">
        <is>
          <t>B</t>
        </is>
      </c>
      <c r="AS54" s="2" t="inlineStr">
        <is>
          <t>anuncio</t>
        </is>
      </c>
      <c r="AT54" s="2" t="n"/>
      <c r="AU54" s="2" t="inlineStr">
        <is>
          <t>no</t>
        </is>
      </c>
      <c r="AV54" s="2" t="inlineStr">
        <is>
          <t>no</t>
        </is>
      </c>
      <c r="AW54" s="2" t="n">
        <v>2500</v>
      </c>
      <c r="AX54" s="2" t="n">
        <v>64</v>
      </c>
      <c r="AY54" s="2" t="inlineStr">
        <is>
          <t>modelo+año</t>
        </is>
      </c>
      <c r="AZ54" s="2" t="n"/>
      <c r="BA54" s="2" t="inlineStr">
        <is>
          <t>vendedor profesional: sin ITP (operación con IVA/REBU, confirmar en factura); gastos de gestión del vendedor no indicados: se suma la tasa DGT; preguntar el precio final</t>
        </is>
      </c>
      <c r="BB54"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BC54" s="2" t="inlineStr">
        <is>
          <t>https://www.coches.net/opel-astra-14-enjoy-5p-gasolina-2006-en-valencia-71722524-covo.aspx (window.__INITIAL_PROPS__.ad) /home/user/Alopecia/buscador-coches/raw/cochesnet/30ba241b7773e8c7.json</t>
        </is>
      </c>
      <c r="BD54" s="3">
        <f>MAX(ANIO_ACTUAL-M54,0)</f>
        <v/>
      </c>
      <c r="BE54" s="4">
        <f>N54/MAX(BD54,0.5)</f>
        <v/>
      </c>
      <c r="BF54" s="4">
        <f>F54</f>
        <v/>
      </c>
      <c r="BG54" s="3">
        <f>BF54&amp;"|"&amp;INT(M54/SEG_ANIO)*SEG_ANIO</f>
        <v/>
      </c>
      <c r="BH54" s="3">
        <f>BG54&amp;"|"&amp;INT(N54/SEG_KM)*SEG_KM</f>
        <v/>
      </c>
      <c r="BI54" s="4">
        <f>COUNTIF($BF$2:$BF$101,BF54)</f>
        <v/>
      </c>
      <c r="BJ54" s="4">
        <f>COUNTIF($BG$2:$BG$101,BG54)</f>
        <v/>
      </c>
      <c r="BK54" s="4">
        <f>COUNTIF($BH$2:$BH$101,BH54)</f>
        <v/>
      </c>
      <c r="BL54" s="3">
        <f t="array" ref="BL54">IF(N(AX54)&gt;=MIN_N,AW54,IF(BK54&gt;=MIN_N,MEDIAN(IF($BH$2:$BH$101=BH54,$O$2:$O$101)),IF(BJ54&gt;=MIN_N,MEDIAN(IF($BG$2:$BG$101=BG54,$O$2:$O$101)),MEDIAN(IF($BF$2:$BF$101=BF54,$O$2:$O$101)))))</f>
        <v/>
      </c>
      <c r="BM54" s="3">
        <f>IF(N(AX54)&gt;=MIN_N,"mercado "&amp;AY54,IF(BK54&gt;=MIN_N,"modelo+año+km",IF(BJ54&gt;=MIN_N,"modelo+año","modelo")))</f>
        <v/>
      </c>
      <c r="BN54" s="4">
        <f>(BL54-O54)/BL54</f>
        <v/>
      </c>
      <c r="BO54" s="3">
        <f>IF(COUNTIFS(FR_FUEL,K54,FR_YEAR,AP54)&gt;0,1,0)</f>
        <v/>
      </c>
      <c r="BP54" s="3">
        <f>IF(COUNTIFS(FR_FUEL,K54,FR_YEAR,AP54-1)&gt;0,1,0)</f>
        <v/>
      </c>
      <c r="BQ54" s="4">
        <f>IF(N(AQ54)&gt;0,AP54*100+AQ54,IF(AND(BO54=1,BP54=1),(AP54-1)*100+1,AP54*100+1))</f>
        <v/>
      </c>
      <c r="BR54" s="3">
        <f>IF(OR(K54="hibrido",K54="glp",K54="gnc",K54="phev"),"ECO",IF(K54="electrico","CERO",IF(K54="gasolina",IF(BQ54&gt;=GAS_C_YM,"C",IF(BQ54&gt;=GAS_B_YM,"B","A")),IF(K54="diesel",IF(BQ54&gt;=DIE_C_YM,"C",IF(BQ54&gt;=DIE_B_YM,"B","A")),""))))</f>
        <v/>
      </c>
      <c r="BS54" s="2" t="inlineStr">
        <is>
          <t>B</t>
        </is>
      </c>
      <c r="BT54" s="4">
        <f>IF(AU54="sí","sí",IF(AS54="regla",IF(AND(N(AQ54)=0,BO54=1),"sí","no"),"no"))</f>
        <v/>
      </c>
      <c r="BU54" s="3">
        <f>IFERROR(VLOOKUP(F54,MOD_TBL,16,0),IFERROR(VLOOKUP(E54,OCU_TBL,2,0),NEUTRO))</f>
        <v/>
      </c>
      <c r="BV54" s="3">
        <f>SUMIFS(MOT_AJUSTE,MOT_MOTOR,G54,MOT_MARCA,E54,MOT_DESDE,"&lt;="&amp;M54,MOT_HASTA,"&gt;="&amp;M54)+SUMIFS(MOT_AJUSTE,MOT_MOTOR,G54,MOT_MARCA,"(todas)",MOT_DESDE,"&lt;="&amp;M54,MOT_HASTA,"&gt;="&amp;M54)+SUMIFS(MOT_AJUSTE,MOT_MOTOR,"(cualquiera)",MOT_MARCA,E54,MOT_DESDE,"&lt;="&amp;M54,MOT_HASTA,"&gt;="&amp;M54)</f>
        <v/>
      </c>
      <c r="BW54" s="3">
        <f>SUMIFS(COMB_AJUSTE,COMB_COMB,K54)</f>
        <v/>
      </c>
      <c r="BX54" s="3">
        <f>COUNTIFS(MOT_MOTOR,G54,MOT_MARCA,E54,MOT_DESDE,"&lt;="&amp;M54,MOT_HASTA,"&gt;="&amp;M54)+COUNTIFS(MOT_MOTOR,G54,MOT_MARCA,"(todas)",MOT_DESDE,"&lt;="&amp;M54,MOT_HASTA,"&gt;="&amp;M54)+COUNTIFS(MOT_MOTOR,"(cualquiera)",MOT_MARCA,E54,MOT_DESDE,"&lt;="&amp;M54,MOT_HASTA,"&gt;="&amp;M54)</f>
        <v/>
      </c>
      <c r="BY54" s="3">
        <f>IF(AND(K54="diesel",BX54=0),MIN(BU54,NEUTRO),BU54)</f>
        <v/>
      </c>
      <c r="BZ54" s="3">
        <f>MAX(0,MIN(100,BY54+BV54+BW54-IF(AV54="sí",ROB_PEN,0)))</f>
        <v/>
      </c>
      <c r="CA54" s="3">
        <f>100-MAX(0,N54-KM_TOPE_DESDE)/1000*KM_TOPE_PTS</f>
        <v/>
      </c>
      <c r="CB54" s="3">
        <f>MAX(0,MIN(100,50+BN54*PRECIO_PEND,CA54))</f>
        <v/>
      </c>
      <c r="CC54" s="3">
        <f>MAX(0,100*(1-N54/KM_MAX))</f>
        <v/>
      </c>
      <c r="CD54" s="3">
        <f>IF(BE54&lt;KMA_SOSP,IF(AA54="sí",100,KMA_PEN),IF(BE54&lt;=KMA_IDEAL_MAX,100,MAX(0,100*(KMA_CERO-BE54)/(KMA_CERO-KMA_IDEAL_MAX))))</f>
        <v/>
      </c>
      <c r="CE54" s="3">
        <f>MAX(0,MIN(100,100*(M54-ANIO_MIN)/(ANIO_ACTUAL-ANIO_MIN)))</f>
        <v/>
      </c>
      <c r="CF54" s="3">
        <f>W_KMT*CC54+W_KMA*CD54+W_EDAD*CE54</f>
        <v/>
      </c>
      <c r="CG54" s="3">
        <f>P_ITV*(V54="sí")+P_LIBRO*(W54="sí")+P_CORREA*(X54="sí")+P_PROP*(Y54=1)+P_GAR*(Z54="sí")+P_FOTOS*MIN(1,N(U54)/FOTOS_OBJ)</f>
        <v/>
      </c>
      <c r="CH54" s="3">
        <f>MAX(0,MIN(100,IFERROR(VLOOKUP(BS54,ETQ_TBL,2,0),0)-IF(BT54="sí",ETQ_PEN_DUD,IF(AS54="regla",ETQ_PEN_REGLA,0))))</f>
        <v/>
      </c>
      <c r="CI54" s="3">
        <f>NEUTRO</f>
        <v/>
      </c>
      <c r="CJ54" s="3">
        <f>IFERROR(VLOOKUP(L54,SEGURO_TBL,3,0),"")</f>
        <v/>
      </c>
      <c r="CK54" s="3">
        <f>IF(CJ54="",NEUTRO,MAX(0,MIN(100,100*(SEG_REF_MAX-CJ54)/(SEG_REF_MAX-SEG_REF_MIN))))</f>
        <v/>
      </c>
      <c r="CL54" s="3">
        <f>W_CONS*CI54+W_SEG*CK54</f>
        <v/>
      </c>
      <c r="CM54" s="3">
        <f>IF(N(AB54)&gt;0,AB54,IF(AND(R54="profesional",SG_LEGAL_ON=1),GAR_LEGAL,0))</f>
        <v/>
      </c>
      <c r="CN54" s="3">
        <f>SG_GAR*MIN(1,CM54/SG_GAR_FULL)+SG_AMPL*(AC54="sí")+SG_KMC*(AF54="sí")+SG_REV*(N(AE54)&gt;0)+SG_DEV*MIN(1,N(AG54)/SG_DEV_FULL)+SG_HIST*(W54="sí")</f>
        <v/>
      </c>
      <c r="CO54" s="3">
        <f>IFERROR(VLOOKUP(L54,CARR_PEN_TBL,2,0),0)</f>
        <v/>
      </c>
      <c r="CP54" s="3">
        <f>W_FIAB*BZ54+W_PRECIO*CB54+W_KMEDAD*CF54+W_ANUNCIO*CG54+W_USO*CL54+W_SEGURIDAD*CN54+W_ETIQUETA*CH54-CO54</f>
        <v/>
      </c>
      <c r="CQ54" s="4">
        <f>IF(N(I54)&gt;0,I54,IFERROR(ROUND(_xlfn.NUMBERVALUE(LEFT(G54,FIND(" ",G54&amp;" ")-1),".")*1000,0),99999))</f>
        <v/>
      </c>
      <c r="CR54" s="3">
        <f>IF(R54="profesional",0,IF(O54&lt;CUOTA_VALOR_MAX,IF(BD54&gt;ITP_TRAMO_ALTO,SUMIFS(CF_CUOTA,CF_MAS,ITP_TRAMO_ALTO,CF_CCMIN,"&lt;="&amp;CQ54,CF_CCMAX,"&gt;="&amp;CQ54),IF(BD54&gt;ITP_TRAMO_BAJO,SUMIFS(CF_CUOTA,CF_MAS,ITP_TRAMO_BAJO,CF_CCMIN,"&lt;="&amp;CQ54,CF_CCMAX,"&gt;="&amp;CQ54),O54*ITP_TIPO)),O54*ITP_TIPO))</f>
        <v/>
      </c>
      <c r="CS54" s="4">
        <f>IF(R54="profesional",N(AK54),0)</f>
        <v/>
      </c>
      <c r="CT54" s="3">
        <f>IF(AND(R54="profesional",ISNUMBER(AK54),AL54="sí"),0,TASA_DGT)</f>
        <v/>
      </c>
      <c r="CU54" s="3">
        <f>INFORME_DGT</f>
        <v/>
      </c>
      <c r="CV54" s="4">
        <f>O54+CS54+CR54+CT54+CU54</f>
        <v/>
      </c>
      <c r="CW54" s="4">
        <f>CV54+N(CJ54)</f>
        <v/>
      </c>
      <c r="CX54" s="3">
        <f>IF(CV54&lt;=TOTAL_MAX,"sí",IF(CV54&lt;=TOTAL_MAX+MARGEN_NEG,"negociar","no"))</f>
        <v/>
      </c>
      <c r="CY54" s="4">
        <f>IF(CX54&lt;&gt;"no",COUNTIFS($CX$2:$CX$101,"&lt;&gt;no",$CP$2:$CP$101,"&gt;"&amp;CP54)+COUNTIFS($CX$2:CX54,"&lt;&gt;no",$CP$2:CP54,CP54),"")</f>
        <v/>
      </c>
    </row>
    <row r="55">
      <c r="A55" s="2" t="inlineStr">
        <is>
          <t>cochesnet:71241892</t>
        </is>
      </c>
      <c r="B55" s="2" t="inlineStr">
        <is>
          <t>cochesnet</t>
        </is>
      </c>
      <c r="C55" s="2" t="inlineStr">
        <is>
          <t>https://www.coches.net/opel-astra-17-cdti-enjoy-sw-5p-diesel-2007-en-valencia-71241892-covo.aspx</t>
        </is>
      </c>
      <c r="D55" s="2" t="inlineStr">
        <is>
          <t>OPEL Astra 1.7 CDTi Enjoy SW</t>
        </is>
      </c>
      <c r="E55" s="2" t="inlineStr">
        <is>
          <t>Opel</t>
        </is>
      </c>
      <c r="F55" s="2" t="inlineStr">
        <is>
          <t>Opel Astra</t>
        </is>
      </c>
      <c r="G55" s="2" t="inlineStr">
        <is>
          <t>1.7 CDTi</t>
        </is>
      </c>
      <c r="H55" s="2" t="inlineStr">
        <is>
          <t>1.7 CDTi Enjoy SW</t>
        </is>
      </c>
      <c r="I55" s="2" t="n"/>
      <c r="J55" s="2" t="n"/>
      <c r="K55" s="2" t="inlineStr">
        <is>
          <t>diesel</t>
        </is>
      </c>
      <c r="L55" s="2" t="inlineStr">
        <is>
          <t>familiar</t>
        </is>
      </c>
      <c r="M55" s="2" t="n">
        <v>2006</v>
      </c>
      <c r="N55" s="2" t="n">
        <v>168488</v>
      </c>
      <c r="O55" s="2" t="n">
        <v>3490</v>
      </c>
      <c r="P55" s="2" t="inlineStr">
        <is>
          <t>manual</t>
        </is>
      </c>
      <c r="Q55" s="2" t="inlineStr">
        <is>
          <t>no</t>
        </is>
      </c>
      <c r="R55" s="2" t="inlineStr">
        <is>
          <t>profesional</t>
        </is>
      </c>
      <c r="S55" s="2" t="inlineStr">
        <is>
          <t>Automóviles Nord Bonrepòs i Mirambell</t>
        </is>
      </c>
      <c r="T55" s="2" t="inlineStr">
        <is>
          <t>2026-08-06T13:08:47Z</t>
        </is>
      </c>
      <c r="U55" s="2" t="n">
        <v>15</v>
      </c>
      <c r="V55" s="2" t="n"/>
      <c r="W55" s="2" t="inlineStr">
        <is>
          <t>sí</t>
        </is>
      </c>
      <c r="X55" s="2" t="n"/>
      <c r="Y55" s="2" t="n">
        <v>1</v>
      </c>
      <c r="Z55" s="2" t="inlineStr">
        <is>
          <t>sí</t>
        </is>
      </c>
      <c r="AA55" s="2" t="n"/>
      <c r="AB55" s="2" t="n">
        <v>12</v>
      </c>
      <c r="AC55" s="2" t="n"/>
      <c r="AD55" s="2" t="n"/>
      <c r="AE55" s="2" t="n"/>
      <c r="AF55" s="2" t="n"/>
      <c r="AG55" s="2" t="n"/>
      <c r="AH55" s="2" t="n">
        <v>3490</v>
      </c>
      <c r="AI55" s="2" t="n"/>
      <c r="AJ55" s="2" t="n"/>
      <c r="AK55" s="2" t="n"/>
      <c r="AL55" s="2" t="n"/>
      <c r="AM55" s="2" t="n">
        <v>5.3</v>
      </c>
      <c r="AN55" s="2" t="n"/>
      <c r="AO55" s="2" t="inlineStr">
        <is>
          <t>2006</t>
        </is>
      </c>
      <c r="AP55" s="2" t="n">
        <v>2006</v>
      </c>
      <c r="AQ55" s="2" t="n"/>
      <c r="AR55" s="2" t="inlineStr">
        <is>
          <t>B</t>
        </is>
      </c>
      <c r="AS55" s="2" t="inlineStr">
        <is>
          <t>anuncio</t>
        </is>
      </c>
      <c r="AT55" s="2" t="n">
        <v>2007</v>
      </c>
      <c r="AU55" s="2" t="inlineStr">
        <is>
          <t>no</t>
        </is>
      </c>
      <c r="AV55" s="2" t="inlineStr">
        <is>
          <t>no</t>
        </is>
      </c>
      <c r="AW55" s="2" t="n">
        <v>2850</v>
      </c>
      <c r="AX55" s="2" t="n">
        <v>16</v>
      </c>
      <c r="AY55" s="2" t="inlineStr">
        <is>
          <t>modelo+año+km</t>
        </is>
      </c>
      <c r="AZ55" s="2" t="n"/>
      <c r="BA55"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carrocería familiar: -3 puntos</t>
        </is>
      </c>
      <c r="BB55" s="2" t="inlineStr">
        <is>
          <t>-Automóviles Nord-
Opel Astra SW 1.7CDTi motor diésel de bajo consumo de procedencia nacional y único propietario.
El vehículo dispone de los siguientes extras: 
-Cierre centralizado
-Ordenador de abordo
-Elevalunas delanteros eléctricos
-Asientos confort 
-Radio cd mp3 
-Sistema ABS y control de estabilidad ESP
-Aire acondicionado
-El vehículo se entrega con la ITV y el mantenimiento al día
-Dirección asistida
-Dos llaves
-Ordenador abordo
El anuncio puede contener errores tipográficos y esta sujeto a cambios o variaciones por el vendedor en cualquier momento
Para mas información llamar al teléfono de contacto.
OPEL ASTRA EN SILLA</t>
        </is>
      </c>
      <c r="BC55" s="2" t="inlineStr">
        <is>
          <t>https://www.coches.net/opel-astra-17-cdti-enjoy-sw-5p-diesel-2007-en-valencia-71241892-covo.aspx (window.__INITIAL_PROPS__.ad) /home/user/Alopecia/buscador-coches/raw/cochesnet/dce79a1705535ace.json</t>
        </is>
      </c>
      <c r="BD55" s="3">
        <f>MAX(ANIO_ACTUAL-M55,0)</f>
        <v/>
      </c>
      <c r="BE55" s="4">
        <f>N55/MAX(BD55,0.5)</f>
        <v/>
      </c>
      <c r="BF55" s="4">
        <f>F55</f>
        <v/>
      </c>
      <c r="BG55" s="3">
        <f>BF55&amp;"|"&amp;INT(M55/SEG_ANIO)*SEG_ANIO</f>
        <v/>
      </c>
      <c r="BH55" s="3">
        <f>BG55&amp;"|"&amp;INT(N55/SEG_KM)*SEG_KM</f>
        <v/>
      </c>
      <c r="BI55" s="4">
        <f>COUNTIF($BF$2:$BF$101,BF55)</f>
        <v/>
      </c>
      <c r="BJ55" s="4">
        <f>COUNTIF($BG$2:$BG$101,BG55)</f>
        <v/>
      </c>
      <c r="BK55" s="4">
        <f>COUNTIF($BH$2:$BH$101,BH55)</f>
        <v/>
      </c>
      <c r="BL55" s="3">
        <f t="array" ref="BL55">IF(N(AX55)&gt;=MIN_N,AW55,IF(BK55&gt;=MIN_N,MEDIAN(IF($BH$2:$BH$101=BH55,$O$2:$O$101)),IF(BJ55&gt;=MIN_N,MEDIAN(IF($BG$2:$BG$101=BG55,$O$2:$O$101)),MEDIAN(IF($BF$2:$BF$101=BF55,$O$2:$O$101)))))</f>
        <v/>
      </c>
      <c r="BM55" s="3">
        <f>IF(N(AX55)&gt;=MIN_N,"mercado "&amp;AY55,IF(BK55&gt;=MIN_N,"modelo+año+km",IF(BJ55&gt;=MIN_N,"modelo+año","modelo")))</f>
        <v/>
      </c>
      <c r="BN55" s="4">
        <f>(BL55-O55)/BL55</f>
        <v/>
      </c>
      <c r="BO55" s="3">
        <f>IF(COUNTIFS(FR_FUEL,K55,FR_YEAR,AP55)&gt;0,1,0)</f>
        <v/>
      </c>
      <c r="BP55" s="3">
        <f>IF(COUNTIFS(FR_FUEL,K55,FR_YEAR,AP55-1)&gt;0,1,0)</f>
        <v/>
      </c>
      <c r="BQ55" s="4">
        <f>IF(N(AQ55)&gt;0,AP55*100+AQ55,IF(AND(BO55=1,BP55=1),(AP55-1)*100+1,AP55*100+1))</f>
        <v/>
      </c>
      <c r="BR55" s="3">
        <f>IF(OR(K55="hibrido",K55="glp",K55="gnc",K55="phev"),"ECO",IF(K55="electrico","CERO",IF(K55="gasolina",IF(BQ55&gt;=GAS_C_YM,"C",IF(BQ55&gt;=GAS_B_YM,"B","A")),IF(K55="diesel",IF(BQ55&gt;=DIE_C_YM,"C",IF(BQ55&gt;=DIE_B_YM,"B","A")),""))))</f>
        <v/>
      </c>
      <c r="BS55" s="2" t="inlineStr">
        <is>
          <t>B</t>
        </is>
      </c>
      <c r="BT55" s="4">
        <f>IF(AU55="sí","sí",IF(AS55="regla",IF(AND(N(AQ55)=0,BO55=1),"sí","no"),"no"))</f>
        <v/>
      </c>
      <c r="BU55" s="3">
        <f>IFERROR(VLOOKUP(F55,MOD_TBL,16,0),IFERROR(VLOOKUP(E55,OCU_TBL,2,0),NEUTRO))</f>
        <v/>
      </c>
      <c r="BV55" s="3">
        <f>SUMIFS(MOT_AJUSTE,MOT_MOTOR,G55,MOT_MARCA,E55,MOT_DESDE,"&lt;="&amp;M55,MOT_HASTA,"&gt;="&amp;M55)+SUMIFS(MOT_AJUSTE,MOT_MOTOR,G55,MOT_MARCA,"(todas)",MOT_DESDE,"&lt;="&amp;M55,MOT_HASTA,"&gt;="&amp;M55)+SUMIFS(MOT_AJUSTE,MOT_MOTOR,"(cualquiera)",MOT_MARCA,E55,MOT_DESDE,"&lt;="&amp;M55,MOT_HASTA,"&gt;="&amp;M55)</f>
        <v/>
      </c>
      <c r="BW55" s="3">
        <f>SUMIFS(COMB_AJUSTE,COMB_COMB,K55)</f>
        <v/>
      </c>
      <c r="BX55" s="3">
        <f>COUNTIFS(MOT_MOTOR,G55,MOT_MARCA,E55,MOT_DESDE,"&lt;="&amp;M55,MOT_HASTA,"&gt;="&amp;M55)+COUNTIFS(MOT_MOTOR,G55,MOT_MARCA,"(todas)",MOT_DESDE,"&lt;="&amp;M55,MOT_HASTA,"&gt;="&amp;M55)+COUNTIFS(MOT_MOTOR,"(cualquiera)",MOT_MARCA,E55,MOT_DESDE,"&lt;="&amp;M55,MOT_HASTA,"&gt;="&amp;M55)</f>
        <v/>
      </c>
      <c r="BY55" s="3">
        <f>IF(AND(K55="diesel",BX55=0),MIN(BU55,NEUTRO),BU55)</f>
        <v/>
      </c>
      <c r="BZ55" s="3">
        <f>MAX(0,MIN(100,BY55+BV55+BW55-IF(AV55="sí",ROB_PEN,0)))</f>
        <v/>
      </c>
      <c r="CA55" s="3">
        <f>100-MAX(0,N55-KM_TOPE_DESDE)/1000*KM_TOPE_PTS</f>
        <v/>
      </c>
      <c r="CB55" s="3">
        <f>MAX(0,MIN(100,50+BN55*PRECIO_PEND,CA55))</f>
        <v/>
      </c>
      <c r="CC55" s="3">
        <f>MAX(0,100*(1-N55/KM_MAX))</f>
        <v/>
      </c>
      <c r="CD55" s="3">
        <f>IF(BE55&lt;KMA_SOSP,IF(AA55="sí",100,KMA_PEN),IF(BE55&lt;=KMA_IDEAL_MAX,100,MAX(0,100*(KMA_CERO-BE55)/(KMA_CERO-KMA_IDEAL_MAX))))</f>
        <v/>
      </c>
      <c r="CE55" s="3">
        <f>MAX(0,MIN(100,100*(M55-ANIO_MIN)/(ANIO_ACTUAL-ANIO_MIN)))</f>
        <v/>
      </c>
      <c r="CF55" s="3">
        <f>W_KMT*CC55+W_KMA*CD55+W_EDAD*CE55</f>
        <v/>
      </c>
      <c r="CG55" s="3">
        <f>P_ITV*(V55="sí")+P_LIBRO*(W55="sí")+P_CORREA*(X55="sí")+P_PROP*(Y55=1)+P_GAR*(Z55="sí")+P_FOTOS*MIN(1,N(U55)/FOTOS_OBJ)</f>
        <v/>
      </c>
      <c r="CH55" s="3">
        <f>MAX(0,MIN(100,IFERROR(VLOOKUP(BS55,ETQ_TBL,2,0),0)-IF(BT55="sí",ETQ_PEN_DUD,IF(AS55="regla",ETQ_PEN_REGLA,0))))</f>
        <v/>
      </c>
      <c r="CI55" s="3">
        <f>NEUTRO</f>
        <v/>
      </c>
      <c r="CJ55" s="3">
        <f>IFERROR(VLOOKUP(L55,SEGURO_TBL,3,0),"")</f>
        <v/>
      </c>
      <c r="CK55" s="3">
        <f>IF(CJ55="",NEUTRO,MAX(0,MIN(100,100*(SEG_REF_MAX-CJ55)/(SEG_REF_MAX-SEG_REF_MIN))))</f>
        <v/>
      </c>
      <c r="CL55" s="3">
        <f>W_CONS*CI55+W_SEG*CK55</f>
        <v/>
      </c>
      <c r="CM55" s="3">
        <f>IF(N(AB55)&gt;0,AB55,IF(AND(R55="profesional",SG_LEGAL_ON=1),GAR_LEGAL,0))</f>
        <v/>
      </c>
      <c r="CN55" s="3">
        <f>SG_GAR*MIN(1,CM55/SG_GAR_FULL)+SG_AMPL*(AC55="sí")+SG_KMC*(AF55="sí")+SG_REV*(N(AE55)&gt;0)+SG_DEV*MIN(1,N(AG55)/SG_DEV_FULL)+SG_HIST*(W55="sí")</f>
        <v/>
      </c>
      <c r="CO55" s="3">
        <f>IFERROR(VLOOKUP(L55,CARR_PEN_TBL,2,0),0)</f>
        <v/>
      </c>
      <c r="CP55" s="3">
        <f>W_FIAB*BZ55+W_PRECIO*CB55+W_KMEDAD*CF55+W_ANUNCIO*CG55+W_USO*CL55+W_SEGURIDAD*CN55+W_ETIQUETA*CH55-CO55</f>
        <v/>
      </c>
      <c r="CQ55" s="4">
        <f>IF(N(I55)&gt;0,I55,IFERROR(ROUND(_xlfn.NUMBERVALUE(LEFT(G55,FIND(" ",G55&amp;" ")-1),".")*1000,0),99999))</f>
        <v/>
      </c>
      <c r="CR55" s="3">
        <f>IF(R55="profesional",0,IF(O55&lt;CUOTA_VALOR_MAX,IF(BD55&gt;ITP_TRAMO_ALTO,SUMIFS(CF_CUOTA,CF_MAS,ITP_TRAMO_ALTO,CF_CCMIN,"&lt;="&amp;CQ55,CF_CCMAX,"&gt;="&amp;CQ55),IF(BD55&gt;ITP_TRAMO_BAJO,SUMIFS(CF_CUOTA,CF_MAS,ITP_TRAMO_BAJO,CF_CCMIN,"&lt;="&amp;CQ55,CF_CCMAX,"&gt;="&amp;CQ55),O55*ITP_TIPO)),O55*ITP_TIPO))</f>
        <v/>
      </c>
      <c r="CS55" s="4">
        <f>IF(R55="profesional",N(AK55),0)</f>
        <v/>
      </c>
      <c r="CT55" s="3">
        <f>IF(AND(R55="profesional",ISNUMBER(AK55),AL55="sí"),0,TASA_DGT)</f>
        <v/>
      </c>
      <c r="CU55" s="3">
        <f>INFORME_DGT</f>
        <v/>
      </c>
      <c r="CV55" s="4">
        <f>O55+CS55+CR55+CT55+CU55</f>
        <v/>
      </c>
      <c r="CW55" s="4">
        <f>CV55+N(CJ55)</f>
        <v/>
      </c>
      <c r="CX55" s="3">
        <f>IF(CV55&lt;=TOTAL_MAX,"sí",IF(CV55&lt;=TOTAL_MAX+MARGEN_NEG,"negociar","no"))</f>
        <v/>
      </c>
      <c r="CY55" s="4">
        <f>IF(CX55&lt;&gt;"no",COUNTIFS($CX$2:$CX$101,"&lt;&gt;no",$CP$2:$CP$101,"&gt;"&amp;CP55)+COUNTIFS($CX$2:CX55,"&lt;&gt;no",$CP$2:CP55,CP55),"")</f>
        <v/>
      </c>
    </row>
    <row r="56">
      <c r="A56" s="2" t="inlineStr">
        <is>
          <t>cochesnet:71555949</t>
        </is>
      </c>
      <c r="B56" s="2" t="inlineStr">
        <is>
          <t>cochesnet</t>
        </is>
      </c>
      <c r="C56" s="2" t="inlineStr">
        <is>
          <t>https://www.coches.net/opel-meriva-17-cdti-110-cv-cosmo-5p-diesel-2012-en-valencia-71555949-covo.aspx</t>
        </is>
      </c>
      <c r="D56" s="2" t="inlineStr">
        <is>
          <t>OPEL Meriva 1.7 CDTI 110 CV Cosmo</t>
        </is>
      </c>
      <c r="E56" s="2" t="inlineStr">
        <is>
          <t>Opel</t>
        </is>
      </c>
      <c r="F56" s="2" t="inlineStr">
        <is>
          <t>Opel Meriva</t>
        </is>
      </c>
      <c r="G56" s="2" t="inlineStr">
        <is>
          <t>1.7 CDTi</t>
        </is>
      </c>
      <c r="H56" s="2" t="inlineStr">
        <is>
          <t>1.7 CDTI 110 CV Cosmo</t>
        </is>
      </c>
      <c r="I56" s="2" t="n"/>
      <c r="J56" s="2" t="n">
        <v>110</v>
      </c>
      <c r="K56" s="2" t="inlineStr">
        <is>
          <t>diesel</t>
        </is>
      </c>
      <c r="L56" s="2" t="inlineStr">
        <is>
          <t>monovolumen_pequeno</t>
        </is>
      </c>
      <c r="M56" s="2" t="n">
        <v>2011</v>
      </c>
      <c r="N56" s="2" t="n">
        <v>173000</v>
      </c>
      <c r="O56" s="2" t="n">
        <v>4990</v>
      </c>
      <c r="P56" s="2" t="inlineStr">
        <is>
          <t>manual</t>
        </is>
      </c>
      <c r="Q56" s="2" t="inlineStr">
        <is>
          <t>no</t>
        </is>
      </c>
      <c r="R56" s="2" t="inlineStr">
        <is>
          <t>profesional</t>
        </is>
      </c>
      <c r="S56" s="2" t="inlineStr">
        <is>
          <t>Saga Vehículos Massanassa</t>
        </is>
      </c>
      <c r="T56" s="2" t="inlineStr">
        <is>
          <t>2026-09-20T14:28:30Z</t>
        </is>
      </c>
      <c r="U56" s="2" t="n">
        <v>32</v>
      </c>
      <c r="V56" s="2" t="n"/>
      <c r="W56" s="2" t="n"/>
      <c r="X56" s="2" t="n"/>
      <c r="Y56" s="2" t="n"/>
      <c r="Z56" s="2" t="inlineStr">
        <is>
          <t>sí</t>
        </is>
      </c>
      <c r="AA56" s="2" t="n"/>
      <c r="AB56" s="2" t="n">
        <v>12</v>
      </c>
      <c r="AC56" s="2" t="inlineStr">
        <is>
          <t>sí</t>
        </is>
      </c>
      <c r="AD56" s="2" t="n"/>
      <c r="AE56" s="2" t="n"/>
      <c r="AF56" s="2" t="n"/>
      <c r="AG56" s="2" t="n"/>
      <c r="AH56" s="2" t="n">
        <v>4990</v>
      </c>
      <c r="AI56" s="2" t="n">
        <v>4990</v>
      </c>
      <c r="AJ56" s="2" t="n"/>
      <c r="AK56" s="2" t="n">
        <v>350</v>
      </c>
      <c r="AL56" s="2" t="inlineStr">
        <is>
          <t>no</t>
        </is>
      </c>
      <c r="AM56" s="2" t="n">
        <v>6.9</v>
      </c>
      <c r="AN56" s="2" t="n"/>
      <c r="AO56" s="2" t="inlineStr">
        <is>
          <t>2011</t>
        </is>
      </c>
      <c r="AP56" s="2" t="n">
        <v>2011</v>
      </c>
      <c r="AQ56" s="2" t="n"/>
      <c r="AR56" s="2" t="inlineStr">
        <is>
          <t>B</t>
        </is>
      </c>
      <c r="AS56" s="2" t="inlineStr">
        <is>
          <t>anuncio</t>
        </is>
      </c>
      <c r="AT56" s="2" t="n">
        <v>2012</v>
      </c>
      <c r="AU56" s="2" t="inlineStr">
        <is>
          <t>no</t>
        </is>
      </c>
      <c r="AV56" s="2" t="inlineStr">
        <is>
          <t>no</t>
        </is>
      </c>
      <c r="AW56" s="2" t="n">
        <v>4990</v>
      </c>
      <c r="AX56" s="2" t="n">
        <v>4</v>
      </c>
      <c r="AY56" s="2" t="inlineStr">
        <is>
          <t>modelo+año</t>
        </is>
      </c>
      <c r="AZ56" s="2" t="n"/>
      <c r="BA56" s="2" t="inlineStr">
        <is>
          <t>año a confirmar: la URL/título dice 2012; vendedor profesional: sin ITP (operación con IVA/REBU, confirmar en factura); gastos del vendedor sin indicar si incluyen la transferencia: se suma la tasa DGT; diésel: motor sin fuente de fiabilidad (fiabilidad limitada a neutra); carrocería monovolumen_pequeno: -6 puntos; revisar: no menciona la ITV; fiabilidad del modelo PENDIENTE de fuente (puntuación neutra)</t>
        </is>
      </c>
      <c r="BB56" s="2" t="inlineStr">
        <is>
          <t>Opel Meriva Cosmo 1.7 CDTi turbo, 110CV, Diésel, vehículo muy bien cuidado.
Más de 100 coches en stock, Por favor llámenos para más información, atendemos SOLO CON CITA PREVIA. Gracias!!!!
Financiación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dual zone
- Dirección asistida
- Freno ABS/EBD
- Control de estabilidad ESP
- Airbags
- Control de crucero
- Ordenador abordo
- Sistema multimedia Bluetooth
- Llaves mandos a distancia y mucho mas....
Este anuncio no es vinculante, se muestra a titulo informativo y no contractual.</t>
        </is>
      </c>
      <c r="BC56" s="2" t="inlineStr">
        <is>
          <t>https://www.coches.net/opel-meriva-17-cdti-110-cv-cosmo-5p-diesel-2012-en-valencia-71555949-covo.aspx (window.__INITIAL_PROPS__.ad) /home/user/Alopecia/buscador-coches/raw/cochesnet/62519a7897b3af05.json</t>
        </is>
      </c>
      <c r="BD56" s="3">
        <f>MAX(ANIO_ACTUAL-M56,0)</f>
        <v/>
      </c>
      <c r="BE56" s="4">
        <f>N56/MAX(BD56,0.5)</f>
        <v/>
      </c>
      <c r="BF56" s="4">
        <f>F56</f>
        <v/>
      </c>
      <c r="BG56" s="3">
        <f>BF56&amp;"|"&amp;INT(M56/SEG_ANIO)*SEG_ANIO</f>
        <v/>
      </c>
      <c r="BH56" s="3">
        <f>BG56&amp;"|"&amp;INT(N56/SEG_KM)*SEG_KM</f>
        <v/>
      </c>
      <c r="BI56" s="4">
        <f>COUNTIF($BF$2:$BF$101,BF56)</f>
        <v/>
      </c>
      <c r="BJ56" s="4">
        <f>COUNTIF($BG$2:$BG$101,BG56)</f>
        <v/>
      </c>
      <c r="BK56" s="4">
        <f>COUNTIF($BH$2:$BH$101,BH56)</f>
        <v/>
      </c>
      <c r="BL56" s="3">
        <f t="array" ref="BL56">IF(N(AX56)&gt;=MIN_N,AW56,IF(BK56&gt;=MIN_N,MEDIAN(IF($BH$2:$BH$101=BH56,$O$2:$O$101)),IF(BJ56&gt;=MIN_N,MEDIAN(IF($BG$2:$BG$101=BG56,$O$2:$O$101)),MEDIAN(IF($BF$2:$BF$101=BF56,$O$2:$O$101)))))</f>
        <v/>
      </c>
      <c r="BM56" s="3">
        <f>IF(N(AX56)&gt;=MIN_N,"mercado "&amp;AY56,IF(BK56&gt;=MIN_N,"modelo+año+km",IF(BJ56&gt;=MIN_N,"modelo+año","modelo")))</f>
        <v/>
      </c>
      <c r="BN56" s="4">
        <f>(BL56-O56)/BL56</f>
        <v/>
      </c>
      <c r="BO56" s="3">
        <f>IF(COUNTIFS(FR_FUEL,K56,FR_YEAR,AP56)&gt;0,1,0)</f>
        <v/>
      </c>
      <c r="BP56" s="3">
        <f>IF(COUNTIFS(FR_FUEL,K56,FR_YEAR,AP56-1)&gt;0,1,0)</f>
        <v/>
      </c>
      <c r="BQ56" s="4">
        <f>IF(N(AQ56)&gt;0,AP56*100+AQ56,IF(AND(BO56=1,BP56=1),(AP56-1)*100+1,AP56*100+1))</f>
        <v/>
      </c>
      <c r="BR56" s="3">
        <f>IF(OR(K56="hibrido",K56="glp",K56="gnc",K56="phev"),"ECO",IF(K56="electrico","CERO",IF(K56="gasolina",IF(BQ56&gt;=GAS_C_YM,"C",IF(BQ56&gt;=GAS_B_YM,"B","A")),IF(K56="diesel",IF(BQ56&gt;=DIE_C_YM,"C",IF(BQ56&gt;=DIE_B_YM,"B","A")),""))))</f>
        <v/>
      </c>
      <c r="BS56" s="2" t="inlineStr">
        <is>
          <t>B</t>
        </is>
      </c>
      <c r="BT56" s="4">
        <f>IF(AU56="sí","sí",IF(AS56="regla",IF(AND(N(AQ56)=0,BO56=1),"sí","no"),"no"))</f>
        <v/>
      </c>
      <c r="BU56" s="3">
        <f>IFERROR(VLOOKUP(F56,MOD_TBL,16,0),IFERROR(VLOOKUP(E56,OCU_TBL,2,0),NEUTRO))</f>
        <v/>
      </c>
      <c r="BV56" s="3">
        <f>SUMIFS(MOT_AJUSTE,MOT_MOTOR,G56,MOT_MARCA,E56,MOT_DESDE,"&lt;="&amp;M56,MOT_HASTA,"&gt;="&amp;M56)+SUMIFS(MOT_AJUSTE,MOT_MOTOR,G56,MOT_MARCA,"(todas)",MOT_DESDE,"&lt;="&amp;M56,MOT_HASTA,"&gt;="&amp;M56)+SUMIFS(MOT_AJUSTE,MOT_MOTOR,"(cualquiera)",MOT_MARCA,E56,MOT_DESDE,"&lt;="&amp;M56,MOT_HASTA,"&gt;="&amp;M56)</f>
        <v/>
      </c>
      <c r="BW56" s="3">
        <f>SUMIFS(COMB_AJUSTE,COMB_COMB,K56)</f>
        <v/>
      </c>
      <c r="BX56" s="3">
        <f>COUNTIFS(MOT_MOTOR,G56,MOT_MARCA,E56,MOT_DESDE,"&lt;="&amp;M56,MOT_HASTA,"&gt;="&amp;M56)+COUNTIFS(MOT_MOTOR,G56,MOT_MARCA,"(todas)",MOT_DESDE,"&lt;="&amp;M56,MOT_HASTA,"&gt;="&amp;M56)+COUNTIFS(MOT_MOTOR,"(cualquiera)",MOT_MARCA,E56,MOT_DESDE,"&lt;="&amp;M56,MOT_HASTA,"&gt;="&amp;M56)</f>
        <v/>
      </c>
      <c r="BY56" s="3">
        <f>IF(AND(K56="diesel",BX56=0),MIN(BU56,NEUTRO),BU56)</f>
        <v/>
      </c>
      <c r="BZ56" s="3">
        <f>MAX(0,MIN(100,BY56+BV56+BW56-IF(AV56="sí",ROB_PEN,0)))</f>
        <v/>
      </c>
      <c r="CA56" s="3">
        <f>100-MAX(0,N56-KM_TOPE_DESDE)/1000*KM_TOPE_PTS</f>
        <v/>
      </c>
      <c r="CB56" s="3">
        <f>MAX(0,MIN(100,50+BN56*PRECIO_PEND,CA56))</f>
        <v/>
      </c>
      <c r="CC56" s="3">
        <f>MAX(0,100*(1-N56/KM_MAX))</f>
        <v/>
      </c>
      <c r="CD56" s="3">
        <f>IF(BE56&lt;KMA_SOSP,IF(AA56="sí",100,KMA_PEN),IF(BE56&lt;=KMA_IDEAL_MAX,100,MAX(0,100*(KMA_CERO-BE56)/(KMA_CERO-KMA_IDEAL_MAX))))</f>
        <v/>
      </c>
      <c r="CE56" s="3">
        <f>MAX(0,MIN(100,100*(M56-ANIO_MIN)/(ANIO_ACTUAL-ANIO_MIN)))</f>
        <v/>
      </c>
      <c r="CF56" s="3">
        <f>W_KMT*CC56+W_KMA*CD56+W_EDAD*CE56</f>
        <v/>
      </c>
      <c r="CG56" s="3">
        <f>P_ITV*(V56="sí")+P_LIBRO*(W56="sí")+P_CORREA*(X56="sí")+P_PROP*(Y56=1)+P_GAR*(Z56="sí")+P_FOTOS*MIN(1,N(U56)/FOTOS_OBJ)</f>
        <v/>
      </c>
      <c r="CH56" s="3">
        <f>MAX(0,MIN(100,IFERROR(VLOOKUP(BS56,ETQ_TBL,2,0),0)-IF(BT56="sí",ETQ_PEN_DUD,IF(AS56="regla",ETQ_PEN_REGLA,0))))</f>
        <v/>
      </c>
      <c r="CI56" s="3">
        <f>NEUTRO</f>
        <v/>
      </c>
      <c r="CJ56" s="3">
        <f>IFERROR(VLOOKUP(L56,SEGURO_TBL,3,0),"")</f>
        <v/>
      </c>
      <c r="CK56" s="3">
        <f>IF(CJ56="",NEUTRO,MAX(0,MIN(100,100*(SEG_REF_MAX-CJ56)/(SEG_REF_MAX-SEG_REF_MIN))))</f>
        <v/>
      </c>
      <c r="CL56" s="3">
        <f>W_CONS*CI56+W_SEG*CK56</f>
        <v/>
      </c>
      <c r="CM56" s="3">
        <f>IF(N(AB56)&gt;0,AB56,IF(AND(R56="profesional",SG_LEGAL_ON=1),GAR_LEGAL,0))</f>
        <v/>
      </c>
      <c r="CN56" s="3">
        <f>SG_GAR*MIN(1,CM56/SG_GAR_FULL)+SG_AMPL*(AC56="sí")+SG_KMC*(AF56="sí")+SG_REV*(N(AE56)&gt;0)+SG_DEV*MIN(1,N(AG56)/SG_DEV_FULL)+SG_HIST*(W56="sí")</f>
        <v/>
      </c>
      <c r="CO56" s="3">
        <f>IFERROR(VLOOKUP(L56,CARR_PEN_TBL,2,0),0)</f>
        <v/>
      </c>
      <c r="CP56" s="3">
        <f>W_FIAB*BZ56+W_PRECIO*CB56+W_KMEDAD*CF56+W_ANUNCIO*CG56+W_USO*CL56+W_SEGURIDAD*CN56+W_ETIQUETA*CH56-CO56</f>
        <v/>
      </c>
      <c r="CQ56" s="4">
        <f>IF(N(I56)&gt;0,I56,IFERROR(ROUND(_xlfn.NUMBERVALUE(LEFT(G56,FIND(" ",G56&amp;" ")-1),".")*1000,0),99999))</f>
        <v/>
      </c>
      <c r="CR56" s="3">
        <f>IF(R56="profesional",0,IF(O56&lt;CUOTA_VALOR_MAX,IF(BD56&gt;ITP_TRAMO_ALTO,SUMIFS(CF_CUOTA,CF_MAS,ITP_TRAMO_ALTO,CF_CCMIN,"&lt;="&amp;CQ56,CF_CCMAX,"&gt;="&amp;CQ56),IF(BD56&gt;ITP_TRAMO_BAJO,SUMIFS(CF_CUOTA,CF_MAS,ITP_TRAMO_BAJO,CF_CCMIN,"&lt;="&amp;CQ56,CF_CCMAX,"&gt;="&amp;CQ56),O56*ITP_TIPO)),O56*ITP_TIPO))</f>
        <v/>
      </c>
      <c r="CS56" s="4">
        <f>IF(R56="profesional",N(AK56),0)</f>
        <v/>
      </c>
      <c r="CT56" s="3">
        <f>IF(AND(R56="profesional",ISNUMBER(AK56),AL56="sí"),0,TASA_DGT)</f>
        <v/>
      </c>
      <c r="CU56" s="3">
        <f>INFORME_DGT</f>
        <v/>
      </c>
      <c r="CV56" s="4">
        <f>O56+CS56+CR56+CT56+CU56</f>
        <v/>
      </c>
      <c r="CW56" s="4">
        <f>CV56+N(CJ56)</f>
        <v/>
      </c>
      <c r="CX56" s="3">
        <f>IF(CV56&lt;=TOTAL_MAX,"sí",IF(CV56&lt;=TOTAL_MAX+MARGEN_NEG,"negociar","no"))</f>
        <v/>
      </c>
      <c r="CY56" s="4">
        <f>IF(CX56&lt;&gt;"no",COUNTIFS($CX$2:$CX$101,"&lt;&gt;no",$CP$2:$CP$101,"&gt;"&amp;CP56)+COUNTIFS($CX$2:CX56,"&lt;&gt;no",$CP$2:CP56,CP56),"")</f>
        <v/>
      </c>
    </row>
    <row r="57">
      <c r="A57" s="2" t="inlineStr">
        <is>
          <t>cochesnet:71508169</t>
        </is>
      </c>
      <c r="B57" s="2" t="inlineStr">
        <is>
          <t>cochesnet</t>
        </is>
      </c>
      <c r="C57" s="2" t="inlineStr">
        <is>
          <t>https://www.coches.net/renault-megane-coupecabrio-dynamique-16-16v-2p-gasolina-2007-en-valencia-71508169-covo.aspx</t>
        </is>
      </c>
      <c r="D57" s="2" t="inlineStr">
        <is>
          <t>RENAULT Mégane Coupecabrio Dynamique 1.6 16v</t>
        </is>
      </c>
      <c r="E57" s="2" t="inlineStr">
        <is>
          <t>Renault</t>
        </is>
      </c>
      <c r="F57" s="2" t="inlineStr">
        <is>
          <t>Renault Mégane</t>
        </is>
      </c>
      <c r="G57" s="2" t="inlineStr">
        <is>
          <t>1.6</t>
        </is>
      </c>
      <c r="H57" s="2" t="inlineStr">
        <is>
          <t>Coupecabrio Dynamique 1.6 16v</t>
        </is>
      </c>
      <c r="I57" s="2" t="n"/>
      <c r="J57" s="2" t="n"/>
      <c r="K57" s="2" t="inlineStr">
        <is>
          <t>gasolina</t>
        </is>
      </c>
      <c r="L57" s="2" t="inlineStr">
        <is>
          <t>compacto</t>
        </is>
      </c>
      <c r="M57" s="2" t="n">
        <v>2007</v>
      </c>
      <c r="N57" s="2" t="n">
        <v>115000</v>
      </c>
      <c r="O57" s="2" t="n">
        <v>4500</v>
      </c>
      <c r="P57" s="2" t="inlineStr">
        <is>
          <t>manual</t>
        </is>
      </c>
      <c r="Q57" s="2" t="inlineStr">
        <is>
          <t>no</t>
        </is>
      </c>
      <c r="R57" s="2" t="inlineStr">
        <is>
          <t>profesional</t>
        </is>
      </c>
      <c r="S57" s="2" t="inlineStr">
        <is>
          <t>JM Automóviles Alboraya</t>
        </is>
      </c>
      <c r="T57" s="2" t="inlineStr">
        <is>
          <t>2026-09-14T12:11:39Z</t>
        </is>
      </c>
      <c r="U57" s="2" t="n">
        <v>11</v>
      </c>
      <c r="V57" s="2" t="n"/>
      <c r="W57" s="2" t="n"/>
      <c r="X57" s="2" t="n"/>
      <c r="Y57" s="2" t="n"/>
      <c r="Z57" s="2" t="inlineStr">
        <is>
          <t>sí</t>
        </is>
      </c>
      <c r="AA57" s="2" t="n"/>
      <c r="AB57" s="2" t="n">
        <v>12</v>
      </c>
      <c r="AC57" s="2" t="n"/>
      <c r="AD57" s="2" t="n"/>
      <c r="AE57" s="2" t="n"/>
      <c r="AF57" s="2" t="n"/>
      <c r="AG57" s="2" t="n"/>
      <c r="AH57" s="2" t="n">
        <v>4500</v>
      </c>
      <c r="AI57" s="2" t="n">
        <v>4500</v>
      </c>
      <c r="AJ57" s="2" t="n"/>
      <c r="AK57" s="2" t="n"/>
      <c r="AL57" s="2" t="n"/>
      <c r="AM57" s="2" t="n">
        <v>4</v>
      </c>
      <c r="AN57" s="2" t="n"/>
      <c r="AO57" s="2" t="inlineStr">
        <is>
          <t>2007</t>
        </is>
      </c>
      <c r="AP57" s="2" t="n">
        <v>2007</v>
      </c>
      <c r="AQ57" s="2" t="n"/>
      <c r="AR57" s="2" t="inlineStr">
        <is>
          <t>C</t>
        </is>
      </c>
      <c r="AS57" s="2" t="inlineStr">
        <is>
          <t>anuncio</t>
        </is>
      </c>
      <c r="AT57" s="2" t="n"/>
      <c r="AU57" s="2" t="inlineStr">
        <is>
          <t>no</t>
        </is>
      </c>
      <c r="AV57" s="2" t="inlineStr">
        <is>
          <t>no</t>
        </is>
      </c>
      <c r="AW57" s="2" t="n">
        <v>4500</v>
      </c>
      <c r="AX57" s="2" t="n">
        <v>5</v>
      </c>
      <c r="AY57" s="2" t="inlineStr">
        <is>
          <t>modelo+año+km</t>
        </is>
      </c>
      <c r="AZ57" s="2" t="n"/>
      <c r="BA57" s="2" t="inlineStr">
        <is>
          <t>vendedor profesional: sin ITP (operación con IVA/REBU, confirmar en factura); gastos de gestión del vendedor no indicados: se suma la tasa DGT; preguntar el precio final; revisar: no menciona la ITV</t>
        </is>
      </c>
      <c r="BB57"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BC57" s="2" t="inlineStr">
        <is>
          <t>https://www.coches.net/renault-megane-coupecabrio-dynamique-16-16v-2p-gasolina-2007-en-valencia-71508169-covo.aspx (window.__INITIAL_PROPS__.ad) /home/user/Alopecia/buscador-coches/raw/cochesnet/ae12582aa857913e.json</t>
        </is>
      </c>
      <c r="BD57" s="3">
        <f>MAX(ANIO_ACTUAL-M57,0)</f>
        <v/>
      </c>
      <c r="BE57" s="4">
        <f>N57/MAX(BD57,0.5)</f>
        <v/>
      </c>
      <c r="BF57" s="4">
        <f>F57</f>
        <v/>
      </c>
      <c r="BG57" s="3">
        <f>BF57&amp;"|"&amp;INT(M57/SEG_ANIO)*SEG_ANIO</f>
        <v/>
      </c>
      <c r="BH57" s="3">
        <f>BG57&amp;"|"&amp;INT(N57/SEG_KM)*SEG_KM</f>
        <v/>
      </c>
      <c r="BI57" s="4">
        <f>COUNTIF($BF$2:$BF$101,BF57)</f>
        <v/>
      </c>
      <c r="BJ57" s="4">
        <f>COUNTIF($BG$2:$BG$101,BG57)</f>
        <v/>
      </c>
      <c r="BK57" s="4">
        <f>COUNTIF($BH$2:$BH$101,BH57)</f>
        <v/>
      </c>
      <c r="BL57" s="3">
        <f t="array" ref="BL57">IF(N(AX57)&gt;=MIN_N,AW57,IF(BK57&gt;=MIN_N,MEDIAN(IF($BH$2:$BH$101=BH57,$O$2:$O$101)),IF(BJ57&gt;=MIN_N,MEDIAN(IF($BG$2:$BG$101=BG57,$O$2:$O$101)),MEDIAN(IF($BF$2:$BF$101=BF57,$O$2:$O$101)))))</f>
        <v/>
      </c>
      <c r="BM57" s="3">
        <f>IF(N(AX57)&gt;=MIN_N,"mercado "&amp;AY57,IF(BK57&gt;=MIN_N,"modelo+año+km",IF(BJ57&gt;=MIN_N,"modelo+año","modelo")))</f>
        <v/>
      </c>
      <c r="BN57" s="4">
        <f>(BL57-O57)/BL57</f>
        <v/>
      </c>
      <c r="BO57" s="3">
        <f>IF(COUNTIFS(FR_FUEL,K57,FR_YEAR,AP57)&gt;0,1,0)</f>
        <v/>
      </c>
      <c r="BP57" s="3">
        <f>IF(COUNTIFS(FR_FUEL,K57,FR_YEAR,AP57-1)&gt;0,1,0)</f>
        <v/>
      </c>
      <c r="BQ57" s="4">
        <f>IF(N(AQ57)&gt;0,AP57*100+AQ57,IF(AND(BO57=1,BP57=1),(AP57-1)*100+1,AP57*100+1))</f>
        <v/>
      </c>
      <c r="BR57" s="3">
        <f>IF(OR(K57="hibrido",K57="glp",K57="gnc",K57="phev"),"ECO",IF(K57="electrico","CERO",IF(K57="gasolina",IF(BQ57&gt;=GAS_C_YM,"C",IF(BQ57&gt;=GAS_B_YM,"B","A")),IF(K57="diesel",IF(BQ57&gt;=DIE_C_YM,"C",IF(BQ57&gt;=DIE_B_YM,"B","A")),""))))</f>
        <v/>
      </c>
      <c r="BS57" s="2" t="inlineStr">
        <is>
          <t>C</t>
        </is>
      </c>
      <c r="BT57" s="4">
        <f>IF(AU57="sí","sí",IF(AS57="regla",IF(AND(N(AQ57)=0,BO57=1),"sí","no"),"no"))</f>
        <v/>
      </c>
      <c r="BU57" s="3">
        <f>IFERROR(VLOOKUP(F57,MOD_TBL,16,0),IFERROR(VLOOKUP(E57,OCU_TBL,2,0),NEUTRO))</f>
        <v/>
      </c>
      <c r="BV57" s="3">
        <f>SUMIFS(MOT_AJUSTE,MOT_MOTOR,G57,MOT_MARCA,E57,MOT_DESDE,"&lt;="&amp;M57,MOT_HASTA,"&gt;="&amp;M57)+SUMIFS(MOT_AJUSTE,MOT_MOTOR,G57,MOT_MARCA,"(todas)",MOT_DESDE,"&lt;="&amp;M57,MOT_HASTA,"&gt;="&amp;M57)+SUMIFS(MOT_AJUSTE,MOT_MOTOR,"(cualquiera)",MOT_MARCA,E57,MOT_DESDE,"&lt;="&amp;M57,MOT_HASTA,"&gt;="&amp;M57)</f>
        <v/>
      </c>
      <c r="BW57" s="3">
        <f>SUMIFS(COMB_AJUSTE,COMB_COMB,K57)</f>
        <v/>
      </c>
      <c r="BX57" s="3">
        <f>COUNTIFS(MOT_MOTOR,G57,MOT_MARCA,E57,MOT_DESDE,"&lt;="&amp;M57,MOT_HASTA,"&gt;="&amp;M57)+COUNTIFS(MOT_MOTOR,G57,MOT_MARCA,"(todas)",MOT_DESDE,"&lt;="&amp;M57,MOT_HASTA,"&gt;="&amp;M57)+COUNTIFS(MOT_MOTOR,"(cualquiera)",MOT_MARCA,E57,MOT_DESDE,"&lt;="&amp;M57,MOT_HASTA,"&gt;="&amp;M57)</f>
        <v/>
      </c>
      <c r="BY57" s="3">
        <f>IF(AND(K57="diesel",BX57=0),MIN(BU57,NEUTRO),BU57)</f>
        <v/>
      </c>
      <c r="BZ57" s="3">
        <f>MAX(0,MIN(100,BY57+BV57+BW57-IF(AV57="sí",ROB_PEN,0)))</f>
        <v/>
      </c>
      <c r="CA57" s="3">
        <f>100-MAX(0,N57-KM_TOPE_DESDE)/1000*KM_TOPE_PTS</f>
        <v/>
      </c>
      <c r="CB57" s="3">
        <f>MAX(0,MIN(100,50+BN57*PRECIO_PEND,CA57))</f>
        <v/>
      </c>
      <c r="CC57" s="3">
        <f>MAX(0,100*(1-N57/KM_MAX))</f>
        <v/>
      </c>
      <c r="CD57" s="3">
        <f>IF(BE57&lt;KMA_SOSP,IF(AA57="sí",100,KMA_PEN),IF(BE57&lt;=KMA_IDEAL_MAX,100,MAX(0,100*(KMA_CERO-BE57)/(KMA_CERO-KMA_IDEAL_MAX))))</f>
        <v/>
      </c>
      <c r="CE57" s="3">
        <f>MAX(0,MIN(100,100*(M57-ANIO_MIN)/(ANIO_ACTUAL-ANIO_MIN)))</f>
        <v/>
      </c>
      <c r="CF57" s="3">
        <f>W_KMT*CC57+W_KMA*CD57+W_EDAD*CE57</f>
        <v/>
      </c>
      <c r="CG57" s="3">
        <f>P_ITV*(V57="sí")+P_LIBRO*(W57="sí")+P_CORREA*(X57="sí")+P_PROP*(Y57=1)+P_GAR*(Z57="sí")+P_FOTOS*MIN(1,N(U57)/FOTOS_OBJ)</f>
        <v/>
      </c>
      <c r="CH57" s="3">
        <f>MAX(0,MIN(100,IFERROR(VLOOKUP(BS57,ETQ_TBL,2,0),0)-IF(BT57="sí",ETQ_PEN_DUD,IF(AS57="regla",ETQ_PEN_REGLA,0))))</f>
        <v/>
      </c>
      <c r="CI57" s="3">
        <f>NEUTRO</f>
        <v/>
      </c>
      <c r="CJ57" s="3">
        <f>IFERROR(VLOOKUP(L57,SEGURO_TBL,3,0),"")</f>
        <v/>
      </c>
      <c r="CK57" s="3">
        <f>IF(CJ57="",NEUTRO,MAX(0,MIN(100,100*(SEG_REF_MAX-CJ57)/(SEG_REF_MAX-SEG_REF_MIN))))</f>
        <v/>
      </c>
      <c r="CL57" s="3">
        <f>W_CONS*CI57+W_SEG*CK57</f>
        <v/>
      </c>
      <c r="CM57" s="3">
        <f>IF(N(AB57)&gt;0,AB57,IF(AND(R57="profesional",SG_LEGAL_ON=1),GAR_LEGAL,0))</f>
        <v/>
      </c>
      <c r="CN57" s="3">
        <f>SG_GAR*MIN(1,CM57/SG_GAR_FULL)+SG_AMPL*(AC57="sí")+SG_KMC*(AF57="sí")+SG_REV*(N(AE57)&gt;0)+SG_DEV*MIN(1,N(AG57)/SG_DEV_FULL)+SG_HIST*(W57="sí")</f>
        <v/>
      </c>
      <c r="CO57" s="3">
        <f>IFERROR(VLOOKUP(L57,CARR_PEN_TBL,2,0),0)</f>
        <v/>
      </c>
      <c r="CP57" s="3">
        <f>W_FIAB*BZ57+W_PRECIO*CB57+W_KMEDAD*CF57+W_ANUNCIO*CG57+W_USO*CL57+W_SEGURIDAD*CN57+W_ETIQUETA*CH57-CO57</f>
        <v/>
      </c>
      <c r="CQ57" s="4">
        <f>IF(N(I57)&gt;0,I57,IFERROR(ROUND(_xlfn.NUMBERVALUE(LEFT(G57,FIND(" ",G57&amp;" ")-1),".")*1000,0),99999))</f>
        <v/>
      </c>
      <c r="CR57" s="3">
        <f>IF(R57="profesional",0,IF(O57&lt;CUOTA_VALOR_MAX,IF(BD57&gt;ITP_TRAMO_ALTO,SUMIFS(CF_CUOTA,CF_MAS,ITP_TRAMO_ALTO,CF_CCMIN,"&lt;="&amp;CQ57,CF_CCMAX,"&gt;="&amp;CQ57),IF(BD57&gt;ITP_TRAMO_BAJO,SUMIFS(CF_CUOTA,CF_MAS,ITP_TRAMO_BAJO,CF_CCMIN,"&lt;="&amp;CQ57,CF_CCMAX,"&gt;="&amp;CQ57),O57*ITP_TIPO)),O57*ITP_TIPO))</f>
        <v/>
      </c>
      <c r="CS57" s="4">
        <f>IF(R57="profesional",N(AK57),0)</f>
        <v/>
      </c>
      <c r="CT57" s="3">
        <f>IF(AND(R57="profesional",ISNUMBER(AK57),AL57="sí"),0,TASA_DGT)</f>
        <v/>
      </c>
      <c r="CU57" s="3">
        <f>INFORME_DGT</f>
        <v/>
      </c>
      <c r="CV57" s="4">
        <f>O57+CS57+CR57+CT57+CU57</f>
        <v/>
      </c>
      <c r="CW57" s="4">
        <f>CV57+N(CJ57)</f>
        <v/>
      </c>
      <c r="CX57" s="3">
        <f>IF(CV57&lt;=TOTAL_MAX,"sí",IF(CV57&lt;=TOTAL_MAX+MARGEN_NEG,"negociar","no"))</f>
        <v/>
      </c>
      <c r="CY57" s="4">
        <f>IF(CX57&lt;&gt;"no",COUNTIFS($CX$2:$CX$101,"&lt;&gt;no",$CP$2:$CP$101,"&gt;"&amp;CP57)+COUNTIFS($CX$2:CX57,"&lt;&gt;no",$CP$2:CP57,CP57),"")</f>
        <v/>
      </c>
    </row>
    <row r="58">
      <c r="A58" s="2" t="inlineStr">
        <is>
          <t>cochesnet:71662456</t>
        </is>
      </c>
      <c r="B58" s="2" t="inlineStr">
        <is>
          <t>cochesnet</t>
        </is>
      </c>
      <c r="C58" s="2" t="inlineStr">
        <is>
          <t>https://www.coches.net/renault-megane-coupecabrio-dynamique-16-16v-2p-gasolina-2007-en-valencia-71662456-covo.aspx</t>
        </is>
      </c>
      <c r="D58" s="2" t="inlineStr">
        <is>
          <t>RENAULT Mégane Coupecabrio Dynamique 1.6 16v</t>
        </is>
      </c>
      <c r="E58" s="2" t="inlineStr">
        <is>
          <t>Renault</t>
        </is>
      </c>
      <c r="F58" s="2" t="inlineStr">
        <is>
          <t>Renault Mégane</t>
        </is>
      </c>
      <c r="G58" s="2" t="inlineStr">
        <is>
          <t>1.6</t>
        </is>
      </c>
      <c r="H58" s="2" t="inlineStr">
        <is>
          <t>Coupecabrio Dynamique 1.6 16v</t>
        </is>
      </c>
      <c r="I58" s="2" t="n"/>
      <c r="J58" s="2" t="n"/>
      <c r="K58" s="2" t="inlineStr">
        <is>
          <t>gasolina</t>
        </is>
      </c>
      <c r="L58" s="2" t="inlineStr">
        <is>
          <t>compacto</t>
        </is>
      </c>
      <c r="M58" s="2" t="n">
        <v>2007</v>
      </c>
      <c r="N58" s="2" t="n">
        <v>183000</v>
      </c>
      <c r="O58" s="2" t="n">
        <v>4750</v>
      </c>
      <c r="P58" s="2" t="inlineStr">
        <is>
          <t>manual</t>
        </is>
      </c>
      <c r="Q58" s="2" t="inlineStr">
        <is>
          <t>no</t>
        </is>
      </c>
      <c r="R58" s="2" t="inlineStr">
        <is>
          <t>profesional</t>
        </is>
      </c>
      <c r="S58" s="2" t="inlineStr">
        <is>
          <t>JM Automóviles Alboraya</t>
        </is>
      </c>
      <c r="T58" s="2" t="inlineStr">
        <is>
          <t>2026-10-02T23:57:31Z</t>
        </is>
      </c>
      <c r="U58" s="2" t="n">
        <v>10</v>
      </c>
      <c r="V58" s="2" t="n"/>
      <c r="W58" s="2" t="inlineStr">
        <is>
          <t>sí</t>
        </is>
      </c>
      <c r="X58" s="2" t="n"/>
      <c r="Y58" s="2" t="n"/>
      <c r="Z58" s="2" t="inlineStr">
        <is>
          <t>sí</t>
        </is>
      </c>
      <c r="AA58" s="2" t="n"/>
      <c r="AB58" s="2" t="n">
        <v>12</v>
      </c>
      <c r="AC58" s="2" t="n"/>
      <c r="AD58" s="2" t="n"/>
      <c r="AE58" s="2" t="n"/>
      <c r="AF58" s="2" t="n"/>
      <c r="AG58" s="2" t="n"/>
      <c r="AH58" s="2" t="n">
        <v>4750</v>
      </c>
      <c r="AI58" s="2" t="n">
        <v>4750</v>
      </c>
      <c r="AJ58" s="2" t="n"/>
      <c r="AK58" s="2" t="n"/>
      <c r="AL58" s="2" t="n"/>
      <c r="AM58" s="2" t="n">
        <v>4</v>
      </c>
      <c r="AN58" s="2" t="n"/>
      <c r="AO58" s="2" t="inlineStr">
        <is>
          <t>2007</t>
        </is>
      </c>
      <c r="AP58" s="2" t="n">
        <v>2007</v>
      </c>
      <c r="AQ58" s="2" t="n"/>
      <c r="AR58" s="2" t="inlineStr">
        <is>
          <t>C</t>
        </is>
      </c>
      <c r="AS58" s="2" t="inlineStr">
        <is>
          <t>anuncio</t>
        </is>
      </c>
      <c r="AT58" s="2" t="n"/>
      <c r="AU58" s="2" t="inlineStr">
        <is>
          <t>no</t>
        </is>
      </c>
      <c r="AV58" s="2" t="inlineStr">
        <is>
          <t>no</t>
        </is>
      </c>
      <c r="AW58" s="2" t="n">
        <v>3850</v>
      </c>
      <c r="AX58" s="2" t="n">
        <v>6</v>
      </c>
      <c r="AY58" s="2" t="inlineStr">
        <is>
          <t>modelo+año+km</t>
        </is>
      </c>
      <c r="AZ58" s="2" t="n"/>
      <c r="BA58" s="2" t="inlineStr">
        <is>
          <t>vendedor profesional: sin ITP (operación con IVA/REBU, confirmar en factura); gastos de gestión del vendedor no indicados: se suma la tasa DGT; preguntar el precio final; revisar: no menciona la ITV</t>
        </is>
      </c>
      <c r="BB58"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BC58" s="2" t="inlineStr">
        <is>
          <t>https://www.coches.net/renault-megane-coupecabrio-dynamique-16-16v-2p-gasolina-2007-en-valencia-71662456-covo.aspx (window.__INITIAL_PROPS__.ad) /home/user/Alopecia/buscador-coches/raw/cochesnet/2e16acfbd04d922b.json</t>
        </is>
      </c>
      <c r="BD58" s="3">
        <f>MAX(ANIO_ACTUAL-M58,0)</f>
        <v/>
      </c>
      <c r="BE58" s="4">
        <f>N58/MAX(BD58,0.5)</f>
        <v/>
      </c>
      <c r="BF58" s="4">
        <f>F58</f>
        <v/>
      </c>
      <c r="BG58" s="3">
        <f>BF58&amp;"|"&amp;INT(M58/SEG_ANIO)*SEG_ANIO</f>
        <v/>
      </c>
      <c r="BH58" s="3">
        <f>BG58&amp;"|"&amp;INT(N58/SEG_KM)*SEG_KM</f>
        <v/>
      </c>
      <c r="BI58" s="4">
        <f>COUNTIF($BF$2:$BF$101,BF58)</f>
        <v/>
      </c>
      <c r="BJ58" s="4">
        <f>COUNTIF($BG$2:$BG$101,BG58)</f>
        <v/>
      </c>
      <c r="BK58" s="4">
        <f>COUNTIF($BH$2:$BH$101,BH58)</f>
        <v/>
      </c>
      <c r="BL58" s="3">
        <f t="array" ref="BL58">IF(N(AX58)&gt;=MIN_N,AW58,IF(BK58&gt;=MIN_N,MEDIAN(IF($BH$2:$BH$101=BH58,$O$2:$O$101)),IF(BJ58&gt;=MIN_N,MEDIAN(IF($BG$2:$BG$101=BG58,$O$2:$O$101)),MEDIAN(IF($BF$2:$BF$101=BF58,$O$2:$O$101)))))</f>
        <v/>
      </c>
      <c r="BM58" s="3">
        <f>IF(N(AX58)&gt;=MIN_N,"mercado "&amp;AY58,IF(BK58&gt;=MIN_N,"modelo+año+km",IF(BJ58&gt;=MIN_N,"modelo+año","modelo")))</f>
        <v/>
      </c>
      <c r="BN58" s="4">
        <f>(BL58-O58)/BL58</f>
        <v/>
      </c>
      <c r="BO58" s="3">
        <f>IF(COUNTIFS(FR_FUEL,K58,FR_YEAR,AP58)&gt;0,1,0)</f>
        <v/>
      </c>
      <c r="BP58" s="3">
        <f>IF(COUNTIFS(FR_FUEL,K58,FR_YEAR,AP58-1)&gt;0,1,0)</f>
        <v/>
      </c>
      <c r="BQ58" s="4">
        <f>IF(N(AQ58)&gt;0,AP58*100+AQ58,IF(AND(BO58=1,BP58=1),(AP58-1)*100+1,AP58*100+1))</f>
        <v/>
      </c>
      <c r="BR58" s="3">
        <f>IF(OR(K58="hibrido",K58="glp",K58="gnc",K58="phev"),"ECO",IF(K58="electrico","CERO",IF(K58="gasolina",IF(BQ58&gt;=GAS_C_YM,"C",IF(BQ58&gt;=GAS_B_YM,"B","A")),IF(K58="diesel",IF(BQ58&gt;=DIE_C_YM,"C",IF(BQ58&gt;=DIE_B_YM,"B","A")),""))))</f>
        <v/>
      </c>
      <c r="BS58" s="2" t="inlineStr">
        <is>
          <t>C</t>
        </is>
      </c>
      <c r="BT58" s="4">
        <f>IF(AU58="sí","sí",IF(AS58="regla",IF(AND(N(AQ58)=0,BO58=1),"sí","no"),"no"))</f>
        <v/>
      </c>
      <c r="BU58" s="3">
        <f>IFERROR(VLOOKUP(F58,MOD_TBL,16,0),IFERROR(VLOOKUP(E58,OCU_TBL,2,0),NEUTRO))</f>
        <v/>
      </c>
      <c r="BV58" s="3">
        <f>SUMIFS(MOT_AJUSTE,MOT_MOTOR,G58,MOT_MARCA,E58,MOT_DESDE,"&lt;="&amp;M58,MOT_HASTA,"&gt;="&amp;M58)+SUMIFS(MOT_AJUSTE,MOT_MOTOR,G58,MOT_MARCA,"(todas)",MOT_DESDE,"&lt;="&amp;M58,MOT_HASTA,"&gt;="&amp;M58)+SUMIFS(MOT_AJUSTE,MOT_MOTOR,"(cualquiera)",MOT_MARCA,E58,MOT_DESDE,"&lt;="&amp;M58,MOT_HASTA,"&gt;="&amp;M58)</f>
        <v/>
      </c>
      <c r="BW58" s="3">
        <f>SUMIFS(COMB_AJUSTE,COMB_COMB,K58)</f>
        <v/>
      </c>
      <c r="BX58" s="3">
        <f>COUNTIFS(MOT_MOTOR,G58,MOT_MARCA,E58,MOT_DESDE,"&lt;="&amp;M58,MOT_HASTA,"&gt;="&amp;M58)+COUNTIFS(MOT_MOTOR,G58,MOT_MARCA,"(todas)",MOT_DESDE,"&lt;="&amp;M58,MOT_HASTA,"&gt;="&amp;M58)+COUNTIFS(MOT_MOTOR,"(cualquiera)",MOT_MARCA,E58,MOT_DESDE,"&lt;="&amp;M58,MOT_HASTA,"&gt;="&amp;M58)</f>
        <v/>
      </c>
      <c r="BY58" s="3">
        <f>IF(AND(K58="diesel",BX58=0),MIN(BU58,NEUTRO),BU58)</f>
        <v/>
      </c>
      <c r="BZ58" s="3">
        <f>MAX(0,MIN(100,BY58+BV58+BW58-IF(AV58="sí",ROB_PEN,0)))</f>
        <v/>
      </c>
      <c r="CA58" s="3">
        <f>100-MAX(0,N58-KM_TOPE_DESDE)/1000*KM_TOPE_PTS</f>
        <v/>
      </c>
      <c r="CB58" s="3">
        <f>MAX(0,MIN(100,50+BN58*PRECIO_PEND,CA58))</f>
        <v/>
      </c>
      <c r="CC58" s="3">
        <f>MAX(0,100*(1-N58/KM_MAX))</f>
        <v/>
      </c>
      <c r="CD58" s="3">
        <f>IF(BE58&lt;KMA_SOSP,IF(AA58="sí",100,KMA_PEN),IF(BE58&lt;=KMA_IDEAL_MAX,100,MAX(0,100*(KMA_CERO-BE58)/(KMA_CERO-KMA_IDEAL_MAX))))</f>
        <v/>
      </c>
      <c r="CE58" s="3">
        <f>MAX(0,MIN(100,100*(M58-ANIO_MIN)/(ANIO_ACTUAL-ANIO_MIN)))</f>
        <v/>
      </c>
      <c r="CF58" s="3">
        <f>W_KMT*CC58+W_KMA*CD58+W_EDAD*CE58</f>
        <v/>
      </c>
      <c r="CG58" s="3">
        <f>P_ITV*(V58="sí")+P_LIBRO*(W58="sí")+P_CORREA*(X58="sí")+P_PROP*(Y58=1)+P_GAR*(Z58="sí")+P_FOTOS*MIN(1,N(U58)/FOTOS_OBJ)</f>
        <v/>
      </c>
      <c r="CH58" s="3">
        <f>MAX(0,MIN(100,IFERROR(VLOOKUP(BS58,ETQ_TBL,2,0),0)-IF(BT58="sí",ETQ_PEN_DUD,IF(AS58="regla",ETQ_PEN_REGLA,0))))</f>
        <v/>
      </c>
      <c r="CI58" s="3">
        <f>NEUTRO</f>
        <v/>
      </c>
      <c r="CJ58" s="3">
        <f>IFERROR(VLOOKUP(L58,SEGURO_TBL,3,0),"")</f>
        <v/>
      </c>
      <c r="CK58" s="3">
        <f>IF(CJ58="",NEUTRO,MAX(0,MIN(100,100*(SEG_REF_MAX-CJ58)/(SEG_REF_MAX-SEG_REF_MIN))))</f>
        <v/>
      </c>
      <c r="CL58" s="3">
        <f>W_CONS*CI58+W_SEG*CK58</f>
        <v/>
      </c>
      <c r="CM58" s="3">
        <f>IF(N(AB58)&gt;0,AB58,IF(AND(R58="profesional",SG_LEGAL_ON=1),GAR_LEGAL,0))</f>
        <v/>
      </c>
      <c r="CN58" s="3">
        <f>SG_GAR*MIN(1,CM58/SG_GAR_FULL)+SG_AMPL*(AC58="sí")+SG_KMC*(AF58="sí")+SG_REV*(N(AE58)&gt;0)+SG_DEV*MIN(1,N(AG58)/SG_DEV_FULL)+SG_HIST*(W58="sí")</f>
        <v/>
      </c>
      <c r="CO58" s="3">
        <f>IFERROR(VLOOKUP(L58,CARR_PEN_TBL,2,0),0)</f>
        <v/>
      </c>
      <c r="CP58" s="3">
        <f>W_FIAB*BZ58+W_PRECIO*CB58+W_KMEDAD*CF58+W_ANUNCIO*CG58+W_USO*CL58+W_SEGURIDAD*CN58+W_ETIQUETA*CH58-CO58</f>
        <v/>
      </c>
      <c r="CQ58" s="4">
        <f>IF(N(I58)&gt;0,I58,IFERROR(ROUND(_xlfn.NUMBERVALUE(LEFT(G58,FIND(" ",G58&amp;" ")-1),".")*1000,0),99999))</f>
        <v/>
      </c>
      <c r="CR58" s="3">
        <f>IF(R58="profesional",0,IF(O58&lt;CUOTA_VALOR_MAX,IF(BD58&gt;ITP_TRAMO_ALTO,SUMIFS(CF_CUOTA,CF_MAS,ITP_TRAMO_ALTO,CF_CCMIN,"&lt;="&amp;CQ58,CF_CCMAX,"&gt;="&amp;CQ58),IF(BD58&gt;ITP_TRAMO_BAJO,SUMIFS(CF_CUOTA,CF_MAS,ITP_TRAMO_BAJO,CF_CCMIN,"&lt;="&amp;CQ58,CF_CCMAX,"&gt;="&amp;CQ58),O58*ITP_TIPO)),O58*ITP_TIPO))</f>
        <v/>
      </c>
      <c r="CS58" s="4">
        <f>IF(R58="profesional",N(AK58),0)</f>
        <v/>
      </c>
      <c r="CT58" s="3">
        <f>IF(AND(R58="profesional",ISNUMBER(AK58),AL58="sí"),0,TASA_DGT)</f>
        <v/>
      </c>
      <c r="CU58" s="3">
        <f>INFORME_DGT</f>
        <v/>
      </c>
      <c r="CV58" s="4">
        <f>O58+CS58+CR58+CT58+CU58</f>
        <v/>
      </c>
      <c r="CW58" s="4">
        <f>CV58+N(CJ58)</f>
        <v/>
      </c>
      <c r="CX58" s="3">
        <f>IF(CV58&lt;=TOTAL_MAX,"sí",IF(CV58&lt;=TOTAL_MAX+MARGEN_NEG,"negociar","no"))</f>
        <v/>
      </c>
      <c r="CY58" s="4">
        <f>IF(CX58&lt;&gt;"no",COUNTIFS($CX$2:$CX$101,"&lt;&gt;no",$CP$2:$CP$101,"&gt;"&amp;CP58)+COUNTIFS($CX$2:CX58,"&lt;&gt;no",$CP$2:CP58,CP58),"")</f>
        <v/>
      </c>
    </row>
    <row r="59">
      <c r="A59" s="2" t="inlineStr">
        <is>
          <t>cochesnet:71813489</t>
        </is>
      </c>
      <c r="B59" s="2" t="inlineStr">
        <is>
          <t>cochesnet</t>
        </is>
      </c>
      <c r="C59" s="2" t="inlineStr">
        <is>
          <t>https://www.coches.net/renault-clio-grand-tour-tom-tom-ed-15dci-85cv-eco2-5p-diesel-2009-en-valencia-71813489-covo.aspx</t>
        </is>
      </c>
      <c r="D59" s="2" t="inlineStr">
        <is>
          <t>RENAULT Clio Grand Tour Tom Tom Ed. 1.5dCi eco2</t>
        </is>
      </c>
      <c r="E59" s="2" t="inlineStr">
        <is>
          <t>Renault</t>
        </is>
      </c>
      <c r="F59" s="2" t="inlineStr">
        <is>
          <t>Renault Clio</t>
        </is>
      </c>
      <c r="G59" s="2" t="inlineStr">
        <is>
          <t>1.5</t>
        </is>
      </c>
      <c r="H59" s="2" t="inlineStr">
        <is>
          <t>Grand Tour Tom Tom Ed. 1.5dCi 85cv eco2</t>
        </is>
      </c>
      <c r="I59" s="2" t="n"/>
      <c r="J59" s="2" t="n">
        <v>85</v>
      </c>
      <c r="K59" s="2" t="inlineStr">
        <is>
          <t>diesel</t>
        </is>
      </c>
      <c r="L59" s="2" t="inlineStr">
        <is>
          <t>familiar</t>
        </is>
      </c>
      <c r="M59" s="2" t="n">
        <v>2010</v>
      </c>
      <c r="N59" s="2" t="n">
        <v>169000</v>
      </c>
      <c r="O59" s="2" t="n">
        <v>4990</v>
      </c>
      <c r="P59" s="2" t="inlineStr">
        <is>
          <t>manual</t>
        </is>
      </c>
      <c r="Q59" s="2" t="inlineStr">
        <is>
          <t>no</t>
        </is>
      </c>
      <c r="R59" s="2" t="inlineStr">
        <is>
          <t>profesional</t>
        </is>
      </c>
      <c r="S59" s="2" t="inlineStr">
        <is>
          <t>Saga Vehículos Massanassa</t>
        </is>
      </c>
      <c r="T59" s="2" t="inlineStr">
        <is>
          <t>2026-10-22T23:11:41Z</t>
        </is>
      </c>
      <c r="U59" s="2" t="n">
        <v>27</v>
      </c>
      <c r="V59" s="2" t="n"/>
      <c r="W59" s="2" t="n"/>
      <c r="X59" s="2" t="n"/>
      <c r="Y59" s="2" t="n"/>
      <c r="Z59" s="2" t="inlineStr">
        <is>
          <t>sí</t>
        </is>
      </c>
      <c r="AA59" s="2" t="n"/>
      <c r="AB59" s="2" t="n">
        <v>12</v>
      </c>
      <c r="AC59" s="2" t="inlineStr">
        <is>
          <t>sí</t>
        </is>
      </c>
      <c r="AD59" s="2" t="n"/>
      <c r="AE59" s="2" t="n"/>
      <c r="AF59" s="2" t="n"/>
      <c r="AG59" s="2" t="n"/>
      <c r="AH59" s="2" t="n">
        <v>4990</v>
      </c>
      <c r="AI59" s="2" t="n">
        <v>4990</v>
      </c>
      <c r="AJ59" s="2" t="n"/>
      <c r="AK59" s="2" t="n">
        <v>350</v>
      </c>
      <c r="AL59" s="2" t="inlineStr">
        <is>
          <t>no</t>
        </is>
      </c>
      <c r="AM59" s="2" t="n">
        <v>6.9</v>
      </c>
      <c r="AN59" s="2" t="n"/>
      <c r="AO59" s="2" t="inlineStr">
        <is>
          <t>2010</t>
        </is>
      </c>
      <c r="AP59" s="2" t="n">
        <v>2010</v>
      </c>
      <c r="AQ59" s="2" t="n"/>
      <c r="AR59" s="2" t="inlineStr">
        <is>
          <t>B</t>
        </is>
      </c>
      <c r="AS59" s="2" t="inlineStr">
        <is>
          <t>anuncio</t>
        </is>
      </c>
      <c r="AT59" s="2" t="n">
        <v>2009</v>
      </c>
      <c r="AU59" s="2" t="inlineStr">
        <is>
          <t>no</t>
        </is>
      </c>
      <c r="AV59" s="2" t="inlineStr">
        <is>
          <t>no</t>
        </is>
      </c>
      <c r="AW59" s="2" t="n">
        <v>4200</v>
      </c>
      <c r="AX59" s="2" t="n">
        <v>7</v>
      </c>
      <c r="AY59" s="2" t="inlineStr">
        <is>
          <t>modelo+año+km</t>
        </is>
      </c>
      <c r="AZ59" s="2" t="n"/>
      <c r="BA59" s="2" t="inlineStr">
        <is>
          <t>año a confirmar: la URL/título dice 2009; vendedor profesional: sin ITP (operación con IVA/REBU, confirmar en factura); gastos del vendedor sin indicar si incluyen la transferencia: se suma la tasa DGT; diésel: motor sin fuente de fiabilidad (fiabilidad limitada a neutra); carrocería familiar: -3 puntos; revisar: no menciona la ITV</t>
        </is>
      </c>
      <c r="BB59" s="2" t="inlineStr">
        <is>
          <t xml:space="preserve">Renault Clio Grand Tour TomTom Edition 1.5 dCi, 85CV, diésel,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dual zone 
- Dirección asistida
- Frenos ABS/EBD
- Control de estabilidad ESP
- Airbags
- Control de crucero
- Ordenador abordo
- GPS navegación
- Sistema multimedia Bluetooth
- Llaves presencial con mandos a distancia y mucho mas....
Este anuncio no es vinculante, se muestra a titulo informativo y no contractual.
</t>
        </is>
      </c>
      <c r="BC59" s="2" t="inlineStr">
        <is>
          <t>https://www.coches.net/renault-clio-grand-tour-tom-tom-ed-15dci-85cv-eco2-5p-diesel-2009-en-valencia-71813489-covo.aspx (window.__INITIAL_PROPS__.ad) /home/user/Alopecia/buscador-coches/raw/cochesnet/7ee0d18bab544b17.json</t>
        </is>
      </c>
      <c r="BD59" s="3">
        <f>MAX(ANIO_ACTUAL-M59,0)</f>
        <v/>
      </c>
      <c r="BE59" s="4">
        <f>N59/MAX(BD59,0.5)</f>
        <v/>
      </c>
      <c r="BF59" s="4">
        <f>F59</f>
        <v/>
      </c>
      <c r="BG59" s="3">
        <f>BF59&amp;"|"&amp;INT(M59/SEG_ANIO)*SEG_ANIO</f>
        <v/>
      </c>
      <c r="BH59" s="3">
        <f>BG59&amp;"|"&amp;INT(N59/SEG_KM)*SEG_KM</f>
        <v/>
      </c>
      <c r="BI59" s="4">
        <f>COUNTIF($BF$2:$BF$101,BF59)</f>
        <v/>
      </c>
      <c r="BJ59" s="4">
        <f>COUNTIF($BG$2:$BG$101,BG59)</f>
        <v/>
      </c>
      <c r="BK59" s="4">
        <f>COUNTIF($BH$2:$BH$101,BH59)</f>
        <v/>
      </c>
      <c r="BL59" s="3">
        <f t="array" ref="BL59">IF(N(AX59)&gt;=MIN_N,AW59,IF(BK59&gt;=MIN_N,MEDIAN(IF($BH$2:$BH$101=BH59,$O$2:$O$101)),IF(BJ59&gt;=MIN_N,MEDIAN(IF($BG$2:$BG$101=BG59,$O$2:$O$101)),MEDIAN(IF($BF$2:$BF$101=BF59,$O$2:$O$101)))))</f>
        <v/>
      </c>
      <c r="BM59" s="3">
        <f>IF(N(AX59)&gt;=MIN_N,"mercado "&amp;AY59,IF(BK59&gt;=MIN_N,"modelo+año+km",IF(BJ59&gt;=MIN_N,"modelo+año","modelo")))</f>
        <v/>
      </c>
      <c r="BN59" s="4">
        <f>(BL59-O59)/BL59</f>
        <v/>
      </c>
      <c r="BO59" s="3">
        <f>IF(COUNTIFS(FR_FUEL,K59,FR_YEAR,AP59)&gt;0,1,0)</f>
        <v/>
      </c>
      <c r="BP59" s="3">
        <f>IF(COUNTIFS(FR_FUEL,K59,FR_YEAR,AP59-1)&gt;0,1,0)</f>
        <v/>
      </c>
      <c r="BQ59" s="4">
        <f>IF(N(AQ59)&gt;0,AP59*100+AQ59,IF(AND(BO59=1,BP59=1),(AP59-1)*100+1,AP59*100+1))</f>
        <v/>
      </c>
      <c r="BR59" s="3">
        <f>IF(OR(K59="hibrido",K59="glp",K59="gnc",K59="phev"),"ECO",IF(K59="electrico","CERO",IF(K59="gasolina",IF(BQ59&gt;=GAS_C_YM,"C",IF(BQ59&gt;=GAS_B_YM,"B","A")),IF(K59="diesel",IF(BQ59&gt;=DIE_C_YM,"C",IF(BQ59&gt;=DIE_B_YM,"B","A")),""))))</f>
        <v/>
      </c>
      <c r="BS59" s="2" t="inlineStr">
        <is>
          <t>B</t>
        </is>
      </c>
      <c r="BT59" s="4">
        <f>IF(AU59="sí","sí",IF(AS59="regla",IF(AND(N(AQ59)=0,BO59=1),"sí","no"),"no"))</f>
        <v/>
      </c>
      <c r="BU59" s="3">
        <f>IFERROR(VLOOKUP(F59,MOD_TBL,16,0),IFERROR(VLOOKUP(E59,OCU_TBL,2,0),NEUTRO))</f>
        <v/>
      </c>
      <c r="BV59" s="3">
        <f>SUMIFS(MOT_AJUSTE,MOT_MOTOR,G59,MOT_MARCA,E59,MOT_DESDE,"&lt;="&amp;M59,MOT_HASTA,"&gt;="&amp;M59)+SUMIFS(MOT_AJUSTE,MOT_MOTOR,G59,MOT_MARCA,"(todas)",MOT_DESDE,"&lt;="&amp;M59,MOT_HASTA,"&gt;="&amp;M59)+SUMIFS(MOT_AJUSTE,MOT_MOTOR,"(cualquiera)",MOT_MARCA,E59,MOT_DESDE,"&lt;="&amp;M59,MOT_HASTA,"&gt;="&amp;M59)</f>
        <v/>
      </c>
      <c r="BW59" s="3">
        <f>SUMIFS(COMB_AJUSTE,COMB_COMB,K59)</f>
        <v/>
      </c>
      <c r="BX59" s="3">
        <f>COUNTIFS(MOT_MOTOR,G59,MOT_MARCA,E59,MOT_DESDE,"&lt;="&amp;M59,MOT_HASTA,"&gt;="&amp;M59)+COUNTIFS(MOT_MOTOR,G59,MOT_MARCA,"(todas)",MOT_DESDE,"&lt;="&amp;M59,MOT_HASTA,"&gt;="&amp;M59)+COUNTIFS(MOT_MOTOR,"(cualquiera)",MOT_MARCA,E59,MOT_DESDE,"&lt;="&amp;M59,MOT_HASTA,"&gt;="&amp;M59)</f>
        <v/>
      </c>
      <c r="BY59" s="3">
        <f>IF(AND(K59="diesel",BX59=0),MIN(BU59,NEUTRO),BU59)</f>
        <v/>
      </c>
      <c r="BZ59" s="3">
        <f>MAX(0,MIN(100,BY59+BV59+BW59-IF(AV59="sí",ROB_PEN,0)))</f>
        <v/>
      </c>
      <c r="CA59" s="3">
        <f>100-MAX(0,N59-KM_TOPE_DESDE)/1000*KM_TOPE_PTS</f>
        <v/>
      </c>
      <c r="CB59" s="3">
        <f>MAX(0,MIN(100,50+BN59*PRECIO_PEND,CA59))</f>
        <v/>
      </c>
      <c r="CC59" s="3">
        <f>MAX(0,100*(1-N59/KM_MAX))</f>
        <v/>
      </c>
      <c r="CD59" s="3">
        <f>IF(BE59&lt;KMA_SOSP,IF(AA59="sí",100,KMA_PEN),IF(BE59&lt;=KMA_IDEAL_MAX,100,MAX(0,100*(KMA_CERO-BE59)/(KMA_CERO-KMA_IDEAL_MAX))))</f>
        <v/>
      </c>
      <c r="CE59" s="3">
        <f>MAX(0,MIN(100,100*(M59-ANIO_MIN)/(ANIO_ACTUAL-ANIO_MIN)))</f>
        <v/>
      </c>
      <c r="CF59" s="3">
        <f>W_KMT*CC59+W_KMA*CD59+W_EDAD*CE59</f>
        <v/>
      </c>
      <c r="CG59" s="3">
        <f>P_ITV*(V59="sí")+P_LIBRO*(W59="sí")+P_CORREA*(X59="sí")+P_PROP*(Y59=1)+P_GAR*(Z59="sí")+P_FOTOS*MIN(1,N(U59)/FOTOS_OBJ)</f>
        <v/>
      </c>
      <c r="CH59" s="3">
        <f>MAX(0,MIN(100,IFERROR(VLOOKUP(BS59,ETQ_TBL,2,0),0)-IF(BT59="sí",ETQ_PEN_DUD,IF(AS59="regla",ETQ_PEN_REGLA,0))))</f>
        <v/>
      </c>
      <c r="CI59" s="3">
        <f>NEUTRO</f>
        <v/>
      </c>
      <c r="CJ59" s="3">
        <f>IFERROR(VLOOKUP(L59,SEGURO_TBL,3,0),"")</f>
        <v/>
      </c>
      <c r="CK59" s="3">
        <f>IF(CJ59="",NEUTRO,MAX(0,MIN(100,100*(SEG_REF_MAX-CJ59)/(SEG_REF_MAX-SEG_REF_MIN))))</f>
        <v/>
      </c>
      <c r="CL59" s="3">
        <f>W_CONS*CI59+W_SEG*CK59</f>
        <v/>
      </c>
      <c r="CM59" s="3">
        <f>IF(N(AB59)&gt;0,AB59,IF(AND(R59="profesional",SG_LEGAL_ON=1),GAR_LEGAL,0))</f>
        <v/>
      </c>
      <c r="CN59" s="3">
        <f>SG_GAR*MIN(1,CM59/SG_GAR_FULL)+SG_AMPL*(AC59="sí")+SG_KMC*(AF59="sí")+SG_REV*(N(AE59)&gt;0)+SG_DEV*MIN(1,N(AG59)/SG_DEV_FULL)+SG_HIST*(W59="sí")</f>
        <v/>
      </c>
      <c r="CO59" s="3">
        <f>IFERROR(VLOOKUP(L59,CARR_PEN_TBL,2,0),0)</f>
        <v/>
      </c>
      <c r="CP59" s="3">
        <f>W_FIAB*BZ59+W_PRECIO*CB59+W_KMEDAD*CF59+W_ANUNCIO*CG59+W_USO*CL59+W_SEGURIDAD*CN59+W_ETIQUETA*CH59-CO59</f>
        <v/>
      </c>
      <c r="CQ59" s="4">
        <f>IF(N(I59)&gt;0,I59,IFERROR(ROUND(_xlfn.NUMBERVALUE(LEFT(G59,FIND(" ",G59&amp;" ")-1),".")*1000,0),99999))</f>
        <v/>
      </c>
      <c r="CR59" s="3">
        <f>IF(R59="profesional",0,IF(O59&lt;CUOTA_VALOR_MAX,IF(BD59&gt;ITP_TRAMO_ALTO,SUMIFS(CF_CUOTA,CF_MAS,ITP_TRAMO_ALTO,CF_CCMIN,"&lt;="&amp;CQ59,CF_CCMAX,"&gt;="&amp;CQ59),IF(BD59&gt;ITP_TRAMO_BAJO,SUMIFS(CF_CUOTA,CF_MAS,ITP_TRAMO_BAJO,CF_CCMIN,"&lt;="&amp;CQ59,CF_CCMAX,"&gt;="&amp;CQ59),O59*ITP_TIPO)),O59*ITP_TIPO))</f>
        <v/>
      </c>
      <c r="CS59" s="4">
        <f>IF(R59="profesional",N(AK59),0)</f>
        <v/>
      </c>
      <c r="CT59" s="3">
        <f>IF(AND(R59="profesional",ISNUMBER(AK59),AL59="sí"),0,TASA_DGT)</f>
        <v/>
      </c>
      <c r="CU59" s="3">
        <f>INFORME_DGT</f>
        <v/>
      </c>
      <c r="CV59" s="4">
        <f>O59+CS59+CR59+CT59+CU59</f>
        <v/>
      </c>
      <c r="CW59" s="4">
        <f>CV59+N(CJ59)</f>
        <v/>
      </c>
      <c r="CX59" s="3">
        <f>IF(CV59&lt;=TOTAL_MAX,"sí",IF(CV59&lt;=TOTAL_MAX+MARGEN_NEG,"negociar","no"))</f>
        <v/>
      </c>
      <c r="CY59" s="4">
        <f>IF(CX59&lt;&gt;"no",COUNTIFS($CX$2:$CX$101,"&lt;&gt;no",$CP$2:$CP$101,"&gt;"&amp;CP59)+COUNTIFS($CX$2:CX59,"&lt;&gt;no",$CP$2:CP59,CP59),"")</f>
        <v/>
      </c>
    </row>
    <row r="60">
      <c r="A60" s="2" t="inlineStr">
        <is>
          <t>cochesnet:71693535</t>
        </is>
      </c>
      <c r="B60" s="2" t="inlineStr">
        <is>
          <t>cochesnet</t>
        </is>
      </c>
      <c r="C60" s="2" t="inlineStr">
        <is>
          <t>https://www.coches.net/renault-clio-expression-12-16v-5p-gasolina-2007-en-valencia-71693535-covo.aspx</t>
        </is>
      </c>
      <c r="D60" s="2" t="inlineStr">
        <is>
          <t>RENAULT Clio Expression 1.2 16v</t>
        </is>
      </c>
      <c r="E60" s="2" t="inlineStr">
        <is>
          <t>Renault</t>
        </is>
      </c>
      <c r="F60" s="2" t="inlineStr">
        <is>
          <t>Renault Clio</t>
        </is>
      </c>
      <c r="G60" s="2" t="inlineStr">
        <is>
          <t>1.2</t>
        </is>
      </c>
      <c r="H60" s="2" t="inlineStr">
        <is>
          <t>Expression 1.2 16v</t>
        </is>
      </c>
      <c r="I60" s="2" t="n"/>
      <c r="J60" s="2" t="n"/>
      <c r="K60" s="2" t="inlineStr">
        <is>
          <t>gasolina</t>
        </is>
      </c>
      <c r="L60" s="2" t="inlineStr">
        <is>
          <t>utilitario</t>
        </is>
      </c>
      <c r="M60" s="2" t="n">
        <v>2007</v>
      </c>
      <c r="N60" s="2" t="n">
        <v>97000</v>
      </c>
      <c r="O60" s="2" t="n">
        <v>4000</v>
      </c>
      <c r="P60" s="2" t="inlineStr">
        <is>
          <t>manual</t>
        </is>
      </c>
      <c r="Q60" s="2" t="inlineStr">
        <is>
          <t>no</t>
        </is>
      </c>
      <c r="R60" s="2" t="inlineStr">
        <is>
          <t>profesional</t>
        </is>
      </c>
      <c r="S60" s="2" t="inlineStr">
        <is>
          <t>Beniparrell</t>
        </is>
      </c>
      <c r="T60" s="2" t="inlineStr">
        <is>
          <t>2026-10-07T12:15:49Z</t>
        </is>
      </c>
      <c r="U60" s="2" t="n">
        <v>14</v>
      </c>
      <c r="V60" s="2" t="n"/>
      <c r="W60" s="2" t="n"/>
      <c r="X60" s="2" t="n"/>
      <c r="Y60" s="2" t="n"/>
      <c r="Z60" s="2" t="inlineStr">
        <is>
          <t>sí</t>
        </is>
      </c>
      <c r="AA60" s="2" t="n"/>
      <c r="AB60" s="2" t="n">
        <v>12</v>
      </c>
      <c r="AC60" s="2" t="n"/>
      <c r="AD60" s="2" t="n"/>
      <c r="AE60" s="2" t="n"/>
      <c r="AF60" s="2" t="n"/>
      <c r="AG60" s="2" t="n"/>
      <c r="AH60" s="2" t="n">
        <v>4000</v>
      </c>
      <c r="AI60" s="2" t="n"/>
      <c r="AJ60" s="2" t="n"/>
      <c r="AK60" s="2" t="n"/>
      <c r="AL60" s="2" t="n"/>
      <c r="AM60" s="2" t="n">
        <v>10.2</v>
      </c>
      <c r="AN60" s="2" t="n"/>
      <c r="AO60" s="2" t="inlineStr">
        <is>
          <t>2007</t>
        </is>
      </c>
      <c r="AP60" s="2" t="n">
        <v>2007</v>
      </c>
      <c r="AQ60" s="2" t="n"/>
      <c r="AR60" s="2" t="inlineStr">
        <is>
          <t>C</t>
        </is>
      </c>
      <c r="AS60" s="2" t="inlineStr">
        <is>
          <t>anuncio</t>
        </is>
      </c>
      <c r="AT60" s="2" t="n"/>
      <c r="AU60" s="2" t="inlineStr">
        <is>
          <t>no</t>
        </is>
      </c>
      <c r="AV60" s="2" t="inlineStr">
        <is>
          <t>no</t>
        </is>
      </c>
      <c r="AW60" s="2" t="n">
        <v>3500</v>
      </c>
      <c r="AX60" s="2" t="n">
        <v>22</v>
      </c>
      <c r="AY60" s="2" t="inlineStr">
        <is>
          <t>modelo+año</t>
        </is>
      </c>
      <c r="AZ60" s="2" t="n"/>
      <c r="BA60" s="2" t="inlineStr">
        <is>
          <t>vendedor profesional: sin ITP (operación con IVA/REBU, confirmar en factura); gastos de gestión del vendedor no indicados: se suma la tasa DGT; preguntar el precio final; revisar: no menciona la ITV</t>
        </is>
      </c>
      <c r="BB60"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BC60" s="2" t="inlineStr">
        <is>
          <t>https://www.coches.net/renault-clio-expression-12-16v-5p-gasolina-2007-en-valencia-71693535-covo.aspx (window.__INITIAL_PROPS__.ad) /home/user/Alopecia/buscador-coches/raw/cochesnet/d9d8e1e1790f9a56.json</t>
        </is>
      </c>
      <c r="BD60" s="3">
        <f>MAX(ANIO_ACTUAL-M60,0)</f>
        <v/>
      </c>
      <c r="BE60" s="4">
        <f>N60/MAX(BD60,0.5)</f>
        <v/>
      </c>
      <c r="BF60" s="4">
        <f>F60</f>
        <v/>
      </c>
      <c r="BG60" s="3">
        <f>BF60&amp;"|"&amp;INT(M60/SEG_ANIO)*SEG_ANIO</f>
        <v/>
      </c>
      <c r="BH60" s="3">
        <f>BG60&amp;"|"&amp;INT(N60/SEG_KM)*SEG_KM</f>
        <v/>
      </c>
      <c r="BI60" s="4">
        <f>COUNTIF($BF$2:$BF$101,BF60)</f>
        <v/>
      </c>
      <c r="BJ60" s="4">
        <f>COUNTIF($BG$2:$BG$101,BG60)</f>
        <v/>
      </c>
      <c r="BK60" s="4">
        <f>COUNTIF($BH$2:$BH$101,BH60)</f>
        <v/>
      </c>
      <c r="BL60" s="3">
        <f t="array" ref="BL60">IF(N(AX60)&gt;=MIN_N,AW60,IF(BK60&gt;=MIN_N,MEDIAN(IF($BH$2:$BH$101=BH60,$O$2:$O$101)),IF(BJ60&gt;=MIN_N,MEDIAN(IF($BG$2:$BG$101=BG60,$O$2:$O$101)),MEDIAN(IF($BF$2:$BF$101=BF60,$O$2:$O$101)))))</f>
        <v/>
      </c>
      <c r="BM60" s="3">
        <f>IF(N(AX60)&gt;=MIN_N,"mercado "&amp;AY60,IF(BK60&gt;=MIN_N,"modelo+año+km",IF(BJ60&gt;=MIN_N,"modelo+año","modelo")))</f>
        <v/>
      </c>
      <c r="BN60" s="4">
        <f>(BL60-O60)/BL60</f>
        <v/>
      </c>
      <c r="BO60" s="3">
        <f>IF(COUNTIFS(FR_FUEL,K60,FR_YEAR,AP60)&gt;0,1,0)</f>
        <v/>
      </c>
      <c r="BP60" s="3">
        <f>IF(COUNTIFS(FR_FUEL,K60,FR_YEAR,AP60-1)&gt;0,1,0)</f>
        <v/>
      </c>
      <c r="BQ60" s="4">
        <f>IF(N(AQ60)&gt;0,AP60*100+AQ60,IF(AND(BO60=1,BP60=1),(AP60-1)*100+1,AP60*100+1))</f>
        <v/>
      </c>
      <c r="BR60" s="3">
        <f>IF(OR(K60="hibrido",K60="glp",K60="gnc",K60="phev"),"ECO",IF(K60="electrico","CERO",IF(K60="gasolina",IF(BQ60&gt;=GAS_C_YM,"C",IF(BQ60&gt;=GAS_B_YM,"B","A")),IF(K60="diesel",IF(BQ60&gt;=DIE_C_YM,"C",IF(BQ60&gt;=DIE_B_YM,"B","A")),""))))</f>
        <v/>
      </c>
      <c r="BS60" s="2" t="inlineStr">
        <is>
          <t>C</t>
        </is>
      </c>
      <c r="BT60" s="4">
        <f>IF(AU60="sí","sí",IF(AS60="regla",IF(AND(N(AQ60)=0,BO60=1),"sí","no"),"no"))</f>
        <v/>
      </c>
      <c r="BU60" s="3">
        <f>IFERROR(VLOOKUP(F60,MOD_TBL,16,0),IFERROR(VLOOKUP(E60,OCU_TBL,2,0),NEUTRO))</f>
        <v/>
      </c>
      <c r="BV60" s="3">
        <f>SUMIFS(MOT_AJUSTE,MOT_MOTOR,G60,MOT_MARCA,E60,MOT_DESDE,"&lt;="&amp;M60,MOT_HASTA,"&gt;="&amp;M60)+SUMIFS(MOT_AJUSTE,MOT_MOTOR,G60,MOT_MARCA,"(todas)",MOT_DESDE,"&lt;="&amp;M60,MOT_HASTA,"&gt;="&amp;M60)+SUMIFS(MOT_AJUSTE,MOT_MOTOR,"(cualquiera)",MOT_MARCA,E60,MOT_DESDE,"&lt;="&amp;M60,MOT_HASTA,"&gt;="&amp;M60)</f>
        <v/>
      </c>
      <c r="BW60" s="3">
        <f>SUMIFS(COMB_AJUSTE,COMB_COMB,K60)</f>
        <v/>
      </c>
      <c r="BX60" s="3">
        <f>COUNTIFS(MOT_MOTOR,G60,MOT_MARCA,E60,MOT_DESDE,"&lt;="&amp;M60,MOT_HASTA,"&gt;="&amp;M60)+COUNTIFS(MOT_MOTOR,G60,MOT_MARCA,"(todas)",MOT_DESDE,"&lt;="&amp;M60,MOT_HASTA,"&gt;="&amp;M60)+COUNTIFS(MOT_MOTOR,"(cualquiera)",MOT_MARCA,E60,MOT_DESDE,"&lt;="&amp;M60,MOT_HASTA,"&gt;="&amp;M60)</f>
        <v/>
      </c>
      <c r="BY60" s="3">
        <f>IF(AND(K60="diesel",BX60=0),MIN(BU60,NEUTRO),BU60)</f>
        <v/>
      </c>
      <c r="BZ60" s="3">
        <f>MAX(0,MIN(100,BY60+BV60+BW60-IF(AV60="sí",ROB_PEN,0)))</f>
        <v/>
      </c>
      <c r="CA60" s="3">
        <f>100-MAX(0,N60-KM_TOPE_DESDE)/1000*KM_TOPE_PTS</f>
        <v/>
      </c>
      <c r="CB60" s="3">
        <f>MAX(0,MIN(100,50+BN60*PRECIO_PEND,CA60))</f>
        <v/>
      </c>
      <c r="CC60" s="3">
        <f>MAX(0,100*(1-N60/KM_MAX))</f>
        <v/>
      </c>
      <c r="CD60" s="3">
        <f>IF(BE60&lt;KMA_SOSP,IF(AA60="sí",100,KMA_PEN),IF(BE60&lt;=KMA_IDEAL_MAX,100,MAX(0,100*(KMA_CERO-BE60)/(KMA_CERO-KMA_IDEAL_MAX))))</f>
        <v/>
      </c>
      <c r="CE60" s="3">
        <f>MAX(0,MIN(100,100*(M60-ANIO_MIN)/(ANIO_ACTUAL-ANIO_MIN)))</f>
        <v/>
      </c>
      <c r="CF60" s="3">
        <f>W_KMT*CC60+W_KMA*CD60+W_EDAD*CE60</f>
        <v/>
      </c>
      <c r="CG60" s="3">
        <f>P_ITV*(V60="sí")+P_LIBRO*(W60="sí")+P_CORREA*(X60="sí")+P_PROP*(Y60=1)+P_GAR*(Z60="sí")+P_FOTOS*MIN(1,N(U60)/FOTOS_OBJ)</f>
        <v/>
      </c>
      <c r="CH60" s="3">
        <f>MAX(0,MIN(100,IFERROR(VLOOKUP(BS60,ETQ_TBL,2,0),0)-IF(BT60="sí",ETQ_PEN_DUD,IF(AS60="regla",ETQ_PEN_REGLA,0))))</f>
        <v/>
      </c>
      <c r="CI60" s="3">
        <f>NEUTRO</f>
        <v/>
      </c>
      <c r="CJ60" s="3">
        <f>IFERROR(VLOOKUP(L60,SEGURO_TBL,3,0),"")</f>
        <v/>
      </c>
      <c r="CK60" s="3">
        <f>IF(CJ60="",NEUTRO,MAX(0,MIN(100,100*(SEG_REF_MAX-CJ60)/(SEG_REF_MAX-SEG_REF_MIN))))</f>
        <v/>
      </c>
      <c r="CL60" s="3">
        <f>W_CONS*CI60+W_SEG*CK60</f>
        <v/>
      </c>
      <c r="CM60" s="3">
        <f>IF(N(AB60)&gt;0,AB60,IF(AND(R60="profesional",SG_LEGAL_ON=1),GAR_LEGAL,0))</f>
        <v/>
      </c>
      <c r="CN60" s="3">
        <f>SG_GAR*MIN(1,CM60/SG_GAR_FULL)+SG_AMPL*(AC60="sí")+SG_KMC*(AF60="sí")+SG_REV*(N(AE60)&gt;0)+SG_DEV*MIN(1,N(AG60)/SG_DEV_FULL)+SG_HIST*(W60="sí")</f>
        <v/>
      </c>
      <c r="CO60" s="3">
        <f>IFERROR(VLOOKUP(L60,CARR_PEN_TBL,2,0),0)</f>
        <v/>
      </c>
      <c r="CP60" s="3">
        <f>W_FIAB*BZ60+W_PRECIO*CB60+W_KMEDAD*CF60+W_ANUNCIO*CG60+W_USO*CL60+W_SEGURIDAD*CN60+W_ETIQUETA*CH60-CO60</f>
        <v/>
      </c>
      <c r="CQ60" s="4">
        <f>IF(N(I60)&gt;0,I60,IFERROR(ROUND(_xlfn.NUMBERVALUE(LEFT(G60,FIND(" ",G60&amp;" ")-1),".")*1000,0),99999))</f>
        <v/>
      </c>
      <c r="CR60" s="3">
        <f>IF(R60="profesional",0,IF(O60&lt;CUOTA_VALOR_MAX,IF(BD60&gt;ITP_TRAMO_ALTO,SUMIFS(CF_CUOTA,CF_MAS,ITP_TRAMO_ALTO,CF_CCMIN,"&lt;="&amp;CQ60,CF_CCMAX,"&gt;="&amp;CQ60),IF(BD60&gt;ITP_TRAMO_BAJO,SUMIFS(CF_CUOTA,CF_MAS,ITP_TRAMO_BAJO,CF_CCMIN,"&lt;="&amp;CQ60,CF_CCMAX,"&gt;="&amp;CQ60),O60*ITP_TIPO)),O60*ITP_TIPO))</f>
        <v/>
      </c>
      <c r="CS60" s="4">
        <f>IF(R60="profesional",N(AK60),0)</f>
        <v/>
      </c>
      <c r="CT60" s="3">
        <f>IF(AND(R60="profesional",ISNUMBER(AK60),AL60="sí"),0,TASA_DGT)</f>
        <v/>
      </c>
      <c r="CU60" s="3">
        <f>INFORME_DGT</f>
        <v/>
      </c>
      <c r="CV60" s="4">
        <f>O60+CS60+CR60+CT60+CU60</f>
        <v/>
      </c>
      <c r="CW60" s="4">
        <f>CV60+N(CJ60)</f>
        <v/>
      </c>
      <c r="CX60" s="3">
        <f>IF(CV60&lt;=TOTAL_MAX,"sí",IF(CV60&lt;=TOTAL_MAX+MARGEN_NEG,"negociar","no"))</f>
        <v/>
      </c>
      <c r="CY60" s="4">
        <f>IF(CX60&lt;&gt;"no",COUNTIFS($CX$2:$CX$101,"&lt;&gt;no",$CP$2:$CP$101,"&gt;"&amp;CP60)+COUNTIFS($CX$2:CX60,"&lt;&gt;no",$CP$2:CP60,CP60),"")</f>
        <v/>
      </c>
    </row>
    <row r="61">
      <c r="A61" s="2" t="inlineStr">
        <is>
          <t>cochesnet:71684364</t>
        </is>
      </c>
      <c r="B61" s="2" t="inlineStr">
        <is>
          <t>cochesnet</t>
        </is>
      </c>
      <c r="C61" s="2" t="inlineStr">
        <is>
          <t>https://www.coches.net/renault-megane-business-dci-110-5p-diesel-2012-en-valencia-71684364-covo.aspx</t>
        </is>
      </c>
      <c r="D61" s="2" t="inlineStr">
        <is>
          <t>RENAULT Mégane Business dCi 110</t>
        </is>
      </c>
      <c r="E61" s="2" t="inlineStr">
        <is>
          <t>Renault</t>
        </is>
      </c>
      <c r="F61" s="2" t="inlineStr">
        <is>
          <t>Renault Mégane</t>
        </is>
      </c>
      <c r="G61" s="2" t="inlineStr">
        <is>
          <t>? dCi</t>
        </is>
      </c>
      <c r="H61" s="2" t="inlineStr">
        <is>
          <t>Business dCi 110</t>
        </is>
      </c>
      <c r="I61" s="2" t="n"/>
      <c r="J61" s="2" t="n"/>
      <c r="K61" s="2" t="inlineStr">
        <is>
          <t>diesel</t>
        </is>
      </c>
      <c r="L61" s="2" t="inlineStr">
        <is>
          <t>compacto</t>
        </is>
      </c>
      <c r="M61" s="2" t="n">
        <v>2012</v>
      </c>
      <c r="N61" s="2" t="n">
        <v>199000</v>
      </c>
      <c r="O61" s="2" t="n">
        <v>4990</v>
      </c>
      <c r="P61" s="2" t="inlineStr">
        <is>
          <t>manual</t>
        </is>
      </c>
      <c r="Q61" s="2" t="inlineStr">
        <is>
          <t>no</t>
        </is>
      </c>
      <c r="R61" s="2" t="inlineStr">
        <is>
          <t>profesional</t>
        </is>
      </c>
      <c r="S61" s="2" t="inlineStr">
        <is>
          <t>V.O. Eliana San Antonio de Benagéber</t>
        </is>
      </c>
      <c r="T61" s="2" t="inlineStr">
        <is>
          <t>2026-10-06T12:23:00Z</t>
        </is>
      </c>
      <c r="U61" s="2" t="n">
        <v>17</v>
      </c>
      <c r="V61" s="2" t="n"/>
      <c r="W61" s="2" t="n"/>
      <c r="X61" s="2" t="n"/>
      <c r="Y61" s="2" t="n"/>
      <c r="Z61" s="2" t="inlineStr">
        <is>
          <t>sí</t>
        </is>
      </c>
      <c r="AA61" s="2" t="n"/>
      <c r="AB61" s="2" t="n">
        <v>12</v>
      </c>
      <c r="AC61" s="2" t="n"/>
      <c r="AD61" s="2" t="n"/>
      <c r="AE61" s="2" t="n"/>
      <c r="AF61" s="2" t="n"/>
      <c r="AG61" s="2" t="n"/>
      <c r="AH61" s="2" t="n">
        <v>4990</v>
      </c>
      <c r="AI61" s="2" t="n"/>
      <c r="AJ61" s="2" t="n"/>
      <c r="AK61" s="2" t="n"/>
      <c r="AL61" s="2" t="n"/>
      <c r="AM61" s="2" t="n">
        <v>19.1</v>
      </c>
      <c r="AN61" s="2" t="n"/>
      <c r="AO61" s="2" t="inlineStr">
        <is>
          <t>2012</t>
        </is>
      </c>
      <c r="AP61" s="2" t="n">
        <v>2012</v>
      </c>
      <c r="AQ61" s="2" t="n"/>
      <c r="AR61" s="2" t="inlineStr">
        <is>
          <t>B</t>
        </is>
      </c>
      <c r="AS61" s="2" t="inlineStr">
        <is>
          <t>anuncio</t>
        </is>
      </c>
      <c r="AT61" s="2" t="n"/>
      <c r="AU61" s="2" t="inlineStr">
        <is>
          <t>no</t>
        </is>
      </c>
      <c r="AV61" s="2" t="inlineStr">
        <is>
          <t>no</t>
        </is>
      </c>
      <c r="AW61" s="2" t="n">
        <v>5045</v>
      </c>
      <c r="AX61" s="2" t="n">
        <v>12</v>
      </c>
      <c r="AY61" s="2" t="inlineStr">
        <is>
          <t>modelo+año+km</t>
        </is>
      </c>
      <c r="AZ61" s="2" t="n"/>
      <c r="BA6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61" s="2" t="inlineStr">
        <is>
          <t>Este Mégane Business dCi combina confort y tecnología con aire acondicionado bizona automático, volante multifunción de cuero ajustable y ordenador de viaje con datos de consumo en tiempo real. Equipado con control de crucero, limpiaparabrisas con sensor de lluvia, faros con regulación automática y sistema de audio con seis altavoces y control remoto en el volante. Dirección asistida eléctrica progresiva, cristales tintados y retrovisores eléctricos desempañables completan una propuesta práctica y versátil para uso diario.</t>
        </is>
      </c>
      <c r="BC61" s="2" t="inlineStr">
        <is>
          <t>https://www.coches.net/renault-megane-business-dci-110-5p-diesel-2012-en-valencia-71684364-covo.aspx (window.__INITIAL_PROPS__.ad) /home/user/Alopecia/buscador-coches/raw/cochesnet/0b83cc2dfa699629.json</t>
        </is>
      </c>
      <c r="BD61" s="3">
        <f>MAX(ANIO_ACTUAL-M61,0)</f>
        <v/>
      </c>
      <c r="BE61" s="4">
        <f>N61/MAX(BD61,0.5)</f>
        <v/>
      </c>
      <c r="BF61" s="4">
        <f>F61</f>
        <v/>
      </c>
      <c r="BG61" s="3">
        <f>BF61&amp;"|"&amp;INT(M61/SEG_ANIO)*SEG_ANIO</f>
        <v/>
      </c>
      <c r="BH61" s="3">
        <f>BG61&amp;"|"&amp;INT(N61/SEG_KM)*SEG_KM</f>
        <v/>
      </c>
      <c r="BI61" s="4">
        <f>COUNTIF($BF$2:$BF$101,BF61)</f>
        <v/>
      </c>
      <c r="BJ61" s="4">
        <f>COUNTIF($BG$2:$BG$101,BG61)</f>
        <v/>
      </c>
      <c r="BK61" s="4">
        <f>COUNTIF($BH$2:$BH$101,BH61)</f>
        <v/>
      </c>
      <c r="BL61" s="3">
        <f t="array" ref="BL61">IF(N(AX61)&gt;=MIN_N,AW61,IF(BK61&gt;=MIN_N,MEDIAN(IF($BH$2:$BH$101=BH61,$O$2:$O$101)),IF(BJ61&gt;=MIN_N,MEDIAN(IF($BG$2:$BG$101=BG61,$O$2:$O$101)),MEDIAN(IF($BF$2:$BF$101=BF61,$O$2:$O$101)))))</f>
        <v/>
      </c>
      <c r="BM61" s="3">
        <f>IF(N(AX61)&gt;=MIN_N,"mercado "&amp;AY61,IF(BK61&gt;=MIN_N,"modelo+año+km",IF(BJ61&gt;=MIN_N,"modelo+año","modelo")))</f>
        <v/>
      </c>
      <c r="BN61" s="4">
        <f>(BL61-O61)/BL61</f>
        <v/>
      </c>
      <c r="BO61" s="3">
        <f>IF(COUNTIFS(FR_FUEL,K61,FR_YEAR,AP61)&gt;0,1,0)</f>
        <v/>
      </c>
      <c r="BP61" s="3">
        <f>IF(COUNTIFS(FR_FUEL,K61,FR_YEAR,AP61-1)&gt;0,1,0)</f>
        <v/>
      </c>
      <c r="BQ61" s="4">
        <f>IF(N(AQ61)&gt;0,AP61*100+AQ61,IF(AND(BO61=1,BP61=1),(AP61-1)*100+1,AP61*100+1))</f>
        <v/>
      </c>
      <c r="BR61" s="3">
        <f>IF(OR(K61="hibrido",K61="glp",K61="gnc",K61="phev"),"ECO",IF(K61="electrico","CERO",IF(K61="gasolina",IF(BQ61&gt;=GAS_C_YM,"C",IF(BQ61&gt;=GAS_B_YM,"B","A")),IF(K61="diesel",IF(BQ61&gt;=DIE_C_YM,"C",IF(BQ61&gt;=DIE_B_YM,"B","A")),""))))</f>
        <v/>
      </c>
      <c r="BS61" s="2" t="inlineStr">
        <is>
          <t>B</t>
        </is>
      </c>
      <c r="BT61" s="4">
        <f>IF(AU61="sí","sí",IF(AS61="regla",IF(AND(N(AQ61)=0,BO61=1),"sí","no"),"no"))</f>
        <v/>
      </c>
      <c r="BU61" s="3">
        <f>IFERROR(VLOOKUP(F61,MOD_TBL,16,0),IFERROR(VLOOKUP(E61,OCU_TBL,2,0),NEUTRO))</f>
        <v/>
      </c>
      <c r="BV61" s="3">
        <f>SUMIFS(MOT_AJUSTE,MOT_MOTOR,G61,MOT_MARCA,E61,MOT_DESDE,"&lt;="&amp;M61,MOT_HASTA,"&gt;="&amp;M61)+SUMIFS(MOT_AJUSTE,MOT_MOTOR,G61,MOT_MARCA,"(todas)",MOT_DESDE,"&lt;="&amp;M61,MOT_HASTA,"&gt;="&amp;M61)+SUMIFS(MOT_AJUSTE,MOT_MOTOR,"(cualquiera)",MOT_MARCA,E61,MOT_DESDE,"&lt;="&amp;M61,MOT_HASTA,"&gt;="&amp;M61)</f>
        <v/>
      </c>
      <c r="BW61" s="3">
        <f>SUMIFS(COMB_AJUSTE,COMB_COMB,K61)</f>
        <v/>
      </c>
      <c r="BX61" s="3">
        <f>COUNTIFS(MOT_MOTOR,G61,MOT_MARCA,E61,MOT_DESDE,"&lt;="&amp;M61,MOT_HASTA,"&gt;="&amp;M61)+COUNTIFS(MOT_MOTOR,G61,MOT_MARCA,"(todas)",MOT_DESDE,"&lt;="&amp;M61,MOT_HASTA,"&gt;="&amp;M61)+COUNTIFS(MOT_MOTOR,"(cualquiera)",MOT_MARCA,E61,MOT_DESDE,"&lt;="&amp;M61,MOT_HASTA,"&gt;="&amp;M61)</f>
        <v/>
      </c>
      <c r="BY61" s="3">
        <f>IF(AND(K61="diesel",BX61=0),MIN(BU61,NEUTRO),BU61)</f>
        <v/>
      </c>
      <c r="BZ61" s="3">
        <f>MAX(0,MIN(100,BY61+BV61+BW61-IF(AV61="sí",ROB_PEN,0)))</f>
        <v/>
      </c>
      <c r="CA61" s="3">
        <f>100-MAX(0,N61-KM_TOPE_DESDE)/1000*KM_TOPE_PTS</f>
        <v/>
      </c>
      <c r="CB61" s="3">
        <f>MAX(0,MIN(100,50+BN61*PRECIO_PEND,CA61))</f>
        <v/>
      </c>
      <c r="CC61" s="3">
        <f>MAX(0,100*(1-N61/KM_MAX))</f>
        <v/>
      </c>
      <c r="CD61" s="3">
        <f>IF(BE61&lt;KMA_SOSP,IF(AA61="sí",100,KMA_PEN),IF(BE61&lt;=KMA_IDEAL_MAX,100,MAX(0,100*(KMA_CERO-BE61)/(KMA_CERO-KMA_IDEAL_MAX))))</f>
        <v/>
      </c>
      <c r="CE61" s="3">
        <f>MAX(0,MIN(100,100*(M61-ANIO_MIN)/(ANIO_ACTUAL-ANIO_MIN)))</f>
        <v/>
      </c>
      <c r="CF61" s="3">
        <f>W_KMT*CC61+W_KMA*CD61+W_EDAD*CE61</f>
        <v/>
      </c>
      <c r="CG61" s="3">
        <f>P_ITV*(V61="sí")+P_LIBRO*(W61="sí")+P_CORREA*(X61="sí")+P_PROP*(Y61=1)+P_GAR*(Z61="sí")+P_FOTOS*MIN(1,N(U61)/FOTOS_OBJ)</f>
        <v/>
      </c>
      <c r="CH61" s="3">
        <f>MAX(0,MIN(100,IFERROR(VLOOKUP(BS61,ETQ_TBL,2,0),0)-IF(BT61="sí",ETQ_PEN_DUD,IF(AS61="regla",ETQ_PEN_REGLA,0))))</f>
        <v/>
      </c>
      <c r="CI61" s="3">
        <f>NEUTRO</f>
        <v/>
      </c>
      <c r="CJ61" s="3">
        <f>IFERROR(VLOOKUP(L61,SEGURO_TBL,3,0),"")</f>
        <v/>
      </c>
      <c r="CK61" s="3">
        <f>IF(CJ61="",NEUTRO,MAX(0,MIN(100,100*(SEG_REF_MAX-CJ61)/(SEG_REF_MAX-SEG_REF_MIN))))</f>
        <v/>
      </c>
      <c r="CL61" s="3">
        <f>W_CONS*CI61+W_SEG*CK61</f>
        <v/>
      </c>
      <c r="CM61" s="3">
        <f>IF(N(AB61)&gt;0,AB61,IF(AND(R61="profesional",SG_LEGAL_ON=1),GAR_LEGAL,0))</f>
        <v/>
      </c>
      <c r="CN61" s="3">
        <f>SG_GAR*MIN(1,CM61/SG_GAR_FULL)+SG_AMPL*(AC61="sí")+SG_KMC*(AF61="sí")+SG_REV*(N(AE61)&gt;0)+SG_DEV*MIN(1,N(AG61)/SG_DEV_FULL)+SG_HIST*(W61="sí")</f>
        <v/>
      </c>
      <c r="CO61" s="3">
        <f>IFERROR(VLOOKUP(L61,CARR_PEN_TBL,2,0),0)</f>
        <v/>
      </c>
      <c r="CP61" s="3">
        <f>W_FIAB*BZ61+W_PRECIO*CB61+W_KMEDAD*CF61+W_ANUNCIO*CG61+W_USO*CL61+W_SEGURIDAD*CN61+W_ETIQUETA*CH61-CO61</f>
        <v/>
      </c>
      <c r="CQ61" s="4">
        <f>IF(N(I61)&gt;0,I61,IFERROR(ROUND(_xlfn.NUMBERVALUE(LEFT(G61,FIND(" ",G61&amp;" ")-1),".")*1000,0),99999))</f>
        <v/>
      </c>
      <c r="CR61" s="3">
        <f>IF(R61="profesional",0,IF(O61&lt;CUOTA_VALOR_MAX,IF(BD61&gt;ITP_TRAMO_ALTO,SUMIFS(CF_CUOTA,CF_MAS,ITP_TRAMO_ALTO,CF_CCMIN,"&lt;="&amp;CQ61,CF_CCMAX,"&gt;="&amp;CQ61),IF(BD61&gt;ITP_TRAMO_BAJO,SUMIFS(CF_CUOTA,CF_MAS,ITP_TRAMO_BAJO,CF_CCMIN,"&lt;="&amp;CQ61,CF_CCMAX,"&gt;="&amp;CQ61),O61*ITP_TIPO)),O61*ITP_TIPO))</f>
        <v/>
      </c>
      <c r="CS61" s="4">
        <f>IF(R61="profesional",N(AK61),0)</f>
        <v/>
      </c>
      <c r="CT61" s="3">
        <f>IF(AND(R61="profesional",ISNUMBER(AK61),AL61="sí"),0,TASA_DGT)</f>
        <v/>
      </c>
      <c r="CU61" s="3">
        <f>INFORME_DGT</f>
        <v/>
      </c>
      <c r="CV61" s="4">
        <f>O61+CS61+CR61+CT61+CU61</f>
        <v/>
      </c>
      <c r="CW61" s="4">
        <f>CV61+N(CJ61)</f>
        <v/>
      </c>
      <c r="CX61" s="3">
        <f>IF(CV61&lt;=TOTAL_MAX,"sí",IF(CV61&lt;=TOTAL_MAX+MARGEN_NEG,"negociar","no"))</f>
        <v/>
      </c>
      <c r="CY61" s="4">
        <f>IF(CX61&lt;&gt;"no",COUNTIFS($CX$2:$CX$101,"&lt;&gt;no",$CP$2:$CP$101,"&gt;"&amp;CP61)+COUNTIFS($CX$2:CX61,"&lt;&gt;no",$CP$2:CP61,CP61),"")</f>
        <v/>
      </c>
    </row>
    <row r="62">
      <c r="A62" s="2" t="inlineStr">
        <is>
          <t>cochesnet:71537820</t>
        </is>
      </c>
      <c r="B62" s="2" t="inlineStr">
        <is>
          <t>cochesnet</t>
        </is>
      </c>
      <c r="C62" s="2" t="inlineStr">
        <is>
          <t>https://www.coches.net/renault-megane-dynamique-energy-dci-110-ss-eco2-3p-diesel-2012-en-valencia-71537820-covo.aspx</t>
        </is>
      </c>
      <c r="D62" s="2" t="inlineStr">
        <is>
          <t>RENAULT Mégane Dynamique Energy dCi 110 SS eco2</t>
        </is>
      </c>
      <c r="E62" s="2" t="inlineStr">
        <is>
          <t>Renault</t>
        </is>
      </c>
      <c r="F62" s="2" t="inlineStr">
        <is>
          <t>Renault Mégane</t>
        </is>
      </c>
      <c r="G62" s="2" t="inlineStr">
        <is>
          <t>? dCi</t>
        </is>
      </c>
      <c r="H62" s="2" t="inlineStr">
        <is>
          <t>Dynamique Energy dCi 110 SS eco2</t>
        </is>
      </c>
      <c r="I62" s="2" t="n"/>
      <c r="J62" s="2" t="n"/>
      <c r="K62" s="2" t="inlineStr">
        <is>
          <t>diesel</t>
        </is>
      </c>
      <c r="L62" s="2" t="inlineStr">
        <is>
          <t>compacto</t>
        </is>
      </c>
      <c r="M62" s="2" t="n">
        <v>2012</v>
      </c>
      <c r="N62" s="2" t="n">
        <v>120000</v>
      </c>
      <c r="O62" s="2" t="n">
        <v>4999</v>
      </c>
      <c r="P62" s="2" t="inlineStr">
        <is>
          <t>manual</t>
        </is>
      </c>
      <c r="Q62" s="2" t="inlineStr">
        <is>
          <t>no</t>
        </is>
      </c>
      <c r="R62" s="2" t="inlineStr">
        <is>
          <t>profesional</t>
        </is>
      </c>
      <c r="S62" s="2" t="inlineStr">
        <is>
          <t>Automoción Valencia Albal</t>
        </is>
      </c>
      <c r="T62" s="2" t="inlineStr">
        <is>
          <t>2026-09-17T17:16:15Z</t>
        </is>
      </c>
      <c r="U62" s="2" t="n">
        <v>14</v>
      </c>
      <c r="V62" s="2" t="inlineStr">
        <is>
          <t>sí</t>
        </is>
      </c>
      <c r="W62" s="2" t="n"/>
      <c r="X62" s="2" t="n"/>
      <c r="Y62" s="2" t="n"/>
      <c r="Z62" s="2" t="inlineStr">
        <is>
          <t>no</t>
        </is>
      </c>
      <c r="AA62" s="2" t="inlineStr">
        <is>
          <t>sí</t>
        </is>
      </c>
      <c r="AB62" s="2" t="n"/>
      <c r="AC62" s="2" t="n"/>
      <c r="AD62" s="2" t="n"/>
      <c r="AE62" s="2" t="n"/>
      <c r="AF62" s="2" t="inlineStr">
        <is>
          <t>sí</t>
        </is>
      </c>
      <c r="AG62" s="2" t="n"/>
      <c r="AH62" s="2" t="n">
        <v>4999</v>
      </c>
      <c r="AI62" s="2" t="n">
        <v>4999</v>
      </c>
      <c r="AJ62" s="2" t="n"/>
      <c r="AK62" s="2" t="n"/>
      <c r="AL62" s="2" t="n"/>
      <c r="AM62" s="2" t="n">
        <v>8.699999999999999</v>
      </c>
      <c r="AN62" s="2" t="n"/>
      <c r="AO62" s="2" t="inlineStr">
        <is>
          <t>2012</t>
        </is>
      </c>
      <c r="AP62" s="2" t="n">
        <v>2012</v>
      </c>
      <c r="AQ62" s="2" t="n"/>
      <c r="AR62" s="2" t="inlineStr">
        <is>
          <t>B</t>
        </is>
      </c>
      <c r="AS62" s="2" t="inlineStr">
        <is>
          <t>anuncio</t>
        </is>
      </c>
      <c r="AT62" s="2" t="n"/>
      <c r="AU62" s="2" t="inlineStr">
        <is>
          <t>no</t>
        </is>
      </c>
      <c r="AV62" s="2" t="inlineStr">
        <is>
          <t>no</t>
        </is>
      </c>
      <c r="AW62" s="2" t="n">
        <v>5900</v>
      </c>
      <c r="AX62" s="2" t="n">
        <v>5</v>
      </c>
      <c r="AY62" s="2" t="inlineStr">
        <is>
          <t>modelo+año+km</t>
        </is>
      </c>
      <c r="AZ62" s="2" t="n"/>
      <c r="BA62"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BB62" s="2" t="inlineStr">
        <is>
          <t xml:space="preserve">•RENAUL  MEGANE III 1.5DCI 110CV GT-LINE
•AÑO 2012 123072 KM DISTINTIVO B
•TEL 664506303
 km certificados | ITV en vigor |
Equipamiento destacado:
Climatizador bizona
Control de velocidad (cruise control)
Limitador de velocidad
Sensor de luces y lluvia
Faros antiniebla
Elevalunas eléctricos delanteros y traseros
Retrovisores eléctricos
Llantas de aleación
Cierre centralizado con mando
Ordenador de a bordo
Radio CD/MP3 con mandos en el volante
ISOFIX
ABS, ESP, múltiples airbags
Información adicional:
120.000 km reales (123.072 km certificados)
ITV en vigor
Distintivo ambiental B
Contacto:
Teléfono: 664 506 303
</t>
        </is>
      </c>
      <c r="BC62" s="2" t="inlineStr">
        <is>
          <t>https://www.coches.net/renault-megane-dynamique-energy-dci-110-ss-eco2-3p-diesel-2012-en-valencia-71537820-covo.aspx (window.__INITIAL_PROPS__.ad) /home/user/Alopecia/buscador-coches/raw/cochesnet/1c66f9e703cb9d52.json</t>
        </is>
      </c>
      <c r="BD62" s="3">
        <f>MAX(ANIO_ACTUAL-M62,0)</f>
        <v/>
      </c>
      <c r="BE62" s="4">
        <f>N62/MAX(BD62,0.5)</f>
        <v/>
      </c>
      <c r="BF62" s="4">
        <f>F62</f>
        <v/>
      </c>
      <c r="BG62" s="3">
        <f>BF62&amp;"|"&amp;INT(M62/SEG_ANIO)*SEG_ANIO</f>
        <v/>
      </c>
      <c r="BH62" s="3">
        <f>BG62&amp;"|"&amp;INT(N62/SEG_KM)*SEG_KM</f>
        <v/>
      </c>
      <c r="BI62" s="4">
        <f>COUNTIF($BF$2:$BF$101,BF62)</f>
        <v/>
      </c>
      <c r="BJ62" s="4">
        <f>COUNTIF($BG$2:$BG$101,BG62)</f>
        <v/>
      </c>
      <c r="BK62" s="4">
        <f>COUNTIF($BH$2:$BH$101,BH62)</f>
        <v/>
      </c>
      <c r="BL62" s="3">
        <f t="array" ref="BL62">IF(N(AX62)&gt;=MIN_N,AW62,IF(BK62&gt;=MIN_N,MEDIAN(IF($BH$2:$BH$101=BH62,$O$2:$O$101)),IF(BJ62&gt;=MIN_N,MEDIAN(IF($BG$2:$BG$101=BG62,$O$2:$O$101)),MEDIAN(IF($BF$2:$BF$101=BF62,$O$2:$O$101)))))</f>
        <v/>
      </c>
      <c r="BM62" s="3">
        <f>IF(N(AX62)&gt;=MIN_N,"mercado "&amp;AY62,IF(BK62&gt;=MIN_N,"modelo+año+km",IF(BJ62&gt;=MIN_N,"modelo+año","modelo")))</f>
        <v/>
      </c>
      <c r="BN62" s="4">
        <f>(BL62-O62)/BL62</f>
        <v/>
      </c>
      <c r="BO62" s="3">
        <f>IF(COUNTIFS(FR_FUEL,K62,FR_YEAR,AP62)&gt;0,1,0)</f>
        <v/>
      </c>
      <c r="BP62" s="3">
        <f>IF(COUNTIFS(FR_FUEL,K62,FR_YEAR,AP62-1)&gt;0,1,0)</f>
        <v/>
      </c>
      <c r="BQ62" s="4">
        <f>IF(N(AQ62)&gt;0,AP62*100+AQ62,IF(AND(BO62=1,BP62=1),(AP62-1)*100+1,AP62*100+1))</f>
        <v/>
      </c>
      <c r="BR62" s="3">
        <f>IF(OR(K62="hibrido",K62="glp",K62="gnc",K62="phev"),"ECO",IF(K62="electrico","CERO",IF(K62="gasolina",IF(BQ62&gt;=GAS_C_YM,"C",IF(BQ62&gt;=GAS_B_YM,"B","A")),IF(K62="diesel",IF(BQ62&gt;=DIE_C_YM,"C",IF(BQ62&gt;=DIE_B_YM,"B","A")),""))))</f>
        <v/>
      </c>
      <c r="BS62" s="2" t="inlineStr">
        <is>
          <t>B</t>
        </is>
      </c>
      <c r="BT62" s="4">
        <f>IF(AU62="sí","sí",IF(AS62="regla",IF(AND(N(AQ62)=0,BO62=1),"sí","no"),"no"))</f>
        <v/>
      </c>
      <c r="BU62" s="3">
        <f>IFERROR(VLOOKUP(F62,MOD_TBL,16,0),IFERROR(VLOOKUP(E62,OCU_TBL,2,0),NEUTRO))</f>
        <v/>
      </c>
      <c r="BV62" s="3">
        <f>SUMIFS(MOT_AJUSTE,MOT_MOTOR,G62,MOT_MARCA,E62,MOT_DESDE,"&lt;="&amp;M62,MOT_HASTA,"&gt;="&amp;M62)+SUMIFS(MOT_AJUSTE,MOT_MOTOR,G62,MOT_MARCA,"(todas)",MOT_DESDE,"&lt;="&amp;M62,MOT_HASTA,"&gt;="&amp;M62)+SUMIFS(MOT_AJUSTE,MOT_MOTOR,"(cualquiera)",MOT_MARCA,E62,MOT_DESDE,"&lt;="&amp;M62,MOT_HASTA,"&gt;="&amp;M62)</f>
        <v/>
      </c>
      <c r="BW62" s="3">
        <f>SUMIFS(COMB_AJUSTE,COMB_COMB,K62)</f>
        <v/>
      </c>
      <c r="BX62" s="3">
        <f>COUNTIFS(MOT_MOTOR,G62,MOT_MARCA,E62,MOT_DESDE,"&lt;="&amp;M62,MOT_HASTA,"&gt;="&amp;M62)+COUNTIFS(MOT_MOTOR,G62,MOT_MARCA,"(todas)",MOT_DESDE,"&lt;="&amp;M62,MOT_HASTA,"&gt;="&amp;M62)+COUNTIFS(MOT_MOTOR,"(cualquiera)",MOT_MARCA,E62,MOT_DESDE,"&lt;="&amp;M62,MOT_HASTA,"&gt;="&amp;M62)</f>
        <v/>
      </c>
      <c r="BY62" s="3">
        <f>IF(AND(K62="diesel",BX62=0),MIN(BU62,NEUTRO),BU62)</f>
        <v/>
      </c>
      <c r="BZ62" s="3">
        <f>MAX(0,MIN(100,BY62+BV62+BW62-IF(AV62="sí",ROB_PEN,0)))</f>
        <v/>
      </c>
      <c r="CA62" s="3">
        <f>100-MAX(0,N62-KM_TOPE_DESDE)/1000*KM_TOPE_PTS</f>
        <v/>
      </c>
      <c r="CB62" s="3">
        <f>MAX(0,MIN(100,50+BN62*PRECIO_PEND,CA62))</f>
        <v/>
      </c>
      <c r="CC62" s="3">
        <f>MAX(0,100*(1-N62/KM_MAX))</f>
        <v/>
      </c>
      <c r="CD62" s="3">
        <f>IF(BE62&lt;KMA_SOSP,IF(AA62="sí",100,KMA_PEN),IF(BE62&lt;=KMA_IDEAL_MAX,100,MAX(0,100*(KMA_CERO-BE62)/(KMA_CERO-KMA_IDEAL_MAX))))</f>
        <v/>
      </c>
      <c r="CE62" s="3">
        <f>MAX(0,MIN(100,100*(M62-ANIO_MIN)/(ANIO_ACTUAL-ANIO_MIN)))</f>
        <v/>
      </c>
      <c r="CF62" s="3">
        <f>W_KMT*CC62+W_KMA*CD62+W_EDAD*CE62</f>
        <v/>
      </c>
      <c r="CG62" s="3">
        <f>P_ITV*(V62="sí")+P_LIBRO*(W62="sí")+P_CORREA*(X62="sí")+P_PROP*(Y62=1)+P_GAR*(Z62="sí")+P_FOTOS*MIN(1,N(U62)/FOTOS_OBJ)</f>
        <v/>
      </c>
      <c r="CH62" s="3">
        <f>MAX(0,MIN(100,IFERROR(VLOOKUP(BS62,ETQ_TBL,2,0),0)-IF(BT62="sí",ETQ_PEN_DUD,IF(AS62="regla",ETQ_PEN_REGLA,0))))</f>
        <v/>
      </c>
      <c r="CI62" s="3">
        <f>NEUTRO</f>
        <v/>
      </c>
      <c r="CJ62" s="3">
        <f>IFERROR(VLOOKUP(L62,SEGURO_TBL,3,0),"")</f>
        <v/>
      </c>
      <c r="CK62" s="3">
        <f>IF(CJ62="",NEUTRO,MAX(0,MIN(100,100*(SEG_REF_MAX-CJ62)/(SEG_REF_MAX-SEG_REF_MIN))))</f>
        <v/>
      </c>
      <c r="CL62" s="3">
        <f>W_CONS*CI62+W_SEG*CK62</f>
        <v/>
      </c>
      <c r="CM62" s="3">
        <f>IF(N(AB62)&gt;0,AB62,IF(AND(R62="profesional",SG_LEGAL_ON=1),GAR_LEGAL,0))</f>
        <v/>
      </c>
      <c r="CN62" s="3">
        <f>SG_GAR*MIN(1,CM62/SG_GAR_FULL)+SG_AMPL*(AC62="sí")+SG_KMC*(AF62="sí")+SG_REV*(N(AE62)&gt;0)+SG_DEV*MIN(1,N(AG62)/SG_DEV_FULL)+SG_HIST*(W62="sí")</f>
        <v/>
      </c>
      <c r="CO62" s="3">
        <f>IFERROR(VLOOKUP(L62,CARR_PEN_TBL,2,0),0)</f>
        <v/>
      </c>
      <c r="CP62" s="3">
        <f>W_FIAB*BZ62+W_PRECIO*CB62+W_KMEDAD*CF62+W_ANUNCIO*CG62+W_USO*CL62+W_SEGURIDAD*CN62+W_ETIQUETA*CH62-CO62</f>
        <v/>
      </c>
      <c r="CQ62" s="4">
        <f>IF(N(I62)&gt;0,I62,IFERROR(ROUND(_xlfn.NUMBERVALUE(LEFT(G62,FIND(" ",G62&amp;" ")-1),".")*1000,0),99999))</f>
        <v/>
      </c>
      <c r="CR62" s="3">
        <f>IF(R62="profesional",0,IF(O62&lt;CUOTA_VALOR_MAX,IF(BD62&gt;ITP_TRAMO_ALTO,SUMIFS(CF_CUOTA,CF_MAS,ITP_TRAMO_ALTO,CF_CCMIN,"&lt;="&amp;CQ62,CF_CCMAX,"&gt;="&amp;CQ62),IF(BD62&gt;ITP_TRAMO_BAJO,SUMIFS(CF_CUOTA,CF_MAS,ITP_TRAMO_BAJO,CF_CCMIN,"&lt;="&amp;CQ62,CF_CCMAX,"&gt;="&amp;CQ62),O62*ITP_TIPO)),O62*ITP_TIPO))</f>
        <v/>
      </c>
      <c r="CS62" s="4">
        <f>IF(R62="profesional",N(AK62),0)</f>
        <v/>
      </c>
      <c r="CT62" s="3">
        <f>IF(AND(R62="profesional",ISNUMBER(AK62),AL62="sí"),0,TASA_DGT)</f>
        <v/>
      </c>
      <c r="CU62" s="3">
        <f>INFORME_DGT</f>
        <v/>
      </c>
      <c r="CV62" s="4">
        <f>O62+CS62+CR62+CT62+CU62</f>
        <v/>
      </c>
      <c r="CW62" s="4">
        <f>CV62+N(CJ62)</f>
        <v/>
      </c>
      <c r="CX62" s="3">
        <f>IF(CV62&lt;=TOTAL_MAX,"sí",IF(CV62&lt;=TOTAL_MAX+MARGEN_NEG,"negociar","no"))</f>
        <v/>
      </c>
      <c r="CY62" s="4">
        <f>IF(CX62&lt;&gt;"no",COUNTIFS($CX$2:$CX$101,"&lt;&gt;no",$CP$2:$CP$101,"&gt;"&amp;CP62)+COUNTIFS($CX$2:CX62,"&lt;&gt;no",$CP$2:CP62,CP62),"")</f>
        <v/>
      </c>
    </row>
    <row r="63">
      <c r="A63" s="2" t="inlineStr">
        <is>
          <t>cochesnet:71783816</t>
        </is>
      </c>
      <c r="B63" s="2" t="inlineStr">
        <is>
          <t>cochesnet</t>
        </is>
      </c>
      <c r="C63" s="2" t="inlineStr">
        <is>
          <t>https://www.coches.net/renault-megane-sport-tourer-dynamique-15dci-105cv-eco2-5p-diesel-2009-en-valencia-71783816-covo.aspx</t>
        </is>
      </c>
      <c r="D63" s="2" t="inlineStr">
        <is>
          <t>RENAULT Mégane Sport Tourer Dynamique 1.5dCi eco2</t>
        </is>
      </c>
      <c r="E63" s="2" t="inlineStr">
        <is>
          <t>Renault</t>
        </is>
      </c>
      <c r="F63" s="2" t="inlineStr">
        <is>
          <t>Renault Mégane</t>
        </is>
      </c>
      <c r="G63" s="2" t="inlineStr">
        <is>
          <t>1.5</t>
        </is>
      </c>
      <c r="H63" s="2" t="inlineStr">
        <is>
          <t>Sport Tourer Dynamique 1.5dCi 105cv eco2</t>
        </is>
      </c>
      <c r="I63" s="2" t="n"/>
      <c r="J63" s="2" t="n">
        <v>105</v>
      </c>
      <c r="K63" s="2" t="inlineStr">
        <is>
          <t>diesel</t>
        </is>
      </c>
      <c r="L63" s="2" t="inlineStr">
        <is>
          <t>familiar</t>
        </is>
      </c>
      <c r="M63" s="2" t="n">
        <v>2010</v>
      </c>
      <c r="N63" s="2" t="n">
        <v>186000</v>
      </c>
      <c r="O63" s="2" t="n">
        <v>4990</v>
      </c>
      <c r="P63" s="2" t="inlineStr">
        <is>
          <t>manual</t>
        </is>
      </c>
      <c r="Q63" s="2" t="inlineStr">
        <is>
          <t>no</t>
        </is>
      </c>
      <c r="R63" s="2" t="inlineStr">
        <is>
          <t>profesional</t>
        </is>
      </c>
      <c r="S63" s="2" t="inlineStr">
        <is>
          <t>PRIM CARS Alboraya</t>
        </is>
      </c>
      <c r="T63" s="2" t="inlineStr">
        <is>
          <t>2026-10-19T18:24:38Z</t>
        </is>
      </c>
      <c r="U63" s="2" t="n">
        <v>23</v>
      </c>
      <c r="V63" s="2" t="inlineStr">
        <is>
          <t>sí</t>
        </is>
      </c>
      <c r="W63" s="2" t="n"/>
      <c r="X63" s="2" t="n"/>
      <c r="Y63" s="2" t="n">
        <v>1</v>
      </c>
      <c r="Z63" s="2" t="inlineStr">
        <is>
          <t>sí</t>
        </is>
      </c>
      <c r="AA63" s="2" t="n"/>
      <c r="AB63" s="2" t="n">
        <v>12</v>
      </c>
      <c r="AC63" s="2" t="n"/>
      <c r="AD63" s="2" t="n"/>
      <c r="AE63" s="2" t="n"/>
      <c r="AF63" s="2" t="n"/>
      <c r="AG63" s="2" t="n"/>
      <c r="AH63" s="2" t="n">
        <v>4990</v>
      </c>
      <c r="AI63" s="2" t="n">
        <v>4990</v>
      </c>
      <c r="AJ63" s="2" t="n"/>
      <c r="AK63" s="2" t="n"/>
      <c r="AL63" s="2" t="n"/>
      <c r="AM63" s="2" t="n">
        <v>4</v>
      </c>
      <c r="AN63" s="2" t="n"/>
      <c r="AO63" s="2" t="inlineStr">
        <is>
          <t>2010</t>
        </is>
      </c>
      <c r="AP63" s="2" t="n">
        <v>2010</v>
      </c>
      <c r="AQ63" s="2" t="n"/>
      <c r="AR63" s="2" t="inlineStr">
        <is>
          <t>B</t>
        </is>
      </c>
      <c r="AS63" s="2" t="inlineStr">
        <is>
          <t>anuncio</t>
        </is>
      </c>
      <c r="AT63" s="2" t="n">
        <v>2009</v>
      </c>
      <c r="AU63" s="2" t="inlineStr">
        <is>
          <t>no</t>
        </is>
      </c>
      <c r="AV63" s="2" t="inlineStr">
        <is>
          <t>no</t>
        </is>
      </c>
      <c r="AW63" s="2" t="n">
        <v>5045</v>
      </c>
      <c r="AX63" s="2" t="n">
        <v>12</v>
      </c>
      <c r="AY63" s="2" t="inlineStr">
        <is>
          <t>modelo+año+km</t>
        </is>
      </c>
      <c r="AZ63" s="2" t="n"/>
      <c r="BA63" s="2" t="inlineStr">
        <is>
          <t>año a confirmar: la URL/título dice 2009; 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familiar: -3 puntos</t>
        </is>
      </c>
      <c r="BB63" s="2" t="inlineStr">
        <is>
          <t>RENAULT MÉGANE III ESTATE 1.5 dCi 106 CV – AÑO 2010
Vehículo nacional, procedente de único propietario, en buen estado de conservación, cuidado y listo para circular.
Se entrega con mantenimiento recién realizado e ITV recién pasada.
Dispone de distintivo ambiental B.
Equipamiento destacado:
* Barras de techo
* Aire acondicionado 
* Control de crucero y limitador de velocidad
* Ordenador de a bordo
* Elevalunas eléctricos
* Retrovisores eléctricos
* Cierre centralizado con mando y dos llaves 
* Dirección asistida
* Volante regulable en altura y profundidad
* Asientos traseros abatibles
* Amplio maletero con gran capacidad de carga
* Sistema de audio con radio y CD
* Airbags frontales y laterales
* Sistema antibloqueo de frenos ABS
* Control electrónico de estabilidad ESP
* 
Para más información o concertar una visita, contactar sin compromiso.
Este anuncio tiene carácter informativo y no contractual, pudiendo contener errores tipográficos. El equipamiento concreto puede variar según la versión y debe verificarse en el vehículo.</t>
        </is>
      </c>
      <c r="BC63" s="2" t="inlineStr">
        <is>
          <t>https://www.coches.net/renault-megane-sport-tourer-dynamique-15dci-105cv-eco2-5p-diesel-2009-en-valencia-71783816-covo.aspx (window.__INITIAL_PROPS__.ad) /home/user/Alopecia/buscador-coches/raw/cochesnet/41e7d798cdcad364.json</t>
        </is>
      </c>
      <c r="BD63" s="3">
        <f>MAX(ANIO_ACTUAL-M63,0)</f>
        <v/>
      </c>
      <c r="BE63" s="4">
        <f>N63/MAX(BD63,0.5)</f>
        <v/>
      </c>
      <c r="BF63" s="4">
        <f>F63</f>
        <v/>
      </c>
      <c r="BG63" s="3">
        <f>BF63&amp;"|"&amp;INT(M63/SEG_ANIO)*SEG_ANIO</f>
        <v/>
      </c>
      <c r="BH63" s="3">
        <f>BG63&amp;"|"&amp;INT(N63/SEG_KM)*SEG_KM</f>
        <v/>
      </c>
      <c r="BI63" s="4">
        <f>COUNTIF($BF$2:$BF$101,BF63)</f>
        <v/>
      </c>
      <c r="BJ63" s="4">
        <f>COUNTIF($BG$2:$BG$101,BG63)</f>
        <v/>
      </c>
      <c r="BK63" s="4">
        <f>COUNTIF($BH$2:$BH$101,BH63)</f>
        <v/>
      </c>
      <c r="BL63" s="3">
        <f t="array" ref="BL63">IF(N(AX63)&gt;=MIN_N,AW63,IF(BK63&gt;=MIN_N,MEDIAN(IF($BH$2:$BH$101=BH63,$O$2:$O$101)),IF(BJ63&gt;=MIN_N,MEDIAN(IF($BG$2:$BG$101=BG63,$O$2:$O$101)),MEDIAN(IF($BF$2:$BF$101=BF63,$O$2:$O$101)))))</f>
        <v/>
      </c>
      <c r="BM63" s="3">
        <f>IF(N(AX63)&gt;=MIN_N,"mercado "&amp;AY63,IF(BK63&gt;=MIN_N,"modelo+año+km",IF(BJ63&gt;=MIN_N,"modelo+año","modelo")))</f>
        <v/>
      </c>
      <c r="BN63" s="4">
        <f>(BL63-O63)/BL63</f>
        <v/>
      </c>
      <c r="BO63" s="3">
        <f>IF(COUNTIFS(FR_FUEL,K63,FR_YEAR,AP63)&gt;0,1,0)</f>
        <v/>
      </c>
      <c r="BP63" s="3">
        <f>IF(COUNTIFS(FR_FUEL,K63,FR_YEAR,AP63-1)&gt;0,1,0)</f>
        <v/>
      </c>
      <c r="BQ63" s="4">
        <f>IF(N(AQ63)&gt;0,AP63*100+AQ63,IF(AND(BO63=1,BP63=1),(AP63-1)*100+1,AP63*100+1))</f>
        <v/>
      </c>
      <c r="BR63" s="3">
        <f>IF(OR(K63="hibrido",K63="glp",K63="gnc",K63="phev"),"ECO",IF(K63="electrico","CERO",IF(K63="gasolina",IF(BQ63&gt;=GAS_C_YM,"C",IF(BQ63&gt;=GAS_B_YM,"B","A")),IF(K63="diesel",IF(BQ63&gt;=DIE_C_YM,"C",IF(BQ63&gt;=DIE_B_YM,"B","A")),""))))</f>
        <v/>
      </c>
      <c r="BS63" s="2" t="inlineStr">
        <is>
          <t>B</t>
        </is>
      </c>
      <c r="BT63" s="4">
        <f>IF(AU63="sí","sí",IF(AS63="regla",IF(AND(N(AQ63)=0,BO63=1),"sí","no"),"no"))</f>
        <v/>
      </c>
      <c r="BU63" s="3">
        <f>IFERROR(VLOOKUP(F63,MOD_TBL,16,0),IFERROR(VLOOKUP(E63,OCU_TBL,2,0),NEUTRO))</f>
        <v/>
      </c>
      <c r="BV63" s="3">
        <f>SUMIFS(MOT_AJUSTE,MOT_MOTOR,G63,MOT_MARCA,E63,MOT_DESDE,"&lt;="&amp;M63,MOT_HASTA,"&gt;="&amp;M63)+SUMIFS(MOT_AJUSTE,MOT_MOTOR,G63,MOT_MARCA,"(todas)",MOT_DESDE,"&lt;="&amp;M63,MOT_HASTA,"&gt;="&amp;M63)+SUMIFS(MOT_AJUSTE,MOT_MOTOR,"(cualquiera)",MOT_MARCA,E63,MOT_DESDE,"&lt;="&amp;M63,MOT_HASTA,"&gt;="&amp;M63)</f>
        <v/>
      </c>
      <c r="BW63" s="3">
        <f>SUMIFS(COMB_AJUSTE,COMB_COMB,K63)</f>
        <v/>
      </c>
      <c r="BX63" s="3">
        <f>COUNTIFS(MOT_MOTOR,G63,MOT_MARCA,E63,MOT_DESDE,"&lt;="&amp;M63,MOT_HASTA,"&gt;="&amp;M63)+COUNTIFS(MOT_MOTOR,G63,MOT_MARCA,"(todas)",MOT_DESDE,"&lt;="&amp;M63,MOT_HASTA,"&gt;="&amp;M63)+COUNTIFS(MOT_MOTOR,"(cualquiera)",MOT_MARCA,E63,MOT_DESDE,"&lt;="&amp;M63,MOT_HASTA,"&gt;="&amp;M63)</f>
        <v/>
      </c>
      <c r="BY63" s="3">
        <f>IF(AND(K63="diesel",BX63=0),MIN(BU63,NEUTRO),BU63)</f>
        <v/>
      </c>
      <c r="BZ63" s="3">
        <f>MAX(0,MIN(100,BY63+BV63+BW63-IF(AV63="sí",ROB_PEN,0)))</f>
        <v/>
      </c>
      <c r="CA63" s="3">
        <f>100-MAX(0,N63-KM_TOPE_DESDE)/1000*KM_TOPE_PTS</f>
        <v/>
      </c>
      <c r="CB63" s="3">
        <f>MAX(0,MIN(100,50+BN63*PRECIO_PEND,CA63))</f>
        <v/>
      </c>
      <c r="CC63" s="3">
        <f>MAX(0,100*(1-N63/KM_MAX))</f>
        <v/>
      </c>
      <c r="CD63" s="3">
        <f>IF(BE63&lt;KMA_SOSP,IF(AA63="sí",100,KMA_PEN),IF(BE63&lt;=KMA_IDEAL_MAX,100,MAX(0,100*(KMA_CERO-BE63)/(KMA_CERO-KMA_IDEAL_MAX))))</f>
        <v/>
      </c>
      <c r="CE63" s="3">
        <f>MAX(0,MIN(100,100*(M63-ANIO_MIN)/(ANIO_ACTUAL-ANIO_MIN)))</f>
        <v/>
      </c>
      <c r="CF63" s="3">
        <f>W_KMT*CC63+W_KMA*CD63+W_EDAD*CE63</f>
        <v/>
      </c>
      <c r="CG63" s="3">
        <f>P_ITV*(V63="sí")+P_LIBRO*(W63="sí")+P_CORREA*(X63="sí")+P_PROP*(Y63=1)+P_GAR*(Z63="sí")+P_FOTOS*MIN(1,N(U63)/FOTOS_OBJ)</f>
        <v/>
      </c>
      <c r="CH63" s="3">
        <f>MAX(0,MIN(100,IFERROR(VLOOKUP(BS63,ETQ_TBL,2,0),0)-IF(BT63="sí",ETQ_PEN_DUD,IF(AS63="regla",ETQ_PEN_REGLA,0))))</f>
        <v/>
      </c>
      <c r="CI63" s="3">
        <f>NEUTRO</f>
        <v/>
      </c>
      <c r="CJ63" s="3">
        <f>IFERROR(VLOOKUP(L63,SEGURO_TBL,3,0),"")</f>
        <v/>
      </c>
      <c r="CK63" s="3">
        <f>IF(CJ63="",NEUTRO,MAX(0,MIN(100,100*(SEG_REF_MAX-CJ63)/(SEG_REF_MAX-SEG_REF_MIN))))</f>
        <v/>
      </c>
      <c r="CL63" s="3">
        <f>W_CONS*CI63+W_SEG*CK63</f>
        <v/>
      </c>
      <c r="CM63" s="3">
        <f>IF(N(AB63)&gt;0,AB63,IF(AND(R63="profesional",SG_LEGAL_ON=1),GAR_LEGAL,0))</f>
        <v/>
      </c>
      <c r="CN63" s="3">
        <f>SG_GAR*MIN(1,CM63/SG_GAR_FULL)+SG_AMPL*(AC63="sí")+SG_KMC*(AF63="sí")+SG_REV*(N(AE63)&gt;0)+SG_DEV*MIN(1,N(AG63)/SG_DEV_FULL)+SG_HIST*(W63="sí")</f>
        <v/>
      </c>
      <c r="CO63" s="3">
        <f>IFERROR(VLOOKUP(L63,CARR_PEN_TBL,2,0),0)</f>
        <v/>
      </c>
      <c r="CP63" s="3">
        <f>W_FIAB*BZ63+W_PRECIO*CB63+W_KMEDAD*CF63+W_ANUNCIO*CG63+W_USO*CL63+W_SEGURIDAD*CN63+W_ETIQUETA*CH63-CO63</f>
        <v/>
      </c>
      <c r="CQ63" s="4">
        <f>IF(N(I63)&gt;0,I63,IFERROR(ROUND(_xlfn.NUMBERVALUE(LEFT(G63,FIND(" ",G63&amp;" ")-1),".")*1000,0),99999))</f>
        <v/>
      </c>
      <c r="CR63" s="3">
        <f>IF(R63="profesional",0,IF(O63&lt;CUOTA_VALOR_MAX,IF(BD63&gt;ITP_TRAMO_ALTO,SUMIFS(CF_CUOTA,CF_MAS,ITP_TRAMO_ALTO,CF_CCMIN,"&lt;="&amp;CQ63,CF_CCMAX,"&gt;="&amp;CQ63),IF(BD63&gt;ITP_TRAMO_BAJO,SUMIFS(CF_CUOTA,CF_MAS,ITP_TRAMO_BAJO,CF_CCMIN,"&lt;="&amp;CQ63,CF_CCMAX,"&gt;="&amp;CQ63),O63*ITP_TIPO)),O63*ITP_TIPO))</f>
        <v/>
      </c>
      <c r="CS63" s="4">
        <f>IF(R63="profesional",N(AK63),0)</f>
        <v/>
      </c>
      <c r="CT63" s="3">
        <f>IF(AND(R63="profesional",ISNUMBER(AK63),AL63="sí"),0,TASA_DGT)</f>
        <v/>
      </c>
      <c r="CU63" s="3">
        <f>INFORME_DGT</f>
        <v/>
      </c>
      <c r="CV63" s="4">
        <f>O63+CS63+CR63+CT63+CU63</f>
        <v/>
      </c>
      <c r="CW63" s="4">
        <f>CV63+N(CJ63)</f>
        <v/>
      </c>
      <c r="CX63" s="3">
        <f>IF(CV63&lt;=TOTAL_MAX,"sí",IF(CV63&lt;=TOTAL_MAX+MARGEN_NEG,"negociar","no"))</f>
        <v/>
      </c>
      <c r="CY63" s="4">
        <f>IF(CX63&lt;&gt;"no",COUNTIFS($CX$2:$CX$101,"&lt;&gt;no",$CP$2:$CP$101,"&gt;"&amp;CP63)+COUNTIFS($CX$2:CX63,"&lt;&gt;no",$CP$2:CP63,CP63),"")</f>
        <v/>
      </c>
    </row>
    <row r="64">
      <c r="A64" s="2" t="inlineStr">
        <is>
          <t>cochesnet:70833355</t>
        </is>
      </c>
      <c r="B64" s="2" t="inlineStr">
        <is>
          <t>cochesnet</t>
        </is>
      </c>
      <c r="C64" s="2" t="inlineStr">
        <is>
          <t>https://www.coches.net/renault-modus-confort-dynamique-14-16v-5p-gasolina-2006-en-valencia-70833355-covo.aspx</t>
        </is>
      </c>
      <c r="D64" s="2" t="inlineStr">
        <is>
          <t>RENAULT Modus Confort Dynamique 1.4 16v</t>
        </is>
      </c>
      <c r="E64" s="2" t="inlineStr">
        <is>
          <t>Renault</t>
        </is>
      </c>
      <c r="F64" s="2" t="inlineStr">
        <is>
          <t>Renault Modus</t>
        </is>
      </c>
      <c r="G64" s="2" t="inlineStr">
        <is>
          <t>1.4</t>
        </is>
      </c>
      <c r="H64" s="2" t="inlineStr">
        <is>
          <t>Confort Dynamique 1.4 16v</t>
        </is>
      </c>
      <c r="I64" s="2" t="n"/>
      <c r="J64" s="2" t="n"/>
      <c r="K64" s="2" t="inlineStr">
        <is>
          <t>gasolina</t>
        </is>
      </c>
      <c r="L64" s="2" t="inlineStr">
        <is>
          <t>monovolumen_pequeno</t>
        </is>
      </c>
      <c r="M64" s="2" t="n">
        <v>2006</v>
      </c>
      <c r="N64" s="2" t="n">
        <v>190000</v>
      </c>
      <c r="O64" s="2" t="n">
        <v>2490</v>
      </c>
      <c r="P64" s="2" t="inlineStr">
        <is>
          <t>manual</t>
        </is>
      </c>
      <c r="Q64" s="2" t="inlineStr">
        <is>
          <t>no</t>
        </is>
      </c>
      <c r="R64" s="2" t="inlineStr">
        <is>
          <t>profesional</t>
        </is>
      </c>
      <c r="S64" s="2" t="inlineStr">
        <is>
          <t>Foios</t>
        </is>
      </c>
      <c r="T64" s="2" t="inlineStr">
        <is>
          <t>2026-09-07T18:54:24Z</t>
        </is>
      </c>
      <c r="U64" s="2" t="n">
        <v>13</v>
      </c>
      <c r="V64" s="2" t="n"/>
      <c r="W64" s="2" t="n"/>
      <c r="X64" s="2" t="n"/>
      <c r="Y64" s="2" t="n"/>
      <c r="Z64" s="2" t="inlineStr">
        <is>
          <t>sí</t>
        </is>
      </c>
      <c r="AA64" s="2" t="n"/>
      <c r="AB64" s="2" t="n">
        <v>12</v>
      </c>
      <c r="AC64" s="2" t="n"/>
      <c r="AD64" s="2" t="n"/>
      <c r="AE64" s="2" t="n"/>
      <c r="AF64" s="2" t="n"/>
      <c r="AG64" s="2" t="n"/>
      <c r="AH64" s="2" t="n">
        <v>2490</v>
      </c>
      <c r="AI64" s="2" t="n">
        <v>2490</v>
      </c>
      <c r="AJ64" s="2" t="n"/>
      <c r="AK64" s="2" t="n"/>
      <c r="AL64" s="2" t="n"/>
      <c r="AM64" s="2" t="n">
        <v>7.7</v>
      </c>
      <c r="AN64" s="2" t="n"/>
      <c r="AO64" s="2" t="inlineStr">
        <is>
          <t>2006</t>
        </is>
      </c>
      <c r="AP64" s="2" t="n">
        <v>2006</v>
      </c>
      <c r="AQ64" s="2" t="n"/>
      <c r="AR64" s="2" t="inlineStr">
        <is>
          <t>C</t>
        </is>
      </c>
      <c r="AS64" s="2" t="inlineStr">
        <is>
          <t>anuncio</t>
        </is>
      </c>
      <c r="AT64" s="2" t="n"/>
      <c r="AU64" s="2" t="inlineStr">
        <is>
          <t>no</t>
        </is>
      </c>
      <c r="AV64" s="2" t="inlineStr">
        <is>
          <t>no</t>
        </is>
      </c>
      <c r="AW64" s="2" t="n"/>
      <c r="AX64" s="2" t="n"/>
      <c r="AY64" s="2" t="n"/>
      <c r="AZ64" s="2" t="n"/>
      <c r="BA64" s="2" t="inlineStr">
        <is>
          <t>vendedor profesional: sin ITP (operación con IVA/REBU, confirmar en factura); gastos de gestión del vendedor no indicados: se suma la tasa DGT; preguntar el precio final; carrocería monovolumen_pequeno: -6 puntos; revisar: no menciona la ITV; fiabilidad del modelo PENDIENTE de fuente (puntuación neutra); mediana con solo 1 anuncio(s)</t>
        </is>
      </c>
      <c r="BB64"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BC64" s="2" t="inlineStr">
        <is>
          <t>https://www.coches.net/renault-modus-confort-dynamique-14-16v-5p-gasolina-2006-en-valencia-70833355-covo.aspx (window.__INITIAL_PROPS__.ad) /home/user/Alopecia/buscador-coches/raw/cochesnet/291453f12eb96d2d.json</t>
        </is>
      </c>
      <c r="BD64" s="3">
        <f>MAX(ANIO_ACTUAL-M64,0)</f>
        <v/>
      </c>
      <c r="BE64" s="4">
        <f>N64/MAX(BD64,0.5)</f>
        <v/>
      </c>
      <c r="BF64" s="4">
        <f>F64</f>
        <v/>
      </c>
      <c r="BG64" s="3">
        <f>BF64&amp;"|"&amp;INT(M64/SEG_ANIO)*SEG_ANIO</f>
        <v/>
      </c>
      <c r="BH64" s="3">
        <f>BG64&amp;"|"&amp;INT(N64/SEG_KM)*SEG_KM</f>
        <v/>
      </c>
      <c r="BI64" s="4">
        <f>COUNTIF($BF$2:$BF$101,BF64)</f>
        <v/>
      </c>
      <c r="BJ64" s="4">
        <f>COUNTIF($BG$2:$BG$101,BG64)</f>
        <v/>
      </c>
      <c r="BK64" s="4">
        <f>COUNTIF($BH$2:$BH$101,BH64)</f>
        <v/>
      </c>
      <c r="BL64" s="3">
        <f t="array" ref="BL64">IF(N(AX64)&gt;=MIN_N,AW64,IF(BK64&gt;=MIN_N,MEDIAN(IF($BH$2:$BH$101=BH64,$O$2:$O$101)),IF(BJ64&gt;=MIN_N,MEDIAN(IF($BG$2:$BG$101=BG64,$O$2:$O$101)),MEDIAN(IF($BF$2:$BF$101=BF64,$O$2:$O$101)))))</f>
        <v/>
      </c>
      <c r="BM64" s="3">
        <f>IF(N(AX64)&gt;=MIN_N,"mercado "&amp;AY64,IF(BK64&gt;=MIN_N,"modelo+año+km",IF(BJ64&gt;=MIN_N,"modelo+año","modelo")))</f>
        <v/>
      </c>
      <c r="BN64" s="4">
        <f>(BL64-O64)/BL64</f>
        <v/>
      </c>
      <c r="BO64" s="3">
        <f>IF(COUNTIFS(FR_FUEL,K64,FR_YEAR,AP64)&gt;0,1,0)</f>
        <v/>
      </c>
      <c r="BP64" s="3">
        <f>IF(COUNTIFS(FR_FUEL,K64,FR_YEAR,AP64-1)&gt;0,1,0)</f>
        <v/>
      </c>
      <c r="BQ64" s="4">
        <f>IF(N(AQ64)&gt;0,AP64*100+AQ64,IF(AND(BO64=1,BP64=1),(AP64-1)*100+1,AP64*100+1))</f>
        <v/>
      </c>
      <c r="BR64" s="3">
        <f>IF(OR(K64="hibrido",K64="glp",K64="gnc",K64="phev"),"ECO",IF(K64="electrico","CERO",IF(K64="gasolina",IF(BQ64&gt;=GAS_C_YM,"C",IF(BQ64&gt;=GAS_B_YM,"B","A")),IF(K64="diesel",IF(BQ64&gt;=DIE_C_YM,"C",IF(BQ64&gt;=DIE_B_YM,"B","A")),""))))</f>
        <v/>
      </c>
      <c r="BS64" s="2" t="inlineStr">
        <is>
          <t>C</t>
        </is>
      </c>
      <c r="BT64" s="4">
        <f>IF(AU64="sí","sí",IF(AS64="regla",IF(AND(N(AQ64)=0,BO64=1),"sí","no"),"no"))</f>
        <v/>
      </c>
      <c r="BU64" s="3">
        <f>IFERROR(VLOOKUP(F64,MOD_TBL,16,0),IFERROR(VLOOKUP(E64,OCU_TBL,2,0),NEUTRO))</f>
        <v/>
      </c>
      <c r="BV64" s="3">
        <f>SUMIFS(MOT_AJUSTE,MOT_MOTOR,G64,MOT_MARCA,E64,MOT_DESDE,"&lt;="&amp;M64,MOT_HASTA,"&gt;="&amp;M64)+SUMIFS(MOT_AJUSTE,MOT_MOTOR,G64,MOT_MARCA,"(todas)",MOT_DESDE,"&lt;="&amp;M64,MOT_HASTA,"&gt;="&amp;M64)+SUMIFS(MOT_AJUSTE,MOT_MOTOR,"(cualquiera)",MOT_MARCA,E64,MOT_DESDE,"&lt;="&amp;M64,MOT_HASTA,"&gt;="&amp;M64)</f>
        <v/>
      </c>
      <c r="BW64" s="3">
        <f>SUMIFS(COMB_AJUSTE,COMB_COMB,K64)</f>
        <v/>
      </c>
      <c r="BX64" s="3">
        <f>COUNTIFS(MOT_MOTOR,G64,MOT_MARCA,E64,MOT_DESDE,"&lt;="&amp;M64,MOT_HASTA,"&gt;="&amp;M64)+COUNTIFS(MOT_MOTOR,G64,MOT_MARCA,"(todas)",MOT_DESDE,"&lt;="&amp;M64,MOT_HASTA,"&gt;="&amp;M64)+COUNTIFS(MOT_MOTOR,"(cualquiera)",MOT_MARCA,E64,MOT_DESDE,"&lt;="&amp;M64,MOT_HASTA,"&gt;="&amp;M64)</f>
        <v/>
      </c>
      <c r="BY64" s="3">
        <f>IF(AND(K64="diesel",BX64=0),MIN(BU64,NEUTRO),BU64)</f>
        <v/>
      </c>
      <c r="BZ64" s="3">
        <f>MAX(0,MIN(100,BY64+BV64+BW64-IF(AV64="sí",ROB_PEN,0)))</f>
        <v/>
      </c>
      <c r="CA64" s="3">
        <f>100-MAX(0,N64-KM_TOPE_DESDE)/1000*KM_TOPE_PTS</f>
        <v/>
      </c>
      <c r="CB64" s="3">
        <f>MAX(0,MIN(100,50+BN64*PRECIO_PEND,CA64))</f>
        <v/>
      </c>
      <c r="CC64" s="3">
        <f>MAX(0,100*(1-N64/KM_MAX))</f>
        <v/>
      </c>
      <c r="CD64" s="3">
        <f>IF(BE64&lt;KMA_SOSP,IF(AA64="sí",100,KMA_PEN),IF(BE64&lt;=KMA_IDEAL_MAX,100,MAX(0,100*(KMA_CERO-BE64)/(KMA_CERO-KMA_IDEAL_MAX))))</f>
        <v/>
      </c>
      <c r="CE64" s="3">
        <f>MAX(0,MIN(100,100*(M64-ANIO_MIN)/(ANIO_ACTUAL-ANIO_MIN)))</f>
        <v/>
      </c>
      <c r="CF64" s="3">
        <f>W_KMT*CC64+W_KMA*CD64+W_EDAD*CE64</f>
        <v/>
      </c>
      <c r="CG64" s="3">
        <f>P_ITV*(V64="sí")+P_LIBRO*(W64="sí")+P_CORREA*(X64="sí")+P_PROP*(Y64=1)+P_GAR*(Z64="sí")+P_FOTOS*MIN(1,N(U64)/FOTOS_OBJ)</f>
        <v/>
      </c>
      <c r="CH64" s="3">
        <f>MAX(0,MIN(100,IFERROR(VLOOKUP(BS64,ETQ_TBL,2,0),0)-IF(BT64="sí",ETQ_PEN_DUD,IF(AS64="regla",ETQ_PEN_REGLA,0))))</f>
        <v/>
      </c>
      <c r="CI64" s="3">
        <f>NEUTRO</f>
        <v/>
      </c>
      <c r="CJ64" s="3">
        <f>IFERROR(VLOOKUP(L64,SEGURO_TBL,3,0),"")</f>
        <v/>
      </c>
      <c r="CK64" s="3">
        <f>IF(CJ64="",NEUTRO,MAX(0,MIN(100,100*(SEG_REF_MAX-CJ64)/(SEG_REF_MAX-SEG_REF_MIN))))</f>
        <v/>
      </c>
      <c r="CL64" s="3">
        <f>W_CONS*CI64+W_SEG*CK64</f>
        <v/>
      </c>
      <c r="CM64" s="3">
        <f>IF(N(AB64)&gt;0,AB64,IF(AND(R64="profesional",SG_LEGAL_ON=1),GAR_LEGAL,0))</f>
        <v/>
      </c>
      <c r="CN64" s="3">
        <f>SG_GAR*MIN(1,CM64/SG_GAR_FULL)+SG_AMPL*(AC64="sí")+SG_KMC*(AF64="sí")+SG_REV*(N(AE64)&gt;0)+SG_DEV*MIN(1,N(AG64)/SG_DEV_FULL)+SG_HIST*(W64="sí")</f>
        <v/>
      </c>
      <c r="CO64" s="3">
        <f>IFERROR(VLOOKUP(L64,CARR_PEN_TBL,2,0),0)</f>
        <v/>
      </c>
      <c r="CP64" s="3">
        <f>W_FIAB*BZ64+W_PRECIO*CB64+W_KMEDAD*CF64+W_ANUNCIO*CG64+W_USO*CL64+W_SEGURIDAD*CN64+W_ETIQUETA*CH64-CO64</f>
        <v/>
      </c>
      <c r="CQ64" s="4">
        <f>IF(N(I64)&gt;0,I64,IFERROR(ROUND(_xlfn.NUMBERVALUE(LEFT(G64,FIND(" ",G64&amp;" ")-1),".")*1000,0),99999))</f>
        <v/>
      </c>
      <c r="CR64" s="3">
        <f>IF(R64="profesional",0,IF(O64&lt;CUOTA_VALOR_MAX,IF(BD64&gt;ITP_TRAMO_ALTO,SUMIFS(CF_CUOTA,CF_MAS,ITP_TRAMO_ALTO,CF_CCMIN,"&lt;="&amp;CQ64,CF_CCMAX,"&gt;="&amp;CQ64),IF(BD64&gt;ITP_TRAMO_BAJO,SUMIFS(CF_CUOTA,CF_MAS,ITP_TRAMO_BAJO,CF_CCMIN,"&lt;="&amp;CQ64,CF_CCMAX,"&gt;="&amp;CQ64),O64*ITP_TIPO)),O64*ITP_TIPO))</f>
        <v/>
      </c>
      <c r="CS64" s="4">
        <f>IF(R64="profesional",N(AK64),0)</f>
        <v/>
      </c>
      <c r="CT64" s="3">
        <f>IF(AND(R64="profesional",ISNUMBER(AK64),AL64="sí"),0,TASA_DGT)</f>
        <v/>
      </c>
      <c r="CU64" s="3">
        <f>INFORME_DGT</f>
        <v/>
      </c>
      <c r="CV64" s="4">
        <f>O64+CS64+CR64+CT64+CU64</f>
        <v/>
      </c>
      <c r="CW64" s="4">
        <f>CV64+N(CJ64)</f>
        <v/>
      </c>
      <c r="CX64" s="3">
        <f>IF(CV64&lt;=TOTAL_MAX,"sí",IF(CV64&lt;=TOTAL_MAX+MARGEN_NEG,"negociar","no"))</f>
        <v/>
      </c>
      <c r="CY64" s="4">
        <f>IF(CX64&lt;&gt;"no",COUNTIFS($CX$2:$CX$101,"&lt;&gt;no",$CP$2:$CP$101,"&gt;"&amp;CP64)+COUNTIFS($CX$2:CX64,"&lt;&gt;no",$CP$2:CP64,CP64),"")</f>
        <v/>
      </c>
    </row>
    <row r="65">
      <c r="A65" s="2" t="inlineStr">
        <is>
          <t>cochesnet:71749298</t>
        </is>
      </c>
      <c r="B65" s="2" t="inlineStr">
        <is>
          <t>cochesnet</t>
        </is>
      </c>
      <c r="C65" s="2" t="inlineStr">
        <is>
          <t>https://www.coches.net/dacia-sandero-laureate-12-16v-75cv-5p-gasolina-2009-en-valencia-71749298-covo.aspx</t>
        </is>
      </c>
      <c r="D65" s="2" t="inlineStr">
        <is>
          <t>DACIA Sandero Laureate 1.2 16v</t>
        </is>
      </c>
      <c r="E65" s="2" t="inlineStr">
        <is>
          <t>Dacia</t>
        </is>
      </c>
      <c r="F65" s="2" t="inlineStr">
        <is>
          <t>Dacia Sandero</t>
        </is>
      </c>
      <c r="G65" s="2" t="inlineStr">
        <is>
          <t>1.2</t>
        </is>
      </c>
      <c r="H65" s="2" t="inlineStr">
        <is>
          <t>Laureate 1.2 16v 75cv</t>
        </is>
      </c>
      <c r="I65" s="2" t="n"/>
      <c r="J65" s="2" t="n">
        <v>75</v>
      </c>
      <c r="K65" s="2" t="inlineStr">
        <is>
          <t>gasolina</t>
        </is>
      </c>
      <c r="L65" s="2" t="inlineStr">
        <is>
          <t>utilitario</t>
        </is>
      </c>
      <c r="M65" s="2" t="n">
        <v>2010</v>
      </c>
      <c r="N65" s="2" t="n">
        <v>115000</v>
      </c>
      <c r="O65" s="2" t="n">
        <v>4690</v>
      </c>
      <c r="P65" s="2" t="inlineStr">
        <is>
          <t>manual</t>
        </is>
      </c>
      <c r="Q65" s="2" t="inlineStr">
        <is>
          <t>no</t>
        </is>
      </c>
      <c r="R65" s="2" t="inlineStr">
        <is>
          <t>profesional</t>
        </is>
      </c>
      <c r="S65" s="2" t="inlineStr">
        <is>
          <t>MM Autos Marín Moreno Godella</t>
        </is>
      </c>
      <c r="T65" s="2" t="inlineStr">
        <is>
          <t>2026-10-15T08:59:44Z</t>
        </is>
      </c>
      <c r="U65" s="2" t="n">
        <v>14</v>
      </c>
      <c r="V65" s="2" t="n"/>
      <c r="W65" s="2" t="n"/>
      <c r="X65" s="2" t="n"/>
      <c r="Y65" s="2" t="n"/>
      <c r="Z65" s="2" t="inlineStr">
        <is>
          <t>sí</t>
        </is>
      </c>
      <c r="AA65" s="2" t="n"/>
      <c r="AB65" s="2" t="n">
        <v>12</v>
      </c>
      <c r="AC65" s="2" t="inlineStr">
        <is>
          <t>sí</t>
        </is>
      </c>
      <c r="AD65" s="2" t="n"/>
      <c r="AE65" s="2" t="n"/>
      <c r="AF65" s="2" t="n"/>
      <c r="AG65" s="2" t="n"/>
      <c r="AH65" s="2" t="n">
        <v>4690</v>
      </c>
      <c r="AI65" s="2" t="n"/>
      <c r="AJ65" s="2" t="n"/>
      <c r="AK65" s="2" t="n"/>
      <c r="AL65" s="2" t="n"/>
      <c r="AM65" s="2" t="n">
        <v>6.7</v>
      </c>
      <c r="AN65" s="2" t="n"/>
      <c r="AO65" s="2" t="inlineStr">
        <is>
          <t>2010</t>
        </is>
      </c>
      <c r="AP65" s="2" t="n">
        <v>2010</v>
      </c>
      <c r="AQ65" s="2" t="n"/>
      <c r="AR65" s="2" t="inlineStr">
        <is>
          <t>C</t>
        </is>
      </c>
      <c r="AS65" s="2" t="inlineStr">
        <is>
          <t>anuncio</t>
        </is>
      </c>
      <c r="AT65" s="2" t="n">
        <v>2009</v>
      </c>
      <c r="AU65" s="2" t="inlineStr">
        <is>
          <t>no</t>
        </is>
      </c>
      <c r="AV65" s="2" t="inlineStr">
        <is>
          <t>no</t>
        </is>
      </c>
      <c r="AW65" s="2" t="n">
        <v>3800</v>
      </c>
      <c r="AX65" s="2" t="n">
        <v>8</v>
      </c>
      <c r="AY65" s="2" t="inlineStr">
        <is>
          <t>modelo+año</t>
        </is>
      </c>
      <c r="AZ65" s="2" t="n"/>
      <c r="BA65" s="2" t="inlineStr">
        <is>
          <t>año a confirmar: la URL/título dice 2009; vendedor profesional: sin ITP (operación con IVA/REBU, confirmar en factura); gastos de gestión del vendedor no indicados: se suma la tasa DGT; preguntar el precio final; revisar: no menciona la ITV</t>
        </is>
      </c>
      <c r="BB65"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BC65" s="2" t="inlineStr">
        <is>
          <t>https://www.coches.net/dacia-sandero-laureate-12-16v-75cv-5p-gasolina-2009-en-valencia-71749298-covo.aspx (window.__INITIAL_PROPS__.ad) /home/user/Alopecia/buscador-coches/raw/cochesnet/f0bc83d303744e62.json</t>
        </is>
      </c>
      <c r="BD65" s="3">
        <f>MAX(ANIO_ACTUAL-M65,0)</f>
        <v/>
      </c>
      <c r="BE65" s="4">
        <f>N65/MAX(BD65,0.5)</f>
        <v/>
      </c>
      <c r="BF65" s="4">
        <f>F65</f>
        <v/>
      </c>
      <c r="BG65" s="3">
        <f>BF65&amp;"|"&amp;INT(M65/SEG_ANIO)*SEG_ANIO</f>
        <v/>
      </c>
      <c r="BH65" s="3">
        <f>BG65&amp;"|"&amp;INT(N65/SEG_KM)*SEG_KM</f>
        <v/>
      </c>
      <c r="BI65" s="4">
        <f>COUNTIF($BF$2:$BF$101,BF65)</f>
        <v/>
      </c>
      <c r="BJ65" s="4">
        <f>COUNTIF($BG$2:$BG$101,BG65)</f>
        <v/>
      </c>
      <c r="BK65" s="4">
        <f>COUNTIF($BH$2:$BH$101,BH65)</f>
        <v/>
      </c>
      <c r="BL65" s="3">
        <f t="array" ref="BL65">IF(N(AX65)&gt;=MIN_N,AW65,IF(BK65&gt;=MIN_N,MEDIAN(IF($BH$2:$BH$101=BH65,$O$2:$O$101)),IF(BJ65&gt;=MIN_N,MEDIAN(IF($BG$2:$BG$101=BG65,$O$2:$O$101)),MEDIAN(IF($BF$2:$BF$101=BF65,$O$2:$O$101)))))</f>
        <v/>
      </c>
      <c r="BM65" s="3">
        <f>IF(N(AX65)&gt;=MIN_N,"mercado "&amp;AY65,IF(BK65&gt;=MIN_N,"modelo+año+km",IF(BJ65&gt;=MIN_N,"modelo+año","modelo")))</f>
        <v/>
      </c>
      <c r="BN65" s="4">
        <f>(BL65-O65)/BL65</f>
        <v/>
      </c>
      <c r="BO65" s="3">
        <f>IF(COUNTIFS(FR_FUEL,K65,FR_YEAR,AP65)&gt;0,1,0)</f>
        <v/>
      </c>
      <c r="BP65" s="3">
        <f>IF(COUNTIFS(FR_FUEL,K65,FR_YEAR,AP65-1)&gt;0,1,0)</f>
        <v/>
      </c>
      <c r="BQ65" s="4">
        <f>IF(N(AQ65)&gt;0,AP65*100+AQ65,IF(AND(BO65=1,BP65=1),(AP65-1)*100+1,AP65*100+1))</f>
        <v/>
      </c>
      <c r="BR65" s="3">
        <f>IF(OR(K65="hibrido",K65="glp",K65="gnc",K65="phev"),"ECO",IF(K65="electrico","CERO",IF(K65="gasolina",IF(BQ65&gt;=GAS_C_YM,"C",IF(BQ65&gt;=GAS_B_YM,"B","A")),IF(K65="diesel",IF(BQ65&gt;=DIE_C_YM,"C",IF(BQ65&gt;=DIE_B_YM,"B","A")),""))))</f>
        <v/>
      </c>
      <c r="BS65" s="2" t="inlineStr">
        <is>
          <t>C</t>
        </is>
      </c>
      <c r="BT65" s="4">
        <f>IF(AU65="sí","sí",IF(AS65="regla",IF(AND(N(AQ65)=0,BO65=1),"sí","no"),"no"))</f>
        <v/>
      </c>
      <c r="BU65" s="3">
        <f>IFERROR(VLOOKUP(F65,MOD_TBL,16,0),IFERROR(VLOOKUP(E65,OCU_TBL,2,0),NEUTRO))</f>
        <v/>
      </c>
      <c r="BV65" s="3">
        <f>SUMIFS(MOT_AJUSTE,MOT_MOTOR,G65,MOT_MARCA,E65,MOT_DESDE,"&lt;="&amp;M65,MOT_HASTA,"&gt;="&amp;M65)+SUMIFS(MOT_AJUSTE,MOT_MOTOR,G65,MOT_MARCA,"(todas)",MOT_DESDE,"&lt;="&amp;M65,MOT_HASTA,"&gt;="&amp;M65)+SUMIFS(MOT_AJUSTE,MOT_MOTOR,"(cualquiera)",MOT_MARCA,E65,MOT_DESDE,"&lt;="&amp;M65,MOT_HASTA,"&gt;="&amp;M65)</f>
        <v/>
      </c>
      <c r="BW65" s="3">
        <f>SUMIFS(COMB_AJUSTE,COMB_COMB,K65)</f>
        <v/>
      </c>
      <c r="BX65" s="3">
        <f>COUNTIFS(MOT_MOTOR,G65,MOT_MARCA,E65,MOT_DESDE,"&lt;="&amp;M65,MOT_HASTA,"&gt;="&amp;M65)+COUNTIFS(MOT_MOTOR,G65,MOT_MARCA,"(todas)",MOT_DESDE,"&lt;="&amp;M65,MOT_HASTA,"&gt;="&amp;M65)+COUNTIFS(MOT_MOTOR,"(cualquiera)",MOT_MARCA,E65,MOT_DESDE,"&lt;="&amp;M65,MOT_HASTA,"&gt;="&amp;M65)</f>
        <v/>
      </c>
      <c r="BY65" s="3">
        <f>IF(AND(K65="diesel",BX65=0),MIN(BU65,NEUTRO),BU65)</f>
        <v/>
      </c>
      <c r="BZ65" s="3">
        <f>MAX(0,MIN(100,BY65+BV65+BW65-IF(AV65="sí",ROB_PEN,0)))</f>
        <v/>
      </c>
      <c r="CA65" s="3">
        <f>100-MAX(0,N65-KM_TOPE_DESDE)/1000*KM_TOPE_PTS</f>
        <v/>
      </c>
      <c r="CB65" s="3">
        <f>MAX(0,MIN(100,50+BN65*PRECIO_PEND,CA65))</f>
        <v/>
      </c>
      <c r="CC65" s="3">
        <f>MAX(0,100*(1-N65/KM_MAX))</f>
        <v/>
      </c>
      <c r="CD65" s="3">
        <f>IF(BE65&lt;KMA_SOSP,IF(AA65="sí",100,KMA_PEN),IF(BE65&lt;=KMA_IDEAL_MAX,100,MAX(0,100*(KMA_CERO-BE65)/(KMA_CERO-KMA_IDEAL_MAX))))</f>
        <v/>
      </c>
      <c r="CE65" s="3">
        <f>MAX(0,MIN(100,100*(M65-ANIO_MIN)/(ANIO_ACTUAL-ANIO_MIN)))</f>
        <v/>
      </c>
      <c r="CF65" s="3">
        <f>W_KMT*CC65+W_KMA*CD65+W_EDAD*CE65</f>
        <v/>
      </c>
      <c r="CG65" s="3">
        <f>P_ITV*(V65="sí")+P_LIBRO*(W65="sí")+P_CORREA*(X65="sí")+P_PROP*(Y65=1)+P_GAR*(Z65="sí")+P_FOTOS*MIN(1,N(U65)/FOTOS_OBJ)</f>
        <v/>
      </c>
      <c r="CH65" s="3">
        <f>MAX(0,MIN(100,IFERROR(VLOOKUP(BS65,ETQ_TBL,2,0),0)-IF(BT65="sí",ETQ_PEN_DUD,IF(AS65="regla",ETQ_PEN_REGLA,0))))</f>
        <v/>
      </c>
      <c r="CI65" s="3">
        <f>NEUTRO</f>
        <v/>
      </c>
      <c r="CJ65" s="3">
        <f>IFERROR(VLOOKUP(L65,SEGURO_TBL,3,0),"")</f>
        <v/>
      </c>
      <c r="CK65" s="3">
        <f>IF(CJ65="",NEUTRO,MAX(0,MIN(100,100*(SEG_REF_MAX-CJ65)/(SEG_REF_MAX-SEG_REF_MIN))))</f>
        <v/>
      </c>
      <c r="CL65" s="3">
        <f>W_CONS*CI65+W_SEG*CK65</f>
        <v/>
      </c>
      <c r="CM65" s="3">
        <f>IF(N(AB65)&gt;0,AB65,IF(AND(R65="profesional",SG_LEGAL_ON=1),GAR_LEGAL,0))</f>
        <v/>
      </c>
      <c r="CN65" s="3">
        <f>SG_GAR*MIN(1,CM65/SG_GAR_FULL)+SG_AMPL*(AC65="sí")+SG_KMC*(AF65="sí")+SG_REV*(N(AE65)&gt;0)+SG_DEV*MIN(1,N(AG65)/SG_DEV_FULL)+SG_HIST*(W65="sí")</f>
        <v/>
      </c>
      <c r="CO65" s="3">
        <f>IFERROR(VLOOKUP(L65,CARR_PEN_TBL,2,0),0)</f>
        <v/>
      </c>
      <c r="CP65" s="3">
        <f>W_FIAB*BZ65+W_PRECIO*CB65+W_KMEDAD*CF65+W_ANUNCIO*CG65+W_USO*CL65+W_SEGURIDAD*CN65+W_ETIQUETA*CH65-CO65</f>
        <v/>
      </c>
      <c r="CQ65" s="4">
        <f>IF(N(I65)&gt;0,I65,IFERROR(ROUND(_xlfn.NUMBERVALUE(LEFT(G65,FIND(" ",G65&amp;" ")-1),".")*1000,0),99999))</f>
        <v/>
      </c>
      <c r="CR65" s="3">
        <f>IF(R65="profesional",0,IF(O65&lt;CUOTA_VALOR_MAX,IF(BD65&gt;ITP_TRAMO_ALTO,SUMIFS(CF_CUOTA,CF_MAS,ITP_TRAMO_ALTO,CF_CCMIN,"&lt;="&amp;CQ65,CF_CCMAX,"&gt;="&amp;CQ65),IF(BD65&gt;ITP_TRAMO_BAJO,SUMIFS(CF_CUOTA,CF_MAS,ITP_TRAMO_BAJO,CF_CCMIN,"&lt;="&amp;CQ65,CF_CCMAX,"&gt;="&amp;CQ65),O65*ITP_TIPO)),O65*ITP_TIPO))</f>
        <v/>
      </c>
      <c r="CS65" s="4">
        <f>IF(R65="profesional",N(AK65),0)</f>
        <v/>
      </c>
      <c r="CT65" s="3">
        <f>IF(AND(R65="profesional",ISNUMBER(AK65),AL65="sí"),0,TASA_DGT)</f>
        <v/>
      </c>
      <c r="CU65" s="3">
        <f>INFORME_DGT</f>
        <v/>
      </c>
      <c r="CV65" s="4">
        <f>O65+CS65+CR65+CT65+CU65</f>
        <v/>
      </c>
      <c r="CW65" s="4">
        <f>CV65+N(CJ65)</f>
        <v/>
      </c>
      <c r="CX65" s="3">
        <f>IF(CV65&lt;=TOTAL_MAX,"sí",IF(CV65&lt;=TOTAL_MAX+MARGEN_NEG,"negociar","no"))</f>
        <v/>
      </c>
      <c r="CY65" s="4">
        <f>IF(CX65&lt;&gt;"no",COUNTIFS($CX$2:$CX$101,"&lt;&gt;no",$CP$2:$CP$101,"&gt;"&amp;CP65)+COUNTIFS($CX$2:CX65,"&lt;&gt;no",$CP$2:CP65,CP65),"")</f>
        <v/>
      </c>
    </row>
    <row r="66">
      <c r="A66" s="2" t="inlineStr">
        <is>
          <t>cochesnet:71858806</t>
        </is>
      </c>
      <c r="B66" s="2" t="inlineStr">
        <is>
          <t>cochesnet</t>
        </is>
      </c>
      <c r="C66" s="2" t="inlineStr">
        <is>
          <t>https://www.coches.net/peugeot-207-confort-14-vti-16v-95-5p-gasolina-2008-en-valencia-71858806-covo.aspx</t>
        </is>
      </c>
      <c r="D66" s="2" t="inlineStr">
        <is>
          <t>PEUGEOT 207 Confort 1.4 VTi 16v 95</t>
        </is>
      </c>
      <c r="E66" s="2" t="inlineStr">
        <is>
          <t>Peugeot</t>
        </is>
      </c>
      <c r="F66" s="2" t="inlineStr">
        <is>
          <t>Peugeot 207</t>
        </is>
      </c>
      <c r="G66" s="2" t="inlineStr">
        <is>
          <t>1.4 VTi</t>
        </is>
      </c>
      <c r="H66" s="2" t="inlineStr">
        <is>
          <t>Confort 1.4 VTi 16v 95</t>
        </is>
      </c>
      <c r="I66" s="2" t="n"/>
      <c r="J66" s="2" t="n"/>
      <c r="K66" s="2" t="inlineStr">
        <is>
          <t>gasolina</t>
        </is>
      </c>
      <c r="L66" s="2" t="inlineStr">
        <is>
          <t>utilitario</t>
        </is>
      </c>
      <c r="M66" s="2" t="n">
        <v>2007</v>
      </c>
      <c r="N66" s="2" t="n">
        <v>144000</v>
      </c>
      <c r="O66" s="2" t="n">
        <v>3500</v>
      </c>
      <c r="P66" s="2" t="inlineStr">
        <is>
          <t>manual</t>
        </is>
      </c>
      <c r="Q66" s="2" t="inlineStr">
        <is>
          <t>no</t>
        </is>
      </c>
      <c r="R66" s="2" t="inlineStr">
        <is>
          <t>profesional</t>
        </is>
      </c>
      <c r="S66" s="2" t="inlineStr">
        <is>
          <t>AUTOMOVILES CASTILLO PEPE Manises</t>
        </is>
      </c>
      <c r="T66" s="2" t="inlineStr">
        <is>
          <t>2026-10-29T09:24:27Z</t>
        </is>
      </c>
      <c r="U66" s="2" t="n">
        <v>14</v>
      </c>
      <c r="V66" s="2" t="inlineStr">
        <is>
          <t>sí</t>
        </is>
      </c>
      <c r="W66" s="2" t="n"/>
      <c r="X66" s="2" t="inlineStr">
        <is>
          <t>sí</t>
        </is>
      </c>
      <c r="Y66" s="2" t="n"/>
      <c r="Z66" s="2" t="inlineStr">
        <is>
          <t>sí</t>
        </is>
      </c>
      <c r="AA66" s="2" t="n"/>
      <c r="AB66" s="2" t="n">
        <v>12</v>
      </c>
      <c r="AC66" s="2" t="n"/>
      <c r="AD66" s="2" t="n"/>
      <c r="AE66" s="2" t="n"/>
      <c r="AF66" s="2" t="inlineStr">
        <is>
          <t>sí</t>
        </is>
      </c>
      <c r="AG66" s="2" t="n"/>
      <c r="AH66" s="2" t="n">
        <v>3500</v>
      </c>
      <c r="AI66" s="2" t="n">
        <v>3500</v>
      </c>
      <c r="AJ66" s="2" t="n"/>
      <c r="AK66" s="2" t="n"/>
      <c r="AL66" s="2" t="n"/>
      <c r="AM66" s="2" t="n">
        <v>8.1</v>
      </c>
      <c r="AN66" s="2" t="n"/>
      <c r="AO66" s="2" t="inlineStr">
        <is>
          <t>2007</t>
        </is>
      </c>
      <c r="AP66" s="2" t="n">
        <v>2007</v>
      </c>
      <c r="AQ66" s="2" t="n"/>
      <c r="AR66" s="2" t="inlineStr">
        <is>
          <t>C</t>
        </is>
      </c>
      <c r="AS66" s="2" t="inlineStr">
        <is>
          <t>anuncio</t>
        </is>
      </c>
      <c r="AT66" s="2" t="n">
        <v>2008</v>
      </c>
      <c r="AU66" s="2" t="inlineStr">
        <is>
          <t>no</t>
        </is>
      </c>
      <c r="AV66" s="2" t="inlineStr">
        <is>
          <t>no</t>
        </is>
      </c>
      <c r="AW66" s="2" t="n">
        <v>3650</v>
      </c>
      <c r="AX66" s="2" t="n">
        <v>28</v>
      </c>
      <c r="AY66" s="2" t="inlineStr">
        <is>
          <t>modelo+año+km</t>
        </is>
      </c>
      <c r="AZ66" s="2" t="n"/>
      <c r="BA66" s="2" t="inlineStr">
        <is>
          <t>año a confirmar: la URL/título dice 2008; vendedor profesional: sin ITP (operación con IVA/REBU, confirmar en factura); gastos de gestión del vendedor no indicados: se suma la tasa DGT; preguntar el precio final; revisar: detalles «detalles»; fiabilidad del modelo PENDIENTE de fuente (puntuación neutra)</t>
        </is>
      </c>
      <c r="BB66"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C66" s="2" t="inlineStr">
        <is>
          <t>https://www.coches.net/peugeot-207-confort-14-vti-16v-95-5p-gasolina-2008-en-valencia-71858806-covo.aspx (window.__INITIAL_PROPS__.ad) /home/user/Alopecia/buscador-coches/raw/cochesnet/af75c6dc563ab5a6.json</t>
        </is>
      </c>
      <c r="BD66" s="3">
        <f>MAX(ANIO_ACTUAL-M66,0)</f>
        <v/>
      </c>
      <c r="BE66" s="4">
        <f>N66/MAX(BD66,0.5)</f>
        <v/>
      </c>
      <c r="BF66" s="4">
        <f>F66</f>
        <v/>
      </c>
      <c r="BG66" s="3">
        <f>BF66&amp;"|"&amp;INT(M66/SEG_ANIO)*SEG_ANIO</f>
        <v/>
      </c>
      <c r="BH66" s="3">
        <f>BG66&amp;"|"&amp;INT(N66/SEG_KM)*SEG_KM</f>
        <v/>
      </c>
      <c r="BI66" s="4">
        <f>COUNTIF($BF$2:$BF$101,BF66)</f>
        <v/>
      </c>
      <c r="BJ66" s="4">
        <f>COUNTIF($BG$2:$BG$101,BG66)</f>
        <v/>
      </c>
      <c r="BK66" s="4">
        <f>COUNTIF($BH$2:$BH$101,BH66)</f>
        <v/>
      </c>
      <c r="BL66" s="3">
        <f t="array" ref="BL66">IF(N(AX66)&gt;=MIN_N,AW66,IF(BK66&gt;=MIN_N,MEDIAN(IF($BH$2:$BH$101=BH66,$O$2:$O$101)),IF(BJ66&gt;=MIN_N,MEDIAN(IF($BG$2:$BG$101=BG66,$O$2:$O$101)),MEDIAN(IF($BF$2:$BF$101=BF66,$O$2:$O$101)))))</f>
        <v/>
      </c>
      <c r="BM66" s="3">
        <f>IF(N(AX66)&gt;=MIN_N,"mercado "&amp;AY66,IF(BK66&gt;=MIN_N,"modelo+año+km",IF(BJ66&gt;=MIN_N,"modelo+año","modelo")))</f>
        <v/>
      </c>
      <c r="BN66" s="4">
        <f>(BL66-O66)/BL66</f>
        <v/>
      </c>
      <c r="BO66" s="3">
        <f>IF(COUNTIFS(FR_FUEL,K66,FR_YEAR,AP66)&gt;0,1,0)</f>
        <v/>
      </c>
      <c r="BP66" s="3">
        <f>IF(COUNTIFS(FR_FUEL,K66,FR_YEAR,AP66-1)&gt;0,1,0)</f>
        <v/>
      </c>
      <c r="BQ66" s="4">
        <f>IF(N(AQ66)&gt;0,AP66*100+AQ66,IF(AND(BO66=1,BP66=1),(AP66-1)*100+1,AP66*100+1))</f>
        <v/>
      </c>
      <c r="BR66" s="3">
        <f>IF(OR(K66="hibrido",K66="glp",K66="gnc",K66="phev"),"ECO",IF(K66="electrico","CERO",IF(K66="gasolina",IF(BQ66&gt;=GAS_C_YM,"C",IF(BQ66&gt;=GAS_B_YM,"B","A")),IF(K66="diesel",IF(BQ66&gt;=DIE_C_YM,"C",IF(BQ66&gt;=DIE_B_YM,"B","A")),""))))</f>
        <v/>
      </c>
      <c r="BS66" s="2" t="inlineStr">
        <is>
          <t>C</t>
        </is>
      </c>
      <c r="BT66" s="4">
        <f>IF(AU66="sí","sí",IF(AS66="regla",IF(AND(N(AQ66)=0,BO66=1),"sí","no"),"no"))</f>
        <v/>
      </c>
      <c r="BU66" s="3">
        <f>IFERROR(VLOOKUP(F66,MOD_TBL,16,0),IFERROR(VLOOKUP(E66,OCU_TBL,2,0),NEUTRO))</f>
        <v/>
      </c>
      <c r="BV66" s="3">
        <f>SUMIFS(MOT_AJUSTE,MOT_MOTOR,G66,MOT_MARCA,E66,MOT_DESDE,"&lt;="&amp;M66,MOT_HASTA,"&gt;="&amp;M66)+SUMIFS(MOT_AJUSTE,MOT_MOTOR,G66,MOT_MARCA,"(todas)",MOT_DESDE,"&lt;="&amp;M66,MOT_HASTA,"&gt;="&amp;M66)+SUMIFS(MOT_AJUSTE,MOT_MOTOR,"(cualquiera)",MOT_MARCA,E66,MOT_DESDE,"&lt;="&amp;M66,MOT_HASTA,"&gt;="&amp;M66)</f>
        <v/>
      </c>
      <c r="BW66" s="3">
        <f>SUMIFS(COMB_AJUSTE,COMB_COMB,K66)</f>
        <v/>
      </c>
      <c r="BX66" s="3">
        <f>COUNTIFS(MOT_MOTOR,G66,MOT_MARCA,E66,MOT_DESDE,"&lt;="&amp;M66,MOT_HASTA,"&gt;="&amp;M66)+COUNTIFS(MOT_MOTOR,G66,MOT_MARCA,"(todas)",MOT_DESDE,"&lt;="&amp;M66,MOT_HASTA,"&gt;="&amp;M66)+COUNTIFS(MOT_MOTOR,"(cualquiera)",MOT_MARCA,E66,MOT_DESDE,"&lt;="&amp;M66,MOT_HASTA,"&gt;="&amp;M66)</f>
        <v/>
      </c>
      <c r="BY66" s="3">
        <f>IF(AND(K66="diesel",BX66=0),MIN(BU66,NEUTRO),BU66)</f>
        <v/>
      </c>
      <c r="BZ66" s="3">
        <f>MAX(0,MIN(100,BY66+BV66+BW66-IF(AV66="sí",ROB_PEN,0)))</f>
        <v/>
      </c>
      <c r="CA66" s="3">
        <f>100-MAX(0,N66-KM_TOPE_DESDE)/1000*KM_TOPE_PTS</f>
        <v/>
      </c>
      <c r="CB66" s="3">
        <f>MAX(0,MIN(100,50+BN66*PRECIO_PEND,CA66))</f>
        <v/>
      </c>
      <c r="CC66" s="3">
        <f>MAX(0,100*(1-N66/KM_MAX))</f>
        <v/>
      </c>
      <c r="CD66" s="3">
        <f>IF(BE66&lt;KMA_SOSP,IF(AA66="sí",100,KMA_PEN),IF(BE66&lt;=KMA_IDEAL_MAX,100,MAX(0,100*(KMA_CERO-BE66)/(KMA_CERO-KMA_IDEAL_MAX))))</f>
        <v/>
      </c>
      <c r="CE66" s="3">
        <f>MAX(0,MIN(100,100*(M66-ANIO_MIN)/(ANIO_ACTUAL-ANIO_MIN)))</f>
        <v/>
      </c>
      <c r="CF66" s="3">
        <f>W_KMT*CC66+W_KMA*CD66+W_EDAD*CE66</f>
        <v/>
      </c>
      <c r="CG66" s="3">
        <f>P_ITV*(V66="sí")+P_LIBRO*(W66="sí")+P_CORREA*(X66="sí")+P_PROP*(Y66=1)+P_GAR*(Z66="sí")+P_FOTOS*MIN(1,N(U66)/FOTOS_OBJ)</f>
        <v/>
      </c>
      <c r="CH66" s="3">
        <f>MAX(0,MIN(100,IFERROR(VLOOKUP(BS66,ETQ_TBL,2,0),0)-IF(BT66="sí",ETQ_PEN_DUD,IF(AS66="regla",ETQ_PEN_REGLA,0))))</f>
        <v/>
      </c>
      <c r="CI66" s="3">
        <f>NEUTRO</f>
        <v/>
      </c>
      <c r="CJ66" s="3">
        <f>IFERROR(VLOOKUP(L66,SEGURO_TBL,3,0),"")</f>
        <v/>
      </c>
      <c r="CK66" s="3">
        <f>IF(CJ66="",NEUTRO,MAX(0,MIN(100,100*(SEG_REF_MAX-CJ66)/(SEG_REF_MAX-SEG_REF_MIN))))</f>
        <v/>
      </c>
      <c r="CL66" s="3">
        <f>W_CONS*CI66+W_SEG*CK66</f>
        <v/>
      </c>
      <c r="CM66" s="3">
        <f>IF(N(AB66)&gt;0,AB66,IF(AND(R66="profesional",SG_LEGAL_ON=1),GAR_LEGAL,0))</f>
        <v/>
      </c>
      <c r="CN66" s="3">
        <f>SG_GAR*MIN(1,CM66/SG_GAR_FULL)+SG_AMPL*(AC66="sí")+SG_KMC*(AF66="sí")+SG_REV*(N(AE66)&gt;0)+SG_DEV*MIN(1,N(AG66)/SG_DEV_FULL)+SG_HIST*(W66="sí")</f>
        <v/>
      </c>
      <c r="CO66" s="3">
        <f>IFERROR(VLOOKUP(L66,CARR_PEN_TBL,2,0),0)</f>
        <v/>
      </c>
      <c r="CP66" s="3">
        <f>W_FIAB*BZ66+W_PRECIO*CB66+W_KMEDAD*CF66+W_ANUNCIO*CG66+W_USO*CL66+W_SEGURIDAD*CN66+W_ETIQUETA*CH66-CO66</f>
        <v/>
      </c>
      <c r="CQ66" s="4">
        <f>IF(N(I66)&gt;0,I66,IFERROR(ROUND(_xlfn.NUMBERVALUE(LEFT(G66,FIND(" ",G66&amp;" ")-1),".")*1000,0),99999))</f>
        <v/>
      </c>
      <c r="CR66" s="3">
        <f>IF(R66="profesional",0,IF(O66&lt;CUOTA_VALOR_MAX,IF(BD66&gt;ITP_TRAMO_ALTO,SUMIFS(CF_CUOTA,CF_MAS,ITP_TRAMO_ALTO,CF_CCMIN,"&lt;="&amp;CQ66,CF_CCMAX,"&gt;="&amp;CQ66),IF(BD66&gt;ITP_TRAMO_BAJO,SUMIFS(CF_CUOTA,CF_MAS,ITP_TRAMO_BAJO,CF_CCMIN,"&lt;="&amp;CQ66,CF_CCMAX,"&gt;="&amp;CQ66),O66*ITP_TIPO)),O66*ITP_TIPO))</f>
        <v/>
      </c>
      <c r="CS66" s="4">
        <f>IF(R66="profesional",N(AK66),0)</f>
        <v/>
      </c>
      <c r="CT66" s="3">
        <f>IF(AND(R66="profesional",ISNUMBER(AK66),AL66="sí"),0,TASA_DGT)</f>
        <v/>
      </c>
      <c r="CU66" s="3">
        <f>INFORME_DGT</f>
        <v/>
      </c>
      <c r="CV66" s="4">
        <f>O66+CS66+CR66+CT66+CU66</f>
        <v/>
      </c>
      <c r="CW66" s="4">
        <f>CV66+N(CJ66)</f>
        <v/>
      </c>
      <c r="CX66" s="3">
        <f>IF(CV66&lt;=TOTAL_MAX,"sí",IF(CV66&lt;=TOTAL_MAX+MARGEN_NEG,"negociar","no"))</f>
        <v/>
      </c>
      <c r="CY66" s="4">
        <f>IF(CX66&lt;&gt;"no",COUNTIFS($CX$2:$CX$101,"&lt;&gt;no",$CP$2:$CP$101,"&gt;"&amp;CP66)+COUNTIFS($CX$2:CX66,"&lt;&gt;no",$CP$2:CP66,CP66),"")</f>
        <v/>
      </c>
    </row>
    <row r="67">
      <c r="A67" s="2" t="inlineStr">
        <is>
          <t>cochesnet:71828437</t>
        </is>
      </c>
      <c r="B67" s="2" t="inlineStr">
        <is>
          <t>cochesnet</t>
        </is>
      </c>
      <c r="C67" s="2" t="inlineStr">
        <is>
          <t>https://www.coches.net/peugeot-207-14-16v-xt-5p-gasolina-2006-en-valencia-71828437-covo.aspx</t>
        </is>
      </c>
      <c r="D67" s="2" t="inlineStr">
        <is>
          <t>PEUGEOT 207 1.4 16v XT</t>
        </is>
      </c>
      <c r="E67" s="2" t="inlineStr">
        <is>
          <t>Peugeot</t>
        </is>
      </c>
      <c r="F67" s="2" t="inlineStr">
        <is>
          <t>Peugeot 207</t>
        </is>
      </c>
      <c r="G67" s="2" t="inlineStr">
        <is>
          <t>1.4</t>
        </is>
      </c>
      <c r="H67" s="2" t="inlineStr">
        <is>
          <t>1.4 16v XT</t>
        </is>
      </c>
      <c r="I67" s="2" t="n"/>
      <c r="J67" s="2" t="n"/>
      <c r="K67" s="2" t="inlineStr">
        <is>
          <t>gasolina</t>
        </is>
      </c>
      <c r="L67" s="2" t="inlineStr">
        <is>
          <t>utilitario</t>
        </is>
      </c>
      <c r="M67" s="2" t="n">
        <v>2007</v>
      </c>
      <c r="N67" s="2" t="n">
        <v>76600</v>
      </c>
      <c r="O67" s="2" t="n">
        <v>3700</v>
      </c>
      <c r="P67" s="2" t="inlineStr">
        <is>
          <t>manual</t>
        </is>
      </c>
      <c r="Q67" s="2" t="inlineStr">
        <is>
          <t>no</t>
        </is>
      </c>
      <c r="R67" s="2" t="inlineStr">
        <is>
          <t>profesional</t>
        </is>
      </c>
      <c r="S67" s="2" t="inlineStr">
        <is>
          <t>Pepe Cars Valencia</t>
        </is>
      </c>
      <c r="T67" s="2" t="inlineStr">
        <is>
          <t>2026-10-25T15:39:29Z</t>
        </is>
      </c>
      <c r="U67" s="2" t="n">
        <v>10</v>
      </c>
      <c r="V67" s="2" t="n"/>
      <c r="W67" s="2" t="n"/>
      <c r="X67" s="2" t="n"/>
      <c r="Y67" s="2" t="n"/>
      <c r="Z67" s="2" t="inlineStr">
        <is>
          <t>sí</t>
        </is>
      </c>
      <c r="AA67" s="2" t="n"/>
      <c r="AB67" s="2" t="n">
        <v>12</v>
      </c>
      <c r="AC67" s="2" t="n"/>
      <c r="AD67" s="2" t="n"/>
      <c r="AE67" s="2" t="n"/>
      <c r="AF67" s="2" t="n"/>
      <c r="AG67" s="2" t="n"/>
      <c r="AH67" s="2" t="n">
        <v>3700</v>
      </c>
      <c r="AI67" s="2" t="n"/>
      <c r="AJ67" s="2" t="n"/>
      <c r="AK67" s="2" t="n"/>
      <c r="AL67" s="2" t="n"/>
      <c r="AM67" s="2" t="n">
        <v>0.1</v>
      </c>
      <c r="AN67" s="2" t="n"/>
      <c r="AO67" s="2" t="inlineStr">
        <is>
          <t>2007</t>
        </is>
      </c>
      <c r="AP67" s="2" t="n">
        <v>2007</v>
      </c>
      <c r="AQ67" s="2" t="n"/>
      <c r="AR67" s="2" t="inlineStr">
        <is>
          <t>C</t>
        </is>
      </c>
      <c r="AS67" s="2" t="inlineStr">
        <is>
          <t>anuncio</t>
        </is>
      </c>
      <c r="AT67" s="2" t="n">
        <v>2006</v>
      </c>
      <c r="AU67" s="2" t="inlineStr">
        <is>
          <t>no</t>
        </is>
      </c>
      <c r="AV67" s="2" t="inlineStr">
        <is>
          <t>no</t>
        </is>
      </c>
      <c r="AW67" s="2" t="n">
        <v>4625</v>
      </c>
      <c r="AX67" s="2" t="n">
        <v>12</v>
      </c>
      <c r="AY67" s="2" t="inlineStr">
        <is>
          <t>modelo+año+km</t>
        </is>
      </c>
      <c r="AZ67" s="2" t="n"/>
      <c r="BA67" s="2" t="inlineStr">
        <is>
          <t>año a confirmar: la URL/título dice 2006; vendedor profesional: sin ITP (operación con IVA/REBU, confirmar en factura); gastos de gestión del vendedor no indicados: se suma la tasa DGT; preguntar el precio final; revisar: no menciona la ITV; fiabilidad del modelo PENDIENTE de fuente (puntuación neutra)</t>
        </is>
      </c>
      <c r="BB67"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BC67" s="2" t="inlineStr">
        <is>
          <t>https://www.coches.net/peugeot-207-14-16v-xt-5p-gasolina-2006-en-valencia-71828437-covo.aspx (window.__INITIAL_PROPS__.ad) /home/user/Alopecia/buscador-coches/raw/cochesnet/1cd765507ac734a9.json</t>
        </is>
      </c>
      <c r="BD67" s="3">
        <f>MAX(ANIO_ACTUAL-M67,0)</f>
        <v/>
      </c>
      <c r="BE67" s="4">
        <f>N67/MAX(BD67,0.5)</f>
        <v/>
      </c>
      <c r="BF67" s="4">
        <f>F67</f>
        <v/>
      </c>
      <c r="BG67" s="3">
        <f>BF67&amp;"|"&amp;INT(M67/SEG_ANIO)*SEG_ANIO</f>
        <v/>
      </c>
      <c r="BH67" s="3">
        <f>BG67&amp;"|"&amp;INT(N67/SEG_KM)*SEG_KM</f>
        <v/>
      </c>
      <c r="BI67" s="4">
        <f>COUNTIF($BF$2:$BF$101,BF67)</f>
        <v/>
      </c>
      <c r="BJ67" s="4">
        <f>COUNTIF($BG$2:$BG$101,BG67)</f>
        <v/>
      </c>
      <c r="BK67" s="4">
        <f>COUNTIF($BH$2:$BH$101,BH67)</f>
        <v/>
      </c>
      <c r="BL67" s="3">
        <f t="array" ref="BL67">IF(N(AX67)&gt;=MIN_N,AW67,IF(BK67&gt;=MIN_N,MEDIAN(IF($BH$2:$BH$101=BH67,$O$2:$O$101)),IF(BJ67&gt;=MIN_N,MEDIAN(IF($BG$2:$BG$101=BG67,$O$2:$O$101)),MEDIAN(IF($BF$2:$BF$101=BF67,$O$2:$O$101)))))</f>
        <v/>
      </c>
      <c r="BM67" s="3">
        <f>IF(N(AX67)&gt;=MIN_N,"mercado "&amp;AY67,IF(BK67&gt;=MIN_N,"modelo+año+km",IF(BJ67&gt;=MIN_N,"modelo+año","modelo")))</f>
        <v/>
      </c>
      <c r="BN67" s="4">
        <f>(BL67-O67)/BL67</f>
        <v/>
      </c>
      <c r="BO67" s="3">
        <f>IF(COUNTIFS(FR_FUEL,K67,FR_YEAR,AP67)&gt;0,1,0)</f>
        <v/>
      </c>
      <c r="BP67" s="3">
        <f>IF(COUNTIFS(FR_FUEL,K67,FR_YEAR,AP67-1)&gt;0,1,0)</f>
        <v/>
      </c>
      <c r="BQ67" s="4">
        <f>IF(N(AQ67)&gt;0,AP67*100+AQ67,IF(AND(BO67=1,BP67=1),(AP67-1)*100+1,AP67*100+1))</f>
        <v/>
      </c>
      <c r="BR67" s="3">
        <f>IF(OR(K67="hibrido",K67="glp",K67="gnc",K67="phev"),"ECO",IF(K67="electrico","CERO",IF(K67="gasolina",IF(BQ67&gt;=GAS_C_YM,"C",IF(BQ67&gt;=GAS_B_YM,"B","A")),IF(K67="diesel",IF(BQ67&gt;=DIE_C_YM,"C",IF(BQ67&gt;=DIE_B_YM,"B","A")),""))))</f>
        <v/>
      </c>
      <c r="BS67" s="2" t="inlineStr">
        <is>
          <t>C</t>
        </is>
      </c>
      <c r="BT67" s="4">
        <f>IF(AU67="sí","sí",IF(AS67="regla",IF(AND(N(AQ67)=0,BO67=1),"sí","no"),"no"))</f>
        <v/>
      </c>
      <c r="BU67" s="3">
        <f>IFERROR(VLOOKUP(F67,MOD_TBL,16,0),IFERROR(VLOOKUP(E67,OCU_TBL,2,0),NEUTRO))</f>
        <v/>
      </c>
      <c r="BV67" s="3">
        <f>SUMIFS(MOT_AJUSTE,MOT_MOTOR,G67,MOT_MARCA,E67,MOT_DESDE,"&lt;="&amp;M67,MOT_HASTA,"&gt;="&amp;M67)+SUMIFS(MOT_AJUSTE,MOT_MOTOR,G67,MOT_MARCA,"(todas)",MOT_DESDE,"&lt;="&amp;M67,MOT_HASTA,"&gt;="&amp;M67)+SUMIFS(MOT_AJUSTE,MOT_MOTOR,"(cualquiera)",MOT_MARCA,E67,MOT_DESDE,"&lt;="&amp;M67,MOT_HASTA,"&gt;="&amp;M67)</f>
        <v/>
      </c>
      <c r="BW67" s="3">
        <f>SUMIFS(COMB_AJUSTE,COMB_COMB,K67)</f>
        <v/>
      </c>
      <c r="BX67" s="3">
        <f>COUNTIFS(MOT_MOTOR,G67,MOT_MARCA,E67,MOT_DESDE,"&lt;="&amp;M67,MOT_HASTA,"&gt;="&amp;M67)+COUNTIFS(MOT_MOTOR,G67,MOT_MARCA,"(todas)",MOT_DESDE,"&lt;="&amp;M67,MOT_HASTA,"&gt;="&amp;M67)+COUNTIFS(MOT_MOTOR,"(cualquiera)",MOT_MARCA,E67,MOT_DESDE,"&lt;="&amp;M67,MOT_HASTA,"&gt;="&amp;M67)</f>
        <v/>
      </c>
      <c r="BY67" s="3">
        <f>IF(AND(K67="diesel",BX67=0),MIN(BU67,NEUTRO),BU67)</f>
        <v/>
      </c>
      <c r="BZ67" s="3">
        <f>MAX(0,MIN(100,BY67+BV67+BW67-IF(AV67="sí",ROB_PEN,0)))</f>
        <v/>
      </c>
      <c r="CA67" s="3">
        <f>100-MAX(0,N67-KM_TOPE_DESDE)/1000*KM_TOPE_PTS</f>
        <v/>
      </c>
      <c r="CB67" s="3">
        <f>MAX(0,MIN(100,50+BN67*PRECIO_PEND,CA67))</f>
        <v/>
      </c>
      <c r="CC67" s="3">
        <f>MAX(0,100*(1-N67/KM_MAX))</f>
        <v/>
      </c>
      <c r="CD67" s="3">
        <f>IF(BE67&lt;KMA_SOSP,IF(AA67="sí",100,KMA_PEN),IF(BE67&lt;=KMA_IDEAL_MAX,100,MAX(0,100*(KMA_CERO-BE67)/(KMA_CERO-KMA_IDEAL_MAX))))</f>
        <v/>
      </c>
      <c r="CE67" s="3">
        <f>MAX(0,MIN(100,100*(M67-ANIO_MIN)/(ANIO_ACTUAL-ANIO_MIN)))</f>
        <v/>
      </c>
      <c r="CF67" s="3">
        <f>W_KMT*CC67+W_KMA*CD67+W_EDAD*CE67</f>
        <v/>
      </c>
      <c r="CG67" s="3">
        <f>P_ITV*(V67="sí")+P_LIBRO*(W67="sí")+P_CORREA*(X67="sí")+P_PROP*(Y67=1)+P_GAR*(Z67="sí")+P_FOTOS*MIN(1,N(U67)/FOTOS_OBJ)</f>
        <v/>
      </c>
      <c r="CH67" s="3">
        <f>MAX(0,MIN(100,IFERROR(VLOOKUP(BS67,ETQ_TBL,2,0),0)-IF(BT67="sí",ETQ_PEN_DUD,IF(AS67="regla",ETQ_PEN_REGLA,0))))</f>
        <v/>
      </c>
      <c r="CI67" s="3">
        <f>NEUTRO</f>
        <v/>
      </c>
      <c r="CJ67" s="3">
        <f>IFERROR(VLOOKUP(L67,SEGURO_TBL,3,0),"")</f>
        <v/>
      </c>
      <c r="CK67" s="3">
        <f>IF(CJ67="",NEUTRO,MAX(0,MIN(100,100*(SEG_REF_MAX-CJ67)/(SEG_REF_MAX-SEG_REF_MIN))))</f>
        <v/>
      </c>
      <c r="CL67" s="3">
        <f>W_CONS*CI67+W_SEG*CK67</f>
        <v/>
      </c>
      <c r="CM67" s="3">
        <f>IF(N(AB67)&gt;0,AB67,IF(AND(R67="profesional",SG_LEGAL_ON=1),GAR_LEGAL,0))</f>
        <v/>
      </c>
      <c r="CN67" s="3">
        <f>SG_GAR*MIN(1,CM67/SG_GAR_FULL)+SG_AMPL*(AC67="sí")+SG_KMC*(AF67="sí")+SG_REV*(N(AE67)&gt;0)+SG_DEV*MIN(1,N(AG67)/SG_DEV_FULL)+SG_HIST*(W67="sí")</f>
        <v/>
      </c>
      <c r="CO67" s="3">
        <f>IFERROR(VLOOKUP(L67,CARR_PEN_TBL,2,0),0)</f>
        <v/>
      </c>
      <c r="CP67" s="3">
        <f>W_FIAB*BZ67+W_PRECIO*CB67+W_KMEDAD*CF67+W_ANUNCIO*CG67+W_USO*CL67+W_SEGURIDAD*CN67+W_ETIQUETA*CH67-CO67</f>
        <v/>
      </c>
      <c r="CQ67" s="4">
        <f>IF(N(I67)&gt;0,I67,IFERROR(ROUND(_xlfn.NUMBERVALUE(LEFT(G67,FIND(" ",G67&amp;" ")-1),".")*1000,0),99999))</f>
        <v/>
      </c>
      <c r="CR67" s="3">
        <f>IF(R67="profesional",0,IF(O67&lt;CUOTA_VALOR_MAX,IF(BD67&gt;ITP_TRAMO_ALTO,SUMIFS(CF_CUOTA,CF_MAS,ITP_TRAMO_ALTO,CF_CCMIN,"&lt;="&amp;CQ67,CF_CCMAX,"&gt;="&amp;CQ67),IF(BD67&gt;ITP_TRAMO_BAJO,SUMIFS(CF_CUOTA,CF_MAS,ITP_TRAMO_BAJO,CF_CCMIN,"&lt;="&amp;CQ67,CF_CCMAX,"&gt;="&amp;CQ67),O67*ITP_TIPO)),O67*ITP_TIPO))</f>
        <v/>
      </c>
      <c r="CS67" s="4">
        <f>IF(R67="profesional",N(AK67),0)</f>
        <v/>
      </c>
      <c r="CT67" s="3">
        <f>IF(AND(R67="profesional",ISNUMBER(AK67),AL67="sí"),0,TASA_DGT)</f>
        <v/>
      </c>
      <c r="CU67" s="3">
        <f>INFORME_DGT</f>
        <v/>
      </c>
      <c r="CV67" s="4">
        <f>O67+CS67+CR67+CT67+CU67</f>
        <v/>
      </c>
      <c r="CW67" s="4">
        <f>CV67+N(CJ67)</f>
        <v/>
      </c>
      <c r="CX67" s="3">
        <f>IF(CV67&lt;=TOTAL_MAX,"sí",IF(CV67&lt;=TOTAL_MAX+MARGEN_NEG,"negociar","no"))</f>
        <v/>
      </c>
      <c r="CY67" s="4">
        <f>IF(CX67&lt;&gt;"no",COUNTIFS($CX$2:$CX$101,"&lt;&gt;no",$CP$2:$CP$101,"&gt;"&amp;CP67)+COUNTIFS($CX$2:CX67,"&lt;&gt;no",$CP$2:CP67,CP67),"")</f>
        <v/>
      </c>
    </row>
    <row r="68">
      <c r="A68" s="2" t="inlineStr">
        <is>
          <t>cochesnet:71618681</t>
        </is>
      </c>
      <c r="B68" s="2" t="inlineStr">
        <is>
          <t>cochesnet</t>
        </is>
      </c>
      <c r="C68" s="2" t="inlineStr">
        <is>
          <t>https://www.coches.net/peugeot-207-confort-14-vti-16v-95-5p-gasolina-2008-en-valencia-71618681-covo.aspx</t>
        </is>
      </c>
      <c r="D68" s="2" t="inlineStr">
        <is>
          <t>PEUGEOT 207 Confort 1.4 VTi 16v 95</t>
        </is>
      </c>
      <c r="E68" s="2" t="inlineStr">
        <is>
          <t>Peugeot</t>
        </is>
      </c>
      <c r="F68" s="2" t="inlineStr">
        <is>
          <t>Peugeot 207</t>
        </is>
      </c>
      <c r="G68" s="2" t="inlineStr">
        <is>
          <t>1.4 VTi</t>
        </is>
      </c>
      <c r="H68" s="2" t="inlineStr">
        <is>
          <t>Confort 1.4 VTi 16v 95</t>
        </is>
      </c>
      <c r="I68" s="2" t="n"/>
      <c r="J68" s="2" t="n"/>
      <c r="K68" s="2" t="inlineStr">
        <is>
          <t>gasolina</t>
        </is>
      </c>
      <c r="L68" s="2" t="inlineStr">
        <is>
          <t>utilitario</t>
        </is>
      </c>
      <c r="M68" s="2" t="n">
        <v>2008</v>
      </c>
      <c r="N68" s="2" t="n">
        <v>80000</v>
      </c>
      <c r="O68" s="2" t="n">
        <v>4990</v>
      </c>
      <c r="P68" s="2" t="inlineStr">
        <is>
          <t>manual</t>
        </is>
      </c>
      <c r="Q68" s="2" t="inlineStr">
        <is>
          <t>no</t>
        </is>
      </c>
      <c r="R68" s="2" t="inlineStr">
        <is>
          <t>profesional</t>
        </is>
      </c>
      <c r="S68" s="2" t="inlineStr">
        <is>
          <t>Cullera</t>
        </is>
      </c>
      <c r="T68" s="2" t="inlineStr">
        <is>
          <t>2026-09-28T19:59:29Z</t>
        </is>
      </c>
      <c r="U68" s="2" t="n">
        <v>9</v>
      </c>
      <c r="V68" s="2" t="n"/>
      <c r="W68" s="2" t="n"/>
      <c r="X68" s="2" t="n"/>
      <c r="Y68" s="2" t="n"/>
      <c r="Z68" s="2" t="inlineStr">
        <is>
          <t>sí</t>
        </is>
      </c>
      <c r="AA68" s="2" t="n"/>
      <c r="AB68" s="2" t="n">
        <v>12</v>
      </c>
      <c r="AC68" s="2" t="n"/>
      <c r="AD68" s="2" t="n"/>
      <c r="AE68" s="2" t="n"/>
      <c r="AF68" s="2" t="n"/>
      <c r="AG68" s="2" t="n"/>
      <c r="AH68" s="2" t="n">
        <v>4990</v>
      </c>
      <c r="AI68" s="2" t="n"/>
      <c r="AJ68" s="2" t="n"/>
      <c r="AK68" s="2" t="n"/>
      <c r="AL68" s="2" t="n"/>
      <c r="AM68" s="2" t="n">
        <v>35.4</v>
      </c>
      <c r="AN68" s="2" t="n"/>
      <c r="AO68" s="2" t="inlineStr">
        <is>
          <t>2008</t>
        </is>
      </c>
      <c r="AP68" s="2" t="n">
        <v>2008</v>
      </c>
      <c r="AQ68" s="2" t="n"/>
      <c r="AR68" s="2" t="inlineStr">
        <is>
          <t>C</t>
        </is>
      </c>
      <c r="AS68" s="2" t="inlineStr">
        <is>
          <t>anuncio</t>
        </is>
      </c>
      <c r="AT68" s="2" t="n"/>
      <c r="AU68" s="2" t="inlineStr">
        <is>
          <t>no</t>
        </is>
      </c>
      <c r="AV68" s="2" t="inlineStr">
        <is>
          <t>no</t>
        </is>
      </c>
      <c r="AW68" s="2" t="n">
        <v>4625</v>
      </c>
      <c r="AX68" s="2" t="n">
        <v>12</v>
      </c>
      <c r="AY68" s="2" t="inlineStr">
        <is>
          <t>modelo+año+km</t>
        </is>
      </c>
      <c r="AZ68" s="2" t="n"/>
      <c r="BA68"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B68"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BC68" s="2" t="inlineStr">
        <is>
          <t>https://www.coches.net/peugeot-207-confort-14-vti-16v-95-5p-gasolina-2008-en-valencia-71618681-covo.aspx (window.__INITIAL_PROPS__.ad) /home/user/Alopecia/buscador-coches/raw/cochesnet/543fe930cfd5068a.json</t>
        </is>
      </c>
      <c r="BD68" s="3">
        <f>MAX(ANIO_ACTUAL-M68,0)</f>
        <v/>
      </c>
      <c r="BE68" s="4">
        <f>N68/MAX(BD68,0.5)</f>
        <v/>
      </c>
      <c r="BF68" s="4">
        <f>F68</f>
        <v/>
      </c>
      <c r="BG68" s="3">
        <f>BF68&amp;"|"&amp;INT(M68/SEG_ANIO)*SEG_ANIO</f>
        <v/>
      </c>
      <c r="BH68" s="3">
        <f>BG68&amp;"|"&amp;INT(N68/SEG_KM)*SEG_KM</f>
        <v/>
      </c>
      <c r="BI68" s="4">
        <f>COUNTIF($BF$2:$BF$101,BF68)</f>
        <v/>
      </c>
      <c r="BJ68" s="4">
        <f>COUNTIF($BG$2:$BG$101,BG68)</f>
        <v/>
      </c>
      <c r="BK68" s="4">
        <f>COUNTIF($BH$2:$BH$101,BH68)</f>
        <v/>
      </c>
      <c r="BL68" s="3">
        <f t="array" ref="BL68">IF(N(AX68)&gt;=MIN_N,AW68,IF(BK68&gt;=MIN_N,MEDIAN(IF($BH$2:$BH$101=BH68,$O$2:$O$101)),IF(BJ68&gt;=MIN_N,MEDIAN(IF($BG$2:$BG$101=BG68,$O$2:$O$101)),MEDIAN(IF($BF$2:$BF$101=BF68,$O$2:$O$101)))))</f>
        <v/>
      </c>
      <c r="BM68" s="3">
        <f>IF(N(AX68)&gt;=MIN_N,"mercado "&amp;AY68,IF(BK68&gt;=MIN_N,"modelo+año+km",IF(BJ68&gt;=MIN_N,"modelo+año","modelo")))</f>
        <v/>
      </c>
      <c r="BN68" s="4">
        <f>(BL68-O68)/BL68</f>
        <v/>
      </c>
      <c r="BO68" s="3">
        <f>IF(COUNTIFS(FR_FUEL,K68,FR_YEAR,AP68)&gt;0,1,0)</f>
        <v/>
      </c>
      <c r="BP68" s="3">
        <f>IF(COUNTIFS(FR_FUEL,K68,FR_YEAR,AP68-1)&gt;0,1,0)</f>
        <v/>
      </c>
      <c r="BQ68" s="4">
        <f>IF(N(AQ68)&gt;0,AP68*100+AQ68,IF(AND(BO68=1,BP68=1),(AP68-1)*100+1,AP68*100+1))</f>
        <v/>
      </c>
      <c r="BR68" s="3">
        <f>IF(OR(K68="hibrido",K68="glp",K68="gnc",K68="phev"),"ECO",IF(K68="electrico","CERO",IF(K68="gasolina",IF(BQ68&gt;=GAS_C_YM,"C",IF(BQ68&gt;=GAS_B_YM,"B","A")),IF(K68="diesel",IF(BQ68&gt;=DIE_C_YM,"C",IF(BQ68&gt;=DIE_B_YM,"B","A")),""))))</f>
        <v/>
      </c>
      <c r="BS68" s="2" t="inlineStr">
        <is>
          <t>C</t>
        </is>
      </c>
      <c r="BT68" s="4">
        <f>IF(AU68="sí","sí",IF(AS68="regla",IF(AND(N(AQ68)=0,BO68=1),"sí","no"),"no"))</f>
        <v/>
      </c>
      <c r="BU68" s="3">
        <f>IFERROR(VLOOKUP(F68,MOD_TBL,16,0),IFERROR(VLOOKUP(E68,OCU_TBL,2,0),NEUTRO))</f>
        <v/>
      </c>
      <c r="BV68" s="3">
        <f>SUMIFS(MOT_AJUSTE,MOT_MOTOR,G68,MOT_MARCA,E68,MOT_DESDE,"&lt;="&amp;M68,MOT_HASTA,"&gt;="&amp;M68)+SUMIFS(MOT_AJUSTE,MOT_MOTOR,G68,MOT_MARCA,"(todas)",MOT_DESDE,"&lt;="&amp;M68,MOT_HASTA,"&gt;="&amp;M68)+SUMIFS(MOT_AJUSTE,MOT_MOTOR,"(cualquiera)",MOT_MARCA,E68,MOT_DESDE,"&lt;="&amp;M68,MOT_HASTA,"&gt;="&amp;M68)</f>
        <v/>
      </c>
      <c r="BW68" s="3">
        <f>SUMIFS(COMB_AJUSTE,COMB_COMB,K68)</f>
        <v/>
      </c>
      <c r="BX68" s="3">
        <f>COUNTIFS(MOT_MOTOR,G68,MOT_MARCA,E68,MOT_DESDE,"&lt;="&amp;M68,MOT_HASTA,"&gt;="&amp;M68)+COUNTIFS(MOT_MOTOR,G68,MOT_MARCA,"(todas)",MOT_DESDE,"&lt;="&amp;M68,MOT_HASTA,"&gt;="&amp;M68)+COUNTIFS(MOT_MOTOR,"(cualquiera)",MOT_MARCA,E68,MOT_DESDE,"&lt;="&amp;M68,MOT_HASTA,"&gt;="&amp;M68)</f>
        <v/>
      </c>
      <c r="BY68" s="3">
        <f>IF(AND(K68="diesel",BX68=0),MIN(BU68,NEUTRO),BU68)</f>
        <v/>
      </c>
      <c r="BZ68" s="3">
        <f>MAX(0,MIN(100,BY68+BV68+BW68-IF(AV68="sí",ROB_PEN,0)))</f>
        <v/>
      </c>
      <c r="CA68" s="3">
        <f>100-MAX(0,N68-KM_TOPE_DESDE)/1000*KM_TOPE_PTS</f>
        <v/>
      </c>
      <c r="CB68" s="3">
        <f>MAX(0,MIN(100,50+BN68*PRECIO_PEND,CA68))</f>
        <v/>
      </c>
      <c r="CC68" s="3">
        <f>MAX(0,100*(1-N68/KM_MAX))</f>
        <v/>
      </c>
      <c r="CD68" s="3">
        <f>IF(BE68&lt;KMA_SOSP,IF(AA68="sí",100,KMA_PEN),IF(BE68&lt;=KMA_IDEAL_MAX,100,MAX(0,100*(KMA_CERO-BE68)/(KMA_CERO-KMA_IDEAL_MAX))))</f>
        <v/>
      </c>
      <c r="CE68" s="3">
        <f>MAX(0,MIN(100,100*(M68-ANIO_MIN)/(ANIO_ACTUAL-ANIO_MIN)))</f>
        <v/>
      </c>
      <c r="CF68" s="3">
        <f>W_KMT*CC68+W_KMA*CD68+W_EDAD*CE68</f>
        <v/>
      </c>
      <c r="CG68" s="3">
        <f>P_ITV*(V68="sí")+P_LIBRO*(W68="sí")+P_CORREA*(X68="sí")+P_PROP*(Y68=1)+P_GAR*(Z68="sí")+P_FOTOS*MIN(1,N(U68)/FOTOS_OBJ)</f>
        <v/>
      </c>
      <c r="CH68" s="3">
        <f>MAX(0,MIN(100,IFERROR(VLOOKUP(BS68,ETQ_TBL,2,0),0)-IF(BT68="sí",ETQ_PEN_DUD,IF(AS68="regla",ETQ_PEN_REGLA,0))))</f>
        <v/>
      </c>
      <c r="CI68" s="3">
        <f>NEUTRO</f>
        <v/>
      </c>
      <c r="CJ68" s="3">
        <f>IFERROR(VLOOKUP(L68,SEGURO_TBL,3,0),"")</f>
        <v/>
      </c>
      <c r="CK68" s="3">
        <f>IF(CJ68="",NEUTRO,MAX(0,MIN(100,100*(SEG_REF_MAX-CJ68)/(SEG_REF_MAX-SEG_REF_MIN))))</f>
        <v/>
      </c>
      <c r="CL68" s="3">
        <f>W_CONS*CI68+W_SEG*CK68</f>
        <v/>
      </c>
      <c r="CM68" s="3">
        <f>IF(N(AB68)&gt;0,AB68,IF(AND(R68="profesional",SG_LEGAL_ON=1),GAR_LEGAL,0))</f>
        <v/>
      </c>
      <c r="CN68" s="3">
        <f>SG_GAR*MIN(1,CM68/SG_GAR_FULL)+SG_AMPL*(AC68="sí")+SG_KMC*(AF68="sí")+SG_REV*(N(AE68)&gt;0)+SG_DEV*MIN(1,N(AG68)/SG_DEV_FULL)+SG_HIST*(W68="sí")</f>
        <v/>
      </c>
      <c r="CO68" s="3">
        <f>IFERROR(VLOOKUP(L68,CARR_PEN_TBL,2,0),0)</f>
        <v/>
      </c>
      <c r="CP68" s="3">
        <f>W_FIAB*BZ68+W_PRECIO*CB68+W_KMEDAD*CF68+W_ANUNCIO*CG68+W_USO*CL68+W_SEGURIDAD*CN68+W_ETIQUETA*CH68-CO68</f>
        <v/>
      </c>
      <c r="CQ68" s="4">
        <f>IF(N(I68)&gt;0,I68,IFERROR(ROUND(_xlfn.NUMBERVALUE(LEFT(G68,FIND(" ",G68&amp;" ")-1),".")*1000,0),99999))</f>
        <v/>
      </c>
      <c r="CR68" s="3">
        <f>IF(R68="profesional",0,IF(O68&lt;CUOTA_VALOR_MAX,IF(BD68&gt;ITP_TRAMO_ALTO,SUMIFS(CF_CUOTA,CF_MAS,ITP_TRAMO_ALTO,CF_CCMIN,"&lt;="&amp;CQ68,CF_CCMAX,"&gt;="&amp;CQ68),IF(BD68&gt;ITP_TRAMO_BAJO,SUMIFS(CF_CUOTA,CF_MAS,ITP_TRAMO_BAJO,CF_CCMIN,"&lt;="&amp;CQ68,CF_CCMAX,"&gt;="&amp;CQ68),O68*ITP_TIPO)),O68*ITP_TIPO))</f>
        <v/>
      </c>
      <c r="CS68" s="4">
        <f>IF(R68="profesional",N(AK68),0)</f>
        <v/>
      </c>
      <c r="CT68" s="3">
        <f>IF(AND(R68="profesional",ISNUMBER(AK68),AL68="sí"),0,TASA_DGT)</f>
        <v/>
      </c>
      <c r="CU68" s="3">
        <f>INFORME_DGT</f>
        <v/>
      </c>
      <c r="CV68" s="4">
        <f>O68+CS68+CR68+CT68+CU68</f>
        <v/>
      </c>
      <c r="CW68" s="4">
        <f>CV68+N(CJ68)</f>
        <v/>
      </c>
      <c r="CX68" s="3">
        <f>IF(CV68&lt;=TOTAL_MAX,"sí",IF(CV68&lt;=TOTAL_MAX+MARGEN_NEG,"negociar","no"))</f>
        <v/>
      </c>
      <c r="CY68" s="4">
        <f>IF(CX68&lt;&gt;"no",COUNTIFS($CX$2:$CX$101,"&lt;&gt;no",$CP$2:$CP$101,"&gt;"&amp;CP68)+COUNTIFS($CX$2:CX68,"&lt;&gt;no",$CP$2:CP68,CP68),"")</f>
        <v/>
      </c>
    </row>
    <row r="69">
      <c r="A69" s="2" t="inlineStr">
        <is>
          <t>cochesnet:71733143</t>
        </is>
      </c>
      <c r="B69" s="2" t="inlineStr">
        <is>
          <t>cochesnet</t>
        </is>
      </c>
      <c r="C69" s="2" t="inlineStr">
        <is>
          <t>https://www.coches.net/citroen-c3-picasso-hdi-110cv-fap-airdream-exclusive-5p-diesel-2009-en-valencia-71733143-covo.aspx</t>
        </is>
      </c>
      <c r="D69" s="2" t="inlineStr">
        <is>
          <t>CITROEN C3 Picasso HDI FAP Airdream Exclusive</t>
        </is>
      </c>
      <c r="E69" s="2" t="inlineStr">
        <is>
          <t>Citroën</t>
        </is>
      </c>
      <c r="F69" s="2" t="inlineStr">
        <is>
          <t>Citroën C3 Picasso</t>
        </is>
      </c>
      <c r="G69" s="2" t="inlineStr">
        <is>
          <t>? HDi</t>
        </is>
      </c>
      <c r="H69" s="2" t="inlineStr">
        <is>
          <t>HDI 110cv FAP Airdream Exclusive</t>
        </is>
      </c>
      <c r="I69" s="2" t="n"/>
      <c r="J69" s="2" t="n">
        <v>110</v>
      </c>
      <c r="K69" s="2" t="inlineStr">
        <is>
          <t>diesel</t>
        </is>
      </c>
      <c r="L69" s="2" t="inlineStr">
        <is>
          <t>monovolumen_pequeno</t>
        </is>
      </c>
      <c r="M69" s="2" t="n">
        <v>2009</v>
      </c>
      <c r="N69" s="2" t="n">
        <v>160000</v>
      </c>
      <c r="O69" s="2" t="n">
        <v>4990</v>
      </c>
      <c r="P69" s="2" t="inlineStr">
        <is>
          <t>manual</t>
        </is>
      </c>
      <c r="Q69" s="2" t="inlineStr">
        <is>
          <t>no</t>
        </is>
      </c>
      <c r="R69" s="2" t="inlineStr">
        <is>
          <t>profesional</t>
        </is>
      </c>
      <c r="S69" s="2" t="inlineStr">
        <is>
          <t>Alboraya</t>
        </is>
      </c>
      <c r="T69" s="2" t="inlineStr">
        <is>
          <t>2026-10-13T13:11:21Z</t>
        </is>
      </c>
      <c r="U69" s="2" t="n">
        <v>14</v>
      </c>
      <c r="V69" s="2" t="inlineStr">
        <is>
          <t>sí</t>
        </is>
      </c>
      <c r="W69" s="2" t="inlineStr">
        <is>
          <t>sí</t>
        </is>
      </c>
      <c r="X69" s="2" t="n"/>
      <c r="Y69" s="2" t="n"/>
      <c r="Z69" s="2" t="inlineStr">
        <is>
          <t>sí</t>
        </is>
      </c>
      <c r="AA69" s="2" t="n"/>
      <c r="AB69" s="2" t="n">
        <v>12</v>
      </c>
      <c r="AC69" s="2" t="n"/>
      <c r="AD69" s="2" t="n"/>
      <c r="AE69" s="2" t="n"/>
      <c r="AF69" s="2" t="n"/>
      <c r="AG69" s="2" t="n"/>
      <c r="AH69" s="2" t="n">
        <v>4990</v>
      </c>
      <c r="AI69" s="2" t="n">
        <v>4990</v>
      </c>
      <c r="AJ69" s="2" t="n"/>
      <c r="AK69" s="2" t="n"/>
      <c r="AL69" s="2" t="n"/>
      <c r="AM69" s="2" t="n">
        <v>4</v>
      </c>
      <c r="AN69" s="2" t="n"/>
      <c r="AO69" s="2" t="inlineStr">
        <is>
          <t>2009</t>
        </is>
      </c>
      <c r="AP69" s="2" t="n">
        <v>2009</v>
      </c>
      <c r="AQ69" s="2" t="n"/>
      <c r="AR69" s="2" t="inlineStr">
        <is>
          <t>B</t>
        </is>
      </c>
      <c r="AS69" s="2" t="inlineStr">
        <is>
          <t>anuncio</t>
        </is>
      </c>
      <c r="AT69" s="2" t="n"/>
      <c r="AU69" s="2" t="inlineStr">
        <is>
          <t>no</t>
        </is>
      </c>
      <c r="AV69" s="2" t="inlineStr">
        <is>
          <t>no</t>
        </is>
      </c>
      <c r="AW69" s="2" t="n"/>
      <c r="AX69" s="2" t="n"/>
      <c r="AY69" s="2" t="n"/>
      <c r="AZ69" s="2" t="n"/>
      <c r="BA69"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BB69" s="2" t="inlineStr">
        <is>
          <t>CITROEN C3 PICASSO 1.6 HDi 110 CV DIÉSEL · 2009 · 160.000 KM
¡Espacio, comodidad y versatilidad en un monovolumen compacto! Este Citroen C3 Picasso destaca por su motor diésel 1.6 HDi de 110 CV, su consumo contenido y su amplio habitáculo. Un vehículo práctico y funcional, con techo solar y un completo equipamiento, ideal para familias y para quienes buscan comodidad tanto en ciudad como en carretera.
??? Estado y mantenimiento:
?? Vehículo nacional.
?? 160.000 km.
?? ITV en vigor.
?? Revisiones y mantenimiento al día.
?? Equipamiento destacado:
?? Confort y conducción: Motor 1.6 HDi de 110 CV, dirección asistida Servotronic, control de crucero y volante multifunción revestido en piel.
?? Diseño y comodidad: Techo solar, asientos confort, aire acondicionado, elevalunas eléctricos y retrovisores eléctricos.
?? Tecnología y multimedia: Ordenador de a bordo y equipo de música MP3 con 6 altavoces.
?? Seguridad y aparcamiento: Sensores de aparcamiento Parktronic, anclajes ISOFIX para sillas infantiles y cierre centralizado.
?? Espacio y funcionalidad: Carrocería monovolumen de 5 puertas, posición de conducción elevada y habitáculo espacioso con gran aprovechamiento interior, ideal para el uso familiar y los viajes.
? Ventajas exclusivas Lunusa Cars
?? Financiación de hasta el 100% con tu nómina.
?? Garantía de 1 año en motor incluida.
?? Compra 100% online, fácil y segura.
?? Envíos y entrega a domicilio en toda España.
?? ¿Hablamos? Te enviamos más vídeos, fotog</t>
        </is>
      </c>
      <c r="BC69" s="2" t="inlineStr">
        <is>
          <t>https://www.coches.net/citroen-c3-picasso-hdi-110cv-fap-airdream-exclusive-5p-diesel-2009-en-valencia-71733143-covo.aspx (window.__INITIAL_PROPS__.ad) /home/user/Alopecia/buscador-coches/raw/cochesnet/d1048337a6adebf4.json</t>
        </is>
      </c>
      <c r="BD69" s="3">
        <f>MAX(ANIO_ACTUAL-M69,0)</f>
        <v/>
      </c>
      <c r="BE69" s="4">
        <f>N69/MAX(BD69,0.5)</f>
        <v/>
      </c>
      <c r="BF69" s="4">
        <f>F69</f>
        <v/>
      </c>
      <c r="BG69" s="3">
        <f>BF69&amp;"|"&amp;INT(M69/SEG_ANIO)*SEG_ANIO</f>
        <v/>
      </c>
      <c r="BH69" s="3">
        <f>BG69&amp;"|"&amp;INT(N69/SEG_KM)*SEG_KM</f>
        <v/>
      </c>
      <c r="BI69" s="4">
        <f>COUNTIF($BF$2:$BF$101,BF69)</f>
        <v/>
      </c>
      <c r="BJ69" s="4">
        <f>COUNTIF($BG$2:$BG$101,BG69)</f>
        <v/>
      </c>
      <c r="BK69" s="4">
        <f>COUNTIF($BH$2:$BH$101,BH69)</f>
        <v/>
      </c>
      <c r="BL69" s="3">
        <f t="array" ref="BL69">IF(N(AX69)&gt;=MIN_N,AW69,IF(BK69&gt;=MIN_N,MEDIAN(IF($BH$2:$BH$101=BH69,$O$2:$O$101)),IF(BJ69&gt;=MIN_N,MEDIAN(IF($BG$2:$BG$101=BG69,$O$2:$O$101)),MEDIAN(IF($BF$2:$BF$101=BF69,$O$2:$O$101)))))</f>
        <v/>
      </c>
      <c r="BM69" s="3">
        <f>IF(N(AX69)&gt;=MIN_N,"mercado "&amp;AY69,IF(BK69&gt;=MIN_N,"modelo+año+km",IF(BJ69&gt;=MIN_N,"modelo+año","modelo")))</f>
        <v/>
      </c>
      <c r="BN69" s="4">
        <f>(BL69-O69)/BL69</f>
        <v/>
      </c>
      <c r="BO69" s="3">
        <f>IF(COUNTIFS(FR_FUEL,K69,FR_YEAR,AP69)&gt;0,1,0)</f>
        <v/>
      </c>
      <c r="BP69" s="3">
        <f>IF(COUNTIFS(FR_FUEL,K69,FR_YEAR,AP69-1)&gt;0,1,0)</f>
        <v/>
      </c>
      <c r="BQ69" s="4">
        <f>IF(N(AQ69)&gt;0,AP69*100+AQ69,IF(AND(BO69=1,BP69=1),(AP69-1)*100+1,AP69*100+1))</f>
        <v/>
      </c>
      <c r="BR69" s="3">
        <f>IF(OR(K69="hibrido",K69="glp",K69="gnc",K69="phev"),"ECO",IF(K69="electrico","CERO",IF(K69="gasolina",IF(BQ69&gt;=GAS_C_YM,"C",IF(BQ69&gt;=GAS_B_YM,"B","A")),IF(K69="diesel",IF(BQ69&gt;=DIE_C_YM,"C",IF(BQ69&gt;=DIE_B_YM,"B","A")),""))))</f>
        <v/>
      </c>
      <c r="BS69" s="2" t="inlineStr">
        <is>
          <t>B</t>
        </is>
      </c>
      <c r="BT69" s="4">
        <f>IF(AU69="sí","sí",IF(AS69="regla",IF(AND(N(AQ69)=0,BO69=1),"sí","no"),"no"))</f>
        <v/>
      </c>
      <c r="BU69" s="3">
        <f>IFERROR(VLOOKUP(F69,MOD_TBL,16,0),IFERROR(VLOOKUP(E69,OCU_TBL,2,0),NEUTRO))</f>
        <v/>
      </c>
      <c r="BV69" s="3">
        <f>SUMIFS(MOT_AJUSTE,MOT_MOTOR,G69,MOT_MARCA,E69,MOT_DESDE,"&lt;="&amp;M69,MOT_HASTA,"&gt;="&amp;M69)+SUMIFS(MOT_AJUSTE,MOT_MOTOR,G69,MOT_MARCA,"(todas)",MOT_DESDE,"&lt;="&amp;M69,MOT_HASTA,"&gt;="&amp;M69)+SUMIFS(MOT_AJUSTE,MOT_MOTOR,"(cualquiera)",MOT_MARCA,E69,MOT_DESDE,"&lt;="&amp;M69,MOT_HASTA,"&gt;="&amp;M69)</f>
        <v/>
      </c>
      <c r="BW69" s="3">
        <f>SUMIFS(COMB_AJUSTE,COMB_COMB,K69)</f>
        <v/>
      </c>
      <c r="BX69" s="3">
        <f>COUNTIFS(MOT_MOTOR,G69,MOT_MARCA,E69,MOT_DESDE,"&lt;="&amp;M69,MOT_HASTA,"&gt;="&amp;M69)+COUNTIFS(MOT_MOTOR,G69,MOT_MARCA,"(todas)",MOT_DESDE,"&lt;="&amp;M69,MOT_HASTA,"&gt;="&amp;M69)+COUNTIFS(MOT_MOTOR,"(cualquiera)",MOT_MARCA,E69,MOT_DESDE,"&lt;="&amp;M69,MOT_HASTA,"&gt;="&amp;M69)</f>
        <v/>
      </c>
      <c r="BY69" s="3">
        <f>IF(AND(K69="diesel",BX69=0),MIN(BU69,NEUTRO),BU69)</f>
        <v/>
      </c>
      <c r="BZ69" s="3">
        <f>MAX(0,MIN(100,BY69+BV69+BW69-IF(AV69="sí",ROB_PEN,0)))</f>
        <v/>
      </c>
      <c r="CA69" s="3">
        <f>100-MAX(0,N69-KM_TOPE_DESDE)/1000*KM_TOPE_PTS</f>
        <v/>
      </c>
      <c r="CB69" s="3">
        <f>MAX(0,MIN(100,50+BN69*PRECIO_PEND,CA69))</f>
        <v/>
      </c>
      <c r="CC69" s="3">
        <f>MAX(0,100*(1-N69/KM_MAX))</f>
        <v/>
      </c>
      <c r="CD69" s="3">
        <f>IF(BE69&lt;KMA_SOSP,IF(AA69="sí",100,KMA_PEN),IF(BE69&lt;=KMA_IDEAL_MAX,100,MAX(0,100*(KMA_CERO-BE69)/(KMA_CERO-KMA_IDEAL_MAX))))</f>
        <v/>
      </c>
      <c r="CE69" s="3">
        <f>MAX(0,MIN(100,100*(M69-ANIO_MIN)/(ANIO_ACTUAL-ANIO_MIN)))</f>
        <v/>
      </c>
      <c r="CF69" s="3">
        <f>W_KMT*CC69+W_KMA*CD69+W_EDAD*CE69</f>
        <v/>
      </c>
      <c r="CG69" s="3">
        <f>P_ITV*(V69="sí")+P_LIBRO*(W69="sí")+P_CORREA*(X69="sí")+P_PROP*(Y69=1)+P_GAR*(Z69="sí")+P_FOTOS*MIN(1,N(U69)/FOTOS_OBJ)</f>
        <v/>
      </c>
      <c r="CH69" s="3">
        <f>MAX(0,MIN(100,IFERROR(VLOOKUP(BS69,ETQ_TBL,2,0),0)-IF(BT69="sí",ETQ_PEN_DUD,IF(AS69="regla",ETQ_PEN_REGLA,0))))</f>
        <v/>
      </c>
      <c r="CI69" s="3">
        <f>NEUTRO</f>
        <v/>
      </c>
      <c r="CJ69" s="3">
        <f>IFERROR(VLOOKUP(L69,SEGURO_TBL,3,0),"")</f>
        <v/>
      </c>
      <c r="CK69" s="3">
        <f>IF(CJ69="",NEUTRO,MAX(0,MIN(100,100*(SEG_REF_MAX-CJ69)/(SEG_REF_MAX-SEG_REF_MIN))))</f>
        <v/>
      </c>
      <c r="CL69" s="3">
        <f>W_CONS*CI69+W_SEG*CK69</f>
        <v/>
      </c>
      <c r="CM69" s="3">
        <f>IF(N(AB69)&gt;0,AB69,IF(AND(R69="profesional",SG_LEGAL_ON=1),GAR_LEGAL,0))</f>
        <v/>
      </c>
      <c r="CN69" s="3">
        <f>SG_GAR*MIN(1,CM69/SG_GAR_FULL)+SG_AMPL*(AC69="sí")+SG_KMC*(AF69="sí")+SG_REV*(N(AE69)&gt;0)+SG_DEV*MIN(1,N(AG69)/SG_DEV_FULL)+SG_HIST*(W69="sí")</f>
        <v/>
      </c>
      <c r="CO69" s="3">
        <f>IFERROR(VLOOKUP(L69,CARR_PEN_TBL,2,0),0)</f>
        <v/>
      </c>
      <c r="CP69" s="3">
        <f>W_FIAB*BZ69+W_PRECIO*CB69+W_KMEDAD*CF69+W_ANUNCIO*CG69+W_USO*CL69+W_SEGURIDAD*CN69+W_ETIQUETA*CH69-CO69</f>
        <v/>
      </c>
      <c r="CQ69" s="4">
        <f>IF(N(I69)&gt;0,I69,IFERROR(ROUND(_xlfn.NUMBERVALUE(LEFT(G69,FIND(" ",G69&amp;" ")-1),".")*1000,0),99999))</f>
        <v/>
      </c>
      <c r="CR69" s="3">
        <f>IF(R69="profesional",0,IF(O69&lt;CUOTA_VALOR_MAX,IF(BD69&gt;ITP_TRAMO_ALTO,SUMIFS(CF_CUOTA,CF_MAS,ITP_TRAMO_ALTO,CF_CCMIN,"&lt;="&amp;CQ69,CF_CCMAX,"&gt;="&amp;CQ69),IF(BD69&gt;ITP_TRAMO_BAJO,SUMIFS(CF_CUOTA,CF_MAS,ITP_TRAMO_BAJO,CF_CCMIN,"&lt;="&amp;CQ69,CF_CCMAX,"&gt;="&amp;CQ69),O69*ITP_TIPO)),O69*ITP_TIPO))</f>
        <v/>
      </c>
      <c r="CS69" s="4">
        <f>IF(R69="profesional",N(AK69),0)</f>
        <v/>
      </c>
      <c r="CT69" s="3">
        <f>IF(AND(R69="profesional",ISNUMBER(AK69),AL69="sí"),0,TASA_DGT)</f>
        <v/>
      </c>
      <c r="CU69" s="3">
        <f>INFORME_DGT</f>
        <v/>
      </c>
      <c r="CV69" s="4">
        <f>O69+CS69+CR69+CT69+CU69</f>
        <v/>
      </c>
      <c r="CW69" s="4">
        <f>CV69+N(CJ69)</f>
        <v/>
      </c>
      <c r="CX69" s="3">
        <f>IF(CV69&lt;=TOTAL_MAX,"sí",IF(CV69&lt;=TOTAL_MAX+MARGEN_NEG,"negociar","no"))</f>
        <v/>
      </c>
      <c r="CY69" s="4">
        <f>IF(CX69&lt;&gt;"no",COUNTIFS($CX$2:$CX$101,"&lt;&gt;no",$CP$2:$CP$101,"&gt;"&amp;CP69)+COUNTIFS($CX$2:CX69,"&lt;&gt;no",$CP$2:CP69,CP69),"")</f>
        <v/>
      </c>
    </row>
    <row r="70">
      <c r="A70" s="2" t="inlineStr">
        <is>
          <t>cochesnet:71041894</t>
        </is>
      </c>
      <c r="B70" s="2" t="inlineStr">
        <is>
          <t>cochesnet</t>
        </is>
      </c>
      <c r="C70" s="2" t="inlineStr">
        <is>
          <t>https://www.coches.net/citroen-c3-hdi-70-attraction-5p-diesel-2011-en-valencia-71041894-covo.aspx</t>
        </is>
      </c>
      <c r="D70" s="2" t="inlineStr">
        <is>
          <t>CITROEN C3 HDi 70 Attraction</t>
        </is>
      </c>
      <c r="E70" s="2" t="inlineStr">
        <is>
          <t>Citroën</t>
        </is>
      </c>
      <c r="F70" s="2" t="inlineStr">
        <is>
          <t>Citroën C3</t>
        </is>
      </c>
      <c r="G70" s="2" t="inlineStr">
        <is>
          <t>? HDi</t>
        </is>
      </c>
      <c r="H70" s="2" t="inlineStr">
        <is>
          <t>HDi 70 Attraction</t>
        </is>
      </c>
      <c r="I70" s="2" t="n"/>
      <c r="J70" s="2" t="n"/>
      <c r="K70" s="2" t="inlineStr">
        <is>
          <t>diesel</t>
        </is>
      </c>
      <c r="L70" s="2" t="inlineStr">
        <is>
          <t>utilitario</t>
        </is>
      </c>
      <c r="M70" s="2" t="n">
        <v>2011</v>
      </c>
      <c r="N70" s="2" t="n">
        <v>187000</v>
      </c>
      <c r="O70" s="2" t="n">
        <v>4750</v>
      </c>
      <c r="P70" s="2" t="inlineStr">
        <is>
          <t>manual</t>
        </is>
      </c>
      <c r="Q70" s="2" t="inlineStr">
        <is>
          <t>no</t>
        </is>
      </c>
      <c r="R70" s="2" t="inlineStr">
        <is>
          <t>profesional</t>
        </is>
      </c>
      <c r="S70" s="2" t="inlineStr">
        <is>
          <t>Albal</t>
        </is>
      </c>
      <c r="T70" s="2" t="inlineStr">
        <is>
          <t>2026-10-07T14:11:13Z</t>
        </is>
      </c>
      <c r="U70" s="2" t="n">
        <v>10</v>
      </c>
      <c r="V70" s="2" t="n"/>
      <c r="W70" s="2" t="n"/>
      <c r="X70" s="2" t="n"/>
      <c r="Y70" s="2" t="n"/>
      <c r="Z70" s="2" t="inlineStr">
        <is>
          <t>sí</t>
        </is>
      </c>
      <c r="AA70" s="2" t="n"/>
      <c r="AB70" s="2" t="n">
        <v>12</v>
      </c>
      <c r="AC70" s="2" t="n"/>
      <c r="AD70" s="2" t="n"/>
      <c r="AE70" s="2" t="n"/>
      <c r="AF70" s="2" t="n"/>
      <c r="AG70" s="2" t="n"/>
      <c r="AH70" s="2" t="n">
        <v>4750</v>
      </c>
      <c r="AI70" s="2" t="n">
        <v>4750</v>
      </c>
      <c r="AJ70" s="2" t="n"/>
      <c r="AK70" s="2" t="n"/>
      <c r="AL70" s="2" t="n"/>
      <c r="AM70" s="2" t="n">
        <v>8.699999999999999</v>
      </c>
      <c r="AN70" s="2" t="n"/>
      <c r="AO70" s="2" t="inlineStr">
        <is>
          <t>2011</t>
        </is>
      </c>
      <c r="AP70" s="2" t="n">
        <v>2011</v>
      </c>
      <c r="AQ70" s="2" t="n"/>
      <c r="AR70" s="2" t="inlineStr">
        <is>
          <t>B</t>
        </is>
      </c>
      <c r="AS70" s="2" t="inlineStr">
        <is>
          <t>anuncio</t>
        </is>
      </c>
      <c r="AT70" s="2" t="n"/>
      <c r="AU70" s="2" t="inlineStr">
        <is>
          <t>no</t>
        </is>
      </c>
      <c r="AV70" s="2" t="inlineStr">
        <is>
          <t>no</t>
        </is>
      </c>
      <c r="AW70" s="2" t="n">
        <v>5295</v>
      </c>
      <c r="AX70" s="2" t="n">
        <v>6</v>
      </c>
      <c r="AY70" s="2" t="inlineStr">
        <is>
          <t>modelo+año</t>
        </is>
      </c>
      <c r="AZ70" s="2" t="n"/>
      <c r="BA70" s="2" t="inlineStr">
        <is>
          <t>vendedor profesional: sin ITP (operación con IVA/REBU, confirmar en factura); gastos de gestión del vendedor no indicados: se suma la tasa DGT; preguntar el precio final; diésel: motor sin fuente de fiabilidad (fiabilidad limitada a neutra)</t>
        </is>
      </c>
      <c r="BB70" s="2" t="inlineStr">
        <is>
          <t>CItroën C3 Attraction 1.4 HDi 2011 Diésel
Equipamiento:
Elevalunas eléctricos
Bluetooth
Motor 1.4 HDi
Muy bajo consumo
Kilometraje: 187.000 km
Mantenimiento reciente:
Cambio de aceite y filtros
Embrague nuevo
ITV vigente hasta 07/2027
4 neumáticos en excelente estado
Utilitario económico, cómodo y de muy bajo consumo, ideal para ciudad y uso diario.
Precio: 5.250 €
Entrega inmediata en Valencia / Catarroja
Garantía 12 meses en mecánica
Financiación disponible
Recibimos vehículo a cambio, incluso de menor valor
Citroën C3 Attraction en Valencia
Citroën C3 en Catarroja
Citroen C3 en Catarroja</t>
        </is>
      </c>
      <c r="BC70" s="2" t="inlineStr">
        <is>
          <t>https://www.coches.net/citroen-c3-hdi-70-attraction-5p-diesel-2011-en-valencia-71041894-covo.aspx (window.__INITIAL_PROPS__.ad) /home/user/Alopecia/buscador-coches/raw/cochesnet/b94d1dae5572bd11.json</t>
        </is>
      </c>
      <c r="BD70" s="3">
        <f>MAX(ANIO_ACTUAL-M70,0)</f>
        <v/>
      </c>
      <c r="BE70" s="4">
        <f>N70/MAX(BD70,0.5)</f>
        <v/>
      </c>
      <c r="BF70" s="4">
        <f>F70</f>
        <v/>
      </c>
      <c r="BG70" s="3">
        <f>BF70&amp;"|"&amp;INT(M70/SEG_ANIO)*SEG_ANIO</f>
        <v/>
      </c>
      <c r="BH70" s="3">
        <f>BG70&amp;"|"&amp;INT(N70/SEG_KM)*SEG_KM</f>
        <v/>
      </c>
      <c r="BI70" s="4">
        <f>COUNTIF($BF$2:$BF$101,BF70)</f>
        <v/>
      </c>
      <c r="BJ70" s="4">
        <f>COUNTIF($BG$2:$BG$101,BG70)</f>
        <v/>
      </c>
      <c r="BK70" s="4">
        <f>COUNTIF($BH$2:$BH$101,BH70)</f>
        <v/>
      </c>
      <c r="BL70" s="3">
        <f t="array" ref="BL70">IF(N(AX70)&gt;=MIN_N,AW70,IF(BK70&gt;=MIN_N,MEDIAN(IF($BH$2:$BH$101=BH70,$O$2:$O$101)),IF(BJ70&gt;=MIN_N,MEDIAN(IF($BG$2:$BG$101=BG70,$O$2:$O$101)),MEDIAN(IF($BF$2:$BF$101=BF70,$O$2:$O$101)))))</f>
        <v/>
      </c>
      <c r="BM70" s="3">
        <f>IF(N(AX70)&gt;=MIN_N,"mercado "&amp;AY70,IF(BK70&gt;=MIN_N,"modelo+año+km",IF(BJ70&gt;=MIN_N,"modelo+año","modelo")))</f>
        <v/>
      </c>
      <c r="BN70" s="4">
        <f>(BL70-O70)/BL70</f>
        <v/>
      </c>
      <c r="BO70" s="3">
        <f>IF(COUNTIFS(FR_FUEL,K70,FR_YEAR,AP70)&gt;0,1,0)</f>
        <v/>
      </c>
      <c r="BP70" s="3">
        <f>IF(COUNTIFS(FR_FUEL,K70,FR_YEAR,AP70-1)&gt;0,1,0)</f>
        <v/>
      </c>
      <c r="BQ70" s="4">
        <f>IF(N(AQ70)&gt;0,AP70*100+AQ70,IF(AND(BO70=1,BP70=1),(AP70-1)*100+1,AP70*100+1))</f>
        <v/>
      </c>
      <c r="BR70" s="3">
        <f>IF(OR(K70="hibrido",K70="glp",K70="gnc",K70="phev"),"ECO",IF(K70="electrico","CERO",IF(K70="gasolina",IF(BQ70&gt;=GAS_C_YM,"C",IF(BQ70&gt;=GAS_B_YM,"B","A")),IF(K70="diesel",IF(BQ70&gt;=DIE_C_YM,"C",IF(BQ70&gt;=DIE_B_YM,"B","A")),""))))</f>
        <v/>
      </c>
      <c r="BS70" s="2" t="inlineStr">
        <is>
          <t>B</t>
        </is>
      </c>
      <c r="BT70" s="4">
        <f>IF(AU70="sí","sí",IF(AS70="regla",IF(AND(N(AQ70)=0,BO70=1),"sí","no"),"no"))</f>
        <v/>
      </c>
      <c r="BU70" s="3">
        <f>IFERROR(VLOOKUP(F70,MOD_TBL,16,0),IFERROR(VLOOKUP(E70,OCU_TBL,2,0),NEUTRO))</f>
        <v/>
      </c>
      <c r="BV70" s="3">
        <f>SUMIFS(MOT_AJUSTE,MOT_MOTOR,G70,MOT_MARCA,E70,MOT_DESDE,"&lt;="&amp;M70,MOT_HASTA,"&gt;="&amp;M70)+SUMIFS(MOT_AJUSTE,MOT_MOTOR,G70,MOT_MARCA,"(todas)",MOT_DESDE,"&lt;="&amp;M70,MOT_HASTA,"&gt;="&amp;M70)+SUMIFS(MOT_AJUSTE,MOT_MOTOR,"(cualquiera)",MOT_MARCA,E70,MOT_DESDE,"&lt;="&amp;M70,MOT_HASTA,"&gt;="&amp;M70)</f>
        <v/>
      </c>
      <c r="BW70" s="3">
        <f>SUMIFS(COMB_AJUSTE,COMB_COMB,K70)</f>
        <v/>
      </c>
      <c r="BX70" s="3">
        <f>COUNTIFS(MOT_MOTOR,G70,MOT_MARCA,E70,MOT_DESDE,"&lt;="&amp;M70,MOT_HASTA,"&gt;="&amp;M70)+COUNTIFS(MOT_MOTOR,G70,MOT_MARCA,"(todas)",MOT_DESDE,"&lt;="&amp;M70,MOT_HASTA,"&gt;="&amp;M70)+COUNTIFS(MOT_MOTOR,"(cualquiera)",MOT_MARCA,E70,MOT_DESDE,"&lt;="&amp;M70,MOT_HASTA,"&gt;="&amp;M70)</f>
        <v/>
      </c>
      <c r="BY70" s="3">
        <f>IF(AND(K70="diesel",BX70=0),MIN(BU70,NEUTRO),BU70)</f>
        <v/>
      </c>
      <c r="BZ70" s="3">
        <f>MAX(0,MIN(100,BY70+BV70+BW70-IF(AV70="sí",ROB_PEN,0)))</f>
        <v/>
      </c>
      <c r="CA70" s="3">
        <f>100-MAX(0,N70-KM_TOPE_DESDE)/1000*KM_TOPE_PTS</f>
        <v/>
      </c>
      <c r="CB70" s="3">
        <f>MAX(0,MIN(100,50+BN70*PRECIO_PEND,CA70))</f>
        <v/>
      </c>
      <c r="CC70" s="3">
        <f>MAX(0,100*(1-N70/KM_MAX))</f>
        <v/>
      </c>
      <c r="CD70" s="3">
        <f>IF(BE70&lt;KMA_SOSP,IF(AA70="sí",100,KMA_PEN),IF(BE70&lt;=KMA_IDEAL_MAX,100,MAX(0,100*(KMA_CERO-BE70)/(KMA_CERO-KMA_IDEAL_MAX))))</f>
        <v/>
      </c>
      <c r="CE70" s="3">
        <f>MAX(0,MIN(100,100*(M70-ANIO_MIN)/(ANIO_ACTUAL-ANIO_MIN)))</f>
        <v/>
      </c>
      <c r="CF70" s="3">
        <f>W_KMT*CC70+W_KMA*CD70+W_EDAD*CE70</f>
        <v/>
      </c>
      <c r="CG70" s="3">
        <f>P_ITV*(V70="sí")+P_LIBRO*(W70="sí")+P_CORREA*(X70="sí")+P_PROP*(Y70=1)+P_GAR*(Z70="sí")+P_FOTOS*MIN(1,N(U70)/FOTOS_OBJ)</f>
        <v/>
      </c>
      <c r="CH70" s="3">
        <f>MAX(0,MIN(100,IFERROR(VLOOKUP(BS70,ETQ_TBL,2,0),0)-IF(BT70="sí",ETQ_PEN_DUD,IF(AS70="regla",ETQ_PEN_REGLA,0))))</f>
        <v/>
      </c>
      <c r="CI70" s="3">
        <f>NEUTRO</f>
        <v/>
      </c>
      <c r="CJ70" s="3">
        <f>IFERROR(VLOOKUP(L70,SEGURO_TBL,3,0),"")</f>
        <v/>
      </c>
      <c r="CK70" s="3">
        <f>IF(CJ70="",NEUTRO,MAX(0,MIN(100,100*(SEG_REF_MAX-CJ70)/(SEG_REF_MAX-SEG_REF_MIN))))</f>
        <v/>
      </c>
      <c r="CL70" s="3">
        <f>W_CONS*CI70+W_SEG*CK70</f>
        <v/>
      </c>
      <c r="CM70" s="3">
        <f>IF(N(AB70)&gt;0,AB70,IF(AND(R70="profesional",SG_LEGAL_ON=1),GAR_LEGAL,0))</f>
        <v/>
      </c>
      <c r="CN70" s="3">
        <f>SG_GAR*MIN(1,CM70/SG_GAR_FULL)+SG_AMPL*(AC70="sí")+SG_KMC*(AF70="sí")+SG_REV*(N(AE70)&gt;0)+SG_DEV*MIN(1,N(AG70)/SG_DEV_FULL)+SG_HIST*(W70="sí")</f>
        <v/>
      </c>
      <c r="CO70" s="3">
        <f>IFERROR(VLOOKUP(L70,CARR_PEN_TBL,2,0),0)</f>
        <v/>
      </c>
      <c r="CP70" s="3">
        <f>W_FIAB*BZ70+W_PRECIO*CB70+W_KMEDAD*CF70+W_ANUNCIO*CG70+W_USO*CL70+W_SEGURIDAD*CN70+W_ETIQUETA*CH70-CO70</f>
        <v/>
      </c>
      <c r="CQ70" s="4">
        <f>IF(N(I70)&gt;0,I70,IFERROR(ROUND(_xlfn.NUMBERVALUE(LEFT(G70,FIND(" ",G70&amp;" ")-1),".")*1000,0),99999))</f>
        <v/>
      </c>
      <c r="CR70" s="3">
        <f>IF(R70="profesional",0,IF(O70&lt;CUOTA_VALOR_MAX,IF(BD70&gt;ITP_TRAMO_ALTO,SUMIFS(CF_CUOTA,CF_MAS,ITP_TRAMO_ALTO,CF_CCMIN,"&lt;="&amp;CQ70,CF_CCMAX,"&gt;="&amp;CQ70),IF(BD70&gt;ITP_TRAMO_BAJO,SUMIFS(CF_CUOTA,CF_MAS,ITP_TRAMO_BAJO,CF_CCMIN,"&lt;="&amp;CQ70,CF_CCMAX,"&gt;="&amp;CQ70),O70*ITP_TIPO)),O70*ITP_TIPO))</f>
        <v/>
      </c>
      <c r="CS70" s="4">
        <f>IF(R70="profesional",N(AK70),0)</f>
        <v/>
      </c>
      <c r="CT70" s="3">
        <f>IF(AND(R70="profesional",ISNUMBER(AK70),AL70="sí"),0,TASA_DGT)</f>
        <v/>
      </c>
      <c r="CU70" s="3">
        <f>INFORME_DGT</f>
        <v/>
      </c>
      <c r="CV70" s="4">
        <f>O70+CS70+CR70+CT70+CU70</f>
        <v/>
      </c>
      <c r="CW70" s="4">
        <f>CV70+N(CJ70)</f>
        <v/>
      </c>
      <c r="CX70" s="3">
        <f>IF(CV70&lt;=TOTAL_MAX,"sí",IF(CV70&lt;=TOTAL_MAX+MARGEN_NEG,"negociar","no"))</f>
        <v/>
      </c>
      <c r="CY70" s="4">
        <f>IF(CX70&lt;&gt;"no",COUNTIFS($CX$2:$CX$101,"&lt;&gt;no",$CP$2:$CP$101,"&gt;"&amp;CP70)+COUNTIFS($CX$2:CX70,"&lt;&gt;no",$CP$2:CP70,CP70),"")</f>
        <v/>
      </c>
    </row>
    <row r="71">
      <c r="A71" s="2" t="inlineStr">
        <is>
          <t>cochesnet:71039872</t>
        </is>
      </c>
      <c r="B71" s="2" t="inlineStr">
        <is>
          <t>cochesnet</t>
        </is>
      </c>
      <c r="C71" s="2" t="inlineStr">
        <is>
          <t>https://www.coches.net/citroen-c3-ehdi-115-exclusive-5p-diesel-2013-en-valencia-71039872-covo.aspx</t>
        </is>
      </c>
      <c r="D71" s="2" t="inlineStr">
        <is>
          <t>CITROEN C3 EHDI 115 Exclusive</t>
        </is>
      </c>
      <c r="E71" s="2" t="inlineStr">
        <is>
          <t>Citroën</t>
        </is>
      </c>
      <c r="F71" s="2" t="inlineStr">
        <is>
          <t>Citroën C3</t>
        </is>
      </c>
      <c r="G71" s="2" t="inlineStr">
        <is>
          <t>? HDi</t>
        </is>
      </c>
      <c r="H71" s="2" t="inlineStr">
        <is>
          <t>EHDI 115 Exclusive</t>
        </is>
      </c>
      <c r="I71" s="2" t="n"/>
      <c r="J71" s="2" t="n"/>
      <c r="K71" s="2" t="inlineStr">
        <is>
          <t>diesel</t>
        </is>
      </c>
      <c r="L71" s="2" t="inlineStr">
        <is>
          <t>utilitario</t>
        </is>
      </c>
      <c r="M71" s="2" t="n">
        <v>2013</v>
      </c>
      <c r="N71" s="2" t="n">
        <v>180000</v>
      </c>
      <c r="O71" s="2" t="n">
        <v>4990</v>
      </c>
      <c r="P71" s="2" t="inlineStr">
        <is>
          <t>manual</t>
        </is>
      </c>
      <c r="Q71" s="2" t="inlineStr">
        <is>
          <t>no</t>
        </is>
      </c>
      <c r="R71" s="2" t="inlineStr">
        <is>
          <t>profesional</t>
        </is>
      </c>
      <c r="S71" s="2" t="inlineStr">
        <is>
          <t>Foios</t>
        </is>
      </c>
      <c r="T71" s="2" t="inlineStr">
        <is>
          <t>2026-10-07T11:07:16Z</t>
        </is>
      </c>
      <c r="U71" s="2" t="n">
        <v>13</v>
      </c>
      <c r="V71" s="2" t="n"/>
      <c r="W71" s="2" t="n"/>
      <c r="X71" s="2" t="n"/>
      <c r="Y71" s="2" t="n"/>
      <c r="Z71" s="2" t="inlineStr">
        <is>
          <t>sí</t>
        </is>
      </c>
      <c r="AA71" s="2" t="n"/>
      <c r="AB71" s="2" t="n">
        <v>12</v>
      </c>
      <c r="AC71" s="2" t="n"/>
      <c r="AD71" s="2" t="n"/>
      <c r="AE71" s="2" t="n"/>
      <c r="AF71" s="2" t="n"/>
      <c r="AG71" s="2" t="n"/>
      <c r="AH71" s="2" t="n">
        <v>4990</v>
      </c>
      <c r="AI71" s="2" t="n">
        <v>4990</v>
      </c>
      <c r="AJ71" s="2" t="n"/>
      <c r="AK71" s="2" t="n"/>
      <c r="AL71" s="2" t="n"/>
      <c r="AM71" s="2" t="n">
        <v>7.7</v>
      </c>
      <c r="AN71" s="2" t="n"/>
      <c r="AO71" s="2" t="inlineStr">
        <is>
          <t>2013</t>
        </is>
      </c>
      <c r="AP71" s="2" t="n">
        <v>2013</v>
      </c>
      <c r="AQ71" s="2" t="n"/>
      <c r="AR71" s="2" t="inlineStr">
        <is>
          <t>C</t>
        </is>
      </c>
      <c r="AS71" s="2" t="inlineStr">
        <is>
          <t>anuncio</t>
        </is>
      </c>
      <c r="AT71" s="2" t="n"/>
      <c r="AU71" s="2" t="inlineStr">
        <is>
          <t>no</t>
        </is>
      </c>
      <c r="AV71" s="2" t="inlineStr">
        <is>
          <t>no</t>
        </is>
      </c>
      <c r="AW71" s="2" t="n">
        <v>5500</v>
      </c>
      <c r="AX71" s="2" t="n">
        <v>17</v>
      </c>
      <c r="AY71" s="2" t="inlineStr">
        <is>
          <t>modelo+año</t>
        </is>
      </c>
      <c r="AZ71" s="2" t="n"/>
      <c r="BA7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71" s="2" t="inlineStr"/>
      <c r="BC71" s="2" t="inlineStr">
        <is>
          <t>https://www.coches.net/citroen-c3-ehdi-115-exclusive-5p-diesel-2013-en-valencia-71039872-covo.aspx (window.__INITIAL_PROPS__.ad) /home/user/Alopecia/buscador-coches/raw/cochesnet/860d9c5e45d2dc6a.json</t>
        </is>
      </c>
      <c r="BD71" s="3">
        <f>MAX(ANIO_ACTUAL-M71,0)</f>
        <v/>
      </c>
      <c r="BE71" s="4">
        <f>N71/MAX(BD71,0.5)</f>
        <v/>
      </c>
      <c r="BF71" s="4">
        <f>F71</f>
        <v/>
      </c>
      <c r="BG71" s="3">
        <f>BF71&amp;"|"&amp;INT(M71/SEG_ANIO)*SEG_ANIO</f>
        <v/>
      </c>
      <c r="BH71" s="3">
        <f>BG71&amp;"|"&amp;INT(N71/SEG_KM)*SEG_KM</f>
        <v/>
      </c>
      <c r="BI71" s="4">
        <f>COUNTIF($BF$2:$BF$101,BF71)</f>
        <v/>
      </c>
      <c r="BJ71" s="4">
        <f>COUNTIF($BG$2:$BG$101,BG71)</f>
        <v/>
      </c>
      <c r="BK71" s="4">
        <f>COUNTIF($BH$2:$BH$101,BH71)</f>
        <v/>
      </c>
      <c r="BL71" s="3">
        <f t="array" ref="BL71">IF(N(AX71)&gt;=MIN_N,AW71,IF(BK71&gt;=MIN_N,MEDIAN(IF($BH$2:$BH$101=BH71,$O$2:$O$101)),IF(BJ71&gt;=MIN_N,MEDIAN(IF($BG$2:$BG$101=BG71,$O$2:$O$101)),MEDIAN(IF($BF$2:$BF$101=BF71,$O$2:$O$101)))))</f>
        <v/>
      </c>
      <c r="BM71" s="3">
        <f>IF(N(AX71)&gt;=MIN_N,"mercado "&amp;AY71,IF(BK71&gt;=MIN_N,"modelo+año+km",IF(BJ71&gt;=MIN_N,"modelo+año","modelo")))</f>
        <v/>
      </c>
      <c r="BN71" s="4">
        <f>(BL71-O71)/BL71</f>
        <v/>
      </c>
      <c r="BO71" s="3">
        <f>IF(COUNTIFS(FR_FUEL,K71,FR_YEAR,AP71)&gt;0,1,0)</f>
        <v/>
      </c>
      <c r="BP71" s="3">
        <f>IF(COUNTIFS(FR_FUEL,K71,FR_YEAR,AP71-1)&gt;0,1,0)</f>
        <v/>
      </c>
      <c r="BQ71" s="4">
        <f>IF(N(AQ71)&gt;0,AP71*100+AQ71,IF(AND(BO71=1,BP71=1),(AP71-1)*100+1,AP71*100+1))</f>
        <v/>
      </c>
      <c r="BR71" s="3">
        <f>IF(OR(K71="hibrido",K71="glp",K71="gnc",K71="phev"),"ECO",IF(K71="electrico","CERO",IF(K71="gasolina",IF(BQ71&gt;=GAS_C_YM,"C",IF(BQ71&gt;=GAS_B_YM,"B","A")),IF(K71="diesel",IF(BQ71&gt;=DIE_C_YM,"C",IF(BQ71&gt;=DIE_B_YM,"B","A")),""))))</f>
        <v/>
      </c>
      <c r="BS71" s="2" t="inlineStr">
        <is>
          <t>C</t>
        </is>
      </c>
      <c r="BT71" s="4">
        <f>IF(AU71="sí","sí",IF(AS71="regla",IF(AND(N(AQ71)=0,BO71=1),"sí","no"),"no"))</f>
        <v/>
      </c>
      <c r="BU71" s="3">
        <f>IFERROR(VLOOKUP(F71,MOD_TBL,16,0),IFERROR(VLOOKUP(E71,OCU_TBL,2,0),NEUTRO))</f>
        <v/>
      </c>
      <c r="BV71" s="3">
        <f>SUMIFS(MOT_AJUSTE,MOT_MOTOR,G71,MOT_MARCA,E71,MOT_DESDE,"&lt;="&amp;M71,MOT_HASTA,"&gt;="&amp;M71)+SUMIFS(MOT_AJUSTE,MOT_MOTOR,G71,MOT_MARCA,"(todas)",MOT_DESDE,"&lt;="&amp;M71,MOT_HASTA,"&gt;="&amp;M71)+SUMIFS(MOT_AJUSTE,MOT_MOTOR,"(cualquiera)",MOT_MARCA,E71,MOT_DESDE,"&lt;="&amp;M71,MOT_HASTA,"&gt;="&amp;M71)</f>
        <v/>
      </c>
      <c r="BW71" s="3">
        <f>SUMIFS(COMB_AJUSTE,COMB_COMB,K71)</f>
        <v/>
      </c>
      <c r="BX71" s="3">
        <f>COUNTIFS(MOT_MOTOR,G71,MOT_MARCA,E71,MOT_DESDE,"&lt;="&amp;M71,MOT_HASTA,"&gt;="&amp;M71)+COUNTIFS(MOT_MOTOR,G71,MOT_MARCA,"(todas)",MOT_DESDE,"&lt;="&amp;M71,MOT_HASTA,"&gt;="&amp;M71)+COUNTIFS(MOT_MOTOR,"(cualquiera)",MOT_MARCA,E71,MOT_DESDE,"&lt;="&amp;M71,MOT_HASTA,"&gt;="&amp;M71)</f>
        <v/>
      </c>
      <c r="BY71" s="3">
        <f>IF(AND(K71="diesel",BX71=0),MIN(BU71,NEUTRO),BU71)</f>
        <v/>
      </c>
      <c r="BZ71" s="3">
        <f>MAX(0,MIN(100,BY71+BV71+BW71-IF(AV71="sí",ROB_PEN,0)))</f>
        <v/>
      </c>
      <c r="CA71" s="3">
        <f>100-MAX(0,N71-KM_TOPE_DESDE)/1000*KM_TOPE_PTS</f>
        <v/>
      </c>
      <c r="CB71" s="3">
        <f>MAX(0,MIN(100,50+BN71*PRECIO_PEND,CA71))</f>
        <v/>
      </c>
      <c r="CC71" s="3">
        <f>MAX(0,100*(1-N71/KM_MAX))</f>
        <v/>
      </c>
      <c r="CD71" s="3">
        <f>IF(BE71&lt;KMA_SOSP,IF(AA71="sí",100,KMA_PEN),IF(BE71&lt;=KMA_IDEAL_MAX,100,MAX(0,100*(KMA_CERO-BE71)/(KMA_CERO-KMA_IDEAL_MAX))))</f>
        <v/>
      </c>
      <c r="CE71" s="3">
        <f>MAX(0,MIN(100,100*(M71-ANIO_MIN)/(ANIO_ACTUAL-ANIO_MIN)))</f>
        <v/>
      </c>
      <c r="CF71" s="3">
        <f>W_KMT*CC71+W_KMA*CD71+W_EDAD*CE71</f>
        <v/>
      </c>
      <c r="CG71" s="3">
        <f>P_ITV*(V71="sí")+P_LIBRO*(W71="sí")+P_CORREA*(X71="sí")+P_PROP*(Y71=1)+P_GAR*(Z71="sí")+P_FOTOS*MIN(1,N(U71)/FOTOS_OBJ)</f>
        <v/>
      </c>
      <c r="CH71" s="3">
        <f>MAX(0,MIN(100,IFERROR(VLOOKUP(BS71,ETQ_TBL,2,0),0)-IF(BT71="sí",ETQ_PEN_DUD,IF(AS71="regla",ETQ_PEN_REGLA,0))))</f>
        <v/>
      </c>
      <c r="CI71" s="3">
        <f>NEUTRO</f>
        <v/>
      </c>
      <c r="CJ71" s="3">
        <f>IFERROR(VLOOKUP(L71,SEGURO_TBL,3,0),"")</f>
        <v/>
      </c>
      <c r="CK71" s="3">
        <f>IF(CJ71="",NEUTRO,MAX(0,MIN(100,100*(SEG_REF_MAX-CJ71)/(SEG_REF_MAX-SEG_REF_MIN))))</f>
        <v/>
      </c>
      <c r="CL71" s="3">
        <f>W_CONS*CI71+W_SEG*CK71</f>
        <v/>
      </c>
      <c r="CM71" s="3">
        <f>IF(N(AB71)&gt;0,AB71,IF(AND(R71="profesional",SG_LEGAL_ON=1),GAR_LEGAL,0))</f>
        <v/>
      </c>
      <c r="CN71" s="3">
        <f>SG_GAR*MIN(1,CM71/SG_GAR_FULL)+SG_AMPL*(AC71="sí")+SG_KMC*(AF71="sí")+SG_REV*(N(AE71)&gt;0)+SG_DEV*MIN(1,N(AG71)/SG_DEV_FULL)+SG_HIST*(W71="sí")</f>
        <v/>
      </c>
      <c r="CO71" s="3">
        <f>IFERROR(VLOOKUP(L71,CARR_PEN_TBL,2,0),0)</f>
        <v/>
      </c>
      <c r="CP71" s="3">
        <f>W_FIAB*BZ71+W_PRECIO*CB71+W_KMEDAD*CF71+W_ANUNCIO*CG71+W_USO*CL71+W_SEGURIDAD*CN71+W_ETIQUETA*CH71-CO71</f>
        <v/>
      </c>
      <c r="CQ71" s="4">
        <f>IF(N(I71)&gt;0,I71,IFERROR(ROUND(_xlfn.NUMBERVALUE(LEFT(G71,FIND(" ",G71&amp;" ")-1),".")*1000,0),99999))</f>
        <v/>
      </c>
      <c r="CR71" s="3">
        <f>IF(R71="profesional",0,IF(O71&lt;CUOTA_VALOR_MAX,IF(BD71&gt;ITP_TRAMO_ALTO,SUMIFS(CF_CUOTA,CF_MAS,ITP_TRAMO_ALTO,CF_CCMIN,"&lt;="&amp;CQ71,CF_CCMAX,"&gt;="&amp;CQ71),IF(BD71&gt;ITP_TRAMO_BAJO,SUMIFS(CF_CUOTA,CF_MAS,ITP_TRAMO_BAJO,CF_CCMIN,"&lt;="&amp;CQ71,CF_CCMAX,"&gt;="&amp;CQ71),O71*ITP_TIPO)),O71*ITP_TIPO))</f>
        <v/>
      </c>
      <c r="CS71" s="4">
        <f>IF(R71="profesional",N(AK71),0)</f>
        <v/>
      </c>
      <c r="CT71" s="3">
        <f>IF(AND(R71="profesional",ISNUMBER(AK71),AL71="sí"),0,TASA_DGT)</f>
        <v/>
      </c>
      <c r="CU71" s="3">
        <f>INFORME_DGT</f>
        <v/>
      </c>
      <c r="CV71" s="4">
        <f>O71+CS71+CR71+CT71+CU71</f>
        <v/>
      </c>
      <c r="CW71" s="4">
        <f>CV71+N(CJ71)</f>
        <v/>
      </c>
      <c r="CX71" s="3">
        <f>IF(CV71&lt;=TOTAL_MAX,"sí",IF(CV71&lt;=TOTAL_MAX+MARGEN_NEG,"negociar","no"))</f>
        <v/>
      </c>
      <c r="CY71" s="4">
        <f>IF(CX71&lt;&gt;"no",COUNTIFS($CX$2:$CX$101,"&lt;&gt;no",$CP$2:$CP$101,"&gt;"&amp;CP71)+COUNTIFS($CX$2:CX71,"&lt;&gt;no",$CP$2:CP71,CP71),"")</f>
        <v/>
      </c>
    </row>
    <row r="72">
      <c r="A72" s="2" t="inlineStr">
        <is>
          <t>cochesnet:71818180</t>
        </is>
      </c>
      <c r="B72" s="2" t="inlineStr">
        <is>
          <t>cochesnet</t>
        </is>
      </c>
      <c r="C72" s="2" t="inlineStr">
        <is>
          <t>https://www.coches.net/citroen-c-elysee-hdi-90cv-millenium-4p-diesel-2014-en-valencia-71818180-covo.aspx</t>
        </is>
      </c>
      <c r="D72" s="2" t="inlineStr">
        <is>
          <t>CITROEN C-Elysée HDi Millenium</t>
        </is>
      </c>
      <c r="E72" s="2" t="inlineStr">
        <is>
          <t>Citroën</t>
        </is>
      </c>
      <c r="F72" s="2" t="inlineStr">
        <is>
          <t>Citroën C-Elysée</t>
        </is>
      </c>
      <c r="G72" s="2" t="inlineStr">
        <is>
          <t>? HDi</t>
        </is>
      </c>
      <c r="H72" s="2" t="inlineStr">
        <is>
          <t>HDi 90cv Millenium</t>
        </is>
      </c>
      <c r="I72" s="2" t="n"/>
      <c r="J72" s="2" t="n">
        <v>90</v>
      </c>
      <c r="K72" s="2" t="inlineStr">
        <is>
          <t>diesel</t>
        </is>
      </c>
      <c r="L72" s="2" t="inlineStr">
        <is>
          <t>berlina</t>
        </is>
      </c>
      <c r="M72" s="2" t="n">
        <v>2015</v>
      </c>
      <c r="N72" s="2" t="n">
        <v>180000</v>
      </c>
      <c r="O72" s="2" t="n">
        <v>4699</v>
      </c>
      <c r="P72" s="2" t="inlineStr">
        <is>
          <t>manual</t>
        </is>
      </c>
      <c r="Q72" s="2" t="inlineStr">
        <is>
          <t>no</t>
        </is>
      </c>
      <c r="R72" s="2" t="inlineStr">
        <is>
          <t>profesional</t>
        </is>
      </c>
      <c r="S72" s="2" t="inlineStr">
        <is>
          <t>Cars Premium Albal Albal</t>
        </is>
      </c>
      <c r="T72" s="2" t="inlineStr">
        <is>
          <t>2026-10-23T16:33:38Z</t>
        </is>
      </c>
      <c r="U72" s="2" t="n">
        <v>12</v>
      </c>
      <c r="V72" s="2" t="inlineStr">
        <is>
          <t>sí</t>
        </is>
      </c>
      <c r="W72" s="2" t="n"/>
      <c r="X72" s="2" t="n"/>
      <c r="Y72" s="2" t="n"/>
      <c r="Z72" s="2" t="inlineStr">
        <is>
          <t>sí</t>
        </is>
      </c>
      <c r="AA72" s="2" t="n"/>
      <c r="AB72" s="2" t="n">
        <v>12</v>
      </c>
      <c r="AC72" s="2" t="n"/>
      <c r="AD72" s="2" t="n"/>
      <c r="AE72" s="2" t="n"/>
      <c r="AF72" s="2" t="n"/>
      <c r="AG72" s="2" t="n"/>
      <c r="AH72" s="2" t="n">
        <v>4699</v>
      </c>
      <c r="AI72" s="2" t="n">
        <v>4699</v>
      </c>
      <c r="AJ72" s="2" t="n"/>
      <c r="AK72" s="2" t="n"/>
      <c r="AL72" s="2" t="n"/>
      <c r="AM72" s="2" t="n">
        <v>8.699999999999999</v>
      </c>
      <c r="AN72" s="2" t="n"/>
      <c r="AO72" s="2" t="inlineStr">
        <is>
          <t>2015</t>
        </is>
      </c>
      <c r="AP72" s="2" t="n">
        <v>2015</v>
      </c>
      <c r="AQ72" s="2" t="n"/>
      <c r="AR72" s="2" t="inlineStr">
        <is>
          <t>B</t>
        </is>
      </c>
      <c r="AS72" s="2" t="inlineStr">
        <is>
          <t>anuncio</t>
        </is>
      </c>
      <c r="AT72" s="2" t="n">
        <v>2014</v>
      </c>
      <c r="AU72" s="2" t="inlineStr">
        <is>
          <t>no</t>
        </is>
      </c>
      <c r="AV72" s="2" t="inlineStr">
        <is>
          <t>no</t>
        </is>
      </c>
      <c r="AW72" s="2" t="n">
        <v>5149.5</v>
      </c>
      <c r="AX72" s="2" t="n">
        <v>4</v>
      </c>
      <c r="AY72" s="2" t="inlineStr">
        <is>
          <t>modelo+año</t>
        </is>
      </c>
      <c r="AZ72" s="2" t="n"/>
      <c r="BA72" s="2" t="inlineStr">
        <is>
          <t>año a confirmar: la URL/título dice 2014; 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BB72" s="2" t="inlineStr">
        <is>
          <t>PRECIOSO CITROEN C-ELYSEE AÑO 2015 MOTOR 1.6HDI 92CV DE MUY BUENAS PRESTACIONES Y BAJO CONSUMO CON TAN SOLO 180000 KILOMETROS  VEHICULO TOTALMENTE REVISADO CON 12 MESES DE GARANTIA ITV EN VIGOR OFRECEMOS UNA FINANCIACION  A SU MEDIDA HASTA 48 MESES 
VEHICULO CON MUCHOS EXTRAS: VOLANTE MULTIFUNCION, CONTROL Y LIMITADOR DE VELOCIDAD, CLIMATIZADOR, ORDENADOR ABORDO, AIRBAGS, RDC, CIERRE CENTRALIZADO, RETROVISORES ELECTRICO, LLANTAS DE ALEACION,  ELEVALUNAS ELECTRICAS,,,,, PARA MAS INFORMACION LLAMEN AL 646354408 O VISITEN NUESTRAS INSTALACIONES EN ALBAL VALENCIA AV. PADRE CAELOS FERRIS 87</t>
        </is>
      </c>
      <c r="BC72" s="2" t="inlineStr">
        <is>
          <t>https://www.coches.net/citroen-c-elysee-hdi-90cv-millenium-4p-diesel-2014-en-valencia-71818180-covo.aspx (window.__INITIAL_PROPS__.ad) /home/user/Alopecia/buscador-coches/raw/cochesnet/0b92e55c706342c3.json</t>
        </is>
      </c>
      <c r="BD72" s="3">
        <f>MAX(ANIO_ACTUAL-M72,0)</f>
        <v/>
      </c>
      <c r="BE72" s="4">
        <f>N72/MAX(BD72,0.5)</f>
        <v/>
      </c>
      <c r="BF72" s="4">
        <f>F72</f>
        <v/>
      </c>
      <c r="BG72" s="3">
        <f>BF72&amp;"|"&amp;INT(M72/SEG_ANIO)*SEG_ANIO</f>
        <v/>
      </c>
      <c r="BH72" s="3">
        <f>BG72&amp;"|"&amp;INT(N72/SEG_KM)*SEG_KM</f>
        <v/>
      </c>
      <c r="BI72" s="4">
        <f>COUNTIF($BF$2:$BF$101,BF72)</f>
        <v/>
      </c>
      <c r="BJ72" s="4">
        <f>COUNTIF($BG$2:$BG$101,BG72)</f>
        <v/>
      </c>
      <c r="BK72" s="4">
        <f>COUNTIF($BH$2:$BH$101,BH72)</f>
        <v/>
      </c>
      <c r="BL72" s="3">
        <f t="array" ref="BL72">IF(N(AX72)&gt;=MIN_N,AW72,IF(BK72&gt;=MIN_N,MEDIAN(IF($BH$2:$BH$101=BH72,$O$2:$O$101)),IF(BJ72&gt;=MIN_N,MEDIAN(IF($BG$2:$BG$101=BG72,$O$2:$O$101)),MEDIAN(IF($BF$2:$BF$101=BF72,$O$2:$O$101)))))</f>
        <v/>
      </c>
      <c r="BM72" s="3">
        <f>IF(N(AX72)&gt;=MIN_N,"mercado "&amp;AY72,IF(BK72&gt;=MIN_N,"modelo+año+km",IF(BJ72&gt;=MIN_N,"modelo+año","modelo")))</f>
        <v/>
      </c>
      <c r="BN72" s="4">
        <f>(BL72-O72)/BL72</f>
        <v/>
      </c>
      <c r="BO72" s="3">
        <f>IF(COUNTIFS(FR_FUEL,K72,FR_YEAR,AP72)&gt;0,1,0)</f>
        <v/>
      </c>
      <c r="BP72" s="3">
        <f>IF(COUNTIFS(FR_FUEL,K72,FR_YEAR,AP72-1)&gt;0,1,0)</f>
        <v/>
      </c>
      <c r="BQ72" s="4">
        <f>IF(N(AQ72)&gt;0,AP72*100+AQ72,IF(AND(BO72=1,BP72=1),(AP72-1)*100+1,AP72*100+1))</f>
        <v/>
      </c>
      <c r="BR72" s="3">
        <f>IF(OR(K72="hibrido",K72="glp",K72="gnc",K72="phev"),"ECO",IF(K72="electrico","CERO",IF(K72="gasolina",IF(BQ72&gt;=GAS_C_YM,"C",IF(BQ72&gt;=GAS_B_YM,"B","A")),IF(K72="diesel",IF(BQ72&gt;=DIE_C_YM,"C",IF(BQ72&gt;=DIE_B_YM,"B","A")),""))))</f>
        <v/>
      </c>
      <c r="BS72" s="2" t="inlineStr">
        <is>
          <t>B</t>
        </is>
      </c>
      <c r="BT72" s="4">
        <f>IF(AU72="sí","sí",IF(AS72="regla",IF(AND(N(AQ72)=0,BO72=1),"sí","no"),"no"))</f>
        <v/>
      </c>
      <c r="BU72" s="3">
        <f>IFERROR(VLOOKUP(F72,MOD_TBL,16,0),IFERROR(VLOOKUP(E72,OCU_TBL,2,0),NEUTRO))</f>
        <v/>
      </c>
      <c r="BV72" s="3">
        <f>SUMIFS(MOT_AJUSTE,MOT_MOTOR,G72,MOT_MARCA,E72,MOT_DESDE,"&lt;="&amp;M72,MOT_HASTA,"&gt;="&amp;M72)+SUMIFS(MOT_AJUSTE,MOT_MOTOR,G72,MOT_MARCA,"(todas)",MOT_DESDE,"&lt;="&amp;M72,MOT_HASTA,"&gt;="&amp;M72)+SUMIFS(MOT_AJUSTE,MOT_MOTOR,"(cualquiera)",MOT_MARCA,E72,MOT_DESDE,"&lt;="&amp;M72,MOT_HASTA,"&gt;="&amp;M72)</f>
        <v/>
      </c>
      <c r="BW72" s="3">
        <f>SUMIFS(COMB_AJUSTE,COMB_COMB,K72)</f>
        <v/>
      </c>
      <c r="BX72" s="3">
        <f>COUNTIFS(MOT_MOTOR,G72,MOT_MARCA,E72,MOT_DESDE,"&lt;="&amp;M72,MOT_HASTA,"&gt;="&amp;M72)+COUNTIFS(MOT_MOTOR,G72,MOT_MARCA,"(todas)",MOT_DESDE,"&lt;="&amp;M72,MOT_HASTA,"&gt;="&amp;M72)+COUNTIFS(MOT_MOTOR,"(cualquiera)",MOT_MARCA,E72,MOT_DESDE,"&lt;="&amp;M72,MOT_HASTA,"&gt;="&amp;M72)</f>
        <v/>
      </c>
      <c r="BY72" s="3">
        <f>IF(AND(K72="diesel",BX72=0),MIN(BU72,NEUTRO),BU72)</f>
        <v/>
      </c>
      <c r="BZ72" s="3">
        <f>MAX(0,MIN(100,BY72+BV72+BW72-IF(AV72="sí",ROB_PEN,0)))</f>
        <v/>
      </c>
      <c r="CA72" s="3">
        <f>100-MAX(0,N72-KM_TOPE_DESDE)/1000*KM_TOPE_PTS</f>
        <v/>
      </c>
      <c r="CB72" s="3">
        <f>MAX(0,MIN(100,50+BN72*PRECIO_PEND,CA72))</f>
        <v/>
      </c>
      <c r="CC72" s="3">
        <f>MAX(0,100*(1-N72/KM_MAX))</f>
        <v/>
      </c>
      <c r="CD72" s="3">
        <f>IF(BE72&lt;KMA_SOSP,IF(AA72="sí",100,KMA_PEN),IF(BE72&lt;=KMA_IDEAL_MAX,100,MAX(0,100*(KMA_CERO-BE72)/(KMA_CERO-KMA_IDEAL_MAX))))</f>
        <v/>
      </c>
      <c r="CE72" s="3">
        <f>MAX(0,MIN(100,100*(M72-ANIO_MIN)/(ANIO_ACTUAL-ANIO_MIN)))</f>
        <v/>
      </c>
      <c r="CF72" s="3">
        <f>W_KMT*CC72+W_KMA*CD72+W_EDAD*CE72</f>
        <v/>
      </c>
      <c r="CG72" s="3">
        <f>P_ITV*(V72="sí")+P_LIBRO*(W72="sí")+P_CORREA*(X72="sí")+P_PROP*(Y72=1)+P_GAR*(Z72="sí")+P_FOTOS*MIN(1,N(U72)/FOTOS_OBJ)</f>
        <v/>
      </c>
      <c r="CH72" s="3">
        <f>MAX(0,MIN(100,IFERROR(VLOOKUP(BS72,ETQ_TBL,2,0),0)-IF(BT72="sí",ETQ_PEN_DUD,IF(AS72="regla",ETQ_PEN_REGLA,0))))</f>
        <v/>
      </c>
      <c r="CI72" s="3">
        <f>NEUTRO</f>
        <v/>
      </c>
      <c r="CJ72" s="3">
        <f>IFERROR(VLOOKUP(L72,SEGURO_TBL,3,0),"")</f>
        <v/>
      </c>
      <c r="CK72" s="3">
        <f>IF(CJ72="",NEUTRO,MAX(0,MIN(100,100*(SEG_REF_MAX-CJ72)/(SEG_REF_MAX-SEG_REF_MIN))))</f>
        <v/>
      </c>
      <c r="CL72" s="3">
        <f>W_CONS*CI72+W_SEG*CK72</f>
        <v/>
      </c>
      <c r="CM72" s="3">
        <f>IF(N(AB72)&gt;0,AB72,IF(AND(R72="profesional",SG_LEGAL_ON=1),GAR_LEGAL,0))</f>
        <v/>
      </c>
      <c r="CN72" s="3">
        <f>SG_GAR*MIN(1,CM72/SG_GAR_FULL)+SG_AMPL*(AC72="sí")+SG_KMC*(AF72="sí")+SG_REV*(N(AE72)&gt;0)+SG_DEV*MIN(1,N(AG72)/SG_DEV_FULL)+SG_HIST*(W72="sí")</f>
        <v/>
      </c>
      <c r="CO72" s="3">
        <f>IFERROR(VLOOKUP(L72,CARR_PEN_TBL,2,0),0)</f>
        <v/>
      </c>
      <c r="CP72" s="3">
        <f>W_FIAB*BZ72+W_PRECIO*CB72+W_KMEDAD*CF72+W_ANUNCIO*CG72+W_USO*CL72+W_SEGURIDAD*CN72+W_ETIQUETA*CH72-CO72</f>
        <v/>
      </c>
      <c r="CQ72" s="4">
        <f>IF(N(I72)&gt;0,I72,IFERROR(ROUND(_xlfn.NUMBERVALUE(LEFT(G72,FIND(" ",G72&amp;" ")-1),".")*1000,0),99999))</f>
        <v/>
      </c>
      <c r="CR72" s="3">
        <f>IF(R72="profesional",0,IF(O72&lt;CUOTA_VALOR_MAX,IF(BD72&gt;ITP_TRAMO_ALTO,SUMIFS(CF_CUOTA,CF_MAS,ITP_TRAMO_ALTO,CF_CCMIN,"&lt;="&amp;CQ72,CF_CCMAX,"&gt;="&amp;CQ72),IF(BD72&gt;ITP_TRAMO_BAJO,SUMIFS(CF_CUOTA,CF_MAS,ITP_TRAMO_BAJO,CF_CCMIN,"&lt;="&amp;CQ72,CF_CCMAX,"&gt;="&amp;CQ72),O72*ITP_TIPO)),O72*ITP_TIPO))</f>
        <v/>
      </c>
      <c r="CS72" s="4">
        <f>IF(R72="profesional",N(AK72),0)</f>
        <v/>
      </c>
      <c r="CT72" s="3">
        <f>IF(AND(R72="profesional",ISNUMBER(AK72),AL72="sí"),0,TASA_DGT)</f>
        <v/>
      </c>
      <c r="CU72" s="3">
        <f>INFORME_DGT</f>
        <v/>
      </c>
      <c r="CV72" s="4">
        <f>O72+CS72+CR72+CT72+CU72</f>
        <v/>
      </c>
      <c r="CW72" s="4">
        <f>CV72+N(CJ72)</f>
        <v/>
      </c>
      <c r="CX72" s="3">
        <f>IF(CV72&lt;=TOTAL_MAX,"sí",IF(CV72&lt;=TOTAL_MAX+MARGEN_NEG,"negociar","no"))</f>
        <v/>
      </c>
      <c r="CY72" s="4">
        <f>IF(CX72&lt;&gt;"no",COUNTIFS($CX$2:$CX$101,"&lt;&gt;no",$CP$2:$CP$101,"&gt;"&amp;CP72)+COUNTIFS($CX$2:CX72,"&lt;&gt;no",$CP$2:CP72,CP72),"")</f>
        <v/>
      </c>
    </row>
    <row r="73">
      <c r="A73" s="2" t="inlineStr">
        <is>
          <t>cochesnet:71618923</t>
        </is>
      </c>
      <c r="B73" s="2" t="inlineStr">
        <is>
          <t>cochesnet</t>
        </is>
      </c>
      <c r="C73" s="2" t="inlineStr">
        <is>
          <t>https://www.coches.net/ford-fiesta-14-tdci-trend-5p-diesel-2010-en-valencia-71618923-covo.aspx</t>
        </is>
      </c>
      <c r="D73" s="2" t="inlineStr">
        <is>
          <t>FORD Fiesta 1.4 TDCi Trend</t>
        </is>
      </c>
      <c r="E73" s="2" t="inlineStr">
        <is>
          <t>Ford</t>
        </is>
      </c>
      <c r="F73" s="2" t="inlineStr">
        <is>
          <t>Ford Fiesta</t>
        </is>
      </c>
      <c r="G73" s="2" t="inlineStr">
        <is>
          <t>1.4 TDCi</t>
        </is>
      </c>
      <c r="H73" s="2" t="inlineStr">
        <is>
          <t>1.4 TDCi Trend</t>
        </is>
      </c>
      <c r="I73" s="2" t="n"/>
      <c r="J73" s="2" t="n"/>
      <c r="K73" s="2" t="inlineStr">
        <is>
          <t>diesel</t>
        </is>
      </c>
      <c r="L73" s="2" t="inlineStr">
        <is>
          <t>utilitario</t>
        </is>
      </c>
      <c r="M73" s="2" t="n">
        <v>2010</v>
      </c>
      <c r="N73" s="2" t="n">
        <v>160000</v>
      </c>
      <c r="O73" s="2" t="n">
        <v>4990</v>
      </c>
      <c r="P73" s="2" t="inlineStr">
        <is>
          <t>manual</t>
        </is>
      </c>
      <c r="Q73" s="2" t="inlineStr">
        <is>
          <t>no</t>
        </is>
      </c>
      <c r="R73" s="2" t="inlineStr">
        <is>
          <t>profesional</t>
        </is>
      </c>
      <c r="S73" s="2" t="inlineStr">
        <is>
          <t>San Antonio de Benagéber</t>
        </is>
      </c>
      <c r="T73" s="2" t="inlineStr">
        <is>
          <t>2026-09-28T20:14:06Z</t>
        </is>
      </c>
      <c r="U73" s="2" t="n">
        <v>18</v>
      </c>
      <c r="V73" s="2" t="n"/>
      <c r="W73" s="2" t="n"/>
      <c r="X73" s="2" t="n"/>
      <c r="Y73" s="2" t="n">
        <v>1</v>
      </c>
      <c r="Z73" s="2" t="inlineStr">
        <is>
          <t>sí</t>
        </is>
      </c>
      <c r="AA73" s="2" t="n"/>
      <c r="AB73" s="2" t="n">
        <v>12</v>
      </c>
      <c r="AC73" s="2" t="n"/>
      <c r="AD73" s="2" t="n"/>
      <c r="AE73" s="2" t="n"/>
      <c r="AF73" s="2" t="inlineStr">
        <is>
          <t>sí</t>
        </is>
      </c>
      <c r="AG73" s="2" t="n"/>
      <c r="AH73" s="2" t="n">
        <v>4990</v>
      </c>
      <c r="AI73" s="2" t="n">
        <v>4990</v>
      </c>
      <c r="AJ73" s="2" t="n"/>
      <c r="AK73" s="2" t="n"/>
      <c r="AL73" s="2" t="n"/>
      <c r="AM73" s="2" t="n">
        <v>19.1</v>
      </c>
      <c r="AN73" s="2" t="n"/>
      <c r="AO73" s="2" t="inlineStr">
        <is>
          <t>2010</t>
        </is>
      </c>
      <c r="AP73" s="2" t="n">
        <v>2010</v>
      </c>
      <c r="AQ73" s="2" t="n"/>
      <c r="AR73" s="2" t="inlineStr">
        <is>
          <t>B</t>
        </is>
      </c>
      <c r="AS73" s="2" t="inlineStr">
        <is>
          <t>anuncio</t>
        </is>
      </c>
      <c r="AT73" s="2" t="n"/>
      <c r="AU73" s="2" t="inlineStr">
        <is>
          <t>no</t>
        </is>
      </c>
      <c r="AV73" s="2" t="inlineStr">
        <is>
          <t>no</t>
        </is>
      </c>
      <c r="AW73" s="2" t="n">
        <v>4545</v>
      </c>
      <c r="AX73" s="2" t="n">
        <v>18</v>
      </c>
      <c r="AY73" s="2" t="inlineStr">
        <is>
          <t>modelo+año+km</t>
        </is>
      </c>
      <c r="AZ73" s="2" t="n"/>
      <c r="BA73"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73" s="2" t="inlineStr">
        <is>
          <t>CITA PREVIA
(GARANTIA EN TALLER OFICIAL OPCIONAL)
VEHÍCULO NACIONAL
ÚNICO PROPIETARIO
ASIENTOS DEPORTIVOS TELA
SENSORES DE APARCAMIENTO 
CONTROL POR VOZ
ORDENADOR DE ABORDO
SENSOR DE LUZ Y LLUVIA
BLUETOOTH, AUX, USB...
VOLANTE MULTIFUNCIÓN 
CLIMATIZADOR
ASISTENTES A LA CONDUCCIÓN
ACTUALMENTE 163.000KM
..............
POSIBILIDAD DE TRANSPORTAR A CULAQUIER PARTE DE ESPAÑA(CONSULTAR PRECIOS)
KILOMETROS CERTIFICADOS
CAMBIO DE TITULARIDAD 190€
Este anuncio no es vinculante, se muestra a titulo informativo y no contractual.</t>
        </is>
      </c>
      <c r="BC73" s="2" t="inlineStr">
        <is>
          <t>https://www.coches.net/ford-fiesta-14-tdci-trend-5p-diesel-2010-en-valencia-71618923-covo.aspx (window.__INITIAL_PROPS__.ad) /home/user/Alopecia/buscador-coches/raw/cochesnet/feda380071489907.json</t>
        </is>
      </c>
      <c r="BD73" s="3">
        <f>MAX(ANIO_ACTUAL-M73,0)</f>
        <v/>
      </c>
      <c r="BE73" s="4">
        <f>N73/MAX(BD73,0.5)</f>
        <v/>
      </c>
      <c r="BF73" s="4">
        <f>F73</f>
        <v/>
      </c>
      <c r="BG73" s="3">
        <f>BF73&amp;"|"&amp;INT(M73/SEG_ANIO)*SEG_ANIO</f>
        <v/>
      </c>
      <c r="BH73" s="3">
        <f>BG73&amp;"|"&amp;INT(N73/SEG_KM)*SEG_KM</f>
        <v/>
      </c>
      <c r="BI73" s="4">
        <f>COUNTIF($BF$2:$BF$101,BF73)</f>
        <v/>
      </c>
      <c r="BJ73" s="4">
        <f>COUNTIF($BG$2:$BG$101,BG73)</f>
        <v/>
      </c>
      <c r="BK73" s="4">
        <f>COUNTIF($BH$2:$BH$101,BH73)</f>
        <v/>
      </c>
      <c r="BL73" s="3">
        <f t="array" ref="BL73">IF(N(AX73)&gt;=MIN_N,AW73,IF(BK73&gt;=MIN_N,MEDIAN(IF($BH$2:$BH$101=BH73,$O$2:$O$101)),IF(BJ73&gt;=MIN_N,MEDIAN(IF($BG$2:$BG$101=BG73,$O$2:$O$101)),MEDIAN(IF($BF$2:$BF$101=BF73,$O$2:$O$101)))))</f>
        <v/>
      </c>
      <c r="BM73" s="3">
        <f>IF(N(AX73)&gt;=MIN_N,"mercado "&amp;AY73,IF(BK73&gt;=MIN_N,"modelo+año+km",IF(BJ73&gt;=MIN_N,"modelo+año","modelo")))</f>
        <v/>
      </c>
      <c r="BN73" s="4">
        <f>(BL73-O73)/BL73</f>
        <v/>
      </c>
      <c r="BO73" s="3">
        <f>IF(COUNTIFS(FR_FUEL,K73,FR_YEAR,AP73)&gt;0,1,0)</f>
        <v/>
      </c>
      <c r="BP73" s="3">
        <f>IF(COUNTIFS(FR_FUEL,K73,FR_YEAR,AP73-1)&gt;0,1,0)</f>
        <v/>
      </c>
      <c r="BQ73" s="4">
        <f>IF(N(AQ73)&gt;0,AP73*100+AQ73,IF(AND(BO73=1,BP73=1),(AP73-1)*100+1,AP73*100+1))</f>
        <v/>
      </c>
      <c r="BR73" s="3">
        <f>IF(OR(K73="hibrido",K73="glp",K73="gnc",K73="phev"),"ECO",IF(K73="electrico","CERO",IF(K73="gasolina",IF(BQ73&gt;=GAS_C_YM,"C",IF(BQ73&gt;=GAS_B_YM,"B","A")),IF(K73="diesel",IF(BQ73&gt;=DIE_C_YM,"C",IF(BQ73&gt;=DIE_B_YM,"B","A")),""))))</f>
        <v/>
      </c>
      <c r="BS73" s="2" t="inlineStr">
        <is>
          <t>B</t>
        </is>
      </c>
      <c r="BT73" s="4">
        <f>IF(AU73="sí","sí",IF(AS73="regla",IF(AND(N(AQ73)=0,BO73=1),"sí","no"),"no"))</f>
        <v/>
      </c>
      <c r="BU73" s="3">
        <f>IFERROR(VLOOKUP(F73,MOD_TBL,16,0),IFERROR(VLOOKUP(E73,OCU_TBL,2,0),NEUTRO))</f>
        <v/>
      </c>
      <c r="BV73" s="3">
        <f>SUMIFS(MOT_AJUSTE,MOT_MOTOR,G73,MOT_MARCA,E73,MOT_DESDE,"&lt;="&amp;M73,MOT_HASTA,"&gt;="&amp;M73)+SUMIFS(MOT_AJUSTE,MOT_MOTOR,G73,MOT_MARCA,"(todas)",MOT_DESDE,"&lt;="&amp;M73,MOT_HASTA,"&gt;="&amp;M73)+SUMIFS(MOT_AJUSTE,MOT_MOTOR,"(cualquiera)",MOT_MARCA,E73,MOT_DESDE,"&lt;="&amp;M73,MOT_HASTA,"&gt;="&amp;M73)</f>
        <v/>
      </c>
      <c r="BW73" s="3">
        <f>SUMIFS(COMB_AJUSTE,COMB_COMB,K73)</f>
        <v/>
      </c>
      <c r="BX73" s="3">
        <f>COUNTIFS(MOT_MOTOR,G73,MOT_MARCA,E73,MOT_DESDE,"&lt;="&amp;M73,MOT_HASTA,"&gt;="&amp;M73)+COUNTIFS(MOT_MOTOR,G73,MOT_MARCA,"(todas)",MOT_DESDE,"&lt;="&amp;M73,MOT_HASTA,"&gt;="&amp;M73)+COUNTIFS(MOT_MOTOR,"(cualquiera)",MOT_MARCA,E73,MOT_DESDE,"&lt;="&amp;M73,MOT_HASTA,"&gt;="&amp;M73)</f>
        <v/>
      </c>
      <c r="BY73" s="3">
        <f>IF(AND(K73="diesel",BX73=0),MIN(BU73,NEUTRO),BU73)</f>
        <v/>
      </c>
      <c r="BZ73" s="3">
        <f>MAX(0,MIN(100,BY73+BV73+BW73-IF(AV73="sí",ROB_PEN,0)))</f>
        <v/>
      </c>
      <c r="CA73" s="3">
        <f>100-MAX(0,N73-KM_TOPE_DESDE)/1000*KM_TOPE_PTS</f>
        <v/>
      </c>
      <c r="CB73" s="3">
        <f>MAX(0,MIN(100,50+BN73*PRECIO_PEND,CA73))</f>
        <v/>
      </c>
      <c r="CC73" s="3">
        <f>MAX(0,100*(1-N73/KM_MAX))</f>
        <v/>
      </c>
      <c r="CD73" s="3">
        <f>IF(BE73&lt;KMA_SOSP,IF(AA73="sí",100,KMA_PEN),IF(BE73&lt;=KMA_IDEAL_MAX,100,MAX(0,100*(KMA_CERO-BE73)/(KMA_CERO-KMA_IDEAL_MAX))))</f>
        <v/>
      </c>
      <c r="CE73" s="3">
        <f>MAX(0,MIN(100,100*(M73-ANIO_MIN)/(ANIO_ACTUAL-ANIO_MIN)))</f>
        <v/>
      </c>
      <c r="CF73" s="3">
        <f>W_KMT*CC73+W_KMA*CD73+W_EDAD*CE73</f>
        <v/>
      </c>
      <c r="CG73" s="3">
        <f>P_ITV*(V73="sí")+P_LIBRO*(W73="sí")+P_CORREA*(X73="sí")+P_PROP*(Y73=1)+P_GAR*(Z73="sí")+P_FOTOS*MIN(1,N(U73)/FOTOS_OBJ)</f>
        <v/>
      </c>
      <c r="CH73" s="3">
        <f>MAX(0,MIN(100,IFERROR(VLOOKUP(BS73,ETQ_TBL,2,0),0)-IF(BT73="sí",ETQ_PEN_DUD,IF(AS73="regla",ETQ_PEN_REGLA,0))))</f>
        <v/>
      </c>
      <c r="CI73" s="3">
        <f>NEUTRO</f>
        <v/>
      </c>
      <c r="CJ73" s="3">
        <f>IFERROR(VLOOKUP(L73,SEGURO_TBL,3,0),"")</f>
        <v/>
      </c>
      <c r="CK73" s="3">
        <f>IF(CJ73="",NEUTRO,MAX(0,MIN(100,100*(SEG_REF_MAX-CJ73)/(SEG_REF_MAX-SEG_REF_MIN))))</f>
        <v/>
      </c>
      <c r="CL73" s="3">
        <f>W_CONS*CI73+W_SEG*CK73</f>
        <v/>
      </c>
      <c r="CM73" s="3">
        <f>IF(N(AB73)&gt;0,AB73,IF(AND(R73="profesional",SG_LEGAL_ON=1),GAR_LEGAL,0))</f>
        <v/>
      </c>
      <c r="CN73" s="3">
        <f>SG_GAR*MIN(1,CM73/SG_GAR_FULL)+SG_AMPL*(AC73="sí")+SG_KMC*(AF73="sí")+SG_REV*(N(AE73)&gt;0)+SG_DEV*MIN(1,N(AG73)/SG_DEV_FULL)+SG_HIST*(W73="sí")</f>
        <v/>
      </c>
      <c r="CO73" s="3">
        <f>IFERROR(VLOOKUP(L73,CARR_PEN_TBL,2,0),0)</f>
        <v/>
      </c>
      <c r="CP73" s="3">
        <f>W_FIAB*BZ73+W_PRECIO*CB73+W_KMEDAD*CF73+W_ANUNCIO*CG73+W_USO*CL73+W_SEGURIDAD*CN73+W_ETIQUETA*CH73-CO73</f>
        <v/>
      </c>
      <c r="CQ73" s="4">
        <f>IF(N(I73)&gt;0,I73,IFERROR(ROUND(_xlfn.NUMBERVALUE(LEFT(G73,FIND(" ",G73&amp;" ")-1),".")*1000,0),99999))</f>
        <v/>
      </c>
      <c r="CR73" s="3">
        <f>IF(R73="profesional",0,IF(O73&lt;CUOTA_VALOR_MAX,IF(BD73&gt;ITP_TRAMO_ALTO,SUMIFS(CF_CUOTA,CF_MAS,ITP_TRAMO_ALTO,CF_CCMIN,"&lt;="&amp;CQ73,CF_CCMAX,"&gt;="&amp;CQ73),IF(BD73&gt;ITP_TRAMO_BAJO,SUMIFS(CF_CUOTA,CF_MAS,ITP_TRAMO_BAJO,CF_CCMIN,"&lt;="&amp;CQ73,CF_CCMAX,"&gt;="&amp;CQ73),O73*ITP_TIPO)),O73*ITP_TIPO))</f>
        <v/>
      </c>
      <c r="CS73" s="4">
        <f>IF(R73="profesional",N(AK73),0)</f>
        <v/>
      </c>
      <c r="CT73" s="3">
        <f>IF(AND(R73="profesional",ISNUMBER(AK73),AL73="sí"),0,TASA_DGT)</f>
        <v/>
      </c>
      <c r="CU73" s="3">
        <f>INFORME_DGT</f>
        <v/>
      </c>
      <c r="CV73" s="4">
        <f>O73+CS73+CR73+CT73+CU73</f>
        <v/>
      </c>
      <c r="CW73" s="4">
        <f>CV73+N(CJ73)</f>
        <v/>
      </c>
      <c r="CX73" s="3">
        <f>IF(CV73&lt;=TOTAL_MAX,"sí",IF(CV73&lt;=TOTAL_MAX+MARGEN_NEG,"negociar","no"))</f>
        <v/>
      </c>
      <c r="CY73" s="4">
        <f>IF(CX73&lt;&gt;"no",COUNTIFS($CX$2:$CX$101,"&lt;&gt;no",$CP$2:$CP$101,"&gt;"&amp;CP73)+COUNTIFS($CX$2:CX73,"&lt;&gt;no",$CP$2:CP73,CP73),"")</f>
        <v/>
      </c>
    </row>
    <row r="74">
      <c r="A74" s="2" t="inlineStr">
        <is>
          <t>cochesnet:71863788</t>
        </is>
      </c>
      <c r="B74" s="2" t="inlineStr">
        <is>
          <t>cochesnet</t>
        </is>
      </c>
      <c r="C74" s="2" t="inlineStr">
        <is>
          <t>https://www.coches.net/ford-focus-18-tdci-trend-5p-diesel-2007-en-valencia-71863788-covo.aspx</t>
        </is>
      </c>
      <c r="D74" s="2" t="inlineStr">
        <is>
          <t>FORD Focus 1.8 TDCi Trend</t>
        </is>
      </c>
      <c r="E74" s="2" t="inlineStr">
        <is>
          <t>Ford</t>
        </is>
      </c>
      <c r="F74" s="2" t="inlineStr">
        <is>
          <t>Ford Focus</t>
        </is>
      </c>
      <c r="G74" s="2" t="inlineStr">
        <is>
          <t>1.8 TDCi</t>
        </is>
      </c>
      <c r="H74" s="2" t="inlineStr">
        <is>
          <t>1.8 TDCi Trend</t>
        </is>
      </c>
      <c r="I74" s="2" t="n"/>
      <c r="J74" s="2" t="n"/>
      <c r="K74" s="2" t="inlineStr">
        <is>
          <t>diesel</t>
        </is>
      </c>
      <c r="L74" s="2" t="inlineStr">
        <is>
          <t>compacto</t>
        </is>
      </c>
      <c r="M74" s="2" t="n">
        <v>2007</v>
      </c>
      <c r="N74" s="2" t="n">
        <v>151000</v>
      </c>
      <c r="O74" s="2" t="n">
        <v>3750</v>
      </c>
      <c r="P74" s="2" t="inlineStr">
        <is>
          <t>manual</t>
        </is>
      </c>
      <c r="Q74" s="2" t="inlineStr">
        <is>
          <t>no</t>
        </is>
      </c>
      <c r="R74" s="2" t="inlineStr">
        <is>
          <t>profesional</t>
        </is>
      </c>
      <c r="S74" s="2" t="inlineStr">
        <is>
          <t>Beniparrell</t>
        </is>
      </c>
      <c r="T74" s="2" t="inlineStr">
        <is>
          <t>2026-10-29T17:13:19Z</t>
        </is>
      </c>
      <c r="U74" s="2" t="n">
        <v>13</v>
      </c>
      <c r="V74" s="2" t="n"/>
      <c r="W74" s="2" t="n"/>
      <c r="X74" s="2" t="n"/>
      <c r="Y74" s="2" t="n"/>
      <c r="Z74" s="2" t="inlineStr">
        <is>
          <t>sí</t>
        </is>
      </c>
      <c r="AA74" s="2" t="n"/>
      <c r="AB74" s="2" t="n">
        <v>12</v>
      </c>
      <c r="AC74" s="2" t="n"/>
      <c r="AD74" s="2" t="n"/>
      <c r="AE74" s="2" t="n"/>
      <c r="AF74" s="2" t="n"/>
      <c r="AG74" s="2" t="n"/>
      <c r="AH74" s="2" t="n">
        <v>3750</v>
      </c>
      <c r="AI74" s="2" t="n"/>
      <c r="AJ74" s="2" t="n"/>
      <c r="AK74" s="2" t="n"/>
      <c r="AL74" s="2" t="n"/>
      <c r="AM74" s="2" t="n">
        <v>10.2</v>
      </c>
      <c r="AN74" s="2" t="n"/>
      <c r="AO74" s="2" t="inlineStr">
        <is>
          <t>2007</t>
        </is>
      </c>
      <c r="AP74" s="2" t="n">
        <v>2007</v>
      </c>
      <c r="AQ74" s="2" t="n"/>
      <c r="AR74" s="2" t="inlineStr">
        <is>
          <t>B</t>
        </is>
      </c>
      <c r="AS74" s="2" t="inlineStr">
        <is>
          <t>anuncio</t>
        </is>
      </c>
      <c r="AT74" s="2" t="n"/>
      <c r="AU74" s="2" t="inlineStr">
        <is>
          <t>no</t>
        </is>
      </c>
      <c r="AV74" s="2" t="inlineStr">
        <is>
          <t>no</t>
        </is>
      </c>
      <c r="AW74" s="2" t="n">
        <v>3870</v>
      </c>
      <c r="AX74" s="2" t="n">
        <v>10</v>
      </c>
      <c r="AY74" s="2" t="inlineStr">
        <is>
          <t>modelo+año+km</t>
        </is>
      </c>
      <c r="AZ74" s="2" t="n"/>
      <c r="BA74" s="2" t="inlineStr">
        <is>
          <t>vendedor profesional: sin ITP (operación con IVA/REBU, confirmar en factura); gastos de gestión del vendedor no indicados: se suma la tasa DGT; preguntar el precio final; diésel: motor sin fuente de fiabilidad (fiabilidad limitada a neutra); revisar: no menciona la ITV</t>
        </is>
      </c>
      <c r="BB74" s="2" t="inlineStr">
        <is>
          <t>Este Focus destaca por su equipo de audio con reproductor de CD, RDS y mando en el volante, además de apertura del maletero a distancia. Incorpora climatización con filtro de partículas y carbón activo, faros antiniebla delanteros y cristales tintados en toda la cabina. Equipa también cierre centralizado con mando a distancia, elevalunas eléctricos delanteros y ordenador de viaje.GARANTÍA 12 meses (cobertura de 25 componentes del vehículo )cobertura de reparación hasta 2.000e en cualquier taller)</t>
        </is>
      </c>
      <c r="BC74" s="2" t="inlineStr">
        <is>
          <t>https://www.coches.net/ford-focus-18-tdci-trend-5p-diesel-2007-en-valencia-71863788-covo.aspx (window.__INITIAL_PROPS__.ad) /home/user/Alopecia/buscador-coches/raw/cochesnet/b2ca64512f7ef089.json</t>
        </is>
      </c>
      <c r="BD74" s="3">
        <f>MAX(ANIO_ACTUAL-M74,0)</f>
        <v/>
      </c>
      <c r="BE74" s="4">
        <f>N74/MAX(BD74,0.5)</f>
        <v/>
      </c>
      <c r="BF74" s="4">
        <f>F74</f>
        <v/>
      </c>
      <c r="BG74" s="3">
        <f>BF74&amp;"|"&amp;INT(M74/SEG_ANIO)*SEG_ANIO</f>
        <v/>
      </c>
      <c r="BH74" s="3">
        <f>BG74&amp;"|"&amp;INT(N74/SEG_KM)*SEG_KM</f>
        <v/>
      </c>
      <c r="BI74" s="4">
        <f>COUNTIF($BF$2:$BF$101,BF74)</f>
        <v/>
      </c>
      <c r="BJ74" s="4">
        <f>COUNTIF($BG$2:$BG$101,BG74)</f>
        <v/>
      </c>
      <c r="BK74" s="4">
        <f>COUNTIF($BH$2:$BH$101,BH74)</f>
        <v/>
      </c>
      <c r="BL74" s="3">
        <f t="array" ref="BL74">IF(N(AX74)&gt;=MIN_N,AW74,IF(BK74&gt;=MIN_N,MEDIAN(IF($BH$2:$BH$101=BH74,$O$2:$O$101)),IF(BJ74&gt;=MIN_N,MEDIAN(IF($BG$2:$BG$101=BG74,$O$2:$O$101)),MEDIAN(IF($BF$2:$BF$101=BF74,$O$2:$O$101)))))</f>
        <v/>
      </c>
      <c r="BM74" s="3">
        <f>IF(N(AX74)&gt;=MIN_N,"mercado "&amp;AY74,IF(BK74&gt;=MIN_N,"modelo+año+km",IF(BJ74&gt;=MIN_N,"modelo+año","modelo")))</f>
        <v/>
      </c>
      <c r="BN74" s="4">
        <f>(BL74-O74)/BL74</f>
        <v/>
      </c>
      <c r="BO74" s="3">
        <f>IF(COUNTIFS(FR_FUEL,K74,FR_YEAR,AP74)&gt;0,1,0)</f>
        <v/>
      </c>
      <c r="BP74" s="3">
        <f>IF(COUNTIFS(FR_FUEL,K74,FR_YEAR,AP74-1)&gt;0,1,0)</f>
        <v/>
      </c>
      <c r="BQ74" s="4">
        <f>IF(N(AQ74)&gt;0,AP74*100+AQ74,IF(AND(BO74=1,BP74=1),(AP74-1)*100+1,AP74*100+1))</f>
        <v/>
      </c>
      <c r="BR74" s="3">
        <f>IF(OR(K74="hibrido",K74="glp",K74="gnc",K74="phev"),"ECO",IF(K74="electrico","CERO",IF(K74="gasolina",IF(BQ74&gt;=GAS_C_YM,"C",IF(BQ74&gt;=GAS_B_YM,"B","A")),IF(K74="diesel",IF(BQ74&gt;=DIE_C_YM,"C",IF(BQ74&gt;=DIE_B_YM,"B","A")),""))))</f>
        <v/>
      </c>
      <c r="BS74" s="2" t="inlineStr">
        <is>
          <t>B</t>
        </is>
      </c>
      <c r="BT74" s="4">
        <f>IF(AU74="sí","sí",IF(AS74="regla",IF(AND(N(AQ74)=0,BO74=1),"sí","no"),"no"))</f>
        <v/>
      </c>
      <c r="BU74" s="3">
        <f>IFERROR(VLOOKUP(F74,MOD_TBL,16,0),IFERROR(VLOOKUP(E74,OCU_TBL,2,0),NEUTRO))</f>
        <v/>
      </c>
      <c r="BV74" s="3">
        <f>SUMIFS(MOT_AJUSTE,MOT_MOTOR,G74,MOT_MARCA,E74,MOT_DESDE,"&lt;="&amp;M74,MOT_HASTA,"&gt;="&amp;M74)+SUMIFS(MOT_AJUSTE,MOT_MOTOR,G74,MOT_MARCA,"(todas)",MOT_DESDE,"&lt;="&amp;M74,MOT_HASTA,"&gt;="&amp;M74)+SUMIFS(MOT_AJUSTE,MOT_MOTOR,"(cualquiera)",MOT_MARCA,E74,MOT_DESDE,"&lt;="&amp;M74,MOT_HASTA,"&gt;="&amp;M74)</f>
        <v/>
      </c>
      <c r="BW74" s="3">
        <f>SUMIFS(COMB_AJUSTE,COMB_COMB,K74)</f>
        <v/>
      </c>
      <c r="BX74" s="3">
        <f>COUNTIFS(MOT_MOTOR,G74,MOT_MARCA,E74,MOT_DESDE,"&lt;="&amp;M74,MOT_HASTA,"&gt;="&amp;M74)+COUNTIFS(MOT_MOTOR,G74,MOT_MARCA,"(todas)",MOT_DESDE,"&lt;="&amp;M74,MOT_HASTA,"&gt;="&amp;M74)+COUNTIFS(MOT_MOTOR,"(cualquiera)",MOT_MARCA,E74,MOT_DESDE,"&lt;="&amp;M74,MOT_HASTA,"&gt;="&amp;M74)</f>
        <v/>
      </c>
      <c r="BY74" s="3">
        <f>IF(AND(K74="diesel",BX74=0),MIN(BU74,NEUTRO),BU74)</f>
        <v/>
      </c>
      <c r="BZ74" s="3">
        <f>MAX(0,MIN(100,BY74+BV74+BW74-IF(AV74="sí",ROB_PEN,0)))</f>
        <v/>
      </c>
      <c r="CA74" s="3">
        <f>100-MAX(0,N74-KM_TOPE_DESDE)/1000*KM_TOPE_PTS</f>
        <v/>
      </c>
      <c r="CB74" s="3">
        <f>MAX(0,MIN(100,50+BN74*PRECIO_PEND,CA74))</f>
        <v/>
      </c>
      <c r="CC74" s="3">
        <f>MAX(0,100*(1-N74/KM_MAX))</f>
        <v/>
      </c>
      <c r="CD74" s="3">
        <f>IF(BE74&lt;KMA_SOSP,IF(AA74="sí",100,KMA_PEN),IF(BE74&lt;=KMA_IDEAL_MAX,100,MAX(0,100*(KMA_CERO-BE74)/(KMA_CERO-KMA_IDEAL_MAX))))</f>
        <v/>
      </c>
      <c r="CE74" s="3">
        <f>MAX(0,MIN(100,100*(M74-ANIO_MIN)/(ANIO_ACTUAL-ANIO_MIN)))</f>
        <v/>
      </c>
      <c r="CF74" s="3">
        <f>W_KMT*CC74+W_KMA*CD74+W_EDAD*CE74</f>
        <v/>
      </c>
      <c r="CG74" s="3">
        <f>P_ITV*(V74="sí")+P_LIBRO*(W74="sí")+P_CORREA*(X74="sí")+P_PROP*(Y74=1)+P_GAR*(Z74="sí")+P_FOTOS*MIN(1,N(U74)/FOTOS_OBJ)</f>
        <v/>
      </c>
      <c r="CH74" s="3">
        <f>MAX(0,MIN(100,IFERROR(VLOOKUP(BS74,ETQ_TBL,2,0),0)-IF(BT74="sí",ETQ_PEN_DUD,IF(AS74="regla",ETQ_PEN_REGLA,0))))</f>
        <v/>
      </c>
      <c r="CI74" s="3">
        <f>NEUTRO</f>
        <v/>
      </c>
      <c r="CJ74" s="3">
        <f>IFERROR(VLOOKUP(L74,SEGURO_TBL,3,0),"")</f>
        <v/>
      </c>
      <c r="CK74" s="3">
        <f>IF(CJ74="",NEUTRO,MAX(0,MIN(100,100*(SEG_REF_MAX-CJ74)/(SEG_REF_MAX-SEG_REF_MIN))))</f>
        <v/>
      </c>
      <c r="CL74" s="3">
        <f>W_CONS*CI74+W_SEG*CK74</f>
        <v/>
      </c>
      <c r="CM74" s="3">
        <f>IF(N(AB74)&gt;0,AB74,IF(AND(R74="profesional",SG_LEGAL_ON=1),GAR_LEGAL,0))</f>
        <v/>
      </c>
      <c r="CN74" s="3">
        <f>SG_GAR*MIN(1,CM74/SG_GAR_FULL)+SG_AMPL*(AC74="sí")+SG_KMC*(AF74="sí")+SG_REV*(N(AE74)&gt;0)+SG_DEV*MIN(1,N(AG74)/SG_DEV_FULL)+SG_HIST*(W74="sí")</f>
        <v/>
      </c>
      <c r="CO74" s="3">
        <f>IFERROR(VLOOKUP(L74,CARR_PEN_TBL,2,0),0)</f>
        <v/>
      </c>
      <c r="CP74" s="3">
        <f>W_FIAB*BZ74+W_PRECIO*CB74+W_KMEDAD*CF74+W_ANUNCIO*CG74+W_USO*CL74+W_SEGURIDAD*CN74+W_ETIQUETA*CH74-CO74</f>
        <v/>
      </c>
      <c r="CQ74" s="4">
        <f>IF(N(I74)&gt;0,I74,IFERROR(ROUND(_xlfn.NUMBERVALUE(LEFT(G74,FIND(" ",G74&amp;" ")-1),".")*1000,0),99999))</f>
        <v/>
      </c>
      <c r="CR74" s="3">
        <f>IF(R74="profesional",0,IF(O74&lt;CUOTA_VALOR_MAX,IF(BD74&gt;ITP_TRAMO_ALTO,SUMIFS(CF_CUOTA,CF_MAS,ITP_TRAMO_ALTO,CF_CCMIN,"&lt;="&amp;CQ74,CF_CCMAX,"&gt;="&amp;CQ74),IF(BD74&gt;ITP_TRAMO_BAJO,SUMIFS(CF_CUOTA,CF_MAS,ITP_TRAMO_BAJO,CF_CCMIN,"&lt;="&amp;CQ74,CF_CCMAX,"&gt;="&amp;CQ74),O74*ITP_TIPO)),O74*ITP_TIPO))</f>
        <v/>
      </c>
      <c r="CS74" s="4">
        <f>IF(R74="profesional",N(AK74),0)</f>
        <v/>
      </c>
      <c r="CT74" s="3">
        <f>IF(AND(R74="profesional",ISNUMBER(AK74),AL74="sí"),0,TASA_DGT)</f>
        <v/>
      </c>
      <c r="CU74" s="3">
        <f>INFORME_DGT</f>
        <v/>
      </c>
      <c r="CV74" s="4">
        <f>O74+CS74+CR74+CT74+CU74</f>
        <v/>
      </c>
      <c r="CW74" s="4">
        <f>CV74+N(CJ74)</f>
        <v/>
      </c>
      <c r="CX74" s="3">
        <f>IF(CV74&lt;=TOTAL_MAX,"sí",IF(CV74&lt;=TOTAL_MAX+MARGEN_NEG,"negociar","no"))</f>
        <v/>
      </c>
      <c r="CY74" s="4">
        <f>IF(CX74&lt;&gt;"no",COUNTIFS($CX$2:$CX$101,"&lt;&gt;no",$CP$2:$CP$101,"&gt;"&amp;CP74)+COUNTIFS($CX$2:CX74,"&lt;&gt;no",$CP$2:CP74,CP74),"")</f>
        <v/>
      </c>
    </row>
    <row r="75">
      <c r="A75" s="2" t="inlineStr">
        <is>
          <t>cochesnet:71847203</t>
        </is>
      </c>
      <c r="B75" s="2" t="inlineStr">
        <is>
          <t>cochesnet</t>
        </is>
      </c>
      <c r="C75" s="2" t="inlineStr">
        <is>
          <t>https://www.coches.net/ford-ka-trend-12-duratec-autostartstop-3p-gasolina-2015-en-valencia-71847203-covo.aspx</t>
        </is>
      </c>
      <c r="D75" s="2" t="inlineStr">
        <is>
          <t>FORD Ka Trend 1.2 Duratec AutoStartStop</t>
        </is>
      </c>
      <c r="E75" s="2" t="inlineStr">
        <is>
          <t>Ford</t>
        </is>
      </c>
      <c r="F75" s="2" t="inlineStr">
        <is>
          <t>Ford Ka</t>
        </is>
      </c>
      <c r="G75" s="2" t="inlineStr">
        <is>
          <t>1.2</t>
        </is>
      </c>
      <c r="H75" s="2" t="inlineStr">
        <is>
          <t>Trend 1.2 Duratec AutoStartStop</t>
        </is>
      </c>
      <c r="I75" s="2" t="n"/>
      <c r="J75" s="2" t="n"/>
      <c r="K75" s="2" t="inlineStr">
        <is>
          <t>gasolina</t>
        </is>
      </c>
      <c r="L75" s="2" t="inlineStr">
        <is>
          <t>utilitario</t>
        </is>
      </c>
      <c r="M75" s="2" t="n">
        <v>2015</v>
      </c>
      <c r="N75" s="2" t="n">
        <v>99000</v>
      </c>
      <c r="O75" s="2" t="n">
        <v>4990</v>
      </c>
      <c r="P75" s="2" t="inlineStr">
        <is>
          <t>manual</t>
        </is>
      </c>
      <c r="Q75" s="2" t="inlineStr">
        <is>
          <t>no</t>
        </is>
      </c>
      <c r="R75" s="2" t="inlineStr">
        <is>
          <t>profesional</t>
        </is>
      </c>
      <c r="S75" s="2" t="inlineStr">
        <is>
          <t>FERNANDO SEBASTIAN Valencia</t>
        </is>
      </c>
      <c r="T75" s="2" t="inlineStr">
        <is>
          <t>2026-10-27T18:49:10Z</t>
        </is>
      </c>
      <c r="U75" s="2" t="n">
        <v>20</v>
      </c>
      <c r="V75" s="2" t="inlineStr">
        <is>
          <t>sí</t>
        </is>
      </c>
      <c r="W75" s="2" t="n"/>
      <c r="X75" s="2" t="n"/>
      <c r="Y75" s="2" t="n"/>
      <c r="Z75" s="2" t="inlineStr">
        <is>
          <t>sí</t>
        </is>
      </c>
      <c r="AA75" s="2" t="n"/>
      <c r="AB75" s="2" t="n">
        <v>12</v>
      </c>
      <c r="AC75" s="2" t="n"/>
      <c r="AD75" s="2" t="n"/>
      <c r="AE75" s="2" t="n"/>
      <c r="AF75" s="2" t="n"/>
      <c r="AG75" s="2" t="n"/>
      <c r="AH75" s="2" t="n">
        <v>4990</v>
      </c>
      <c r="AI75" s="2" t="n">
        <v>4990</v>
      </c>
      <c r="AJ75" s="2" t="n"/>
      <c r="AK75" s="2" t="n"/>
      <c r="AL75" s="2" t="n"/>
      <c r="AM75" s="2" t="n">
        <v>0.1</v>
      </c>
      <c r="AN75" s="2" t="n"/>
      <c r="AO75" s="2" t="inlineStr">
        <is>
          <t>2015</t>
        </is>
      </c>
      <c r="AP75" s="2" t="n">
        <v>2015</v>
      </c>
      <c r="AQ75" s="2" t="n"/>
      <c r="AR75" s="2" t="inlineStr">
        <is>
          <t>C</t>
        </is>
      </c>
      <c r="AS75" s="2" t="inlineStr">
        <is>
          <t>anuncio</t>
        </is>
      </c>
      <c r="AT75" s="2" t="n"/>
      <c r="AU75" s="2" t="inlineStr">
        <is>
          <t>no</t>
        </is>
      </c>
      <c r="AV75" s="2" t="inlineStr">
        <is>
          <t>no</t>
        </is>
      </c>
      <c r="AW75" s="2" t="n">
        <v>5095</v>
      </c>
      <c r="AX75" s="2" t="n">
        <v>4</v>
      </c>
      <c r="AY75" s="2" t="inlineStr">
        <is>
          <t>modelo+año+km</t>
        </is>
      </c>
      <c r="AZ75" s="2" t="n"/>
      <c r="BA75"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BB75" s="2" t="inlineStr">
        <is>
          <t>Excelente Ford ka 2015 con solo 99.000km ITV 07/27,  Etiqueta ambiental verde “C”, aire acondicionado, dirección, start Stop,  elevalunas electrónicos, rueda de repuesto.</t>
        </is>
      </c>
      <c r="BC75" s="2" t="inlineStr">
        <is>
          <t>https://www.coches.net/ford-ka-trend-12-duratec-autostartstop-3p-gasolina-2015-en-valencia-71847203-covo.aspx (window.__INITIAL_PROPS__.ad) /home/user/Alopecia/buscador-coches/raw/cochesnet/86268d8ca74f810e.json</t>
        </is>
      </c>
      <c r="BD75" s="3">
        <f>MAX(ANIO_ACTUAL-M75,0)</f>
        <v/>
      </c>
      <c r="BE75" s="4">
        <f>N75/MAX(BD75,0.5)</f>
        <v/>
      </c>
      <c r="BF75" s="4">
        <f>F75</f>
        <v/>
      </c>
      <c r="BG75" s="3">
        <f>BF75&amp;"|"&amp;INT(M75/SEG_ANIO)*SEG_ANIO</f>
        <v/>
      </c>
      <c r="BH75" s="3">
        <f>BG75&amp;"|"&amp;INT(N75/SEG_KM)*SEG_KM</f>
        <v/>
      </c>
      <c r="BI75" s="4">
        <f>COUNTIF($BF$2:$BF$101,BF75)</f>
        <v/>
      </c>
      <c r="BJ75" s="4">
        <f>COUNTIF($BG$2:$BG$101,BG75)</f>
        <v/>
      </c>
      <c r="BK75" s="4">
        <f>COUNTIF($BH$2:$BH$101,BH75)</f>
        <v/>
      </c>
      <c r="BL75" s="3">
        <f t="array" ref="BL75">IF(N(AX75)&gt;=MIN_N,AW75,IF(BK75&gt;=MIN_N,MEDIAN(IF($BH$2:$BH$101=BH75,$O$2:$O$101)),IF(BJ75&gt;=MIN_N,MEDIAN(IF($BG$2:$BG$101=BG75,$O$2:$O$101)),MEDIAN(IF($BF$2:$BF$101=BF75,$O$2:$O$101)))))</f>
        <v/>
      </c>
      <c r="BM75" s="3">
        <f>IF(N(AX75)&gt;=MIN_N,"mercado "&amp;AY75,IF(BK75&gt;=MIN_N,"modelo+año+km",IF(BJ75&gt;=MIN_N,"modelo+año","modelo")))</f>
        <v/>
      </c>
      <c r="BN75" s="4">
        <f>(BL75-O75)/BL75</f>
        <v/>
      </c>
      <c r="BO75" s="3">
        <f>IF(COUNTIFS(FR_FUEL,K75,FR_YEAR,AP75)&gt;0,1,0)</f>
        <v/>
      </c>
      <c r="BP75" s="3">
        <f>IF(COUNTIFS(FR_FUEL,K75,FR_YEAR,AP75-1)&gt;0,1,0)</f>
        <v/>
      </c>
      <c r="BQ75" s="4">
        <f>IF(N(AQ75)&gt;0,AP75*100+AQ75,IF(AND(BO75=1,BP75=1),(AP75-1)*100+1,AP75*100+1))</f>
        <v/>
      </c>
      <c r="BR75" s="3">
        <f>IF(OR(K75="hibrido",K75="glp",K75="gnc",K75="phev"),"ECO",IF(K75="electrico","CERO",IF(K75="gasolina",IF(BQ75&gt;=GAS_C_YM,"C",IF(BQ75&gt;=GAS_B_YM,"B","A")),IF(K75="diesel",IF(BQ75&gt;=DIE_C_YM,"C",IF(BQ75&gt;=DIE_B_YM,"B","A")),""))))</f>
        <v/>
      </c>
      <c r="BS75" s="2" t="inlineStr">
        <is>
          <t>C</t>
        </is>
      </c>
      <c r="BT75" s="4">
        <f>IF(AU75="sí","sí",IF(AS75="regla",IF(AND(N(AQ75)=0,BO75=1),"sí","no"),"no"))</f>
        <v/>
      </c>
      <c r="BU75" s="3">
        <f>IFERROR(VLOOKUP(F75,MOD_TBL,16,0),IFERROR(VLOOKUP(E75,OCU_TBL,2,0),NEUTRO))</f>
        <v/>
      </c>
      <c r="BV75" s="3">
        <f>SUMIFS(MOT_AJUSTE,MOT_MOTOR,G75,MOT_MARCA,E75,MOT_DESDE,"&lt;="&amp;M75,MOT_HASTA,"&gt;="&amp;M75)+SUMIFS(MOT_AJUSTE,MOT_MOTOR,G75,MOT_MARCA,"(todas)",MOT_DESDE,"&lt;="&amp;M75,MOT_HASTA,"&gt;="&amp;M75)+SUMIFS(MOT_AJUSTE,MOT_MOTOR,"(cualquiera)",MOT_MARCA,E75,MOT_DESDE,"&lt;="&amp;M75,MOT_HASTA,"&gt;="&amp;M75)</f>
        <v/>
      </c>
      <c r="BW75" s="3">
        <f>SUMIFS(COMB_AJUSTE,COMB_COMB,K75)</f>
        <v/>
      </c>
      <c r="BX75" s="3">
        <f>COUNTIFS(MOT_MOTOR,G75,MOT_MARCA,E75,MOT_DESDE,"&lt;="&amp;M75,MOT_HASTA,"&gt;="&amp;M75)+COUNTIFS(MOT_MOTOR,G75,MOT_MARCA,"(todas)",MOT_DESDE,"&lt;="&amp;M75,MOT_HASTA,"&gt;="&amp;M75)+COUNTIFS(MOT_MOTOR,"(cualquiera)",MOT_MARCA,E75,MOT_DESDE,"&lt;="&amp;M75,MOT_HASTA,"&gt;="&amp;M75)</f>
        <v/>
      </c>
      <c r="BY75" s="3">
        <f>IF(AND(K75="diesel",BX75=0),MIN(BU75,NEUTRO),BU75)</f>
        <v/>
      </c>
      <c r="BZ75" s="3">
        <f>MAX(0,MIN(100,BY75+BV75+BW75-IF(AV75="sí",ROB_PEN,0)))</f>
        <v/>
      </c>
      <c r="CA75" s="3">
        <f>100-MAX(0,N75-KM_TOPE_DESDE)/1000*KM_TOPE_PTS</f>
        <v/>
      </c>
      <c r="CB75" s="3">
        <f>MAX(0,MIN(100,50+BN75*PRECIO_PEND,CA75))</f>
        <v/>
      </c>
      <c r="CC75" s="3">
        <f>MAX(0,100*(1-N75/KM_MAX))</f>
        <v/>
      </c>
      <c r="CD75" s="3">
        <f>IF(BE75&lt;KMA_SOSP,IF(AA75="sí",100,KMA_PEN),IF(BE75&lt;=KMA_IDEAL_MAX,100,MAX(0,100*(KMA_CERO-BE75)/(KMA_CERO-KMA_IDEAL_MAX))))</f>
        <v/>
      </c>
      <c r="CE75" s="3">
        <f>MAX(0,MIN(100,100*(M75-ANIO_MIN)/(ANIO_ACTUAL-ANIO_MIN)))</f>
        <v/>
      </c>
      <c r="CF75" s="3">
        <f>W_KMT*CC75+W_KMA*CD75+W_EDAD*CE75</f>
        <v/>
      </c>
      <c r="CG75" s="3">
        <f>P_ITV*(V75="sí")+P_LIBRO*(W75="sí")+P_CORREA*(X75="sí")+P_PROP*(Y75=1)+P_GAR*(Z75="sí")+P_FOTOS*MIN(1,N(U75)/FOTOS_OBJ)</f>
        <v/>
      </c>
      <c r="CH75" s="3">
        <f>MAX(0,MIN(100,IFERROR(VLOOKUP(BS75,ETQ_TBL,2,0),0)-IF(BT75="sí",ETQ_PEN_DUD,IF(AS75="regla",ETQ_PEN_REGLA,0))))</f>
        <v/>
      </c>
      <c r="CI75" s="3">
        <f>NEUTRO</f>
        <v/>
      </c>
      <c r="CJ75" s="3">
        <f>IFERROR(VLOOKUP(L75,SEGURO_TBL,3,0),"")</f>
        <v/>
      </c>
      <c r="CK75" s="3">
        <f>IF(CJ75="",NEUTRO,MAX(0,MIN(100,100*(SEG_REF_MAX-CJ75)/(SEG_REF_MAX-SEG_REF_MIN))))</f>
        <v/>
      </c>
      <c r="CL75" s="3">
        <f>W_CONS*CI75+W_SEG*CK75</f>
        <v/>
      </c>
      <c r="CM75" s="3">
        <f>IF(N(AB75)&gt;0,AB75,IF(AND(R75="profesional",SG_LEGAL_ON=1),GAR_LEGAL,0))</f>
        <v/>
      </c>
      <c r="CN75" s="3">
        <f>SG_GAR*MIN(1,CM75/SG_GAR_FULL)+SG_AMPL*(AC75="sí")+SG_KMC*(AF75="sí")+SG_REV*(N(AE75)&gt;0)+SG_DEV*MIN(1,N(AG75)/SG_DEV_FULL)+SG_HIST*(W75="sí")</f>
        <v/>
      </c>
      <c r="CO75" s="3">
        <f>IFERROR(VLOOKUP(L75,CARR_PEN_TBL,2,0),0)</f>
        <v/>
      </c>
      <c r="CP75" s="3">
        <f>W_FIAB*BZ75+W_PRECIO*CB75+W_KMEDAD*CF75+W_ANUNCIO*CG75+W_USO*CL75+W_SEGURIDAD*CN75+W_ETIQUETA*CH75-CO75</f>
        <v/>
      </c>
      <c r="CQ75" s="4">
        <f>IF(N(I75)&gt;0,I75,IFERROR(ROUND(_xlfn.NUMBERVALUE(LEFT(G75,FIND(" ",G75&amp;" ")-1),".")*1000,0),99999))</f>
        <v/>
      </c>
      <c r="CR75" s="3">
        <f>IF(R75="profesional",0,IF(O75&lt;CUOTA_VALOR_MAX,IF(BD75&gt;ITP_TRAMO_ALTO,SUMIFS(CF_CUOTA,CF_MAS,ITP_TRAMO_ALTO,CF_CCMIN,"&lt;="&amp;CQ75,CF_CCMAX,"&gt;="&amp;CQ75),IF(BD75&gt;ITP_TRAMO_BAJO,SUMIFS(CF_CUOTA,CF_MAS,ITP_TRAMO_BAJO,CF_CCMIN,"&lt;="&amp;CQ75,CF_CCMAX,"&gt;="&amp;CQ75),O75*ITP_TIPO)),O75*ITP_TIPO))</f>
        <v/>
      </c>
      <c r="CS75" s="4">
        <f>IF(R75="profesional",N(AK75),0)</f>
        <v/>
      </c>
      <c r="CT75" s="3">
        <f>IF(AND(R75="profesional",ISNUMBER(AK75),AL75="sí"),0,TASA_DGT)</f>
        <v/>
      </c>
      <c r="CU75" s="3">
        <f>INFORME_DGT</f>
        <v/>
      </c>
      <c r="CV75" s="4">
        <f>O75+CS75+CR75+CT75+CU75</f>
        <v/>
      </c>
      <c r="CW75" s="4">
        <f>CV75+N(CJ75)</f>
        <v/>
      </c>
      <c r="CX75" s="3">
        <f>IF(CV75&lt;=TOTAL_MAX,"sí",IF(CV75&lt;=TOTAL_MAX+MARGEN_NEG,"negociar","no"))</f>
        <v/>
      </c>
      <c r="CY75" s="4">
        <f>IF(CX75&lt;&gt;"no",COUNTIFS($CX$2:$CX$101,"&lt;&gt;no",$CP$2:$CP$101,"&gt;"&amp;CP75)+COUNTIFS($CX$2:CX75,"&lt;&gt;no",$CP$2:CP75,CP75),"")</f>
        <v/>
      </c>
    </row>
    <row r="76">
      <c r="A76" s="2" t="inlineStr">
        <is>
          <t>cochesnet:71841456</t>
        </is>
      </c>
      <c r="B76" s="2" t="inlineStr">
        <is>
          <t>cochesnet</t>
        </is>
      </c>
      <c r="C76" s="2" t="inlineStr">
        <is>
          <t>https://www.coches.net/ford-fiesta-13-newport-5p-gasolina-2006-en-valencia-71841456-covo.aspx</t>
        </is>
      </c>
      <c r="D76" s="2" t="inlineStr">
        <is>
          <t>FORD Fiesta 1.3 Newport</t>
        </is>
      </c>
      <c r="E76" s="2" t="inlineStr">
        <is>
          <t>Ford</t>
        </is>
      </c>
      <c r="F76" s="2" t="inlineStr">
        <is>
          <t>Ford Fiesta</t>
        </is>
      </c>
      <c r="G76" s="2" t="inlineStr">
        <is>
          <t>1.3</t>
        </is>
      </c>
      <c r="H76" s="2" t="inlineStr">
        <is>
          <t>1.3 Newport</t>
        </is>
      </c>
      <c r="I76" s="2" t="n"/>
      <c r="J76" s="2" t="n"/>
      <c r="K76" s="2" t="inlineStr">
        <is>
          <t>gasolina</t>
        </is>
      </c>
      <c r="L76" s="2" t="inlineStr">
        <is>
          <t>utilitario</t>
        </is>
      </c>
      <c r="M76" s="2" t="n">
        <v>2007</v>
      </c>
      <c r="N76" s="2" t="n">
        <v>108000</v>
      </c>
      <c r="O76" s="2" t="n">
        <v>3750</v>
      </c>
      <c r="P76" s="2" t="inlineStr">
        <is>
          <t>manual</t>
        </is>
      </c>
      <c r="Q76" s="2" t="inlineStr">
        <is>
          <t>no</t>
        </is>
      </c>
      <c r="R76" s="2" t="inlineStr">
        <is>
          <t>profesional</t>
        </is>
      </c>
      <c r="S76" s="2" t="inlineStr">
        <is>
          <t>Beniparrell</t>
        </is>
      </c>
      <c r="T76" s="2" t="inlineStr">
        <is>
          <t>2026-10-27T10:35:28Z</t>
        </is>
      </c>
      <c r="U76" s="2" t="n">
        <v>13</v>
      </c>
      <c r="V76" s="2" t="n"/>
      <c r="W76" s="2" t="n"/>
      <c r="X76" s="2" t="n"/>
      <c r="Y76" s="2" t="n"/>
      <c r="Z76" s="2" t="inlineStr">
        <is>
          <t>sí</t>
        </is>
      </c>
      <c r="AA76" s="2" t="n"/>
      <c r="AB76" s="2" t="n">
        <v>12</v>
      </c>
      <c r="AC76" s="2" t="n"/>
      <c r="AD76" s="2" t="n"/>
      <c r="AE76" s="2" t="n"/>
      <c r="AF76" s="2" t="n"/>
      <c r="AG76" s="2" t="n"/>
      <c r="AH76" s="2" t="n">
        <v>3750</v>
      </c>
      <c r="AI76" s="2" t="n"/>
      <c r="AJ76" s="2" t="n"/>
      <c r="AK76" s="2" t="n"/>
      <c r="AL76" s="2" t="n"/>
      <c r="AM76" s="2" t="n">
        <v>10.2</v>
      </c>
      <c r="AN76" s="2" t="n"/>
      <c r="AO76" s="2" t="inlineStr">
        <is>
          <t>2007</t>
        </is>
      </c>
      <c r="AP76" s="2" t="n">
        <v>2007</v>
      </c>
      <c r="AQ76" s="2" t="n"/>
      <c r="AR76" s="2" t="inlineStr">
        <is>
          <t>C</t>
        </is>
      </c>
      <c r="AS76" s="2" t="inlineStr">
        <is>
          <t>anuncio</t>
        </is>
      </c>
      <c r="AT76" s="2" t="n">
        <v>2006</v>
      </c>
      <c r="AU76" s="2" t="inlineStr">
        <is>
          <t>no</t>
        </is>
      </c>
      <c r="AV76" s="2" t="inlineStr">
        <is>
          <t>no</t>
        </is>
      </c>
      <c r="AW76" s="2" t="n">
        <v>4990</v>
      </c>
      <c r="AX76" s="2" t="n">
        <v>9</v>
      </c>
      <c r="AY76" s="2" t="inlineStr">
        <is>
          <t>modelo+año+km</t>
        </is>
      </c>
      <c r="AZ76" s="2" t="n"/>
      <c r="BA76" s="2" t="inlineStr">
        <is>
          <t>año a confirmar: la URL/título dice 2006; vendedor profesional: sin ITP (operación con IVA/REBU, confirmar en factura); gastos de gestión del vendedor no indicados: se suma la tasa DGT; preguntar el precio final; revisar: no menciona la ITV</t>
        </is>
      </c>
      <c r="BB76"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BC76" s="2" t="inlineStr">
        <is>
          <t>https://www.coches.net/ford-fiesta-13-newport-5p-gasolina-2006-en-valencia-71841456-covo.aspx (window.__INITIAL_PROPS__.ad) /home/user/Alopecia/buscador-coches/raw/cochesnet/0f64c41ace196125.json</t>
        </is>
      </c>
      <c r="BD76" s="3">
        <f>MAX(ANIO_ACTUAL-M76,0)</f>
        <v/>
      </c>
      <c r="BE76" s="4">
        <f>N76/MAX(BD76,0.5)</f>
        <v/>
      </c>
      <c r="BF76" s="4">
        <f>F76</f>
        <v/>
      </c>
      <c r="BG76" s="3">
        <f>BF76&amp;"|"&amp;INT(M76/SEG_ANIO)*SEG_ANIO</f>
        <v/>
      </c>
      <c r="BH76" s="3">
        <f>BG76&amp;"|"&amp;INT(N76/SEG_KM)*SEG_KM</f>
        <v/>
      </c>
      <c r="BI76" s="4">
        <f>COUNTIF($BF$2:$BF$101,BF76)</f>
        <v/>
      </c>
      <c r="BJ76" s="4">
        <f>COUNTIF($BG$2:$BG$101,BG76)</f>
        <v/>
      </c>
      <c r="BK76" s="4">
        <f>COUNTIF($BH$2:$BH$101,BH76)</f>
        <v/>
      </c>
      <c r="BL76" s="3">
        <f t="array" ref="BL76">IF(N(AX76)&gt;=MIN_N,AW76,IF(BK76&gt;=MIN_N,MEDIAN(IF($BH$2:$BH$101=BH76,$O$2:$O$101)),IF(BJ76&gt;=MIN_N,MEDIAN(IF($BG$2:$BG$101=BG76,$O$2:$O$101)),MEDIAN(IF($BF$2:$BF$101=BF76,$O$2:$O$101)))))</f>
        <v/>
      </c>
      <c r="BM76" s="3">
        <f>IF(N(AX76)&gt;=MIN_N,"mercado "&amp;AY76,IF(BK76&gt;=MIN_N,"modelo+año+km",IF(BJ76&gt;=MIN_N,"modelo+año","modelo")))</f>
        <v/>
      </c>
      <c r="BN76" s="4">
        <f>(BL76-O76)/BL76</f>
        <v/>
      </c>
      <c r="BO76" s="3">
        <f>IF(COUNTIFS(FR_FUEL,K76,FR_YEAR,AP76)&gt;0,1,0)</f>
        <v/>
      </c>
      <c r="BP76" s="3">
        <f>IF(COUNTIFS(FR_FUEL,K76,FR_YEAR,AP76-1)&gt;0,1,0)</f>
        <v/>
      </c>
      <c r="BQ76" s="4">
        <f>IF(N(AQ76)&gt;0,AP76*100+AQ76,IF(AND(BO76=1,BP76=1),(AP76-1)*100+1,AP76*100+1))</f>
        <v/>
      </c>
      <c r="BR76" s="3">
        <f>IF(OR(K76="hibrido",K76="glp",K76="gnc",K76="phev"),"ECO",IF(K76="electrico","CERO",IF(K76="gasolina",IF(BQ76&gt;=GAS_C_YM,"C",IF(BQ76&gt;=GAS_B_YM,"B","A")),IF(K76="diesel",IF(BQ76&gt;=DIE_C_YM,"C",IF(BQ76&gt;=DIE_B_YM,"B","A")),""))))</f>
        <v/>
      </c>
      <c r="BS76" s="2" t="inlineStr">
        <is>
          <t>C</t>
        </is>
      </c>
      <c r="BT76" s="4">
        <f>IF(AU76="sí","sí",IF(AS76="regla",IF(AND(N(AQ76)=0,BO76=1),"sí","no"),"no"))</f>
        <v/>
      </c>
      <c r="BU76" s="3">
        <f>IFERROR(VLOOKUP(F76,MOD_TBL,16,0),IFERROR(VLOOKUP(E76,OCU_TBL,2,0),NEUTRO))</f>
        <v/>
      </c>
      <c r="BV76" s="3">
        <f>SUMIFS(MOT_AJUSTE,MOT_MOTOR,G76,MOT_MARCA,E76,MOT_DESDE,"&lt;="&amp;M76,MOT_HASTA,"&gt;="&amp;M76)+SUMIFS(MOT_AJUSTE,MOT_MOTOR,G76,MOT_MARCA,"(todas)",MOT_DESDE,"&lt;="&amp;M76,MOT_HASTA,"&gt;="&amp;M76)+SUMIFS(MOT_AJUSTE,MOT_MOTOR,"(cualquiera)",MOT_MARCA,E76,MOT_DESDE,"&lt;="&amp;M76,MOT_HASTA,"&gt;="&amp;M76)</f>
        <v/>
      </c>
      <c r="BW76" s="3">
        <f>SUMIFS(COMB_AJUSTE,COMB_COMB,K76)</f>
        <v/>
      </c>
      <c r="BX76" s="3">
        <f>COUNTIFS(MOT_MOTOR,G76,MOT_MARCA,E76,MOT_DESDE,"&lt;="&amp;M76,MOT_HASTA,"&gt;="&amp;M76)+COUNTIFS(MOT_MOTOR,G76,MOT_MARCA,"(todas)",MOT_DESDE,"&lt;="&amp;M76,MOT_HASTA,"&gt;="&amp;M76)+COUNTIFS(MOT_MOTOR,"(cualquiera)",MOT_MARCA,E76,MOT_DESDE,"&lt;="&amp;M76,MOT_HASTA,"&gt;="&amp;M76)</f>
        <v/>
      </c>
      <c r="BY76" s="3">
        <f>IF(AND(K76="diesel",BX76=0),MIN(BU76,NEUTRO),BU76)</f>
        <v/>
      </c>
      <c r="BZ76" s="3">
        <f>MAX(0,MIN(100,BY76+BV76+BW76-IF(AV76="sí",ROB_PEN,0)))</f>
        <v/>
      </c>
      <c r="CA76" s="3">
        <f>100-MAX(0,N76-KM_TOPE_DESDE)/1000*KM_TOPE_PTS</f>
        <v/>
      </c>
      <c r="CB76" s="3">
        <f>MAX(0,MIN(100,50+BN76*PRECIO_PEND,CA76))</f>
        <v/>
      </c>
      <c r="CC76" s="3">
        <f>MAX(0,100*(1-N76/KM_MAX))</f>
        <v/>
      </c>
      <c r="CD76" s="3">
        <f>IF(BE76&lt;KMA_SOSP,IF(AA76="sí",100,KMA_PEN),IF(BE76&lt;=KMA_IDEAL_MAX,100,MAX(0,100*(KMA_CERO-BE76)/(KMA_CERO-KMA_IDEAL_MAX))))</f>
        <v/>
      </c>
      <c r="CE76" s="3">
        <f>MAX(0,MIN(100,100*(M76-ANIO_MIN)/(ANIO_ACTUAL-ANIO_MIN)))</f>
        <v/>
      </c>
      <c r="CF76" s="3">
        <f>W_KMT*CC76+W_KMA*CD76+W_EDAD*CE76</f>
        <v/>
      </c>
      <c r="CG76" s="3">
        <f>P_ITV*(V76="sí")+P_LIBRO*(W76="sí")+P_CORREA*(X76="sí")+P_PROP*(Y76=1)+P_GAR*(Z76="sí")+P_FOTOS*MIN(1,N(U76)/FOTOS_OBJ)</f>
        <v/>
      </c>
      <c r="CH76" s="3">
        <f>MAX(0,MIN(100,IFERROR(VLOOKUP(BS76,ETQ_TBL,2,0),0)-IF(BT76="sí",ETQ_PEN_DUD,IF(AS76="regla",ETQ_PEN_REGLA,0))))</f>
        <v/>
      </c>
      <c r="CI76" s="3">
        <f>NEUTRO</f>
        <v/>
      </c>
      <c r="CJ76" s="3">
        <f>IFERROR(VLOOKUP(L76,SEGURO_TBL,3,0),"")</f>
        <v/>
      </c>
      <c r="CK76" s="3">
        <f>IF(CJ76="",NEUTRO,MAX(0,MIN(100,100*(SEG_REF_MAX-CJ76)/(SEG_REF_MAX-SEG_REF_MIN))))</f>
        <v/>
      </c>
      <c r="CL76" s="3">
        <f>W_CONS*CI76+W_SEG*CK76</f>
        <v/>
      </c>
      <c r="CM76" s="3">
        <f>IF(N(AB76)&gt;0,AB76,IF(AND(R76="profesional",SG_LEGAL_ON=1),GAR_LEGAL,0))</f>
        <v/>
      </c>
      <c r="CN76" s="3">
        <f>SG_GAR*MIN(1,CM76/SG_GAR_FULL)+SG_AMPL*(AC76="sí")+SG_KMC*(AF76="sí")+SG_REV*(N(AE76)&gt;0)+SG_DEV*MIN(1,N(AG76)/SG_DEV_FULL)+SG_HIST*(W76="sí")</f>
        <v/>
      </c>
      <c r="CO76" s="3">
        <f>IFERROR(VLOOKUP(L76,CARR_PEN_TBL,2,0),0)</f>
        <v/>
      </c>
      <c r="CP76" s="3">
        <f>W_FIAB*BZ76+W_PRECIO*CB76+W_KMEDAD*CF76+W_ANUNCIO*CG76+W_USO*CL76+W_SEGURIDAD*CN76+W_ETIQUETA*CH76-CO76</f>
        <v/>
      </c>
      <c r="CQ76" s="4">
        <f>IF(N(I76)&gt;0,I76,IFERROR(ROUND(_xlfn.NUMBERVALUE(LEFT(G76,FIND(" ",G76&amp;" ")-1),".")*1000,0),99999))</f>
        <v/>
      </c>
      <c r="CR76" s="3">
        <f>IF(R76="profesional",0,IF(O76&lt;CUOTA_VALOR_MAX,IF(BD76&gt;ITP_TRAMO_ALTO,SUMIFS(CF_CUOTA,CF_MAS,ITP_TRAMO_ALTO,CF_CCMIN,"&lt;="&amp;CQ76,CF_CCMAX,"&gt;="&amp;CQ76),IF(BD76&gt;ITP_TRAMO_BAJO,SUMIFS(CF_CUOTA,CF_MAS,ITP_TRAMO_BAJO,CF_CCMIN,"&lt;="&amp;CQ76,CF_CCMAX,"&gt;="&amp;CQ76),O76*ITP_TIPO)),O76*ITP_TIPO))</f>
        <v/>
      </c>
      <c r="CS76" s="4">
        <f>IF(R76="profesional",N(AK76),0)</f>
        <v/>
      </c>
      <c r="CT76" s="3">
        <f>IF(AND(R76="profesional",ISNUMBER(AK76),AL76="sí"),0,TASA_DGT)</f>
        <v/>
      </c>
      <c r="CU76" s="3">
        <f>INFORME_DGT</f>
        <v/>
      </c>
      <c r="CV76" s="4">
        <f>O76+CS76+CR76+CT76+CU76</f>
        <v/>
      </c>
      <c r="CW76" s="4">
        <f>CV76+N(CJ76)</f>
        <v/>
      </c>
      <c r="CX76" s="3">
        <f>IF(CV76&lt;=TOTAL_MAX,"sí",IF(CV76&lt;=TOTAL_MAX+MARGEN_NEG,"negociar","no"))</f>
        <v/>
      </c>
      <c r="CY76" s="4">
        <f>IF(CX76&lt;&gt;"no",COUNTIFS($CX$2:$CX$101,"&lt;&gt;no",$CP$2:$CP$101,"&gt;"&amp;CP76)+COUNTIFS($CX$2:CX76,"&lt;&gt;no",$CP$2:CP76,CP76),"")</f>
        <v/>
      </c>
    </row>
    <row r="77">
      <c r="A77" s="2" t="inlineStr">
        <is>
          <t>cochesnet:71654849</t>
        </is>
      </c>
      <c r="B77" s="2" t="inlineStr">
        <is>
          <t>cochesnet</t>
        </is>
      </c>
      <c r="C77" s="2" t="inlineStr">
        <is>
          <t>https://www.coches.net/ford-fiesta-14-tdci-trend-5p-diesel-2012-en-valencia-71654849-covo.aspx</t>
        </is>
      </c>
      <c r="D77" s="2" t="inlineStr">
        <is>
          <t>FORD Fiesta 1.4 TDCi Trend</t>
        </is>
      </c>
      <c r="E77" s="2" t="inlineStr">
        <is>
          <t>Ford</t>
        </is>
      </c>
      <c r="F77" s="2" t="inlineStr">
        <is>
          <t>Ford Fiesta</t>
        </is>
      </c>
      <c r="G77" s="2" t="inlineStr">
        <is>
          <t>1.4 TDCi</t>
        </is>
      </c>
      <c r="H77" s="2" t="inlineStr">
        <is>
          <t>1.4 TDCi Trend</t>
        </is>
      </c>
      <c r="I77" s="2" t="n"/>
      <c r="J77" s="2" t="n"/>
      <c r="K77" s="2" t="inlineStr">
        <is>
          <t>diesel</t>
        </is>
      </c>
      <c r="L77" s="2" t="inlineStr">
        <is>
          <t>utilitario</t>
        </is>
      </c>
      <c r="M77" s="2" t="n">
        <v>2013</v>
      </c>
      <c r="N77" s="2" t="n">
        <v>205000</v>
      </c>
      <c r="O77" s="2" t="n">
        <v>4790</v>
      </c>
      <c r="P77" s="2" t="inlineStr">
        <is>
          <t>manual</t>
        </is>
      </c>
      <c r="Q77" s="2" t="inlineStr">
        <is>
          <t>no</t>
        </is>
      </c>
      <c r="R77" s="2" t="inlineStr">
        <is>
          <t>profesional</t>
        </is>
      </c>
      <c r="S77" s="2" t="inlineStr">
        <is>
          <t>V.O. Eliana San Antonio de Benagéber</t>
        </is>
      </c>
      <c r="T77" s="2" t="inlineStr">
        <is>
          <t>2026-10-02T11:14:37Z</t>
        </is>
      </c>
      <c r="U77" s="2" t="n">
        <v>17</v>
      </c>
      <c r="V77" s="2" t="n"/>
      <c r="W77" s="2" t="n"/>
      <c r="X77" s="2" t="n"/>
      <c r="Y77" s="2" t="n"/>
      <c r="Z77" s="2" t="inlineStr">
        <is>
          <t>sí</t>
        </is>
      </c>
      <c r="AA77" s="2" t="n"/>
      <c r="AB77" s="2" t="n">
        <v>12</v>
      </c>
      <c r="AC77" s="2" t="n"/>
      <c r="AD77" s="2" t="n"/>
      <c r="AE77" s="2" t="n"/>
      <c r="AF77" s="2" t="n"/>
      <c r="AG77" s="2" t="n"/>
      <c r="AH77" s="2" t="n">
        <v>4790</v>
      </c>
      <c r="AI77" s="2" t="n"/>
      <c r="AJ77" s="2" t="n"/>
      <c r="AK77" s="2" t="n"/>
      <c r="AL77" s="2" t="n"/>
      <c r="AM77" s="2" t="n">
        <v>19.1</v>
      </c>
      <c r="AN77" s="2" t="n"/>
      <c r="AO77" s="2" t="inlineStr">
        <is>
          <t>2013</t>
        </is>
      </c>
      <c r="AP77" s="2" t="n">
        <v>2013</v>
      </c>
      <c r="AQ77" s="2" t="n"/>
      <c r="AR77" s="2" t="inlineStr">
        <is>
          <t>B</t>
        </is>
      </c>
      <c r="AS77" s="2" t="inlineStr">
        <is>
          <t>anuncio</t>
        </is>
      </c>
      <c r="AT77" s="2" t="n">
        <v>2012</v>
      </c>
      <c r="AU77" s="2" t="inlineStr">
        <is>
          <t>no</t>
        </is>
      </c>
      <c r="AV77" s="2" t="inlineStr">
        <is>
          <t>no</t>
        </is>
      </c>
      <c r="AW77" s="2" t="n">
        <v>6300</v>
      </c>
      <c r="AX77" s="2" t="n">
        <v>23</v>
      </c>
      <c r="AY77" s="2" t="inlineStr">
        <is>
          <t>modelo+año</t>
        </is>
      </c>
      <c r="AZ77" s="2" t="n"/>
      <c r="BA77" s="2" t="inlineStr">
        <is>
          <t>año a confirmar: la URL/título dice 2012; vendedor profesional: sin ITP (operación con IVA/REBU, confirmar en factura); gastos de gestión del vendedor no indicados: se suma la tasa DGT; preguntar el precio final; diésel: motor sin fuente de fiabilidad (fiabilidad limitada a neutra); revisar: no menciona la ITV</t>
        </is>
      </c>
      <c r="BB77" s="2" t="inlineStr">
        <is>
          <t>Este Ford Fiesta 1.4 TDCi Trend combina eficiencia diésel con equipamiento práctico para el día a día. Destaca por su dirección asistida eléctrica con endurecimiento progresivo, volante ajustable en altura y profundidad, y elevalunas eléctricos delanteros con función de un solo toque. Dispone de cierre centralizado con mando a distancia de doble cierre, apertura remota del maletero, ordenador de viaje con datos de consumo y autonomía, climatización con filtro de pólen, y retrovisores exteriores eléctricos desempañables con intermitente integrado. Los asientos delanteros ofrecen ajuste manual en múltiples direcciones para mayor comodidad, mientras que los traseros cuentan con respaldo abatible asimétrico. Cristales tintados, limpiaparabrisas delantero y pintura sólida completan este vehículo versátil y funcional.</t>
        </is>
      </c>
      <c r="BC77" s="2" t="inlineStr">
        <is>
          <t>https://www.coches.net/ford-fiesta-14-tdci-trend-5p-diesel-2012-en-valencia-71654849-covo.aspx (window.__INITIAL_PROPS__.ad) /home/user/Alopecia/buscador-coches/raw/cochesnet/fa8d9cab8b462a12.json</t>
        </is>
      </c>
      <c r="BD77" s="3">
        <f>MAX(ANIO_ACTUAL-M77,0)</f>
        <v/>
      </c>
      <c r="BE77" s="4">
        <f>N77/MAX(BD77,0.5)</f>
        <v/>
      </c>
      <c r="BF77" s="4">
        <f>F77</f>
        <v/>
      </c>
      <c r="BG77" s="3">
        <f>BF77&amp;"|"&amp;INT(M77/SEG_ANIO)*SEG_ANIO</f>
        <v/>
      </c>
      <c r="BH77" s="3">
        <f>BG77&amp;"|"&amp;INT(N77/SEG_KM)*SEG_KM</f>
        <v/>
      </c>
      <c r="BI77" s="4">
        <f>COUNTIF($BF$2:$BF$101,BF77)</f>
        <v/>
      </c>
      <c r="BJ77" s="4">
        <f>COUNTIF($BG$2:$BG$101,BG77)</f>
        <v/>
      </c>
      <c r="BK77" s="4">
        <f>COUNTIF($BH$2:$BH$101,BH77)</f>
        <v/>
      </c>
      <c r="BL77" s="3">
        <f t="array" ref="BL77">IF(N(AX77)&gt;=MIN_N,AW77,IF(BK77&gt;=MIN_N,MEDIAN(IF($BH$2:$BH$101=BH77,$O$2:$O$101)),IF(BJ77&gt;=MIN_N,MEDIAN(IF($BG$2:$BG$101=BG77,$O$2:$O$101)),MEDIAN(IF($BF$2:$BF$101=BF77,$O$2:$O$101)))))</f>
        <v/>
      </c>
      <c r="BM77" s="3">
        <f>IF(N(AX77)&gt;=MIN_N,"mercado "&amp;AY77,IF(BK77&gt;=MIN_N,"modelo+año+km",IF(BJ77&gt;=MIN_N,"modelo+año","modelo")))</f>
        <v/>
      </c>
      <c r="BN77" s="4">
        <f>(BL77-O77)/BL77</f>
        <v/>
      </c>
      <c r="BO77" s="3">
        <f>IF(COUNTIFS(FR_FUEL,K77,FR_YEAR,AP77)&gt;0,1,0)</f>
        <v/>
      </c>
      <c r="BP77" s="3">
        <f>IF(COUNTIFS(FR_FUEL,K77,FR_YEAR,AP77-1)&gt;0,1,0)</f>
        <v/>
      </c>
      <c r="BQ77" s="4">
        <f>IF(N(AQ77)&gt;0,AP77*100+AQ77,IF(AND(BO77=1,BP77=1),(AP77-1)*100+1,AP77*100+1))</f>
        <v/>
      </c>
      <c r="BR77" s="3">
        <f>IF(OR(K77="hibrido",K77="glp",K77="gnc",K77="phev"),"ECO",IF(K77="electrico","CERO",IF(K77="gasolina",IF(BQ77&gt;=GAS_C_YM,"C",IF(BQ77&gt;=GAS_B_YM,"B","A")),IF(K77="diesel",IF(BQ77&gt;=DIE_C_YM,"C",IF(BQ77&gt;=DIE_B_YM,"B","A")),""))))</f>
        <v/>
      </c>
      <c r="BS77" s="2" t="inlineStr">
        <is>
          <t>B</t>
        </is>
      </c>
      <c r="BT77" s="4">
        <f>IF(AU77="sí","sí",IF(AS77="regla",IF(AND(N(AQ77)=0,BO77=1),"sí","no"),"no"))</f>
        <v/>
      </c>
      <c r="BU77" s="3">
        <f>IFERROR(VLOOKUP(F77,MOD_TBL,16,0),IFERROR(VLOOKUP(E77,OCU_TBL,2,0),NEUTRO))</f>
        <v/>
      </c>
      <c r="BV77" s="3">
        <f>SUMIFS(MOT_AJUSTE,MOT_MOTOR,G77,MOT_MARCA,E77,MOT_DESDE,"&lt;="&amp;M77,MOT_HASTA,"&gt;="&amp;M77)+SUMIFS(MOT_AJUSTE,MOT_MOTOR,G77,MOT_MARCA,"(todas)",MOT_DESDE,"&lt;="&amp;M77,MOT_HASTA,"&gt;="&amp;M77)+SUMIFS(MOT_AJUSTE,MOT_MOTOR,"(cualquiera)",MOT_MARCA,E77,MOT_DESDE,"&lt;="&amp;M77,MOT_HASTA,"&gt;="&amp;M77)</f>
        <v/>
      </c>
      <c r="BW77" s="3">
        <f>SUMIFS(COMB_AJUSTE,COMB_COMB,K77)</f>
        <v/>
      </c>
      <c r="BX77" s="3">
        <f>COUNTIFS(MOT_MOTOR,G77,MOT_MARCA,E77,MOT_DESDE,"&lt;="&amp;M77,MOT_HASTA,"&gt;="&amp;M77)+COUNTIFS(MOT_MOTOR,G77,MOT_MARCA,"(todas)",MOT_DESDE,"&lt;="&amp;M77,MOT_HASTA,"&gt;="&amp;M77)+COUNTIFS(MOT_MOTOR,"(cualquiera)",MOT_MARCA,E77,MOT_DESDE,"&lt;="&amp;M77,MOT_HASTA,"&gt;="&amp;M77)</f>
        <v/>
      </c>
      <c r="BY77" s="3">
        <f>IF(AND(K77="diesel",BX77=0),MIN(BU77,NEUTRO),BU77)</f>
        <v/>
      </c>
      <c r="BZ77" s="3">
        <f>MAX(0,MIN(100,BY77+BV77+BW77-IF(AV77="sí",ROB_PEN,0)))</f>
        <v/>
      </c>
      <c r="CA77" s="3">
        <f>100-MAX(0,N77-KM_TOPE_DESDE)/1000*KM_TOPE_PTS</f>
        <v/>
      </c>
      <c r="CB77" s="3">
        <f>MAX(0,MIN(100,50+BN77*PRECIO_PEND,CA77))</f>
        <v/>
      </c>
      <c r="CC77" s="3">
        <f>MAX(0,100*(1-N77/KM_MAX))</f>
        <v/>
      </c>
      <c r="CD77" s="3">
        <f>IF(BE77&lt;KMA_SOSP,IF(AA77="sí",100,KMA_PEN),IF(BE77&lt;=KMA_IDEAL_MAX,100,MAX(0,100*(KMA_CERO-BE77)/(KMA_CERO-KMA_IDEAL_MAX))))</f>
        <v/>
      </c>
      <c r="CE77" s="3">
        <f>MAX(0,MIN(100,100*(M77-ANIO_MIN)/(ANIO_ACTUAL-ANIO_MIN)))</f>
        <v/>
      </c>
      <c r="CF77" s="3">
        <f>W_KMT*CC77+W_KMA*CD77+W_EDAD*CE77</f>
        <v/>
      </c>
      <c r="CG77" s="3">
        <f>P_ITV*(V77="sí")+P_LIBRO*(W77="sí")+P_CORREA*(X77="sí")+P_PROP*(Y77=1)+P_GAR*(Z77="sí")+P_FOTOS*MIN(1,N(U77)/FOTOS_OBJ)</f>
        <v/>
      </c>
      <c r="CH77" s="3">
        <f>MAX(0,MIN(100,IFERROR(VLOOKUP(BS77,ETQ_TBL,2,0),0)-IF(BT77="sí",ETQ_PEN_DUD,IF(AS77="regla",ETQ_PEN_REGLA,0))))</f>
        <v/>
      </c>
      <c r="CI77" s="3">
        <f>NEUTRO</f>
        <v/>
      </c>
      <c r="CJ77" s="3">
        <f>IFERROR(VLOOKUP(L77,SEGURO_TBL,3,0),"")</f>
        <v/>
      </c>
      <c r="CK77" s="3">
        <f>IF(CJ77="",NEUTRO,MAX(0,MIN(100,100*(SEG_REF_MAX-CJ77)/(SEG_REF_MAX-SEG_REF_MIN))))</f>
        <v/>
      </c>
      <c r="CL77" s="3">
        <f>W_CONS*CI77+W_SEG*CK77</f>
        <v/>
      </c>
      <c r="CM77" s="3">
        <f>IF(N(AB77)&gt;0,AB77,IF(AND(R77="profesional",SG_LEGAL_ON=1),GAR_LEGAL,0))</f>
        <v/>
      </c>
      <c r="CN77" s="3">
        <f>SG_GAR*MIN(1,CM77/SG_GAR_FULL)+SG_AMPL*(AC77="sí")+SG_KMC*(AF77="sí")+SG_REV*(N(AE77)&gt;0)+SG_DEV*MIN(1,N(AG77)/SG_DEV_FULL)+SG_HIST*(W77="sí")</f>
        <v/>
      </c>
      <c r="CO77" s="3">
        <f>IFERROR(VLOOKUP(L77,CARR_PEN_TBL,2,0),0)</f>
        <v/>
      </c>
      <c r="CP77" s="3">
        <f>W_FIAB*BZ77+W_PRECIO*CB77+W_KMEDAD*CF77+W_ANUNCIO*CG77+W_USO*CL77+W_SEGURIDAD*CN77+W_ETIQUETA*CH77-CO77</f>
        <v/>
      </c>
      <c r="CQ77" s="4">
        <f>IF(N(I77)&gt;0,I77,IFERROR(ROUND(_xlfn.NUMBERVALUE(LEFT(G77,FIND(" ",G77&amp;" ")-1),".")*1000,0),99999))</f>
        <v/>
      </c>
      <c r="CR77" s="3">
        <f>IF(R77="profesional",0,IF(O77&lt;CUOTA_VALOR_MAX,IF(BD77&gt;ITP_TRAMO_ALTO,SUMIFS(CF_CUOTA,CF_MAS,ITP_TRAMO_ALTO,CF_CCMIN,"&lt;="&amp;CQ77,CF_CCMAX,"&gt;="&amp;CQ77),IF(BD77&gt;ITP_TRAMO_BAJO,SUMIFS(CF_CUOTA,CF_MAS,ITP_TRAMO_BAJO,CF_CCMIN,"&lt;="&amp;CQ77,CF_CCMAX,"&gt;="&amp;CQ77),O77*ITP_TIPO)),O77*ITP_TIPO))</f>
        <v/>
      </c>
      <c r="CS77" s="4">
        <f>IF(R77="profesional",N(AK77),0)</f>
        <v/>
      </c>
      <c r="CT77" s="3">
        <f>IF(AND(R77="profesional",ISNUMBER(AK77),AL77="sí"),0,TASA_DGT)</f>
        <v/>
      </c>
      <c r="CU77" s="3">
        <f>INFORME_DGT</f>
        <v/>
      </c>
      <c r="CV77" s="4">
        <f>O77+CS77+CR77+CT77+CU77</f>
        <v/>
      </c>
      <c r="CW77" s="4">
        <f>CV77+N(CJ77)</f>
        <v/>
      </c>
      <c r="CX77" s="3">
        <f>IF(CV77&lt;=TOTAL_MAX,"sí",IF(CV77&lt;=TOTAL_MAX+MARGEN_NEG,"negociar","no"))</f>
        <v/>
      </c>
      <c r="CY77" s="4">
        <f>IF(CX77&lt;&gt;"no",COUNTIFS($CX$2:$CX$101,"&lt;&gt;no",$CP$2:$CP$101,"&gt;"&amp;CP77)+COUNTIFS($CX$2:CX77,"&lt;&gt;no",$CP$2:CP77,CP77),"")</f>
        <v/>
      </c>
    </row>
    <row r="78">
      <c r="A78" s="2" t="inlineStr">
        <is>
          <t>cochesnet:71021675</t>
        </is>
      </c>
      <c r="B78" s="2" t="inlineStr">
        <is>
          <t>cochesnet</t>
        </is>
      </c>
      <c r="C78" s="2" t="inlineStr">
        <is>
          <t>https://www.coches.net/ford-fiesta-14-tdci-trend-5p-diesel-2011-en-valencia-71021675-covo.aspx</t>
        </is>
      </c>
      <c r="D78" s="2" t="inlineStr">
        <is>
          <t>FORD Fiesta 1.4 TDCi Trend</t>
        </is>
      </c>
      <c r="E78" s="2" t="inlineStr">
        <is>
          <t>Ford</t>
        </is>
      </c>
      <c r="F78" s="2" t="inlineStr">
        <is>
          <t>Ford Fiesta</t>
        </is>
      </c>
      <c r="G78" s="2" t="inlineStr">
        <is>
          <t>1.4 TDCi</t>
        </is>
      </c>
      <c r="H78" s="2" t="inlineStr">
        <is>
          <t>1.4 TDCi Trend</t>
        </is>
      </c>
      <c r="I78" s="2" t="n"/>
      <c r="J78" s="2" t="n"/>
      <c r="K78" s="2" t="inlineStr">
        <is>
          <t>diesel</t>
        </is>
      </c>
      <c r="L78" s="2" t="inlineStr">
        <is>
          <t>utilitario</t>
        </is>
      </c>
      <c r="M78" s="2" t="n">
        <v>2011</v>
      </c>
      <c r="N78" s="2" t="n">
        <v>141000</v>
      </c>
      <c r="O78" s="2" t="n">
        <v>5000</v>
      </c>
      <c r="P78" s="2" t="inlineStr">
        <is>
          <t>manual</t>
        </is>
      </c>
      <c r="Q78" s="2" t="inlineStr">
        <is>
          <t>no</t>
        </is>
      </c>
      <c r="R78" s="2" t="inlineStr">
        <is>
          <t>profesional</t>
        </is>
      </c>
      <c r="S78" s="2" t="inlineStr">
        <is>
          <t>Beniparrell</t>
        </is>
      </c>
      <c r="T78" s="2" t="inlineStr">
        <is>
          <t>2026-10-05T12:39:23Z</t>
        </is>
      </c>
      <c r="U78" s="2" t="n">
        <v>13</v>
      </c>
      <c r="V78" s="2" t="n"/>
      <c r="W78" s="2" t="n"/>
      <c r="X78" s="2" t="n"/>
      <c r="Y78" s="2" t="n"/>
      <c r="Z78" s="2" t="inlineStr">
        <is>
          <t>sí</t>
        </is>
      </c>
      <c r="AA78" s="2" t="n"/>
      <c r="AB78" s="2" t="n">
        <v>12</v>
      </c>
      <c r="AC78" s="2" t="n"/>
      <c r="AD78" s="2" t="n"/>
      <c r="AE78" s="2" t="n"/>
      <c r="AF78" s="2" t="n"/>
      <c r="AG78" s="2" t="n"/>
      <c r="AH78" s="2" t="n">
        <v>5000</v>
      </c>
      <c r="AI78" s="2" t="n"/>
      <c r="AJ78" s="2" t="n"/>
      <c r="AK78" s="2" t="n"/>
      <c r="AL78" s="2" t="n"/>
      <c r="AM78" s="2" t="n">
        <v>10.2</v>
      </c>
      <c r="AN78" s="2" t="n"/>
      <c r="AO78" s="2" t="inlineStr">
        <is>
          <t>2011</t>
        </is>
      </c>
      <c r="AP78" s="2" t="n">
        <v>2011</v>
      </c>
      <c r="AQ78" s="2" t="n"/>
      <c r="AR78" s="2" t="inlineStr">
        <is>
          <t>B</t>
        </is>
      </c>
      <c r="AS78" s="2" t="inlineStr">
        <is>
          <t>anuncio</t>
        </is>
      </c>
      <c r="AT78" s="2" t="n"/>
      <c r="AU78" s="2" t="inlineStr">
        <is>
          <t>no</t>
        </is>
      </c>
      <c r="AV78" s="2" t="inlineStr">
        <is>
          <t>no</t>
        </is>
      </c>
      <c r="AW78" s="2" t="n">
        <v>4700</v>
      </c>
      <c r="AX78" s="2" t="n">
        <v>4</v>
      </c>
      <c r="AY78" s="2" t="inlineStr">
        <is>
          <t>modelo+año+km</t>
        </is>
      </c>
      <c r="AZ78" s="2" t="n"/>
      <c r="BA78" s="2" t="inlineStr">
        <is>
          <t>por encima del presupuesto (5064 €), negociar; vendedor profesional: sin ITP (operación con IVA/REBU, confirmar en factura); gastos de gestión del vendedor no indicados: se suma la tasa DGT; preguntar el precio final; diésel: motor sin fuente de fiabilidad (fiabilidad limitada a neutra); revisar: no menciona la ITV</t>
        </is>
      </c>
      <c r="BB78" s="2" t="inlineStr">
        <is>
          <t>Este Ford Fiesta 1.4 TDCi Trend es un berlina compacto de cinco puertas que destaca por su practicidad y eficiencia en consumo. El motor diésel de 1.4 litros entrega 70 CV con un par de 160 Nm, ofreciendo un comportamiento equilibrado tanto en circulación urbana como en carretera. La transmisión manual de cinco velocidades proporciona un control directo y contribuye a mantener consumos moderados, con una media de 4,1 l/100 km en ciclo mixto.
El espacio interior resulta funcional para el segmento: 295 litros de maletero con asientos montados, ampliables a 979 litros con los respaldos traseros abatidos. Los asientos delanteros incluyen ajuste en altura manual y los traseros cuentan con respaldo abatible asimétrico, lo que facilita la versatilidad de carga. La dirección asistida eléctrica con endurecimiento progresivo y la suspensión independiente delantera tipo McPherson proporcionan una conducción cómoda y controlada.
En cuanto a seguridad, este vehículo incorpora airbags frontales inteligentes y laterales delanteros, cinturones de seguridad con pretensores en los asientos delanteros, ABS y control de estabilidad. Los cristales tintados mejoran la privacidad y el confort térmico.
El equipamiento de confort incluye cierre centralizado con mando a distancia, elevalunas eléctricos delanteros con función de un solo toque, volante ajustable en altura y profundidad, y sistema de ventilación con filtro de pólen. El ordenador de viaje facilita el seguimiento del consumo y la autono</t>
        </is>
      </c>
      <c r="BC78" s="2" t="inlineStr">
        <is>
          <t>https://www.coches.net/ford-fiesta-14-tdci-trend-5p-diesel-2011-en-valencia-71021675-covo.aspx (window.__INITIAL_PROPS__.ad) /home/user/Alopecia/buscador-coches/raw/cochesnet/1f22be94c870808d.json</t>
        </is>
      </c>
      <c r="BD78" s="3">
        <f>MAX(ANIO_ACTUAL-M78,0)</f>
        <v/>
      </c>
      <c r="BE78" s="4">
        <f>N78/MAX(BD78,0.5)</f>
        <v/>
      </c>
      <c r="BF78" s="4">
        <f>F78</f>
        <v/>
      </c>
      <c r="BG78" s="3">
        <f>BF78&amp;"|"&amp;INT(M78/SEG_ANIO)*SEG_ANIO</f>
        <v/>
      </c>
      <c r="BH78" s="3">
        <f>BG78&amp;"|"&amp;INT(N78/SEG_KM)*SEG_KM</f>
        <v/>
      </c>
      <c r="BI78" s="4">
        <f>COUNTIF($BF$2:$BF$101,BF78)</f>
        <v/>
      </c>
      <c r="BJ78" s="4">
        <f>COUNTIF($BG$2:$BG$101,BG78)</f>
        <v/>
      </c>
      <c r="BK78" s="4">
        <f>COUNTIF($BH$2:$BH$101,BH78)</f>
        <v/>
      </c>
      <c r="BL78" s="3">
        <f t="array" ref="BL78">IF(N(AX78)&gt;=MIN_N,AW78,IF(BK78&gt;=MIN_N,MEDIAN(IF($BH$2:$BH$101=BH78,$O$2:$O$101)),IF(BJ78&gt;=MIN_N,MEDIAN(IF($BG$2:$BG$101=BG78,$O$2:$O$101)),MEDIAN(IF($BF$2:$BF$101=BF78,$O$2:$O$101)))))</f>
        <v/>
      </c>
      <c r="BM78" s="3">
        <f>IF(N(AX78)&gt;=MIN_N,"mercado "&amp;AY78,IF(BK78&gt;=MIN_N,"modelo+año+km",IF(BJ78&gt;=MIN_N,"modelo+año","modelo")))</f>
        <v/>
      </c>
      <c r="BN78" s="4">
        <f>(BL78-O78)/BL78</f>
        <v/>
      </c>
      <c r="BO78" s="3">
        <f>IF(COUNTIFS(FR_FUEL,K78,FR_YEAR,AP78)&gt;0,1,0)</f>
        <v/>
      </c>
      <c r="BP78" s="3">
        <f>IF(COUNTIFS(FR_FUEL,K78,FR_YEAR,AP78-1)&gt;0,1,0)</f>
        <v/>
      </c>
      <c r="BQ78" s="4">
        <f>IF(N(AQ78)&gt;0,AP78*100+AQ78,IF(AND(BO78=1,BP78=1),(AP78-1)*100+1,AP78*100+1))</f>
        <v/>
      </c>
      <c r="BR78" s="3">
        <f>IF(OR(K78="hibrido",K78="glp",K78="gnc",K78="phev"),"ECO",IF(K78="electrico","CERO",IF(K78="gasolina",IF(BQ78&gt;=GAS_C_YM,"C",IF(BQ78&gt;=GAS_B_YM,"B","A")),IF(K78="diesel",IF(BQ78&gt;=DIE_C_YM,"C",IF(BQ78&gt;=DIE_B_YM,"B","A")),""))))</f>
        <v/>
      </c>
      <c r="BS78" s="2" t="inlineStr">
        <is>
          <t>B</t>
        </is>
      </c>
      <c r="BT78" s="4">
        <f>IF(AU78="sí","sí",IF(AS78="regla",IF(AND(N(AQ78)=0,BO78=1),"sí","no"),"no"))</f>
        <v/>
      </c>
      <c r="BU78" s="3">
        <f>IFERROR(VLOOKUP(F78,MOD_TBL,16,0),IFERROR(VLOOKUP(E78,OCU_TBL,2,0),NEUTRO))</f>
        <v/>
      </c>
      <c r="BV78" s="3">
        <f>SUMIFS(MOT_AJUSTE,MOT_MOTOR,G78,MOT_MARCA,E78,MOT_DESDE,"&lt;="&amp;M78,MOT_HASTA,"&gt;="&amp;M78)+SUMIFS(MOT_AJUSTE,MOT_MOTOR,G78,MOT_MARCA,"(todas)",MOT_DESDE,"&lt;="&amp;M78,MOT_HASTA,"&gt;="&amp;M78)+SUMIFS(MOT_AJUSTE,MOT_MOTOR,"(cualquiera)",MOT_MARCA,E78,MOT_DESDE,"&lt;="&amp;M78,MOT_HASTA,"&gt;="&amp;M78)</f>
        <v/>
      </c>
      <c r="BW78" s="3">
        <f>SUMIFS(COMB_AJUSTE,COMB_COMB,K78)</f>
        <v/>
      </c>
      <c r="BX78" s="3">
        <f>COUNTIFS(MOT_MOTOR,G78,MOT_MARCA,E78,MOT_DESDE,"&lt;="&amp;M78,MOT_HASTA,"&gt;="&amp;M78)+COUNTIFS(MOT_MOTOR,G78,MOT_MARCA,"(todas)",MOT_DESDE,"&lt;="&amp;M78,MOT_HASTA,"&gt;="&amp;M78)+COUNTIFS(MOT_MOTOR,"(cualquiera)",MOT_MARCA,E78,MOT_DESDE,"&lt;="&amp;M78,MOT_HASTA,"&gt;="&amp;M78)</f>
        <v/>
      </c>
      <c r="BY78" s="3">
        <f>IF(AND(K78="diesel",BX78=0),MIN(BU78,NEUTRO),BU78)</f>
        <v/>
      </c>
      <c r="BZ78" s="3">
        <f>MAX(0,MIN(100,BY78+BV78+BW78-IF(AV78="sí",ROB_PEN,0)))</f>
        <v/>
      </c>
      <c r="CA78" s="3">
        <f>100-MAX(0,N78-KM_TOPE_DESDE)/1000*KM_TOPE_PTS</f>
        <v/>
      </c>
      <c r="CB78" s="3">
        <f>MAX(0,MIN(100,50+BN78*PRECIO_PEND,CA78))</f>
        <v/>
      </c>
      <c r="CC78" s="3">
        <f>MAX(0,100*(1-N78/KM_MAX))</f>
        <v/>
      </c>
      <c r="CD78" s="3">
        <f>IF(BE78&lt;KMA_SOSP,IF(AA78="sí",100,KMA_PEN),IF(BE78&lt;=KMA_IDEAL_MAX,100,MAX(0,100*(KMA_CERO-BE78)/(KMA_CERO-KMA_IDEAL_MAX))))</f>
        <v/>
      </c>
      <c r="CE78" s="3">
        <f>MAX(0,MIN(100,100*(M78-ANIO_MIN)/(ANIO_ACTUAL-ANIO_MIN)))</f>
        <v/>
      </c>
      <c r="CF78" s="3">
        <f>W_KMT*CC78+W_KMA*CD78+W_EDAD*CE78</f>
        <v/>
      </c>
      <c r="CG78" s="3">
        <f>P_ITV*(V78="sí")+P_LIBRO*(W78="sí")+P_CORREA*(X78="sí")+P_PROP*(Y78=1)+P_GAR*(Z78="sí")+P_FOTOS*MIN(1,N(U78)/FOTOS_OBJ)</f>
        <v/>
      </c>
      <c r="CH78" s="3">
        <f>MAX(0,MIN(100,IFERROR(VLOOKUP(BS78,ETQ_TBL,2,0),0)-IF(BT78="sí",ETQ_PEN_DUD,IF(AS78="regla",ETQ_PEN_REGLA,0))))</f>
        <v/>
      </c>
      <c r="CI78" s="3">
        <f>NEUTRO</f>
        <v/>
      </c>
      <c r="CJ78" s="3">
        <f>IFERROR(VLOOKUP(L78,SEGURO_TBL,3,0),"")</f>
        <v/>
      </c>
      <c r="CK78" s="3">
        <f>IF(CJ78="",NEUTRO,MAX(0,MIN(100,100*(SEG_REF_MAX-CJ78)/(SEG_REF_MAX-SEG_REF_MIN))))</f>
        <v/>
      </c>
      <c r="CL78" s="3">
        <f>W_CONS*CI78+W_SEG*CK78</f>
        <v/>
      </c>
      <c r="CM78" s="3">
        <f>IF(N(AB78)&gt;0,AB78,IF(AND(R78="profesional",SG_LEGAL_ON=1),GAR_LEGAL,0))</f>
        <v/>
      </c>
      <c r="CN78" s="3">
        <f>SG_GAR*MIN(1,CM78/SG_GAR_FULL)+SG_AMPL*(AC78="sí")+SG_KMC*(AF78="sí")+SG_REV*(N(AE78)&gt;0)+SG_DEV*MIN(1,N(AG78)/SG_DEV_FULL)+SG_HIST*(W78="sí")</f>
        <v/>
      </c>
      <c r="CO78" s="3">
        <f>IFERROR(VLOOKUP(L78,CARR_PEN_TBL,2,0),0)</f>
        <v/>
      </c>
      <c r="CP78" s="3">
        <f>W_FIAB*BZ78+W_PRECIO*CB78+W_KMEDAD*CF78+W_ANUNCIO*CG78+W_USO*CL78+W_SEGURIDAD*CN78+W_ETIQUETA*CH78-CO78</f>
        <v/>
      </c>
      <c r="CQ78" s="4">
        <f>IF(N(I78)&gt;0,I78,IFERROR(ROUND(_xlfn.NUMBERVALUE(LEFT(G78,FIND(" ",G78&amp;" ")-1),".")*1000,0),99999))</f>
        <v/>
      </c>
      <c r="CR78" s="3">
        <f>IF(R78="profesional",0,IF(O78&lt;CUOTA_VALOR_MAX,IF(BD78&gt;ITP_TRAMO_ALTO,SUMIFS(CF_CUOTA,CF_MAS,ITP_TRAMO_ALTO,CF_CCMIN,"&lt;="&amp;CQ78,CF_CCMAX,"&gt;="&amp;CQ78),IF(BD78&gt;ITP_TRAMO_BAJO,SUMIFS(CF_CUOTA,CF_MAS,ITP_TRAMO_BAJO,CF_CCMIN,"&lt;="&amp;CQ78,CF_CCMAX,"&gt;="&amp;CQ78),O78*ITP_TIPO)),O78*ITP_TIPO))</f>
        <v/>
      </c>
      <c r="CS78" s="4">
        <f>IF(R78="profesional",N(AK78),0)</f>
        <v/>
      </c>
      <c r="CT78" s="3">
        <f>IF(AND(R78="profesional",ISNUMBER(AK78),AL78="sí"),0,TASA_DGT)</f>
        <v/>
      </c>
      <c r="CU78" s="3">
        <f>INFORME_DGT</f>
        <v/>
      </c>
      <c r="CV78" s="4">
        <f>O78+CS78+CR78+CT78+CU78</f>
        <v/>
      </c>
      <c r="CW78" s="4">
        <f>CV78+N(CJ78)</f>
        <v/>
      </c>
      <c r="CX78" s="3">
        <f>IF(CV78&lt;=TOTAL_MAX,"sí",IF(CV78&lt;=TOTAL_MAX+MARGEN_NEG,"negociar","no"))</f>
        <v/>
      </c>
      <c r="CY78" s="4">
        <f>IF(CX78&lt;&gt;"no",COUNTIFS($CX$2:$CX$101,"&lt;&gt;no",$CP$2:$CP$101,"&gt;"&amp;CP78)+COUNTIFS($CX$2:CX78,"&lt;&gt;no",$CP$2:CP78,CP78),"")</f>
        <v/>
      </c>
    </row>
    <row r="79">
      <c r="A79" s="2" t="inlineStr">
        <is>
          <t>cochesnet:71579775</t>
        </is>
      </c>
      <c r="B79" s="2" t="inlineStr">
        <is>
          <t>cochesnet</t>
        </is>
      </c>
      <c r="C79" s="2" t="inlineStr">
        <is>
          <t>https://www.coches.net/ford-fiesta-14-tdci-ghia-5p-diesel-2009-en-valencia-71579775-covo.aspx</t>
        </is>
      </c>
      <c r="D79" s="2" t="inlineStr">
        <is>
          <t>FORD Fiesta 1.4 TDCi Ghia</t>
        </is>
      </c>
      <c r="E79" s="2" t="inlineStr">
        <is>
          <t>Ford</t>
        </is>
      </c>
      <c r="F79" s="2" t="inlineStr">
        <is>
          <t>Ford Fiesta</t>
        </is>
      </c>
      <c r="G79" s="2" t="inlineStr">
        <is>
          <t>1.4 TDCi</t>
        </is>
      </c>
      <c r="H79" s="2" t="inlineStr">
        <is>
          <t>1.4 TDCi Ghia</t>
        </is>
      </c>
      <c r="I79" s="2" t="n"/>
      <c r="J79" s="2" t="n"/>
      <c r="K79" s="2" t="inlineStr">
        <is>
          <t>diesel</t>
        </is>
      </c>
      <c r="L79" s="2" t="inlineStr">
        <is>
          <t>utilitario</t>
        </is>
      </c>
      <c r="M79" s="2" t="n">
        <v>2009</v>
      </c>
      <c r="N79" s="2" t="n">
        <v>149000</v>
      </c>
      <c r="O79" s="2" t="n">
        <v>4990</v>
      </c>
      <c r="P79" s="2" t="inlineStr">
        <is>
          <t>manual</t>
        </is>
      </c>
      <c r="Q79" s="2" t="inlineStr">
        <is>
          <t>no</t>
        </is>
      </c>
      <c r="R79" s="2" t="inlineStr">
        <is>
          <t>profesional</t>
        </is>
      </c>
      <c r="S79" s="2" t="inlineStr">
        <is>
          <t>IMPER BLUE Bonrepòs i Mirambell</t>
        </is>
      </c>
      <c r="T79" s="2" t="inlineStr">
        <is>
          <t>2026-09-23T12:26:07Z</t>
        </is>
      </c>
      <c r="U79" s="2" t="n">
        <v>17</v>
      </c>
      <c r="V79" s="2" t="inlineStr">
        <is>
          <t>sí</t>
        </is>
      </c>
      <c r="W79" s="2" t="n"/>
      <c r="X79" s="2" t="n"/>
      <c r="Y79" s="2" t="n"/>
      <c r="Z79" s="2" t="inlineStr">
        <is>
          <t>sí</t>
        </is>
      </c>
      <c r="AA79" s="2" t="n"/>
      <c r="AB79" s="2" t="n">
        <v>12</v>
      </c>
      <c r="AC79" s="2" t="n"/>
      <c r="AD79" s="2" t="n"/>
      <c r="AE79" s="2" t="n"/>
      <c r="AF79" s="2" t="n"/>
      <c r="AG79" s="2" t="n"/>
      <c r="AH79" s="2" t="n">
        <v>4990</v>
      </c>
      <c r="AI79" s="2" t="n">
        <v>4990</v>
      </c>
      <c r="AJ79" s="2" t="n"/>
      <c r="AK79" s="2" t="n"/>
      <c r="AL79" s="2" t="n"/>
      <c r="AM79" s="2" t="n">
        <v>5.3</v>
      </c>
      <c r="AN79" s="2" t="n"/>
      <c r="AO79" s="2" t="inlineStr">
        <is>
          <t>2009</t>
        </is>
      </c>
      <c r="AP79" s="2" t="n">
        <v>2009</v>
      </c>
      <c r="AQ79" s="2" t="n"/>
      <c r="AR79" s="2" t="inlineStr">
        <is>
          <t>B</t>
        </is>
      </c>
      <c r="AS79" s="2" t="inlineStr">
        <is>
          <t>anuncio</t>
        </is>
      </c>
      <c r="AT79" s="2" t="n"/>
      <c r="AU79" s="2" t="inlineStr">
        <is>
          <t>no</t>
        </is>
      </c>
      <c r="AV79" s="2" t="inlineStr">
        <is>
          <t>no</t>
        </is>
      </c>
      <c r="AW79" s="2" t="n">
        <v>4990</v>
      </c>
      <c r="AX79" s="2" t="n">
        <v>9</v>
      </c>
      <c r="AY79" s="2" t="inlineStr">
        <is>
          <t>modelo+año+km</t>
        </is>
      </c>
      <c r="AZ79" s="2" t="n"/>
      <c r="BA79"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BB79" s="2" t="inlineStr">
        <is>
          <t>- IMPER BLUE - 
Concesionario multimarca con mas de 300 vehículos en stock.
Vehículo nacional en perfecto estado de funcionamiento general , cuenta con las 2 llaves originales y se entrega con mantenimiento e ITV al día. 
GARANTIA de 12 meses INCLUIDA en el precio.
Ford fiesta 1.4 Diesel tdci motor super fiable con un consumo muy bajo ideal para el día a día, vehículo bien cuidado con un perfecto funcionamiento total. 
Dispone de paquete deportivo con llantas de aluminio 5 radios
Climatizador digital
Eleva lunas eléctricos
Radio con conexión para el móvil
Cierre centralizado 
Para mas información no dude en contactarnos, el anuncio puede contener errores tipográficos.</t>
        </is>
      </c>
      <c r="BC79" s="2" t="inlineStr">
        <is>
          <t>https://www.coches.net/ford-fiesta-14-tdci-ghia-5p-diesel-2009-en-valencia-71579775-covo.aspx (window.__INITIAL_PROPS__.ad) /home/user/Alopecia/buscador-coches/raw/cochesnet/e6fe16c41392a16e.json</t>
        </is>
      </c>
      <c r="BD79" s="3">
        <f>MAX(ANIO_ACTUAL-M79,0)</f>
        <v/>
      </c>
      <c r="BE79" s="4">
        <f>N79/MAX(BD79,0.5)</f>
        <v/>
      </c>
      <c r="BF79" s="4">
        <f>F79</f>
        <v/>
      </c>
      <c r="BG79" s="3">
        <f>BF79&amp;"|"&amp;INT(M79/SEG_ANIO)*SEG_ANIO</f>
        <v/>
      </c>
      <c r="BH79" s="3">
        <f>BG79&amp;"|"&amp;INT(N79/SEG_KM)*SEG_KM</f>
        <v/>
      </c>
      <c r="BI79" s="4">
        <f>COUNTIF($BF$2:$BF$101,BF79)</f>
        <v/>
      </c>
      <c r="BJ79" s="4">
        <f>COUNTIF($BG$2:$BG$101,BG79)</f>
        <v/>
      </c>
      <c r="BK79" s="4">
        <f>COUNTIF($BH$2:$BH$101,BH79)</f>
        <v/>
      </c>
      <c r="BL79" s="3">
        <f t="array" ref="BL79">IF(N(AX79)&gt;=MIN_N,AW79,IF(BK79&gt;=MIN_N,MEDIAN(IF($BH$2:$BH$101=BH79,$O$2:$O$101)),IF(BJ79&gt;=MIN_N,MEDIAN(IF($BG$2:$BG$101=BG79,$O$2:$O$101)),MEDIAN(IF($BF$2:$BF$101=BF79,$O$2:$O$101)))))</f>
        <v/>
      </c>
      <c r="BM79" s="3">
        <f>IF(N(AX79)&gt;=MIN_N,"mercado "&amp;AY79,IF(BK79&gt;=MIN_N,"modelo+año+km",IF(BJ79&gt;=MIN_N,"modelo+año","modelo")))</f>
        <v/>
      </c>
      <c r="BN79" s="4">
        <f>(BL79-O79)/BL79</f>
        <v/>
      </c>
      <c r="BO79" s="3">
        <f>IF(COUNTIFS(FR_FUEL,K79,FR_YEAR,AP79)&gt;0,1,0)</f>
        <v/>
      </c>
      <c r="BP79" s="3">
        <f>IF(COUNTIFS(FR_FUEL,K79,FR_YEAR,AP79-1)&gt;0,1,0)</f>
        <v/>
      </c>
      <c r="BQ79" s="4">
        <f>IF(N(AQ79)&gt;0,AP79*100+AQ79,IF(AND(BO79=1,BP79=1),(AP79-1)*100+1,AP79*100+1))</f>
        <v/>
      </c>
      <c r="BR79" s="3">
        <f>IF(OR(K79="hibrido",K79="glp",K79="gnc",K79="phev"),"ECO",IF(K79="electrico","CERO",IF(K79="gasolina",IF(BQ79&gt;=GAS_C_YM,"C",IF(BQ79&gt;=GAS_B_YM,"B","A")),IF(K79="diesel",IF(BQ79&gt;=DIE_C_YM,"C",IF(BQ79&gt;=DIE_B_YM,"B","A")),""))))</f>
        <v/>
      </c>
      <c r="BS79" s="2" t="inlineStr">
        <is>
          <t>B</t>
        </is>
      </c>
      <c r="BT79" s="4">
        <f>IF(AU79="sí","sí",IF(AS79="regla",IF(AND(N(AQ79)=0,BO79=1),"sí","no"),"no"))</f>
        <v/>
      </c>
      <c r="BU79" s="3">
        <f>IFERROR(VLOOKUP(F79,MOD_TBL,16,0),IFERROR(VLOOKUP(E79,OCU_TBL,2,0),NEUTRO))</f>
        <v/>
      </c>
      <c r="BV79" s="3">
        <f>SUMIFS(MOT_AJUSTE,MOT_MOTOR,G79,MOT_MARCA,E79,MOT_DESDE,"&lt;="&amp;M79,MOT_HASTA,"&gt;="&amp;M79)+SUMIFS(MOT_AJUSTE,MOT_MOTOR,G79,MOT_MARCA,"(todas)",MOT_DESDE,"&lt;="&amp;M79,MOT_HASTA,"&gt;="&amp;M79)+SUMIFS(MOT_AJUSTE,MOT_MOTOR,"(cualquiera)",MOT_MARCA,E79,MOT_DESDE,"&lt;="&amp;M79,MOT_HASTA,"&gt;="&amp;M79)</f>
        <v/>
      </c>
      <c r="BW79" s="3">
        <f>SUMIFS(COMB_AJUSTE,COMB_COMB,K79)</f>
        <v/>
      </c>
      <c r="BX79" s="3">
        <f>COUNTIFS(MOT_MOTOR,G79,MOT_MARCA,E79,MOT_DESDE,"&lt;="&amp;M79,MOT_HASTA,"&gt;="&amp;M79)+COUNTIFS(MOT_MOTOR,G79,MOT_MARCA,"(todas)",MOT_DESDE,"&lt;="&amp;M79,MOT_HASTA,"&gt;="&amp;M79)+COUNTIFS(MOT_MOTOR,"(cualquiera)",MOT_MARCA,E79,MOT_DESDE,"&lt;="&amp;M79,MOT_HASTA,"&gt;="&amp;M79)</f>
        <v/>
      </c>
      <c r="BY79" s="3">
        <f>IF(AND(K79="diesel",BX79=0),MIN(BU79,NEUTRO),BU79)</f>
        <v/>
      </c>
      <c r="BZ79" s="3">
        <f>MAX(0,MIN(100,BY79+BV79+BW79-IF(AV79="sí",ROB_PEN,0)))</f>
        <v/>
      </c>
      <c r="CA79" s="3">
        <f>100-MAX(0,N79-KM_TOPE_DESDE)/1000*KM_TOPE_PTS</f>
        <v/>
      </c>
      <c r="CB79" s="3">
        <f>MAX(0,MIN(100,50+BN79*PRECIO_PEND,CA79))</f>
        <v/>
      </c>
      <c r="CC79" s="3">
        <f>MAX(0,100*(1-N79/KM_MAX))</f>
        <v/>
      </c>
      <c r="CD79" s="3">
        <f>IF(BE79&lt;KMA_SOSP,IF(AA79="sí",100,KMA_PEN),IF(BE79&lt;=KMA_IDEAL_MAX,100,MAX(0,100*(KMA_CERO-BE79)/(KMA_CERO-KMA_IDEAL_MAX))))</f>
        <v/>
      </c>
      <c r="CE79" s="3">
        <f>MAX(0,MIN(100,100*(M79-ANIO_MIN)/(ANIO_ACTUAL-ANIO_MIN)))</f>
        <v/>
      </c>
      <c r="CF79" s="3">
        <f>W_KMT*CC79+W_KMA*CD79+W_EDAD*CE79</f>
        <v/>
      </c>
      <c r="CG79" s="3">
        <f>P_ITV*(V79="sí")+P_LIBRO*(W79="sí")+P_CORREA*(X79="sí")+P_PROP*(Y79=1)+P_GAR*(Z79="sí")+P_FOTOS*MIN(1,N(U79)/FOTOS_OBJ)</f>
        <v/>
      </c>
      <c r="CH79" s="3">
        <f>MAX(0,MIN(100,IFERROR(VLOOKUP(BS79,ETQ_TBL,2,0),0)-IF(BT79="sí",ETQ_PEN_DUD,IF(AS79="regla",ETQ_PEN_REGLA,0))))</f>
        <v/>
      </c>
      <c r="CI79" s="3">
        <f>NEUTRO</f>
        <v/>
      </c>
      <c r="CJ79" s="3">
        <f>IFERROR(VLOOKUP(L79,SEGURO_TBL,3,0),"")</f>
        <v/>
      </c>
      <c r="CK79" s="3">
        <f>IF(CJ79="",NEUTRO,MAX(0,MIN(100,100*(SEG_REF_MAX-CJ79)/(SEG_REF_MAX-SEG_REF_MIN))))</f>
        <v/>
      </c>
      <c r="CL79" s="3">
        <f>W_CONS*CI79+W_SEG*CK79</f>
        <v/>
      </c>
      <c r="CM79" s="3">
        <f>IF(N(AB79)&gt;0,AB79,IF(AND(R79="profesional",SG_LEGAL_ON=1),GAR_LEGAL,0))</f>
        <v/>
      </c>
      <c r="CN79" s="3">
        <f>SG_GAR*MIN(1,CM79/SG_GAR_FULL)+SG_AMPL*(AC79="sí")+SG_KMC*(AF79="sí")+SG_REV*(N(AE79)&gt;0)+SG_DEV*MIN(1,N(AG79)/SG_DEV_FULL)+SG_HIST*(W79="sí")</f>
        <v/>
      </c>
      <c r="CO79" s="3">
        <f>IFERROR(VLOOKUP(L79,CARR_PEN_TBL,2,0),0)</f>
        <v/>
      </c>
      <c r="CP79" s="3">
        <f>W_FIAB*BZ79+W_PRECIO*CB79+W_KMEDAD*CF79+W_ANUNCIO*CG79+W_USO*CL79+W_SEGURIDAD*CN79+W_ETIQUETA*CH79-CO79</f>
        <v/>
      </c>
      <c r="CQ79" s="4">
        <f>IF(N(I79)&gt;0,I79,IFERROR(ROUND(_xlfn.NUMBERVALUE(LEFT(G79,FIND(" ",G79&amp;" ")-1),".")*1000,0),99999))</f>
        <v/>
      </c>
      <c r="CR79" s="3">
        <f>IF(R79="profesional",0,IF(O79&lt;CUOTA_VALOR_MAX,IF(BD79&gt;ITP_TRAMO_ALTO,SUMIFS(CF_CUOTA,CF_MAS,ITP_TRAMO_ALTO,CF_CCMIN,"&lt;="&amp;CQ79,CF_CCMAX,"&gt;="&amp;CQ79),IF(BD79&gt;ITP_TRAMO_BAJO,SUMIFS(CF_CUOTA,CF_MAS,ITP_TRAMO_BAJO,CF_CCMIN,"&lt;="&amp;CQ79,CF_CCMAX,"&gt;="&amp;CQ79),O79*ITP_TIPO)),O79*ITP_TIPO))</f>
        <v/>
      </c>
      <c r="CS79" s="4">
        <f>IF(R79="profesional",N(AK79),0)</f>
        <v/>
      </c>
      <c r="CT79" s="3">
        <f>IF(AND(R79="profesional",ISNUMBER(AK79),AL79="sí"),0,TASA_DGT)</f>
        <v/>
      </c>
      <c r="CU79" s="3">
        <f>INFORME_DGT</f>
        <v/>
      </c>
      <c r="CV79" s="4">
        <f>O79+CS79+CR79+CT79+CU79</f>
        <v/>
      </c>
      <c r="CW79" s="4">
        <f>CV79+N(CJ79)</f>
        <v/>
      </c>
      <c r="CX79" s="3">
        <f>IF(CV79&lt;=TOTAL_MAX,"sí",IF(CV79&lt;=TOTAL_MAX+MARGEN_NEG,"negociar","no"))</f>
        <v/>
      </c>
      <c r="CY79" s="4">
        <f>IF(CX79&lt;&gt;"no",COUNTIFS($CX$2:$CX$101,"&lt;&gt;no",$CP$2:$CP$101,"&gt;"&amp;CP79)+COUNTIFS($CX$2:CX79,"&lt;&gt;no",$CP$2:CP79,CP79),"")</f>
        <v/>
      </c>
    </row>
    <row r="80">
      <c r="A80" s="2" t="inlineStr">
        <is>
          <t>cochesnet:71753984</t>
        </is>
      </c>
      <c r="B80" s="2" t="inlineStr">
        <is>
          <t>cochesnet</t>
        </is>
      </c>
      <c r="C80" s="2" t="inlineStr">
        <is>
          <t>https://www.coches.net/ford-focus-18-tdci-ghia-4p-diesel-2007-en-valencia-71753984-covo.aspx</t>
        </is>
      </c>
      <c r="D80" s="2" t="inlineStr">
        <is>
          <t>FORD Focus 1.8 TDCi Ghia</t>
        </is>
      </c>
      <c r="E80" s="2" t="inlineStr">
        <is>
          <t>Ford</t>
        </is>
      </c>
      <c r="F80" s="2" t="inlineStr">
        <is>
          <t>Ford Focus</t>
        </is>
      </c>
      <c r="G80" s="2" t="inlineStr">
        <is>
          <t>1.8 TDCi</t>
        </is>
      </c>
      <c r="H80" s="2" t="inlineStr">
        <is>
          <t>1.8 TDCi Ghia</t>
        </is>
      </c>
      <c r="I80" s="2" t="n"/>
      <c r="J80" s="2" t="n"/>
      <c r="K80" s="2" t="inlineStr">
        <is>
          <t>diesel</t>
        </is>
      </c>
      <c r="L80" s="2" t="inlineStr">
        <is>
          <t>compacto</t>
        </is>
      </c>
      <c r="M80" s="2" t="n">
        <v>2007</v>
      </c>
      <c r="N80" s="2" t="n">
        <v>208000</v>
      </c>
      <c r="O80" s="2" t="n">
        <v>3500</v>
      </c>
      <c r="P80" s="2" t="inlineStr">
        <is>
          <t>manual</t>
        </is>
      </c>
      <c r="Q80" s="2" t="inlineStr">
        <is>
          <t>no</t>
        </is>
      </c>
      <c r="R80" s="2" t="inlineStr">
        <is>
          <t>profesional</t>
        </is>
      </c>
      <c r="S80" s="2" t="inlineStr">
        <is>
          <t>Los autos locos xirivella  Xirivella</t>
        </is>
      </c>
      <c r="T80" s="2" t="inlineStr">
        <is>
          <t>2026-10-15T16:38:59Z</t>
        </is>
      </c>
      <c r="U80" s="2" t="n">
        <v>8</v>
      </c>
      <c r="V80" s="2" t="inlineStr">
        <is>
          <t>sí</t>
        </is>
      </c>
      <c r="W80" s="2" t="n"/>
      <c r="X80" s="2" t="n"/>
      <c r="Y80" s="2" t="n"/>
      <c r="Z80" s="2" t="inlineStr">
        <is>
          <t>sí</t>
        </is>
      </c>
      <c r="AA80" s="2" t="n"/>
      <c r="AB80" s="2" t="n">
        <v>12</v>
      </c>
      <c r="AC80" s="2" t="n"/>
      <c r="AD80" s="2" t="n"/>
      <c r="AE80" s="2" t="n"/>
      <c r="AF80" s="2" t="n"/>
      <c r="AG80" s="2" t="n"/>
      <c r="AH80" s="2" t="n">
        <v>3500</v>
      </c>
      <c r="AI80" s="2" t="n"/>
      <c r="AJ80" s="2" t="n"/>
      <c r="AK80" s="2" t="n"/>
      <c r="AL80" s="2" t="n"/>
      <c r="AM80" s="2" t="n">
        <v>4.7</v>
      </c>
      <c r="AN80" s="2" t="n"/>
      <c r="AO80" s="2" t="inlineStr">
        <is>
          <t>2007</t>
        </is>
      </c>
      <c r="AP80" s="2" t="n">
        <v>2007</v>
      </c>
      <c r="AQ80" s="2" t="n"/>
      <c r="AR80" s="2" t="inlineStr">
        <is>
          <t>B</t>
        </is>
      </c>
      <c r="AS80" s="2" t="inlineStr">
        <is>
          <t>anuncio</t>
        </is>
      </c>
      <c r="AT80" s="2" t="n"/>
      <c r="AU80" s="2" t="inlineStr">
        <is>
          <t>no</t>
        </is>
      </c>
      <c r="AV80" s="2" t="inlineStr">
        <is>
          <t>no</t>
        </is>
      </c>
      <c r="AW80" s="2" t="n">
        <v>3500</v>
      </c>
      <c r="AX80" s="2" t="n">
        <v>12</v>
      </c>
      <c r="AY80" s="2" t="inlineStr">
        <is>
          <t>modelo+año+km</t>
        </is>
      </c>
      <c r="AZ80" s="2" t="n"/>
      <c r="BA80" s="2" t="inlineStr">
        <is>
          <t>vendedor profesional: sin ITP (operación con IVA/REBU, confirmar en factura); gastos de gestión del vendedor no indicados: se suma la tasa DGT; preguntar el precio final; diésel: motor sin fuente de fiabilidad (fiabilidad limitada a neutra)</t>
        </is>
      </c>
      <c r="BB80" s="2" t="inlineStr">
        <is>
          <t>Este Focus TDCi Ghia destaca por su completo equipamiento de confort y tecnología. Dispone de aire acondicionado bizona automático, volante multifuncional de cuero ajustable, asientos delanteros con regulación lumbar, climatización con filtro de partículas, limpiaparabrisas con sensor de lluvia y retrovisores eléctricos desempañables. El sistema de audio incluye reproductor de CD con control remoto en volante, seis altavoces y ordenador de viaje con datos de consumo e autonomía. Incorpora control de crucero, cierre centralizado con mando a distancia, elevalunas eléctricos en todas las puertas y apertura de maletero eléctrica. La iluminación combina faros dobles halógenos con regulación automática de altura y sensor de luz ambiental, más luces antiniebla delanteras. Cristales tintados en toda la cabina y llantas de aleación completan este equipamiento integral pensado para viajes cómodos y seguros.
12 meses garantia
se entrega con la ITV recién pasada
se entrega con kit distribucion hecho
aceite y filtros
aire acondicionado ok
neumaticos ok
2 llaves
el iva se podra pactar entre ambos</t>
        </is>
      </c>
      <c r="BC80" s="2" t="inlineStr">
        <is>
          <t>https://www.coches.net/ford-focus-18-tdci-ghia-4p-diesel-2007-en-valencia-71753984-covo.aspx (window.__INITIAL_PROPS__.ad) /home/user/Alopecia/buscador-coches/raw/cochesnet/69aa5db4018a61a1.json</t>
        </is>
      </c>
      <c r="BD80" s="3">
        <f>MAX(ANIO_ACTUAL-M80,0)</f>
        <v/>
      </c>
      <c r="BE80" s="4">
        <f>N80/MAX(BD80,0.5)</f>
        <v/>
      </c>
      <c r="BF80" s="4">
        <f>F80</f>
        <v/>
      </c>
      <c r="BG80" s="3">
        <f>BF80&amp;"|"&amp;INT(M80/SEG_ANIO)*SEG_ANIO</f>
        <v/>
      </c>
      <c r="BH80" s="3">
        <f>BG80&amp;"|"&amp;INT(N80/SEG_KM)*SEG_KM</f>
        <v/>
      </c>
      <c r="BI80" s="4">
        <f>COUNTIF($BF$2:$BF$101,BF80)</f>
        <v/>
      </c>
      <c r="BJ80" s="4">
        <f>COUNTIF($BG$2:$BG$101,BG80)</f>
        <v/>
      </c>
      <c r="BK80" s="4">
        <f>COUNTIF($BH$2:$BH$101,BH80)</f>
        <v/>
      </c>
      <c r="BL80" s="3">
        <f t="array" ref="BL80">IF(N(AX80)&gt;=MIN_N,AW80,IF(BK80&gt;=MIN_N,MEDIAN(IF($BH$2:$BH$101=BH80,$O$2:$O$101)),IF(BJ80&gt;=MIN_N,MEDIAN(IF($BG$2:$BG$101=BG80,$O$2:$O$101)),MEDIAN(IF($BF$2:$BF$101=BF80,$O$2:$O$101)))))</f>
        <v/>
      </c>
      <c r="BM80" s="3">
        <f>IF(N(AX80)&gt;=MIN_N,"mercado "&amp;AY80,IF(BK80&gt;=MIN_N,"modelo+año+km",IF(BJ80&gt;=MIN_N,"modelo+año","modelo")))</f>
        <v/>
      </c>
      <c r="BN80" s="4">
        <f>(BL80-O80)/BL80</f>
        <v/>
      </c>
      <c r="BO80" s="3">
        <f>IF(COUNTIFS(FR_FUEL,K80,FR_YEAR,AP80)&gt;0,1,0)</f>
        <v/>
      </c>
      <c r="BP80" s="3">
        <f>IF(COUNTIFS(FR_FUEL,K80,FR_YEAR,AP80-1)&gt;0,1,0)</f>
        <v/>
      </c>
      <c r="BQ80" s="4">
        <f>IF(N(AQ80)&gt;0,AP80*100+AQ80,IF(AND(BO80=1,BP80=1),(AP80-1)*100+1,AP80*100+1))</f>
        <v/>
      </c>
      <c r="BR80" s="3">
        <f>IF(OR(K80="hibrido",K80="glp",K80="gnc",K80="phev"),"ECO",IF(K80="electrico","CERO",IF(K80="gasolina",IF(BQ80&gt;=GAS_C_YM,"C",IF(BQ80&gt;=GAS_B_YM,"B","A")),IF(K80="diesel",IF(BQ80&gt;=DIE_C_YM,"C",IF(BQ80&gt;=DIE_B_YM,"B","A")),""))))</f>
        <v/>
      </c>
      <c r="BS80" s="2" t="inlineStr">
        <is>
          <t>B</t>
        </is>
      </c>
      <c r="BT80" s="4">
        <f>IF(AU80="sí","sí",IF(AS80="regla",IF(AND(N(AQ80)=0,BO80=1),"sí","no"),"no"))</f>
        <v/>
      </c>
      <c r="BU80" s="3">
        <f>IFERROR(VLOOKUP(F80,MOD_TBL,16,0),IFERROR(VLOOKUP(E80,OCU_TBL,2,0),NEUTRO))</f>
        <v/>
      </c>
      <c r="BV80" s="3">
        <f>SUMIFS(MOT_AJUSTE,MOT_MOTOR,G80,MOT_MARCA,E80,MOT_DESDE,"&lt;="&amp;M80,MOT_HASTA,"&gt;="&amp;M80)+SUMIFS(MOT_AJUSTE,MOT_MOTOR,G80,MOT_MARCA,"(todas)",MOT_DESDE,"&lt;="&amp;M80,MOT_HASTA,"&gt;="&amp;M80)+SUMIFS(MOT_AJUSTE,MOT_MOTOR,"(cualquiera)",MOT_MARCA,E80,MOT_DESDE,"&lt;="&amp;M80,MOT_HASTA,"&gt;="&amp;M80)</f>
        <v/>
      </c>
      <c r="BW80" s="3">
        <f>SUMIFS(COMB_AJUSTE,COMB_COMB,K80)</f>
        <v/>
      </c>
      <c r="BX80" s="3">
        <f>COUNTIFS(MOT_MOTOR,G80,MOT_MARCA,E80,MOT_DESDE,"&lt;="&amp;M80,MOT_HASTA,"&gt;="&amp;M80)+COUNTIFS(MOT_MOTOR,G80,MOT_MARCA,"(todas)",MOT_DESDE,"&lt;="&amp;M80,MOT_HASTA,"&gt;="&amp;M80)+COUNTIFS(MOT_MOTOR,"(cualquiera)",MOT_MARCA,E80,MOT_DESDE,"&lt;="&amp;M80,MOT_HASTA,"&gt;="&amp;M80)</f>
        <v/>
      </c>
      <c r="BY80" s="3">
        <f>IF(AND(K80="diesel",BX80=0),MIN(BU80,NEUTRO),BU80)</f>
        <v/>
      </c>
      <c r="BZ80" s="3">
        <f>MAX(0,MIN(100,BY80+BV80+BW80-IF(AV80="sí",ROB_PEN,0)))</f>
        <v/>
      </c>
      <c r="CA80" s="3">
        <f>100-MAX(0,N80-KM_TOPE_DESDE)/1000*KM_TOPE_PTS</f>
        <v/>
      </c>
      <c r="CB80" s="3">
        <f>MAX(0,MIN(100,50+BN80*PRECIO_PEND,CA80))</f>
        <v/>
      </c>
      <c r="CC80" s="3">
        <f>MAX(0,100*(1-N80/KM_MAX))</f>
        <v/>
      </c>
      <c r="CD80" s="3">
        <f>IF(BE80&lt;KMA_SOSP,IF(AA80="sí",100,KMA_PEN),IF(BE80&lt;=KMA_IDEAL_MAX,100,MAX(0,100*(KMA_CERO-BE80)/(KMA_CERO-KMA_IDEAL_MAX))))</f>
        <v/>
      </c>
      <c r="CE80" s="3">
        <f>MAX(0,MIN(100,100*(M80-ANIO_MIN)/(ANIO_ACTUAL-ANIO_MIN)))</f>
        <v/>
      </c>
      <c r="CF80" s="3">
        <f>W_KMT*CC80+W_KMA*CD80+W_EDAD*CE80</f>
        <v/>
      </c>
      <c r="CG80" s="3">
        <f>P_ITV*(V80="sí")+P_LIBRO*(W80="sí")+P_CORREA*(X80="sí")+P_PROP*(Y80=1)+P_GAR*(Z80="sí")+P_FOTOS*MIN(1,N(U80)/FOTOS_OBJ)</f>
        <v/>
      </c>
      <c r="CH80" s="3">
        <f>MAX(0,MIN(100,IFERROR(VLOOKUP(BS80,ETQ_TBL,2,0),0)-IF(BT80="sí",ETQ_PEN_DUD,IF(AS80="regla",ETQ_PEN_REGLA,0))))</f>
        <v/>
      </c>
      <c r="CI80" s="3">
        <f>NEUTRO</f>
        <v/>
      </c>
      <c r="CJ80" s="3">
        <f>IFERROR(VLOOKUP(L80,SEGURO_TBL,3,0),"")</f>
        <v/>
      </c>
      <c r="CK80" s="3">
        <f>IF(CJ80="",NEUTRO,MAX(0,MIN(100,100*(SEG_REF_MAX-CJ80)/(SEG_REF_MAX-SEG_REF_MIN))))</f>
        <v/>
      </c>
      <c r="CL80" s="3">
        <f>W_CONS*CI80+W_SEG*CK80</f>
        <v/>
      </c>
      <c r="CM80" s="3">
        <f>IF(N(AB80)&gt;0,AB80,IF(AND(R80="profesional",SG_LEGAL_ON=1),GAR_LEGAL,0))</f>
        <v/>
      </c>
      <c r="CN80" s="3">
        <f>SG_GAR*MIN(1,CM80/SG_GAR_FULL)+SG_AMPL*(AC80="sí")+SG_KMC*(AF80="sí")+SG_REV*(N(AE80)&gt;0)+SG_DEV*MIN(1,N(AG80)/SG_DEV_FULL)+SG_HIST*(W80="sí")</f>
        <v/>
      </c>
      <c r="CO80" s="3">
        <f>IFERROR(VLOOKUP(L80,CARR_PEN_TBL,2,0),0)</f>
        <v/>
      </c>
      <c r="CP80" s="3">
        <f>W_FIAB*BZ80+W_PRECIO*CB80+W_KMEDAD*CF80+W_ANUNCIO*CG80+W_USO*CL80+W_SEGURIDAD*CN80+W_ETIQUETA*CH80-CO80</f>
        <v/>
      </c>
      <c r="CQ80" s="4">
        <f>IF(N(I80)&gt;0,I80,IFERROR(ROUND(_xlfn.NUMBERVALUE(LEFT(G80,FIND(" ",G80&amp;" ")-1),".")*1000,0),99999))</f>
        <v/>
      </c>
      <c r="CR80" s="3">
        <f>IF(R80="profesional",0,IF(O80&lt;CUOTA_VALOR_MAX,IF(BD80&gt;ITP_TRAMO_ALTO,SUMIFS(CF_CUOTA,CF_MAS,ITP_TRAMO_ALTO,CF_CCMIN,"&lt;="&amp;CQ80,CF_CCMAX,"&gt;="&amp;CQ80),IF(BD80&gt;ITP_TRAMO_BAJO,SUMIFS(CF_CUOTA,CF_MAS,ITP_TRAMO_BAJO,CF_CCMIN,"&lt;="&amp;CQ80,CF_CCMAX,"&gt;="&amp;CQ80),O80*ITP_TIPO)),O80*ITP_TIPO))</f>
        <v/>
      </c>
      <c r="CS80" s="4">
        <f>IF(R80="profesional",N(AK80),0)</f>
        <v/>
      </c>
      <c r="CT80" s="3">
        <f>IF(AND(R80="profesional",ISNUMBER(AK80),AL80="sí"),0,TASA_DGT)</f>
        <v/>
      </c>
      <c r="CU80" s="3">
        <f>INFORME_DGT</f>
        <v/>
      </c>
      <c r="CV80" s="4">
        <f>O80+CS80+CR80+CT80+CU80</f>
        <v/>
      </c>
      <c r="CW80" s="4">
        <f>CV80+N(CJ80)</f>
        <v/>
      </c>
      <c r="CX80" s="3">
        <f>IF(CV80&lt;=TOTAL_MAX,"sí",IF(CV80&lt;=TOTAL_MAX+MARGEN_NEG,"negociar","no"))</f>
        <v/>
      </c>
      <c r="CY80" s="4">
        <f>IF(CX80&lt;&gt;"no",COUNTIFS($CX$2:$CX$101,"&lt;&gt;no",$CP$2:$CP$101,"&gt;"&amp;CP80)+COUNTIFS($CX$2:CX80,"&lt;&gt;no",$CP$2:CP80,CP80),"")</f>
        <v/>
      </c>
    </row>
    <row r="81">
      <c r="A81" s="2" t="inlineStr">
        <is>
          <t>cochesnet:71021526</t>
        </is>
      </c>
      <c r="B81" s="2" t="inlineStr">
        <is>
          <t>cochesnet</t>
        </is>
      </c>
      <c r="C81" s="2" t="inlineStr">
        <is>
          <t>https://www.coches.net/ford-focus-18-tdci-ghia-5p-diesel-2007-en-valencia-71021526-covo.aspx</t>
        </is>
      </c>
      <c r="D81" s="2" t="inlineStr">
        <is>
          <t>FORD Focus 1.8 TDCi Ghia</t>
        </is>
      </c>
      <c r="E81" s="2" t="inlineStr">
        <is>
          <t>Ford</t>
        </is>
      </c>
      <c r="F81" s="2" t="inlineStr">
        <is>
          <t>Ford Focus</t>
        </is>
      </c>
      <c r="G81" s="2" t="inlineStr">
        <is>
          <t>1.8 TDCi</t>
        </is>
      </c>
      <c r="H81" s="2" t="inlineStr">
        <is>
          <t>1.8 TDCi Ghia</t>
        </is>
      </c>
      <c r="I81" s="2" t="n"/>
      <c r="J81" s="2" t="n"/>
      <c r="K81" s="2" t="inlineStr">
        <is>
          <t>diesel</t>
        </is>
      </c>
      <c r="L81" s="2" t="inlineStr">
        <is>
          <t>compacto</t>
        </is>
      </c>
      <c r="M81" s="2" t="n">
        <v>2006</v>
      </c>
      <c r="N81" s="2" t="n">
        <v>202000</v>
      </c>
      <c r="O81" s="2" t="n">
        <v>3500</v>
      </c>
      <c r="P81" s="2" t="inlineStr">
        <is>
          <t>manual</t>
        </is>
      </c>
      <c r="Q81" s="2" t="inlineStr">
        <is>
          <t>no</t>
        </is>
      </c>
      <c r="R81" s="2" t="inlineStr">
        <is>
          <t>profesional</t>
        </is>
      </c>
      <c r="S81" s="2" t="inlineStr">
        <is>
          <t>Beniparrell</t>
        </is>
      </c>
      <c r="T81" s="2" t="inlineStr">
        <is>
          <t>2026-10-05T12:25:03Z</t>
        </is>
      </c>
      <c r="U81" s="2" t="n">
        <v>13</v>
      </c>
      <c r="V81" s="2" t="n"/>
      <c r="W81" s="2" t="n"/>
      <c r="X81" s="2" t="n"/>
      <c r="Y81" s="2" t="n"/>
      <c r="Z81" s="2" t="inlineStr">
        <is>
          <t>sí</t>
        </is>
      </c>
      <c r="AA81" s="2" t="n"/>
      <c r="AB81" s="2" t="n">
        <v>12</v>
      </c>
      <c r="AC81" s="2" t="n"/>
      <c r="AD81" s="2" t="n"/>
      <c r="AE81" s="2" t="n"/>
      <c r="AF81" s="2" t="n"/>
      <c r="AG81" s="2" t="n"/>
      <c r="AH81" s="2" t="n">
        <v>3500</v>
      </c>
      <c r="AI81" s="2" t="n"/>
      <c r="AJ81" s="2" t="n"/>
      <c r="AK81" s="2" t="n"/>
      <c r="AL81" s="2" t="n"/>
      <c r="AM81" s="2" t="n">
        <v>10.2</v>
      </c>
      <c r="AN81" s="2" t="n"/>
      <c r="AO81" s="2" t="inlineStr">
        <is>
          <t>2006</t>
        </is>
      </c>
      <c r="AP81" s="2" t="n">
        <v>2006</v>
      </c>
      <c r="AQ81" s="2" t="n"/>
      <c r="AR81" s="2" t="inlineStr">
        <is>
          <t>B</t>
        </is>
      </c>
      <c r="AS81" s="2" t="inlineStr">
        <is>
          <t>anuncio</t>
        </is>
      </c>
      <c r="AT81" s="2" t="n">
        <v>2007</v>
      </c>
      <c r="AU81" s="2" t="inlineStr">
        <is>
          <t>no</t>
        </is>
      </c>
      <c r="AV81" s="2" t="inlineStr">
        <is>
          <t>no</t>
        </is>
      </c>
      <c r="AW81" s="2" t="n">
        <v>2995</v>
      </c>
      <c r="AX81" s="2" t="n">
        <v>16</v>
      </c>
      <c r="AY81" s="2" t="inlineStr">
        <is>
          <t>modelo+año+km</t>
        </is>
      </c>
      <c r="AZ81" s="2" t="n"/>
      <c r="BA81"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revisar: detalles «detalles», no menciona la ITV</t>
        </is>
      </c>
      <c r="BB81" s="2" t="inlineStr">
        <is>
          <t>Este Ford Focus 1.8 TDCi Ghia representa una berlina compacta versátil, con acabado de lujo que combina practicidad y equipamiento completo para el uso diario. El motor diésel de 1.753 cc proporciona una entrega de potencia eficiente, especialmente en recorridos mixtos y a velocidad de crucero, donde demuestra su fortaleza en par motor.
El espacio interior está bien aprovechado: 385 litros de maletero ampliables a 1.247 con los asientos traseros abatidos, lo que facilita tanto viajes ocasionales como transportes puntuales. Los asientos delanteros cuentan con ajuste lumbar y altura, mientras que la banqueta trasera partida y abatible asimétrica permite flexibilidad en la configuración del habitáculo.
En cuanto a confort, este vehículo integra climatización bizona automática, control de crucero, dirección asistida y volante multifuncional revestido en cuero ajustable. Los elevalunas eléctricos delanteros con un solo toque, cierre centralizado con mando a distancia y apertura eléctrica del maletero son detalles que facilitan el uso cotidiano.
La seguridad está cubierta con airbags frontales inteligentes, laterales delanteros y de cortina, cinturones de tres puntos con pretensores en los asientos delanteros, ABS en las cuatro ruedas y sensores de distancia traseros. El sistema de frenado combina discos ventilados delanteros con ABS.
Equipado con sistema de audio de seis altavoces, radio AM/FM con reproductor de CD, RDS y control remoto en volante, además de ordenador de viaje</t>
        </is>
      </c>
      <c r="BC81" s="2" t="inlineStr">
        <is>
          <t>https://www.coches.net/ford-focus-18-tdci-ghia-5p-diesel-2007-en-valencia-71021526-covo.aspx (window.__INITIAL_PROPS__.ad) /home/user/Alopecia/buscador-coches/raw/cochesnet/be51951326ffd2d8.json</t>
        </is>
      </c>
      <c r="BD81" s="3">
        <f>MAX(ANIO_ACTUAL-M81,0)</f>
        <v/>
      </c>
      <c r="BE81" s="4">
        <f>N81/MAX(BD81,0.5)</f>
        <v/>
      </c>
      <c r="BF81" s="4">
        <f>F81</f>
        <v/>
      </c>
      <c r="BG81" s="3">
        <f>BF81&amp;"|"&amp;INT(M81/SEG_ANIO)*SEG_ANIO</f>
        <v/>
      </c>
      <c r="BH81" s="3">
        <f>BG81&amp;"|"&amp;INT(N81/SEG_KM)*SEG_KM</f>
        <v/>
      </c>
      <c r="BI81" s="4">
        <f>COUNTIF($BF$2:$BF$101,BF81)</f>
        <v/>
      </c>
      <c r="BJ81" s="4">
        <f>COUNTIF($BG$2:$BG$101,BG81)</f>
        <v/>
      </c>
      <c r="BK81" s="4">
        <f>COUNTIF($BH$2:$BH$101,BH81)</f>
        <v/>
      </c>
      <c r="BL81" s="3">
        <f t="array" ref="BL81">IF(N(AX81)&gt;=MIN_N,AW81,IF(BK81&gt;=MIN_N,MEDIAN(IF($BH$2:$BH$101=BH81,$O$2:$O$101)),IF(BJ81&gt;=MIN_N,MEDIAN(IF($BG$2:$BG$101=BG81,$O$2:$O$101)),MEDIAN(IF($BF$2:$BF$101=BF81,$O$2:$O$101)))))</f>
        <v/>
      </c>
      <c r="BM81" s="3">
        <f>IF(N(AX81)&gt;=MIN_N,"mercado "&amp;AY81,IF(BK81&gt;=MIN_N,"modelo+año+km",IF(BJ81&gt;=MIN_N,"modelo+año","modelo")))</f>
        <v/>
      </c>
      <c r="BN81" s="4">
        <f>(BL81-O81)/BL81</f>
        <v/>
      </c>
      <c r="BO81" s="3">
        <f>IF(COUNTIFS(FR_FUEL,K81,FR_YEAR,AP81)&gt;0,1,0)</f>
        <v/>
      </c>
      <c r="BP81" s="3">
        <f>IF(COUNTIFS(FR_FUEL,K81,FR_YEAR,AP81-1)&gt;0,1,0)</f>
        <v/>
      </c>
      <c r="BQ81" s="4">
        <f>IF(N(AQ81)&gt;0,AP81*100+AQ81,IF(AND(BO81=1,BP81=1),(AP81-1)*100+1,AP81*100+1))</f>
        <v/>
      </c>
      <c r="BR81" s="3">
        <f>IF(OR(K81="hibrido",K81="glp",K81="gnc",K81="phev"),"ECO",IF(K81="electrico","CERO",IF(K81="gasolina",IF(BQ81&gt;=GAS_C_YM,"C",IF(BQ81&gt;=GAS_B_YM,"B","A")),IF(K81="diesel",IF(BQ81&gt;=DIE_C_YM,"C",IF(BQ81&gt;=DIE_B_YM,"B","A")),""))))</f>
        <v/>
      </c>
      <c r="BS81" s="2" t="inlineStr">
        <is>
          <t>B</t>
        </is>
      </c>
      <c r="BT81" s="4">
        <f>IF(AU81="sí","sí",IF(AS81="regla",IF(AND(N(AQ81)=0,BO81=1),"sí","no"),"no"))</f>
        <v/>
      </c>
      <c r="BU81" s="3">
        <f>IFERROR(VLOOKUP(F81,MOD_TBL,16,0),IFERROR(VLOOKUP(E81,OCU_TBL,2,0),NEUTRO))</f>
        <v/>
      </c>
      <c r="BV81" s="3">
        <f>SUMIFS(MOT_AJUSTE,MOT_MOTOR,G81,MOT_MARCA,E81,MOT_DESDE,"&lt;="&amp;M81,MOT_HASTA,"&gt;="&amp;M81)+SUMIFS(MOT_AJUSTE,MOT_MOTOR,G81,MOT_MARCA,"(todas)",MOT_DESDE,"&lt;="&amp;M81,MOT_HASTA,"&gt;="&amp;M81)+SUMIFS(MOT_AJUSTE,MOT_MOTOR,"(cualquiera)",MOT_MARCA,E81,MOT_DESDE,"&lt;="&amp;M81,MOT_HASTA,"&gt;="&amp;M81)</f>
        <v/>
      </c>
      <c r="BW81" s="3">
        <f>SUMIFS(COMB_AJUSTE,COMB_COMB,K81)</f>
        <v/>
      </c>
      <c r="BX81" s="3">
        <f>COUNTIFS(MOT_MOTOR,G81,MOT_MARCA,E81,MOT_DESDE,"&lt;="&amp;M81,MOT_HASTA,"&gt;="&amp;M81)+COUNTIFS(MOT_MOTOR,G81,MOT_MARCA,"(todas)",MOT_DESDE,"&lt;="&amp;M81,MOT_HASTA,"&gt;="&amp;M81)+COUNTIFS(MOT_MOTOR,"(cualquiera)",MOT_MARCA,E81,MOT_DESDE,"&lt;="&amp;M81,MOT_HASTA,"&gt;="&amp;M81)</f>
        <v/>
      </c>
      <c r="BY81" s="3">
        <f>IF(AND(K81="diesel",BX81=0),MIN(BU81,NEUTRO),BU81)</f>
        <v/>
      </c>
      <c r="BZ81" s="3">
        <f>MAX(0,MIN(100,BY81+BV81+BW81-IF(AV81="sí",ROB_PEN,0)))</f>
        <v/>
      </c>
      <c r="CA81" s="3">
        <f>100-MAX(0,N81-KM_TOPE_DESDE)/1000*KM_TOPE_PTS</f>
        <v/>
      </c>
      <c r="CB81" s="3">
        <f>MAX(0,MIN(100,50+BN81*PRECIO_PEND,CA81))</f>
        <v/>
      </c>
      <c r="CC81" s="3">
        <f>MAX(0,100*(1-N81/KM_MAX))</f>
        <v/>
      </c>
      <c r="CD81" s="3">
        <f>IF(BE81&lt;KMA_SOSP,IF(AA81="sí",100,KMA_PEN),IF(BE81&lt;=KMA_IDEAL_MAX,100,MAX(0,100*(KMA_CERO-BE81)/(KMA_CERO-KMA_IDEAL_MAX))))</f>
        <v/>
      </c>
      <c r="CE81" s="3">
        <f>MAX(0,MIN(100,100*(M81-ANIO_MIN)/(ANIO_ACTUAL-ANIO_MIN)))</f>
        <v/>
      </c>
      <c r="CF81" s="3">
        <f>W_KMT*CC81+W_KMA*CD81+W_EDAD*CE81</f>
        <v/>
      </c>
      <c r="CG81" s="3">
        <f>P_ITV*(V81="sí")+P_LIBRO*(W81="sí")+P_CORREA*(X81="sí")+P_PROP*(Y81=1)+P_GAR*(Z81="sí")+P_FOTOS*MIN(1,N(U81)/FOTOS_OBJ)</f>
        <v/>
      </c>
      <c r="CH81" s="3">
        <f>MAX(0,MIN(100,IFERROR(VLOOKUP(BS81,ETQ_TBL,2,0),0)-IF(BT81="sí",ETQ_PEN_DUD,IF(AS81="regla",ETQ_PEN_REGLA,0))))</f>
        <v/>
      </c>
      <c r="CI81" s="3">
        <f>NEUTRO</f>
        <v/>
      </c>
      <c r="CJ81" s="3">
        <f>IFERROR(VLOOKUP(L81,SEGURO_TBL,3,0),"")</f>
        <v/>
      </c>
      <c r="CK81" s="3">
        <f>IF(CJ81="",NEUTRO,MAX(0,MIN(100,100*(SEG_REF_MAX-CJ81)/(SEG_REF_MAX-SEG_REF_MIN))))</f>
        <v/>
      </c>
      <c r="CL81" s="3">
        <f>W_CONS*CI81+W_SEG*CK81</f>
        <v/>
      </c>
      <c r="CM81" s="3">
        <f>IF(N(AB81)&gt;0,AB81,IF(AND(R81="profesional",SG_LEGAL_ON=1),GAR_LEGAL,0))</f>
        <v/>
      </c>
      <c r="CN81" s="3">
        <f>SG_GAR*MIN(1,CM81/SG_GAR_FULL)+SG_AMPL*(AC81="sí")+SG_KMC*(AF81="sí")+SG_REV*(N(AE81)&gt;0)+SG_DEV*MIN(1,N(AG81)/SG_DEV_FULL)+SG_HIST*(W81="sí")</f>
        <v/>
      </c>
      <c r="CO81" s="3">
        <f>IFERROR(VLOOKUP(L81,CARR_PEN_TBL,2,0),0)</f>
        <v/>
      </c>
      <c r="CP81" s="3">
        <f>W_FIAB*BZ81+W_PRECIO*CB81+W_KMEDAD*CF81+W_ANUNCIO*CG81+W_USO*CL81+W_SEGURIDAD*CN81+W_ETIQUETA*CH81-CO81</f>
        <v/>
      </c>
      <c r="CQ81" s="4">
        <f>IF(N(I81)&gt;0,I81,IFERROR(ROUND(_xlfn.NUMBERVALUE(LEFT(G81,FIND(" ",G81&amp;" ")-1),".")*1000,0),99999))</f>
        <v/>
      </c>
      <c r="CR81" s="3">
        <f>IF(R81="profesional",0,IF(O81&lt;CUOTA_VALOR_MAX,IF(BD81&gt;ITP_TRAMO_ALTO,SUMIFS(CF_CUOTA,CF_MAS,ITP_TRAMO_ALTO,CF_CCMIN,"&lt;="&amp;CQ81,CF_CCMAX,"&gt;="&amp;CQ81),IF(BD81&gt;ITP_TRAMO_BAJO,SUMIFS(CF_CUOTA,CF_MAS,ITP_TRAMO_BAJO,CF_CCMIN,"&lt;="&amp;CQ81,CF_CCMAX,"&gt;="&amp;CQ81),O81*ITP_TIPO)),O81*ITP_TIPO))</f>
        <v/>
      </c>
      <c r="CS81" s="4">
        <f>IF(R81="profesional",N(AK81),0)</f>
        <v/>
      </c>
      <c r="CT81" s="3">
        <f>IF(AND(R81="profesional",ISNUMBER(AK81),AL81="sí"),0,TASA_DGT)</f>
        <v/>
      </c>
      <c r="CU81" s="3">
        <f>INFORME_DGT</f>
        <v/>
      </c>
      <c r="CV81" s="4">
        <f>O81+CS81+CR81+CT81+CU81</f>
        <v/>
      </c>
      <c r="CW81" s="4">
        <f>CV81+N(CJ81)</f>
        <v/>
      </c>
      <c r="CX81" s="3">
        <f>IF(CV81&lt;=TOTAL_MAX,"sí",IF(CV81&lt;=TOTAL_MAX+MARGEN_NEG,"negociar","no"))</f>
        <v/>
      </c>
      <c r="CY81" s="4">
        <f>IF(CX81&lt;&gt;"no",COUNTIFS($CX$2:$CX$101,"&lt;&gt;no",$CP$2:$CP$101,"&gt;"&amp;CP81)+COUNTIFS($CX$2:CX81,"&lt;&gt;no",$CP$2:CP81,CP81),"")</f>
        <v/>
      </c>
    </row>
    <row r="82">
      <c r="A82" s="2" t="inlineStr">
        <is>
          <t>cochesnet:71793171</t>
        </is>
      </c>
      <c r="B82" s="2" t="inlineStr">
        <is>
          <t>cochesnet</t>
        </is>
      </c>
      <c r="C82" s="2" t="inlineStr">
        <is>
          <t>https://www.coches.net/ford-fusion-14-tdci-ambiente-5p-diesel-2009-en-valencia-71793171-covo.aspx</t>
        </is>
      </c>
      <c r="D82" s="2" t="inlineStr">
        <is>
          <t>FORD Fusion 1.4 TDCI Ambiente</t>
        </is>
      </c>
      <c r="E82" s="2" t="inlineStr">
        <is>
          <t>Ford</t>
        </is>
      </c>
      <c r="F82" s="2" t="inlineStr">
        <is>
          <t>Ford Fusion</t>
        </is>
      </c>
      <c r="G82" s="2" t="inlineStr">
        <is>
          <t>1.4 TDCi</t>
        </is>
      </c>
      <c r="H82" s="2" t="inlineStr">
        <is>
          <t>1.4 TDCI Ambiente</t>
        </is>
      </c>
      <c r="I82" s="2" t="n"/>
      <c r="J82" s="2" t="n"/>
      <c r="K82" s="2" t="inlineStr">
        <is>
          <t>diesel</t>
        </is>
      </c>
      <c r="L82" s="2" t="inlineStr">
        <is>
          <t>monovolumen_pequeno</t>
        </is>
      </c>
      <c r="M82" s="2" t="n">
        <v>2009</v>
      </c>
      <c r="N82" s="2" t="n">
        <v>180000</v>
      </c>
      <c r="O82" s="2" t="n">
        <v>3490</v>
      </c>
      <c r="P82" s="2" t="inlineStr">
        <is>
          <t>manual</t>
        </is>
      </c>
      <c r="Q82" s="2" t="inlineStr">
        <is>
          <t>no</t>
        </is>
      </c>
      <c r="R82" s="2" t="inlineStr">
        <is>
          <t>profesional</t>
        </is>
      </c>
      <c r="S82" s="2" t="inlineStr">
        <is>
          <t>Foios</t>
        </is>
      </c>
      <c r="T82" s="2" t="inlineStr">
        <is>
          <t>2026-10-20T18:21:58Z</t>
        </is>
      </c>
      <c r="U82" s="2" t="n">
        <v>15</v>
      </c>
      <c r="V82" s="2" t="n"/>
      <c r="W82" s="2" t="n"/>
      <c r="X82" s="2" t="n"/>
      <c r="Y82" s="2" t="n"/>
      <c r="Z82" s="2" t="inlineStr">
        <is>
          <t>sí</t>
        </is>
      </c>
      <c r="AA82" s="2" t="n"/>
      <c r="AB82" s="2" t="n">
        <v>12</v>
      </c>
      <c r="AC82" s="2" t="n"/>
      <c r="AD82" s="2" t="n"/>
      <c r="AE82" s="2" t="n"/>
      <c r="AF82" s="2" t="n"/>
      <c r="AG82" s="2" t="n"/>
      <c r="AH82" s="2" t="n">
        <v>3490</v>
      </c>
      <c r="AI82" s="2" t="n">
        <v>3490</v>
      </c>
      <c r="AJ82" s="2" t="n"/>
      <c r="AK82" s="2" t="n"/>
      <c r="AL82" s="2" t="n"/>
      <c r="AM82" s="2" t="n">
        <v>7.7</v>
      </c>
      <c r="AN82" s="2" t="n"/>
      <c r="AO82" s="2" t="inlineStr">
        <is>
          <t>2009</t>
        </is>
      </c>
      <c r="AP82" s="2" t="n">
        <v>2009</v>
      </c>
      <c r="AQ82" s="2" t="n"/>
      <c r="AR82" s="2" t="inlineStr">
        <is>
          <t>B</t>
        </is>
      </c>
      <c r="AS82" s="2" t="inlineStr">
        <is>
          <t>anuncio</t>
        </is>
      </c>
      <c r="AT82" s="2" t="n"/>
      <c r="AU82" s="2" t="inlineStr">
        <is>
          <t>no</t>
        </is>
      </c>
      <c r="AV82" s="2" t="inlineStr">
        <is>
          <t>no</t>
        </is>
      </c>
      <c r="AW82" s="2" t="n"/>
      <c r="AX82" s="2" t="n"/>
      <c r="AY82" s="2" t="n"/>
      <c r="AZ82" s="2" t="n"/>
      <c r="BA82"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revisar: no menciona la ITV; fiabilidad del modelo PENDIENTE de fuente (puntuación neutra); mediana con solo 1 anuncio(s)</t>
        </is>
      </c>
      <c r="BB82" s="2" t="inlineStr"/>
      <c r="BC82" s="2" t="inlineStr">
        <is>
          <t>https://www.coches.net/ford-fusion-14-tdci-ambiente-5p-diesel-2009-en-valencia-71793171-covo.aspx (window.__INITIAL_PROPS__.ad) /home/user/Alopecia/buscador-coches/raw/cochesnet/934176b6a50ee69e.json</t>
        </is>
      </c>
      <c r="BD82" s="3">
        <f>MAX(ANIO_ACTUAL-M82,0)</f>
        <v/>
      </c>
      <c r="BE82" s="4">
        <f>N82/MAX(BD82,0.5)</f>
        <v/>
      </c>
      <c r="BF82" s="4">
        <f>F82</f>
        <v/>
      </c>
      <c r="BG82" s="3">
        <f>BF82&amp;"|"&amp;INT(M82/SEG_ANIO)*SEG_ANIO</f>
        <v/>
      </c>
      <c r="BH82" s="3">
        <f>BG82&amp;"|"&amp;INT(N82/SEG_KM)*SEG_KM</f>
        <v/>
      </c>
      <c r="BI82" s="4">
        <f>COUNTIF($BF$2:$BF$101,BF82)</f>
        <v/>
      </c>
      <c r="BJ82" s="4">
        <f>COUNTIF($BG$2:$BG$101,BG82)</f>
        <v/>
      </c>
      <c r="BK82" s="4">
        <f>COUNTIF($BH$2:$BH$101,BH82)</f>
        <v/>
      </c>
      <c r="BL82" s="3">
        <f t="array" ref="BL82">IF(N(AX82)&gt;=MIN_N,AW82,IF(BK82&gt;=MIN_N,MEDIAN(IF($BH$2:$BH$101=BH82,$O$2:$O$101)),IF(BJ82&gt;=MIN_N,MEDIAN(IF($BG$2:$BG$101=BG82,$O$2:$O$101)),MEDIAN(IF($BF$2:$BF$101=BF82,$O$2:$O$101)))))</f>
        <v/>
      </c>
      <c r="BM82" s="3">
        <f>IF(N(AX82)&gt;=MIN_N,"mercado "&amp;AY82,IF(BK82&gt;=MIN_N,"modelo+año+km",IF(BJ82&gt;=MIN_N,"modelo+año","modelo")))</f>
        <v/>
      </c>
      <c r="BN82" s="4">
        <f>(BL82-O82)/BL82</f>
        <v/>
      </c>
      <c r="BO82" s="3">
        <f>IF(COUNTIFS(FR_FUEL,K82,FR_YEAR,AP82)&gt;0,1,0)</f>
        <v/>
      </c>
      <c r="BP82" s="3">
        <f>IF(COUNTIFS(FR_FUEL,K82,FR_YEAR,AP82-1)&gt;0,1,0)</f>
        <v/>
      </c>
      <c r="BQ82" s="4">
        <f>IF(N(AQ82)&gt;0,AP82*100+AQ82,IF(AND(BO82=1,BP82=1),(AP82-1)*100+1,AP82*100+1))</f>
        <v/>
      </c>
      <c r="BR82" s="3">
        <f>IF(OR(K82="hibrido",K82="glp",K82="gnc",K82="phev"),"ECO",IF(K82="electrico","CERO",IF(K82="gasolina",IF(BQ82&gt;=GAS_C_YM,"C",IF(BQ82&gt;=GAS_B_YM,"B","A")),IF(K82="diesel",IF(BQ82&gt;=DIE_C_YM,"C",IF(BQ82&gt;=DIE_B_YM,"B","A")),""))))</f>
        <v/>
      </c>
      <c r="BS82" s="2" t="inlineStr">
        <is>
          <t>B</t>
        </is>
      </c>
      <c r="BT82" s="4">
        <f>IF(AU82="sí","sí",IF(AS82="regla",IF(AND(N(AQ82)=0,BO82=1),"sí","no"),"no"))</f>
        <v/>
      </c>
      <c r="BU82" s="3">
        <f>IFERROR(VLOOKUP(F82,MOD_TBL,16,0),IFERROR(VLOOKUP(E82,OCU_TBL,2,0),NEUTRO))</f>
        <v/>
      </c>
      <c r="BV82" s="3">
        <f>SUMIFS(MOT_AJUSTE,MOT_MOTOR,G82,MOT_MARCA,E82,MOT_DESDE,"&lt;="&amp;M82,MOT_HASTA,"&gt;="&amp;M82)+SUMIFS(MOT_AJUSTE,MOT_MOTOR,G82,MOT_MARCA,"(todas)",MOT_DESDE,"&lt;="&amp;M82,MOT_HASTA,"&gt;="&amp;M82)+SUMIFS(MOT_AJUSTE,MOT_MOTOR,"(cualquiera)",MOT_MARCA,E82,MOT_DESDE,"&lt;="&amp;M82,MOT_HASTA,"&gt;="&amp;M82)</f>
        <v/>
      </c>
      <c r="BW82" s="3">
        <f>SUMIFS(COMB_AJUSTE,COMB_COMB,K82)</f>
        <v/>
      </c>
      <c r="BX82" s="3">
        <f>COUNTIFS(MOT_MOTOR,G82,MOT_MARCA,E82,MOT_DESDE,"&lt;="&amp;M82,MOT_HASTA,"&gt;="&amp;M82)+COUNTIFS(MOT_MOTOR,G82,MOT_MARCA,"(todas)",MOT_DESDE,"&lt;="&amp;M82,MOT_HASTA,"&gt;="&amp;M82)+COUNTIFS(MOT_MOTOR,"(cualquiera)",MOT_MARCA,E82,MOT_DESDE,"&lt;="&amp;M82,MOT_HASTA,"&gt;="&amp;M82)</f>
        <v/>
      </c>
      <c r="BY82" s="3">
        <f>IF(AND(K82="diesel",BX82=0),MIN(BU82,NEUTRO),BU82)</f>
        <v/>
      </c>
      <c r="BZ82" s="3">
        <f>MAX(0,MIN(100,BY82+BV82+BW82-IF(AV82="sí",ROB_PEN,0)))</f>
        <v/>
      </c>
      <c r="CA82" s="3">
        <f>100-MAX(0,N82-KM_TOPE_DESDE)/1000*KM_TOPE_PTS</f>
        <v/>
      </c>
      <c r="CB82" s="3">
        <f>MAX(0,MIN(100,50+BN82*PRECIO_PEND,CA82))</f>
        <v/>
      </c>
      <c r="CC82" s="3">
        <f>MAX(0,100*(1-N82/KM_MAX))</f>
        <v/>
      </c>
      <c r="CD82" s="3">
        <f>IF(BE82&lt;KMA_SOSP,IF(AA82="sí",100,KMA_PEN),IF(BE82&lt;=KMA_IDEAL_MAX,100,MAX(0,100*(KMA_CERO-BE82)/(KMA_CERO-KMA_IDEAL_MAX))))</f>
        <v/>
      </c>
      <c r="CE82" s="3">
        <f>MAX(0,MIN(100,100*(M82-ANIO_MIN)/(ANIO_ACTUAL-ANIO_MIN)))</f>
        <v/>
      </c>
      <c r="CF82" s="3">
        <f>W_KMT*CC82+W_KMA*CD82+W_EDAD*CE82</f>
        <v/>
      </c>
      <c r="CG82" s="3">
        <f>P_ITV*(V82="sí")+P_LIBRO*(W82="sí")+P_CORREA*(X82="sí")+P_PROP*(Y82=1)+P_GAR*(Z82="sí")+P_FOTOS*MIN(1,N(U82)/FOTOS_OBJ)</f>
        <v/>
      </c>
      <c r="CH82" s="3">
        <f>MAX(0,MIN(100,IFERROR(VLOOKUP(BS82,ETQ_TBL,2,0),0)-IF(BT82="sí",ETQ_PEN_DUD,IF(AS82="regla",ETQ_PEN_REGLA,0))))</f>
        <v/>
      </c>
      <c r="CI82" s="3">
        <f>NEUTRO</f>
        <v/>
      </c>
      <c r="CJ82" s="3">
        <f>IFERROR(VLOOKUP(L82,SEGURO_TBL,3,0),"")</f>
        <v/>
      </c>
      <c r="CK82" s="3">
        <f>IF(CJ82="",NEUTRO,MAX(0,MIN(100,100*(SEG_REF_MAX-CJ82)/(SEG_REF_MAX-SEG_REF_MIN))))</f>
        <v/>
      </c>
      <c r="CL82" s="3">
        <f>W_CONS*CI82+W_SEG*CK82</f>
        <v/>
      </c>
      <c r="CM82" s="3">
        <f>IF(N(AB82)&gt;0,AB82,IF(AND(R82="profesional",SG_LEGAL_ON=1),GAR_LEGAL,0))</f>
        <v/>
      </c>
      <c r="CN82" s="3">
        <f>SG_GAR*MIN(1,CM82/SG_GAR_FULL)+SG_AMPL*(AC82="sí")+SG_KMC*(AF82="sí")+SG_REV*(N(AE82)&gt;0)+SG_DEV*MIN(1,N(AG82)/SG_DEV_FULL)+SG_HIST*(W82="sí")</f>
        <v/>
      </c>
      <c r="CO82" s="3">
        <f>IFERROR(VLOOKUP(L82,CARR_PEN_TBL,2,0),0)</f>
        <v/>
      </c>
      <c r="CP82" s="3">
        <f>W_FIAB*BZ82+W_PRECIO*CB82+W_KMEDAD*CF82+W_ANUNCIO*CG82+W_USO*CL82+W_SEGURIDAD*CN82+W_ETIQUETA*CH82-CO82</f>
        <v/>
      </c>
      <c r="CQ82" s="4">
        <f>IF(N(I82)&gt;0,I82,IFERROR(ROUND(_xlfn.NUMBERVALUE(LEFT(G82,FIND(" ",G82&amp;" ")-1),".")*1000,0),99999))</f>
        <v/>
      </c>
      <c r="CR82" s="3">
        <f>IF(R82="profesional",0,IF(O82&lt;CUOTA_VALOR_MAX,IF(BD82&gt;ITP_TRAMO_ALTO,SUMIFS(CF_CUOTA,CF_MAS,ITP_TRAMO_ALTO,CF_CCMIN,"&lt;="&amp;CQ82,CF_CCMAX,"&gt;="&amp;CQ82),IF(BD82&gt;ITP_TRAMO_BAJO,SUMIFS(CF_CUOTA,CF_MAS,ITP_TRAMO_BAJO,CF_CCMIN,"&lt;="&amp;CQ82,CF_CCMAX,"&gt;="&amp;CQ82),O82*ITP_TIPO)),O82*ITP_TIPO))</f>
        <v/>
      </c>
      <c r="CS82" s="4">
        <f>IF(R82="profesional",N(AK82),0)</f>
        <v/>
      </c>
      <c r="CT82" s="3">
        <f>IF(AND(R82="profesional",ISNUMBER(AK82),AL82="sí"),0,TASA_DGT)</f>
        <v/>
      </c>
      <c r="CU82" s="3">
        <f>INFORME_DGT</f>
        <v/>
      </c>
      <c r="CV82" s="4">
        <f>O82+CS82+CR82+CT82+CU82</f>
        <v/>
      </c>
      <c r="CW82" s="4">
        <f>CV82+N(CJ82)</f>
        <v/>
      </c>
      <c r="CX82" s="3">
        <f>IF(CV82&lt;=TOTAL_MAX,"sí",IF(CV82&lt;=TOTAL_MAX+MARGEN_NEG,"negociar","no"))</f>
        <v/>
      </c>
      <c r="CY82" s="4">
        <f>IF(CX82&lt;&gt;"no",COUNTIFS($CX$2:$CX$101,"&lt;&gt;no",$CP$2:$CP$101,"&gt;"&amp;CP82)+COUNTIFS($CX$2:CX82,"&lt;&gt;no",$CP$2:CP82,CP82),"")</f>
        <v/>
      </c>
    </row>
    <row r="83">
      <c r="A83" s="2" t="inlineStr">
        <is>
          <t>cochesnet:70514152</t>
        </is>
      </c>
      <c r="B83" s="2" t="inlineStr">
        <is>
          <t>cochesnet</t>
        </is>
      </c>
      <c r="C83" s="2" t="inlineStr">
        <is>
          <t>https://www.coches.net/fiat-linea-14-16v-tjet-120cv-dynamic-4p-gasolina-2007-en-valencia-70514152-covo.aspx</t>
        </is>
      </c>
      <c r="D83" s="2" t="inlineStr">
        <is>
          <t>FIAT Linea 1.4 16v TJet Dynamic</t>
        </is>
      </c>
      <c r="E83" s="2" t="inlineStr">
        <is>
          <t>Fiat</t>
        </is>
      </c>
      <c r="F83" s="2" t="inlineStr">
        <is>
          <t>Fiat Linea</t>
        </is>
      </c>
      <c r="G83" s="2" t="inlineStr">
        <is>
          <t>1.4 T-Jet</t>
        </is>
      </c>
      <c r="H83" s="2" t="inlineStr">
        <is>
          <t>1.4 16v TJet 120cv Dynamic</t>
        </is>
      </c>
      <c r="I83" s="2" t="n"/>
      <c r="J83" s="2" t="n">
        <v>120</v>
      </c>
      <c r="K83" s="2" t="inlineStr">
        <is>
          <t>gasolina</t>
        </is>
      </c>
      <c r="L83" s="2" t="inlineStr">
        <is>
          <t>berlina</t>
        </is>
      </c>
      <c r="M83" s="2" t="n">
        <v>2009</v>
      </c>
      <c r="N83" s="2" t="n">
        <v>156000</v>
      </c>
      <c r="O83" s="2" t="n">
        <v>3300</v>
      </c>
      <c r="P83" s="2" t="inlineStr">
        <is>
          <t>manual</t>
        </is>
      </c>
      <c r="Q83" s="2" t="inlineStr">
        <is>
          <t>no</t>
        </is>
      </c>
      <c r="R83" s="2" t="inlineStr">
        <is>
          <t>profesional</t>
        </is>
      </c>
      <c r="S83" s="2" t="inlineStr">
        <is>
          <t>Automoción Valencia Albal</t>
        </is>
      </c>
      <c r="T83" s="2" t="inlineStr">
        <is>
          <t>2026-10-23T20:29:41Z</t>
        </is>
      </c>
      <c r="U83" s="2" t="n">
        <v>10</v>
      </c>
      <c r="V83" s="2" t="n"/>
      <c r="W83" s="2" t="n"/>
      <c r="X83" s="2" t="n"/>
      <c r="Y83" s="2" t="n"/>
      <c r="Z83" s="2" t="inlineStr">
        <is>
          <t>no</t>
        </is>
      </c>
      <c r="AA83" s="2" t="n"/>
      <c r="AB83" s="2" t="n"/>
      <c r="AC83" s="2" t="n"/>
      <c r="AD83" s="2" t="n"/>
      <c r="AE83" s="2" t="n"/>
      <c r="AF83" s="2" t="n"/>
      <c r="AG83" s="2" t="n"/>
      <c r="AH83" s="2" t="n">
        <v>3300</v>
      </c>
      <c r="AI83" s="2" t="n">
        <v>3300</v>
      </c>
      <c r="AJ83" s="2" t="n"/>
      <c r="AK83" s="2" t="n"/>
      <c r="AL83" s="2" t="n"/>
      <c r="AM83" s="2" t="n">
        <v>8.699999999999999</v>
      </c>
      <c r="AN83" s="2" t="n"/>
      <c r="AO83" s="2" t="inlineStr">
        <is>
          <t>2009</t>
        </is>
      </c>
      <c r="AP83" s="2" t="n">
        <v>2009</v>
      </c>
      <c r="AQ83" s="2" t="n"/>
      <c r="AR83" s="2" t="inlineStr">
        <is>
          <t>C</t>
        </is>
      </c>
      <c r="AS83" s="2" t="inlineStr">
        <is>
          <t>anuncio</t>
        </is>
      </c>
      <c r="AT83" s="2" t="n">
        <v>2007</v>
      </c>
      <c r="AU83" s="2" t="inlineStr">
        <is>
          <t>no</t>
        </is>
      </c>
      <c r="AV83" s="2" t="inlineStr">
        <is>
          <t>no</t>
        </is>
      </c>
      <c r="AW83" s="2" t="n"/>
      <c r="AX83" s="2" t="n"/>
      <c r="AY83" s="2" t="n"/>
      <c r="AZ83" s="2" t="n"/>
      <c r="BA83" s="2" t="inlineStr">
        <is>
          <t>año a confirmar: la URL/título dice 2007; vendedor profesional: sin ITP (operación con IVA/REBU, confirmar en factura); gastos de gestión del vendedor no indicados: se suma la tasa DGT; preguntar el precio final; carrocería berlina: -4 puntos; revisar: detalles «detalles», no menciona la ITV; fiabilidad del modelo PENDIENTE de fuente (puntuación neutra); mediana con solo 1 anuncio(s)</t>
        </is>
      </c>
      <c r="BB83"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BC83" s="2" t="inlineStr">
        <is>
          <t>https://www.coches.net/fiat-linea-14-16v-tjet-120cv-dynamic-4p-gasolina-2007-en-valencia-70514152-covo.aspx (window.__INITIAL_PROPS__.ad) /home/user/Alopecia/buscador-coches/raw/cochesnet/306a1c8397fb75cd.json</t>
        </is>
      </c>
      <c r="BD83" s="3">
        <f>MAX(ANIO_ACTUAL-M83,0)</f>
        <v/>
      </c>
      <c r="BE83" s="4">
        <f>N83/MAX(BD83,0.5)</f>
        <v/>
      </c>
      <c r="BF83" s="4">
        <f>F83</f>
        <v/>
      </c>
      <c r="BG83" s="3">
        <f>BF83&amp;"|"&amp;INT(M83/SEG_ANIO)*SEG_ANIO</f>
        <v/>
      </c>
      <c r="BH83" s="3">
        <f>BG83&amp;"|"&amp;INT(N83/SEG_KM)*SEG_KM</f>
        <v/>
      </c>
      <c r="BI83" s="4">
        <f>COUNTIF($BF$2:$BF$101,BF83)</f>
        <v/>
      </c>
      <c r="BJ83" s="4">
        <f>COUNTIF($BG$2:$BG$101,BG83)</f>
        <v/>
      </c>
      <c r="BK83" s="4">
        <f>COUNTIF($BH$2:$BH$101,BH83)</f>
        <v/>
      </c>
      <c r="BL83" s="3">
        <f t="array" ref="BL83">IF(N(AX83)&gt;=MIN_N,AW83,IF(BK83&gt;=MIN_N,MEDIAN(IF($BH$2:$BH$101=BH83,$O$2:$O$101)),IF(BJ83&gt;=MIN_N,MEDIAN(IF($BG$2:$BG$101=BG83,$O$2:$O$101)),MEDIAN(IF($BF$2:$BF$101=BF83,$O$2:$O$101)))))</f>
        <v/>
      </c>
      <c r="BM83" s="3">
        <f>IF(N(AX83)&gt;=MIN_N,"mercado "&amp;AY83,IF(BK83&gt;=MIN_N,"modelo+año+km",IF(BJ83&gt;=MIN_N,"modelo+año","modelo")))</f>
        <v/>
      </c>
      <c r="BN83" s="4">
        <f>(BL83-O83)/BL83</f>
        <v/>
      </c>
      <c r="BO83" s="3">
        <f>IF(COUNTIFS(FR_FUEL,K83,FR_YEAR,AP83)&gt;0,1,0)</f>
        <v/>
      </c>
      <c r="BP83" s="3">
        <f>IF(COUNTIFS(FR_FUEL,K83,FR_YEAR,AP83-1)&gt;0,1,0)</f>
        <v/>
      </c>
      <c r="BQ83" s="4">
        <f>IF(N(AQ83)&gt;0,AP83*100+AQ83,IF(AND(BO83=1,BP83=1),(AP83-1)*100+1,AP83*100+1))</f>
        <v/>
      </c>
      <c r="BR83" s="3">
        <f>IF(OR(K83="hibrido",K83="glp",K83="gnc",K83="phev"),"ECO",IF(K83="electrico","CERO",IF(K83="gasolina",IF(BQ83&gt;=GAS_C_YM,"C",IF(BQ83&gt;=GAS_B_YM,"B","A")),IF(K83="diesel",IF(BQ83&gt;=DIE_C_YM,"C",IF(BQ83&gt;=DIE_B_YM,"B","A")),""))))</f>
        <v/>
      </c>
      <c r="BS83" s="2" t="inlineStr">
        <is>
          <t>C</t>
        </is>
      </c>
      <c r="BT83" s="4">
        <f>IF(AU83="sí","sí",IF(AS83="regla",IF(AND(N(AQ83)=0,BO83=1),"sí","no"),"no"))</f>
        <v/>
      </c>
      <c r="BU83" s="3">
        <f>IFERROR(VLOOKUP(F83,MOD_TBL,16,0),IFERROR(VLOOKUP(E83,OCU_TBL,2,0),NEUTRO))</f>
        <v/>
      </c>
      <c r="BV83" s="3">
        <f>SUMIFS(MOT_AJUSTE,MOT_MOTOR,G83,MOT_MARCA,E83,MOT_DESDE,"&lt;="&amp;M83,MOT_HASTA,"&gt;="&amp;M83)+SUMIFS(MOT_AJUSTE,MOT_MOTOR,G83,MOT_MARCA,"(todas)",MOT_DESDE,"&lt;="&amp;M83,MOT_HASTA,"&gt;="&amp;M83)+SUMIFS(MOT_AJUSTE,MOT_MOTOR,"(cualquiera)",MOT_MARCA,E83,MOT_DESDE,"&lt;="&amp;M83,MOT_HASTA,"&gt;="&amp;M83)</f>
        <v/>
      </c>
      <c r="BW83" s="3">
        <f>SUMIFS(COMB_AJUSTE,COMB_COMB,K83)</f>
        <v/>
      </c>
      <c r="BX83" s="3">
        <f>COUNTIFS(MOT_MOTOR,G83,MOT_MARCA,E83,MOT_DESDE,"&lt;="&amp;M83,MOT_HASTA,"&gt;="&amp;M83)+COUNTIFS(MOT_MOTOR,G83,MOT_MARCA,"(todas)",MOT_DESDE,"&lt;="&amp;M83,MOT_HASTA,"&gt;="&amp;M83)+COUNTIFS(MOT_MOTOR,"(cualquiera)",MOT_MARCA,E83,MOT_DESDE,"&lt;="&amp;M83,MOT_HASTA,"&gt;="&amp;M83)</f>
        <v/>
      </c>
      <c r="BY83" s="3">
        <f>IF(AND(K83="diesel",BX83=0),MIN(BU83,NEUTRO),BU83)</f>
        <v/>
      </c>
      <c r="BZ83" s="3">
        <f>MAX(0,MIN(100,BY83+BV83+BW83-IF(AV83="sí",ROB_PEN,0)))</f>
        <v/>
      </c>
      <c r="CA83" s="3">
        <f>100-MAX(0,N83-KM_TOPE_DESDE)/1000*KM_TOPE_PTS</f>
        <v/>
      </c>
      <c r="CB83" s="3">
        <f>MAX(0,MIN(100,50+BN83*PRECIO_PEND,CA83))</f>
        <v/>
      </c>
      <c r="CC83" s="3">
        <f>MAX(0,100*(1-N83/KM_MAX))</f>
        <v/>
      </c>
      <c r="CD83" s="3">
        <f>IF(BE83&lt;KMA_SOSP,IF(AA83="sí",100,KMA_PEN),IF(BE83&lt;=KMA_IDEAL_MAX,100,MAX(0,100*(KMA_CERO-BE83)/(KMA_CERO-KMA_IDEAL_MAX))))</f>
        <v/>
      </c>
      <c r="CE83" s="3">
        <f>MAX(0,MIN(100,100*(M83-ANIO_MIN)/(ANIO_ACTUAL-ANIO_MIN)))</f>
        <v/>
      </c>
      <c r="CF83" s="3">
        <f>W_KMT*CC83+W_KMA*CD83+W_EDAD*CE83</f>
        <v/>
      </c>
      <c r="CG83" s="3">
        <f>P_ITV*(V83="sí")+P_LIBRO*(W83="sí")+P_CORREA*(X83="sí")+P_PROP*(Y83=1)+P_GAR*(Z83="sí")+P_FOTOS*MIN(1,N(U83)/FOTOS_OBJ)</f>
        <v/>
      </c>
      <c r="CH83" s="3">
        <f>MAX(0,MIN(100,IFERROR(VLOOKUP(BS83,ETQ_TBL,2,0),0)-IF(BT83="sí",ETQ_PEN_DUD,IF(AS83="regla",ETQ_PEN_REGLA,0))))</f>
        <v/>
      </c>
      <c r="CI83" s="3">
        <f>NEUTRO</f>
        <v/>
      </c>
      <c r="CJ83" s="3">
        <f>IFERROR(VLOOKUP(L83,SEGURO_TBL,3,0),"")</f>
        <v/>
      </c>
      <c r="CK83" s="3">
        <f>IF(CJ83="",NEUTRO,MAX(0,MIN(100,100*(SEG_REF_MAX-CJ83)/(SEG_REF_MAX-SEG_REF_MIN))))</f>
        <v/>
      </c>
      <c r="CL83" s="3">
        <f>W_CONS*CI83+W_SEG*CK83</f>
        <v/>
      </c>
      <c r="CM83" s="3">
        <f>IF(N(AB83)&gt;0,AB83,IF(AND(R83="profesional",SG_LEGAL_ON=1),GAR_LEGAL,0))</f>
        <v/>
      </c>
      <c r="CN83" s="3">
        <f>SG_GAR*MIN(1,CM83/SG_GAR_FULL)+SG_AMPL*(AC83="sí")+SG_KMC*(AF83="sí")+SG_REV*(N(AE83)&gt;0)+SG_DEV*MIN(1,N(AG83)/SG_DEV_FULL)+SG_HIST*(W83="sí")</f>
        <v/>
      </c>
      <c r="CO83" s="3">
        <f>IFERROR(VLOOKUP(L83,CARR_PEN_TBL,2,0),0)</f>
        <v/>
      </c>
      <c r="CP83" s="3">
        <f>W_FIAB*BZ83+W_PRECIO*CB83+W_KMEDAD*CF83+W_ANUNCIO*CG83+W_USO*CL83+W_SEGURIDAD*CN83+W_ETIQUETA*CH83-CO83</f>
        <v/>
      </c>
      <c r="CQ83" s="4">
        <f>IF(N(I83)&gt;0,I83,IFERROR(ROUND(_xlfn.NUMBERVALUE(LEFT(G83,FIND(" ",G83&amp;" ")-1),".")*1000,0),99999))</f>
        <v/>
      </c>
      <c r="CR83" s="3">
        <f>IF(R83="profesional",0,IF(O83&lt;CUOTA_VALOR_MAX,IF(BD83&gt;ITP_TRAMO_ALTO,SUMIFS(CF_CUOTA,CF_MAS,ITP_TRAMO_ALTO,CF_CCMIN,"&lt;="&amp;CQ83,CF_CCMAX,"&gt;="&amp;CQ83),IF(BD83&gt;ITP_TRAMO_BAJO,SUMIFS(CF_CUOTA,CF_MAS,ITP_TRAMO_BAJO,CF_CCMIN,"&lt;="&amp;CQ83,CF_CCMAX,"&gt;="&amp;CQ83),O83*ITP_TIPO)),O83*ITP_TIPO))</f>
        <v/>
      </c>
      <c r="CS83" s="4">
        <f>IF(R83="profesional",N(AK83),0)</f>
        <v/>
      </c>
      <c r="CT83" s="3">
        <f>IF(AND(R83="profesional",ISNUMBER(AK83),AL83="sí"),0,TASA_DGT)</f>
        <v/>
      </c>
      <c r="CU83" s="3">
        <f>INFORME_DGT</f>
        <v/>
      </c>
      <c r="CV83" s="4">
        <f>O83+CS83+CR83+CT83+CU83</f>
        <v/>
      </c>
      <c r="CW83" s="4">
        <f>CV83+N(CJ83)</f>
        <v/>
      </c>
      <c r="CX83" s="3">
        <f>IF(CV83&lt;=TOTAL_MAX,"sí",IF(CV83&lt;=TOTAL_MAX+MARGEN_NEG,"negociar","no"))</f>
        <v/>
      </c>
      <c r="CY83" s="4">
        <f>IF(CX83&lt;&gt;"no",COUNTIFS($CX$2:$CX$101,"&lt;&gt;no",$CP$2:$CP$101,"&gt;"&amp;CP83)+COUNTIFS($CX$2:CX83,"&lt;&gt;no",$CP$2:CP83,CP83),"")</f>
        <v/>
      </c>
    </row>
    <row r="84">
      <c r="A84" s="2" t="inlineStr">
        <is>
          <t>cochesnet:62365434</t>
        </is>
      </c>
      <c r="B84" s="2" t="inlineStr">
        <is>
          <t>cochesnet</t>
        </is>
      </c>
      <c r="C84" s="2" t="inlineStr">
        <is>
          <t>https://www.coches.net/fiat-500-12-8v-69-cv-lounge-3p-gasolina-2014-en-valencia-62365434-covo.aspx</t>
        </is>
      </c>
      <c r="D84" s="2" t="inlineStr">
        <is>
          <t>FIAT 500 1.2 8v 69 CV Lounge</t>
        </is>
      </c>
      <c r="E84" s="2" t="inlineStr">
        <is>
          <t>Fiat</t>
        </is>
      </c>
      <c r="F84" s="2" t="inlineStr">
        <is>
          <t>Fiat 500</t>
        </is>
      </c>
      <c r="G84" s="2" t="inlineStr">
        <is>
          <t>1.2</t>
        </is>
      </c>
      <c r="H84" s="2" t="inlineStr">
        <is>
          <t>1.2 8v 69 CV Lounge</t>
        </is>
      </c>
      <c r="I84" s="2" t="n"/>
      <c r="J84" s="2" t="n">
        <v>69</v>
      </c>
      <c r="K84" s="2" t="inlineStr">
        <is>
          <t>gasolina</t>
        </is>
      </c>
      <c r="L84" s="2" t="inlineStr">
        <is>
          <t>utilitario</t>
        </is>
      </c>
      <c r="M84" s="2" t="n">
        <v>2014</v>
      </c>
      <c r="N84" s="2" t="n">
        <v>146000</v>
      </c>
      <c r="O84" s="2" t="n">
        <v>4999</v>
      </c>
      <c r="P84" s="2" t="inlineStr">
        <is>
          <t>manual</t>
        </is>
      </c>
      <c r="Q84" s="2" t="inlineStr">
        <is>
          <t>no</t>
        </is>
      </c>
      <c r="R84" s="2" t="inlineStr">
        <is>
          <t>profesional</t>
        </is>
      </c>
      <c r="S84" s="2" t="inlineStr">
        <is>
          <t>Automoción Valencia Albal</t>
        </is>
      </c>
      <c r="T84" s="2" t="inlineStr">
        <is>
          <t>2026-08-15T17:18:49Z</t>
        </is>
      </c>
      <c r="U84" s="2" t="n">
        <v>22</v>
      </c>
      <c r="V84" s="2" t="n"/>
      <c r="W84" s="2" t="n"/>
      <c r="X84" s="2" t="n"/>
      <c r="Y84" s="2" t="n"/>
      <c r="Z84" s="2" t="inlineStr">
        <is>
          <t>no</t>
        </is>
      </c>
      <c r="AA84" s="2" t="n"/>
      <c r="AB84" s="2" t="n"/>
      <c r="AC84" s="2" t="n"/>
      <c r="AD84" s="2" t="n"/>
      <c r="AE84" s="2" t="n"/>
      <c r="AF84" s="2" t="n"/>
      <c r="AG84" s="2" t="n"/>
      <c r="AH84" s="2" t="n">
        <v>4999</v>
      </c>
      <c r="AI84" s="2" t="n">
        <v>4999</v>
      </c>
      <c r="AJ84" s="2" t="n"/>
      <c r="AK84" s="2" t="n"/>
      <c r="AL84" s="2" t="n"/>
      <c r="AM84" s="2" t="n">
        <v>8.699999999999999</v>
      </c>
      <c r="AN84" s="2" t="n"/>
      <c r="AO84" s="2" t="inlineStr">
        <is>
          <t>2014</t>
        </is>
      </c>
      <c r="AP84" s="2" t="n">
        <v>2014</v>
      </c>
      <c r="AQ84" s="2" t="n"/>
      <c r="AR84" s="2" t="inlineStr">
        <is>
          <t>C</t>
        </is>
      </c>
      <c r="AS84" s="2" t="inlineStr">
        <is>
          <t>anuncio</t>
        </is>
      </c>
      <c r="AT84" s="2" t="n"/>
      <c r="AU84" s="2" t="inlineStr">
        <is>
          <t>no</t>
        </is>
      </c>
      <c r="AV84" s="2" t="inlineStr">
        <is>
          <t>no</t>
        </is>
      </c>
      <c r="AW84" s="2" t="n">
        <v>6100</v>
      </c>
      <c r="AX84" s="2" t="n">
        <v>8</v>
      </c>
      <c r="AY84" s="2" t="inlineStr">
        <is>
          <t>modelo+año+km</t>
        </is>
      </c>
      <c r="AZ84" s="2" t="n"/>
      <c r="BA84" s="2" t="inlineStr">
        <is>
          <t>por encima del presupuesto (5063 €), negociar; vendedor profesional: sin ITP (operación con IVA/REBU, confirmar en factura); gastos de gestión del vendedor no indicados: se suma la tasa DGT; preguntar el precio final; revisar: no menciona la ITV</t>
        </is>
      </c>
      <c r="BB84"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BC84" s="2" t="inlineStr">
        <is>
          <t>https://www.coches.net/fiat-500-12-8v-69-cv-lounge-3p-gasolina-2014-en-valencia-62365434-covo.aspx (window.__INITIAL_PROPS__.ad) /home/user/Alopecia/buscador-coches/raw/cochesnet/35da72ef6d8b8c75.json</t>
        </is>
      </c>
      <c r="BD84" s="3">
        <f>MAX(ANIO_ACTUAL-M84,0)</f>
        <v/>
      </c>
      <c r="BE84" s="4">
        <f>N84/MAX(BD84,0.5)</f>
        <v/>
      </c>
      <c r="BF84" s="4">
        <f>F84</f>
        <v/>
      </c>
      <c r="BG84" s="3">
        <f>BF84&amp;"|"&amp;INT(M84/SEG_ANIO)*SEG_ANIO</f>
        <v/>
      </c>
      <c r="BH84" s="3">
        <f>BG84&amp;"|"&amp;INT(N84/SEG_KM)*SEG_KM</f>
        <v/>
      </c>
      <c r="BI84" s="4">
        <f>COUNTIF($BF$2:$BF$101,BF84)</f>
        <v/>
      </c>
      <c r="BJ84" s="4">
        <f>COUNTIF($BG$2:$BG$101,BG84)</f>
        <v/>
      </c>
      <c r="BK84" s="4">
        <f>COUNTIF($BH$2:$BH$101,BH84)</f>
        <v/>
      </c>
      <c r="BL84" s="3">
        <f t="array" ref="BL84">IF(N(AX84)&gt;=MIN_N,AW84,IF(BK84&gt;=MIN_N,MEDIAN(IF($BH$2:$BH$101=BH84,$O$2:$O$101)),IF(BJ84&gt;=MIN_N,MEDIAN(IF($BG$2:$BG$101=BG84,$O$2:$O$101)),MEDIAN(IF($BF$2:$BF$101=BF84,$O$2:$O$101)))))</f>
        <v/>
      </c>
      <c r="BM84" s="3">
        <f>IF(N(AX84)&gt;=MIN_N,"mercado "&amp;AY84,IF(BK84&gt;=MIN_N,"modelo+año+km",IF(BJ84&gt;=MIN_N,"modelo+año","modelo")))</f>
        <v/>
      </c>
      <c r="BN84" s="4">
        <f>(BL84-O84)/BL84</f>
        <v/>
      </c>
      <c r="BO84" s="3">
        <f>IF(COUNTIFS(FR_FUEL,K84,FR_YEAR,AP84)&gt;0,1,0)</f>
        <v/>
      </c>
      <c r="BP84" s="3">
        <f>IF(COUNTIFS(FR_FUEL,K84,FR_YEAR,AP84-1)&gt;0,1,0)</f>
        <v/>
      </c>
      <c r="BQ84" s="4">
        <f>IF(N(AQ84)&gt;0,AP84*100+AQ84,IF(AND(BO84=1,BP84=1),(AP84-1)*100+1,AP84*100+1))</f>
        <v/>
      </c>
      <c r="BR84" s="3">
        <f>IF(OR(K84="hibrido",K84="glp",K84="gnc",K84="phev"),"ECO",IF(K84="electrico","CERO",IF(K84="gasolina",IF(BQ84&gt;=GAS_C_YM,"C",IF(BQ84&gt;=GAS_B_YM,"B","A")),IF(K84="diesel",IF(BQ84&gt;=DIE_C_YM,"C",IF(BQ84&gt;=DIE_B_YM,"B","A")),""))))</f>
        <v/>
      </c>
      <c r="BS84" s="2" t="inlineStr">
        <is>
          <t>C</t>
        </is>
      </c>
      <c r="BT84" s="4">
        <f>IF(AU84="sí","sí",IF(AS84="regla",IF(AND(N(AQ84)=0,BO84=1),"sí","no"),"no"))</f>
        <v/>
      </c>
      <c r="BU84" s="3">
        <f>IFERROR(VLOOKUP(F84,MOD_TBL,16,0),IFERROR(VLOOKUP(E84,OCU_TBL,2,0),NEUTRO))</f>
        <v/>
      </c>
      <c r="BV84" s="3">
        <f>SUMIFS(MOT_AJUSTE,MOT_MOTOR,G84,MOT_MARCA,E84,MOT_DESDE,"&lt;="&amp;M84,MOT_HASTA,"&gt;="&amp;M84)+SUMIFS(MOT_AJUSTE,MOT_MOTOR,G84,MOT_MARCA,"(todas)",MOT_DESDE,"&lt;="&amp;M84,MOT_HASTA,"&gt;="&amp;M84)+SUMIFS(MOT_AJUSTE,MOT_MOTOR,"(cualquiera)",MOT_MARCA,E84,MOT_DESDE,"&lt;="&amp;M84,MOT_HASTA,"&gt;="&amp;M84)</f>
        <v/>
      </c>
      <c r="BW84" s="3">
        <f>SUMIFS(COMB_AJUSTE,COMB_COMB,K84)</f>
        <v/>
      </c>
      <c r="BX84" s="3">
        <f>COUNTIFS(MOT_MOTOR,G84,MOT_MARCA,E84,MOT_DESDE,"&lt;="&amp;M84,MOT_HASTA,"&gt;="&amp;M84)+COUNTIFS(MOT_MOTOR,G84,MOT_MARCA,"(todas)",MOT_DESDE,"&lt;="&amp;M84,MOT_HASTA,"&gt;="&amp;M84)+COUNTIFS(MOT_MOTOR,"(cualquiera)",MOT_MARCA,E84,MOT_DESDE,"&lt;="&amp;M84,MOT_HASTA,"&gt;="&amp;M84)</f>
        <v/>
      </c>
      <c r="BY84" s="3">
        <f>IF(AND(K84="diesel",BX84=0),MIN(BU84,NEUTRO),BU84)</f>
        <v/>
      </c>
      <c r="BZ84" s="3">
        <f>MAX(0,MIN(100,BY84+BV84+BW84-IF(AV84="sí",ROB_PEN,0)))</f>
        <v/>
      </c>
      <c r="CA84" s="3">
        <f>100-MAX(0,N84-KM_TOPE_DESDE)/1000*KM_TOPE_PTS</f>
        <v/>
      </c>
      <c r="CB84" s="3">
        <f>MAX(0,MIN(100,50+BN84*PRECIO_PEND,CA84))</f>
        <v/>
      </c>
      <c r="CC84" s="3">
        <f>MAX(0,100*(1-N84/KM_MAX))</f>
        <v/>
      </c>
      <c r="CD84" s="3">
        <f>IF(BE84&lt;KMA_SOSP,IF(AA84="sí",100,KMA_PEN),IF(BE84&lt;=KMA_IDEAL_MAX,100,MAX(0,100*(KMA_CERO-BE84)/(KMA_CERO-KMA_IDEAL_MAX))))</f>
        <v/>
      </c>
      <c r="CE84" s="3">
        <f>MAX(0,MIN(100,100*(M84-ANIO_MIN)/(ANIO_ACTUAL-ANIO_MIN)))</f>
        <v/>
      </c>
      <c r="CF84" s="3">
        <f>W_KMT*CC84+W_KMA*CD84+W_EDAD*CE84</f>
        <v/>
      </c>
      <c r="CG84" s="3">
        <f>P_ITV*(V84="sí")+P_LIBRO*(W84="sí")+P_CORREA*(X84="sí")+P_PROP*(Y84=1)+P_GAR*(Z84="sí")+P_FOTOS*MIN(1,N(U84)/FOTOS_OBJ)</f>
        <v/>
      </c>
      <c r="CH84" s="3">
        <f>MAX(0,MIN(100,IFERROR(VLOOKUP(BS84,ETQ_TBL,2,0),0)-IF(BT84="sí",ETQ_PEN_DUD,IF(AS84="regla",ETQ_PEN_REGLA,0))))</f>
        <v/>
      </c>
      <c r="CI84" s="3">
        <f>NEUTRO</f>
        <v/>
      </c>
      <c r="CJ84" s="3">
        <f>IFERROR(VLOOKUP(L84,SEGURO_TBL,3,0),"")</f>
        <v/>
      </c>
      <c r="CK84" s="3">
        <f>IF(CJ84="",NEUTRO,MAX(0,MIN(100,100*(SEG_REF_MAX-CJ84)/(SEG_REF_MAX-SEG_REF_MIN))))</f>
        <v/>
      </c>
      <c r="CL84" s="3">
        <f>W_CONS*CI84+W_SEG*CK84</f>
        <v/>
      </c>
      <c r="CM84" s="3">
        <f>IF(N(AB84)&gt;0,AB84,IF(AND(R84="profesional",SG_LEGAL_ON=1),GAR_LEGAL,0))</f>
        <v/>
      </c>
      <c r="CN84" s="3">
        <f>SG_GAR*MIN(1,CM84/SG_GAR_FULL)+SG_AMPL*(AC84="sí")+SG_KMC*(AF84="sí")+SG_REV*(N(AE84)&gt;0)+SG_DEV*MIN(1,N(AG84)/SG_DEV_FULL)+SG_HIST*(W84="sí")</f>
        <v/>
      </c>
      <c r="CO84" s="3">
        <f>IFERROR(VLOOKUP(L84,CARR_PEN_TBL,2,0),0)</f>
        <v/>
      </c>
      <c r="CP84" s="3">
        <f>W_FIAB*BZ84+W_PRECIO*CB84+W_KMEDAD*CF84+W_ANUNCIO*CG84+W_USO*CL84+W_SEGURIDAD*CN84+W_ETIQUETA*CH84-CO84</f>
        <v/>
      </c>
      <c r="CQ84" s="4">
        <f>IF(N(I84)&gt;0,I84,IFERROR(ROUND(_xlfn.NUMBERVALUE(LEFT(G84,FIND(" ",G84&amp;" ")-1),".")*1000,0),99999))</f>
        <v/>
      </c>
      <c r="CR84" s="3">
        <f>IF(R84="profesional",0,IF(O84&lt;CUOTA_VALOR_MAX,IF(BD84&gt;ITP_TRAMO_ALTO,SUMIFS(CF_CUOTA,CF_MAS,ITP_TRAMO_ALTO,CF_CCMIN,"&lt;="&amp;CQ84,CF_CCMAX,"&gt;="&amp;CQ84),IF(BD84&gt;ITP_TRAMO_BAJO,SUMIFS(CF_CUOTA,CF_MAS,ITP_TRAMO_BAJO,CF_CCMIN,"&lt;="&amp;CQ84,CF_CCMAX,"&gt;="&amp;CQ84),O84*ITP_TIPO)),O84*ITP_TIPO))</f>
        <v/>
      </c>
      <c r="CS84" s="4">
        <f>IF(R84="profesional",N(AK84),0)</f>
        <v/>
      </c>
      <c r="CT84" s="3">
        <f>IF(AND(R84="profesional",ISNUMBER(AK84),AL84="sí"),0,TASA_DGT)</f>
        <v/>
      </c>
      <c r="CU84" s="3">
        <f>INFORME_DGT</f>
        <v/>
      </c>
      <c r="CV84" s="4">
        <f>O84+CS84+CR84+CT84+CU84</f>
        <v/>
      </c>
      <c r="CW84" s="4">
        <f>CV84+N(CJ84)</f>
        <v/>
      </c>
      <c r="CX84" s="3">
        <f>IF(CV84&lt;=TOTAL_MAX,"sí",IF(CV84&lt;=TOTAL_MAX+MARGEN_NEG,"negociar","no"))</f>
        <v/>
      </c>
      <c r="CY84" s="4">
        <f>IF(CX84&lt;&gt;"no",COUNTIFS($CX$2:$CX$101,"&lt;&gt;no",$CP$2:$CP$101,"&gt;"&amp;CP84)+COUNTIFS($CX$2:CX84,"&lt;&gt;no",$CP$2:CP84,CP84),"")</f>
        <v/>
      </c>
    </row>
    <row r="85">
      <c r="A85" s="2" t="inlineStr">
        <is>
          <t>cochesnet:71849245</t>
        </is>
      </c>
      <c r="B85" s="2" t="inlineStr">
        <is>
          <t>cochesnet</t>
        </is>
      </c>
      <c r="C85" s="2" t="inlineStr">
        <is>
          <t>https://www.coches.net/nissan-pixo-5p-10g-68cv-acenta-pack-safety-5p-gasolina-2011-en-valencia-71849245-covo.aspx</t>
        </is>
      </c>
      <c r="D85" s="2" t="inlineStr">
        <is>
          <t>NISSAN Pixo 1.0G ACENTA PACK SAFETY</t>
        </is>
      </c>
      <c r="E85" s="2" t="inlineStr">
        <is>
          <t>Nissan</t>
        </is>
      </c>
      <c r="F85" s="2" t="inlineStr">
        <is>
          <t>Nissan Pixo</t>
        </is>
      </c>
      <c r="G85" s="2" t="inlineStr">
        <is>
          <t>1.0</t>
        </is>
      </c>
      <c r="H85" s="2" t="inlineStr">
        <is>
          <t>5p 1.0G 68CV ACENTA PACK SAFETY</t>
        </is>
      </c>
      <c r="I85" s="2" t="n"/>
      <c r="J85" s="2" t="n">
        <v>68</v>
      </c>
      <c r="K85" s="2" t="inlineStr">
        <is>
          <t>gasolina</t>
        </is>
      </c>
      <c r="L85" s="2" t="inlineStr">
        <is>
          <t>utilitario</t>
        </is>
      </c>
      <c r="M85" s="2" t="n">
        <v>2012</v>
      </c>
      <c r="N85" s="2" t="n">
        <v>68000</v>
      </c>
      <c r="O85" s="2" t="n">
        <v>4990</v>
      </c>
      <c r="P85" s="2" t="inlineStr">
        <is>
          <t>manual</t>
        </is>
      </c>
      <c r="Q85" s="2" t="inlineStr">
        <is>
          <t>no</t>
        </is>
      </c>
      <c r="R85" s="2" t="inlineStr">
        <is>
          <t>profesional</t>
        </is>
      </c>
      <c r="S85" s="2" t="inlineStr">
        <is>
          <t>Saga Vehículos Massanassa</t>
        </is>
      </c>
      <c r="T85" s="2" t="inlineStr">
        <is>
          <t>2026-10-27T23:45:43Z</t>
        </is>
      </c>
      <c r="U85" s="2" t="n">
        <v>26</v>
      </c>
      <c r="V85" s="2" t="n"/>
      <c r="W85" s="2" t="n"/>
      <c r="X85" s="2" t="n"/>
      <c r="Y85" s="2" t="n"/>
      <c r="Z85" s="2" t="inlineStr">
        <is>
          <t>sí</t>
        </is>
      </c>
      <c r="AA85" s="2" t="n"/>
      <c r="AB85" s="2" t="n">
        <v>12</v>
      </c>
      <c r="AC85" s="2" t="inlineStr">
        <is>
          <t>sí</t>
        </is>
      </c>
      <c r="AD85" s="2" t="n"/>
      <c r="AE85" s="2" t="n"/>
      <c r="AF85" s="2" t="n"/>
      <c r="AG85" s="2" t="n"/>
      <c r="AH85" s="2" t="n">
        <v>4990</v>
      </c>
      <c r="AI85" s="2" t="n">
        <v>4990</v>
      </c>
      <c r="AJ85" s="2" t="n"/>
      <c r="AK85" s="2" t="n">
        <v>350</v>
      </c>
      <c r="AL85" s="2" t="inlineStr">
        <is>
          <t>no</t>
        </is>
      </c>
      <c r="AM85" s="2" t="n">
        <v>6.9</v>
      </c>
      <c r="AN85" s="2" t="n"/>
      <c r="AO85" s="2" t="inlineStr">
        <is>
          <t>2012</t>
        </is>
      </c>
      <c r="AP85" s="2" t="n">
        <v>2012</v>
      </c>
      <c r="AQ85" s="2" t="n"/>
      <c r="AR85" s="2" t="inlineStr">
        <is>
          <t>C</t>
        </is>
      </c>
      <c r="AS85" s="2" t="inlineStr">
        <is>
          <t>anuncio</t>
        </is>
      </c>
      <c r="AT85" s="2" t="n">
        <v>2011</v>
      </c>
      <c r="AU85" s="2" t="inlineStr">
        <is>
          <t>no</t>
        </is>
      </c>
      <c r="AV85" s="2" t="inlineStr">
        <is>
          <t>no</t>
        </is>
      </c>
      <c r="AW85" s="2" t="n"/>
      <c r="AX85" s="2" t="n"/>
      <c r="AY85" s="2" t="n"/>
      <c r="AZ85" s="2" t="n"/>
      <c r="BA85" s="2" t="inlineStr">
        <is>
          <t>año a confirmar: la URL/título dice 2011; vendedor profesional: sin ITP (operación con IVA/REBU, confirmar en factura); gastos del vendedor sin indicar si incluyen la transferencia: se suma la tasa DGT; revisar: no menciona la ITV; fiabilidad del modelo PENDIENTE de fuente (puntuación neutra); mediana con solo 1 anuncio(s)</t>
        </is>
      </c>
      <c r="BB85" s="2" t="inlineStr">
        <is>
          <t xml:space="preserve">Nissan Pixo 1.0 Acenta, PACK SAFETY, 68CV,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Control de estabilidad 
- Ordenador abordo
- Sistema radio CD/MP3/USB
- Llaves presencial con mandos a distancia y mucho mas....
Este anuncio no es vinculante, se muestra a titulo informativo y no contractual.
</t>
        </is>
      </c>
      <c r="BC85" s="2" t="inlineStr">
        <is>
          <t>https://www.coches.net/nissan-pixo-5p-10g-68cv-acenta-pack-safety-5p-gasolina-2011-en-valencia-71849245-covo.aspx (window.__INITIAL_PROPS__.ad) /home/user/Alopecia/buscador-coches/raw/cochesnet/1836a48cf5398a0d.json</t>
        </is>
      </c>
      <c r="BD85" s="3">
        <f>MAX(ANIO_ACTUAL-M85,0)</f>
        <v/>
      </c>
      <c r="BE85" s="4">
        <f>N85/MAX(BD85,0.5)</f>
        <v/>
      </c>
      <c r="BF85" s="4">
        <f>F85</f>
        <v/>
      </c>
      <c r="BG85" s="3">
        <f>BF85&amp;"|"&amp;INT(M85/SEG_ANIO)*SEG_ANIO</f>
        <v/>
      </c>
      <c r="BH85" s="3">
        <f>BG85&amp;"|"&amp;INT(N85/SEG_KM)*SEG_KM</f>
        <v/>
      </c>
      <c r="BI85" s="4">
        <f>COUNTIF($BF$2:$BF$101,BF85)</f>
        <v/>
      </c>
      <c r="BJ85" s="4">
        <f>COUNTIF($BG$2:$BG$101,BG85)</f>
        <v/>
      </c>
      <c r="BK85" s="4">
        <f>COUNTIF($BH$2:$BH$101,BH85)</f>
        <v/>
      </c>
      <c r="BL85" s="3">
        <f t="array" ref="BL85">IF(N(AX85)&gt;=MIN_N,AW85,IF(BK85&gt;=MIN_N,MEDIAN(IF($BH$2:$BH$101=BH85,$O$2:$O$101)),IF(BJ85&gt;=MIN_N,MEDIAN(IF($BG$2:$BG$101=BG85,$O$2:$O$101)),MEDIAN(IF($BF$2:$BF$101=BF85,$O$2:$O$101)))))</f>
        <v/>
      </c>
      <c r="BM85" s="3">
        <f>IF(N(AX85)&gt;=MIN_N,"mercado "&amp;AY85,IF(BK85&gt;=MIN_N,"modelo+año+km",IF(BJ85&gt;=MIN_N,"modelo+año","modelo")))</f>
        <v/>
      </c>
      <c r="BN85" s="4">
        <f>(BL85-O85)/BL85</f>
        <v/>
      </c>
      <c r="BO85" s="3">
        <f>IF(COUNTIFS(FR_FUEL,K85,FR_YEAR,AP85)&gt;0,1,0)</f>
        <v/>
      </c>
      <c r="BP85" s="3">
        <f>IF(COUNTIFS(FR_FUEL,K85,FR_YEAR,AP85-1)&gt;0,1,0)</f>
        <v/>
      </c>
      <c r="BQ85" s="4">
        <f>IF(N(AQ85)&gt;0,AP85*100+AQ85,IF(AND(BO85=1,BP85=1),(AP85-1)*100+1,AP85*100+1))</f>
        <v/>
      </c>
      <c r="BR85" s="3">
        <f>IF(OR(K85="hibrido",K85="glp",K85="gnc",K85="phev"),"ECO",IF(K85="electrico","CERO",IF(K85="gasolina",IF(BQ85&gt;=GAS_C_YM,"C",IF(BQ85&gt;=GAS_B_YM,"B","A")),IF(K85="diesel",IF(BQ85&gt;=DIE_C_YM,"C",IF(BQ85&gt;=DIE_B_YM,"B","A")),""))))</f>
        <v/>
      </c>
      <c r="BS85" s="2" t="inlineStr">
        <is>
          <t>C</t>
        </is>
      </c>
      <c r="BT85" s="4">
        <f>IF(AU85="sí","sí",IF(AS85="regla",IF(AND(N(AQ85)=0,BO85=1),"sí","no"),"no"))</f>
        <v/>
      </c>
      <c r="BU85" s="3">
        <f>IFERROR(VLOOKUP(F85,MOD_TBL,16,0),IFERROR(VLOOKUP(E85,OCU_TBL,2,0),NEUTRO))</f>
        <v/>
      </c>
      <c r="BV85" s="3">
        <f>SUMIFS(MOT_AJUSTE,MOT_MOTOR,G85,MOT_MARCA,E85,MOT_DESDE,"&lt;="&amp;M85,MOT_HASTA,"&gt;="&amp;M85)+SUMIFS(MOT_AJUSTE,MOT_MOTOR,G85,MOT_MARCA,"(todas)",MOT_DESDE,"&lt;="&amp;M85,MOT_HASTA,"&gt;="&amp;M85)+SUMIFS(MOT_AJUSTE,MOT_MOTOR,"(cualquiera)",MOT_MARCA,E85,MOT_DESDE,"&lt;="&amp;M85,MOT_HASTA,"&gt;="&amp;M85)</f>
        <v/>
      </c>
      <c r="BW85" s="3">
        <f>SUMIFS(COMB_AJUSTE,COMB_COMB,K85)</f>
        <v/>
      </c>
      <c r="BX85" s="3">
        <f>COUNTIFS(MOT_MOTOR,G85,MOT_MARCA,E85,MOT_DESDE,"&lt;="&amp;M85,MOT_HASTA,"&gt;="&amp;M85)+COUNTIFS(MOT_MOTOR,G85,MOT_MARCA,"(todas)",MOT_DESDE,"&lt;="&amp;M85,MOT_HASTA,"&gt;="&amp;M85)+COUNTIFS(MOT_MOTOR,"(cualquiera)",MOT_MARCA,E85,MOT_DESDE,"&lt;="&amp;M85,MOT_HASTA,"&gt;="&amp;M85)</f>
        <v/>
      </c>
      <c r="BY85" s="3">
        <f>IF(AND(K85="diesel",BX85=0),MIN(BU85,NEUTRO),BU85)</f>
        <v/>
      </c>
      <c r="BZ85" s="3">
        <f>MAX(0,MIN(100,BY85+BV85+BW85-IF(AV85="sí",ROB_PEN,0)))</f>
        <v/>
      </c>
      <c r="CA85" s="3">
        <f>100-MAX(0,N85-KM_TOPE_DESDE)/1000*KM_TOPE_PTS</f>
        <v/>
      </c>
      <c r="CB85" s="3">
        <f>MAX(0,MIN(100,50+BN85*PRECIO_PEND,CA85))</f>
        <v/>
      </c>
      <c r="CC85" s="3">
        <f>MAX(0,100*(1-N85/KM_MAX))</f>
        <v/>
      </c>
      <c r="CD85" s="3">
        <f>IF(BE85&lt;KMA_SOSP,IF(AA85="sí",100,KMA_PEN),IF(BE85&lt;=KMA_IDEAL_MAX,100,MAX(0,100*(KMA_CERO-BE85)/(KMA_CERO-KMA_IDEAL_MAX))))</f>
        <v/>
      </c>
      <c r="CE85" s="3">
        <f>MAX(0,MIN(100,100*(M85-ANIO_MIN)/(ANIO_ACTUAL-ANIO_MIN)))</f>
        <v/>
      </c>
      <c r="CF85" s="3">
        <f>W_KMT*CC85+W_KMA*CD85+W_EDAD*CE85</f>
        <v/>
      </c>
      <c r="CG85" s="3">
        <f>P_ITV*(V85="sí")+P_LIBRO*(W85="sí")+P_CORREA*(X85="sí")+P_PROP*(Y85=1)+P_GAR*(Z85="sí")+P_FOTOS*MIN(1,N(U85)/FOTOS_OBJ)</f>
        <v/>
      </c>
      <c r="CH85" s="3">
        <f>MAX(0,MIN(100,IFERROR(VLOOKUP(BS85,ETQ_TBL,2,0),0)-IF(BT85="sí",ETQ_PEN_DUD,IF(AS85="regla",ETQ_PEN_REGLA,0))))</f>
        <v/>
      </c>
      <c r="CI85" s="3">
        <f>NEUTRO</f>
        <v/>
      </c>
      <c r="CJ85" s="3">
        <f>IFERROR(VLOOKUP(L85,SEGURO_TBL,3,0),"")</f>
        <v/>
      </c>
      <c r="CK85" s="3">
        <f>IF(CJ85="",NEUTRO,MAX(0,MIN(100,100*(SEG_REF_MAX-CJ85)/(SEG_REF_MAX-SEG_REF_MIN))))</f>
        <v/>
      </c>
      <c r="CL85" s="3">
        <f>W_CONS*CI85+W_SEG*CK85</f>
        <v/>
      </c>
      <c r="CM85" s="3">
        <f>IF(N(AB85)&gt;0,AB85,IF(AND(R85="profesional",SG_LEGAL_ON=1),GAR_LEGAL,0))</f>
        <v/>
      </c>
      <c r="CN85" s="3">
        <f>SG_GAR*MIN(1,CM85/SG_GAR_FULL)+SG_AMPL*(AC85="sí")+SG_KMC*(AF85="sí")+SG_REV*(N(AE85)&gt;0)+SG_DEV*MIN(1,N(AG85)/SG_DEV_FULL)+SG_HIST*(W85="sí")</f>
        <v/>
      </c>
      <c r="CO85" s="3">
        <f>IFERROR(VLOOKUP(L85,CARR_PEN_TBL,2,0),0)</f>
        <v/>
      </c>
      <c r="CP85" s="3">
        <f>W_FIAB*BZ85+W_PRECIO*CB85+W_KMEDAD*CF85+W_ANUNCIO*CG85+W_USO*CL85+W_SEGURIDAD*CN85+W_ETIQUETA*CH85-CO85</f>
        <v/>
      </c>
      <c r="CQ85" s="4">
        <f>IF(N(I85)&gt;0,I85,IFERROR(ROUND(_xlfn.NUMBERVALUE(LEFT(G85,FIND(" ",G85&amp;" ")-1),".")*1000,0),99999))</f>
        <v/>
      </c>
      <c r="CR85" s="3">
        <f>IF(R85="profesional",0,IF(O85&lt;CUOTA_VALOR_MAX,IF(BD85&gt;ITP_TRAMO_ALTO,SUMIFS(CF_CUOTA,CF_MAS,ITP_TRAMO_ALTO,CF_CCMIN,"&lt;="&amp;CQ85,CF_CCMAX,"&gt;="&amp;CQ85),IF(BD85&gt;ITP_TRAMO_BAJO,SUMIFS(CF_CUOTA,CF_MAS,ITP_TRAMO_BAJO,CF_CCMIN,"&lt;="&amp;CQ85,CF_CCMAX,"&gt;="&amp;CQ85),O85*ITP_TIPO)),O85*ITP_TIPO))</f>
        <v/>
      </c>
      <c r="CS85" s="4">
        <f>IF(R85="profesional",N(AK85),0)</f>
        <v/>
      </c>
      <c r="CT85" s="3">
        <f>IF(AND(R85="profesional",ISNUMBER(AK85),AL85="sí"),0,TASA_DGT)</f>
        <v/>
      </c>
      <c r="CU85" s="3">
        <f>INFORME_DGT</f>
        <v/>
      </c>
      <c r="CV85" s="4">
        <f>O85+CS85+CR85+CT85+CU85</f>
        <v/>
      </c>
      <c r="CW85" s="4">
        <f>CV85+N(CJ85)</f>
        <v/>
      </c>
      <c r="CX85" s="3">
        <f>IF(CV85&lt;=TOTAL_MAX,"sí",IF(CV85&lt;=TOTAL_MAX+MARGEN_NEG,"negociar","no"))</f>
        <v/>
      </c>
      <c r="CY85" s="4">
        <f>IF(CX85&lt;&gt;"no",COUNTIFS($CX$2:$CX$101,"&lt;&gt;no",$CP$2:$CP$101,"&gt;"&amp;CP85)+COUNTIFS($CX$2:CX85,"&lt;&gt;no",$CP$2:CP85,CP85),"")</f>
        <v/>
      </c>
    </row>
    <row r="86">
      <c r="A86" s="2" t="inlineStr">
        <is>
          <t>cochesnet:71530109</t>
        </is>
      </c>
      <c r="B86" s="2" t="inlineStr">
        <is>
          <t>cochesnet</t>
        </is>
      </c>
      <c r="C86" s="2" t="inlineStr">
        <is>
          <t>https://www.coches.net/suzuki-alto-10-gl-5p-gasolina-2009-en-valencia-71530109-covo.aspx</t>
        </is>
      </c>
      <c r="D86" s="2" t="inlineStr">
        <is>
          <t>SUZUKI Alto 1.0 GL</t>
        </is>
      </c>
      <c r="E86" s="2" t="inlineStr">
        <is>
          <t>Suzuki</t>
        </is>
      </c>
      <c r="F86" s="2" t="inlineStr">
        <is>
          <t>Suzuki Alto</t>
        </is>
      </c>
      <c r="G86" s="2" t="inlineStr">
        <is>
          <t>1.0</t>
        </is>
      </c>
      <c r="H86" s="2" t="inlineStr">
        <is>
          <t>1.0 GL</t>
        </is>
      </c>
      <c r="I86" s="2" t="n"/>
      <c r="J86" s="2" t="n"/>
      <c r="K86" s="2" t="inlineStr">
        <is>
          <t>gasolina</t>
        </is>
      </c>
      <c r="L86" s="2" t="inlineStr">
        <is>
          <t>utilitario</t>
        </is>
      </c>
      <c r="M86" s="2" t="n">
        <v>2009</v>
      </c>
      <c r="N86" s="2" t="n">
        <v>55500</v>
      </c>
      <c r="O86" s="2" t="n">
        <v>5000</v>
      </c>
      <c r="P86" s="2" t="inlineStr">
        <is>
          <t>manual</t>
        </is>
      </c>
      <c r="Q86" s="2" t="inlineStr">
        <is>
          <t>no</t>
        </is>
      </c>
      <c r="R86" s="2" t="inlineStr">
        <is>
          <t>profesional</t>
        </is>
      </c>
      <c r="S86" s="2" t="inlineStr">
        <is>
          <t>Safor Auto Palmera</t>
        </is>
      </c>
      <c r="T86" s="2" t="inlineStr">
        <is>
          <t>2026-09-16T18:35:14Z</t>
        </is>
      </c>
      <c r="U86" s="2" t="n">
        <v>4</v>
      </c>
      <c r="V86" s="2" t="n"/>
      <c r="W86" s="2" t="n"/>
      <c r="X86" s="2" t="n"/>
      <c r="Y86" s="2" t="n">
        <v>1</v>
      </c>
      <c r="Z86" s="2" t="inlineStr">
        <is>
          <t>sí</t>
        </is>
      </c>
      <c r="AA86" s="2" t="inlineStr">
        <is>
          <t>sí</t>
        </is>
      </c>
      <c r="AB86" s="2" t="n">
        <v>12</v>
      </c>
      <c r="AC86" s="2" t="n"/>
      <c r="AD86" s="2" t="n"/>
      <c r="AE86" s="2" t="n"/>
      <c r="AF86" s="2" t="inlineStr">
        <is>
          <t>sí</t>
        </is>
      </c>
      <c r="AG86" s="2" t="n"/>
      <c r="AH86" s="2" t="n">
        <v>5000</v>
      </c>
      <c r="AI86" s="2" t="n"/>
      <c r="AJ86" s="2" t="n"/>
      <c r="AK86" s="2" t="n"/>
      <c r="AL86" s="2" t="n"/>
      <c r="AM86" s="2" t="n">
        <v>61.8</v>
      </c>
      <c r="AN86" s="2" t="n"/>
      <c r="AO86" s="2" t="inlineStr">
        <is>
          <t>2009</t>
        </is>
      </c>
      <c r="AP86" s="2" t="n">
        <v>2009</v>
      </c>
      <c r="AQ86" s="2" t="n"/>
      <c r="AR86" s="2" t="inlineStr">
        <is>
          <t>C</t>
        </is>
      </c>
      <c r="AS86" s="2" t="inlineStr">
        <is>
          <t>anuncio</t>
        </is>
      </c>
      <c r="AT86" s="2" t="n"/>
      <c r="AU86" s="2" t="inlineStr">
        <is>
          <t>no</t>
        </is>
      </c>
      <c r="AV86" s="2" t="inlineStr">
        <is>
          <t>no</t>
        </is>
      </c>
      <c r="AW86" s="2" t="n"/>
      <c r="AX86" s="2" t="n"/>
      <c r="AY86" s="2" t="n"/>
      <c r="AZ86" s="2" t="n"/>
      <c r="BA86" s="2" t="inlineStr">
        <is>
          <t>por encima del presupuesto (5064 €), negociar; vendedor profesional: sin ITP (operación con IVA/REBU, confirmar en factura); gastos de gestión del vendedor no indicados: se suma la tasa DGT; preguntar el precio final; revisar: no menciona la ITV; mediana con solo 1 anuncio(s)</t>
        </is>
      </c>
      <c r="BB86" s="2" t="inlineStr">
        <is>
          <t xml:space="preserve">- VEHÍCULO NACIONAL CON KM CERTIFICADOS
- UN SOLO DUEÑO UNIDAD MUY CUIDADA
- SE ENTREGA TOTALMENTE REVISADA Y CON TODO EL MANTENIMIENTO HECHO
- ACEPTAMOS PRUEBA MECÁNICA
- GARANTÍA DE 12 MESES INCLUIDA EN EL PRECIO
- POSIBILIDAD DE FINANCIAR SIN ENTRADA DESDE 181,23€ AL MES
- LAS GARANTÍAS SE CUBREN EN CUALQUIER PUNTO DE ESPAÑA
- PROMOCIÓN 20 ANIVERSARIO ENTREGA GRATUITA EN SU DOMICILIO 
- ACEPTAMOS VEHÍCULO COMO PARTE DEL PAGO
- VEHÍCULO EN MANTENIMIENTO EN BREVE INSERTAMOS MAS FOTOGRAFÍAS 
- PARA VER Y PROBAR EL VEHÍCULO HAY QUE CONCERTAR CITA PREVIA
   ( EL DÍA Y LA HORA LO DECIDE USTED )
</t>
        </is>
      </c>
      <c r="BC86" s="2" t="inlineStr">
        <is>
          <t>https://www.coches.net/suzuki-alto-10-gl-5p-gasolina-2009-en-valencia-71530109-covo.aspx (window.__INITIAL_PROPS__.ad) /home/user/Alopecia/buscador-coches/raw/cochesnet/ddee7fb118c34811.json</t>
        </is>
      </c>
      <c r="BD86" s="3">
        <f>MAX(ANIO_ACTUAL-M86,0)</f>
        <v/>
      </c>
      <c r="BE86" s="4">
        <f>N86/MAX(BD86,0.5)</f>
        <v/>
      </c>
      <c r="BF86" s="4">
        <f>F86</f>
        <v/>
      </c>
      <c r="BG86" s="3">
        <f>BF86&amp;"|"&amp;INT(M86/SEG_ANIO)*SEG_ANIO</f>
        <v/>
      </c>
      <c r="BH86" s="3">
        <f>BG86&amp;"|"&amp;INT(N86/SEG_KM)*SEG_KM</f>
        <v/>
      </c>
      <c r="BI86" s="4">
        <f>COUNTIF($BF$2:$BF$101,BF86)</f>
        <v/>
      </c>
      <c r="BJ86" s="4">
        <f>COUNTIF($BG$2:$BG$101,BG86)</f>
        <v/>
      </c>
      <c r="BK86" s="4">
        <f>COUNTIF($BH$2:$BH$101,BH86)</f>
        <v/>
      </c>
      <c r="BL86" s="3">
        <f t="array" ref="BL86">IF(N(AX86)&gt;=MIN_N,AW86,IF(BK86&gt;=MIN_N,MEDIAN(IF($BH$2:$BH$101=BH86,$O$2:$O$101)),IF(BJ86&gt;=MIN_N,MEDIAN(IF($BG$2:$BG$101=BG86,$O$2:$O$101)),MEDIAN(IF($BF$2:$BF$101=BF86,$O$2:$O$101)))))</f>
        <v/>
      </c>
      <c r="BM86" s="3">
        <f>IF(N(AX86)&gt;=MIN_N,"mercado "&amp;AY86,IF(BK86&gt;=MIN_N,"modelo+año+km",IF(BJ86&gt;=MIN_N,"modelo+año","modelo")))</f>
        <v/>
      </c>
      <c r="BN86" s="4">
        <f>(BL86-O86)/BL86</f>
        <v/>
      </c>
      <c r="BO86" s="3">
        <f>IF(COUNTIFS(FR_FUEL,K86,FR_YEAR,AP86)&gt;0,1,0)</f>
        <v/>
      </c>
      <c r="BP86" s="3">
        <f>IF(COUNTIFS(FR_FUEL,K86,FR_YEAR,AP86-1)&gt;0,1,0)</f>
        <v/>
      </c>
      <c r="BQ86" s="4">
        <f>IF(N(AQ86)&gt;0,AP86*100+AQ86,IF(AND(BO86=1,BP86=1),(AP86-1)*100+1,AP86*100+1))</f>
        <v/>
      </c>
      <c r="BR86" s="3">
        <f>IF(OR(K86="hibrido",K86="glp",K86="gnc",K86="phev"),"ECO",IF(K86="electrico","CERO",IF(K86="gasolina",IF(BQ86&gt;=GAS_C_YM,"C",IF(BQ86&gt;=GAS_B_YM,"B","A")),IF(K86="diesel",IF(BQ86&gt;=DIE_C_YM,"C",IF(BQ86&gt;=DIE_B_YM,"B","A")),""))))</f>
        <v/>
      </c>
      <c r="BS86" s="2" t="inlineStr">
        <is>
          <t>C</t>
        </is>
      </c>
      <c r="BT86" s="4">
        <f>IF(AU86="sí","sí",IF(AS86="regla",IF(AND(N(AQ86)=0,BO86=1),"sí","no"),"no"))</f>
        <v/>
      </c>
      <c r="BU86" s="3">
        <f>IFERROR(VLOOKUP(F86,MOD_TBL,16,0),IFERROR(VLOOKUP(E86,OCU_TBL,2,0),NEUTRO))</f>
        <v/>
      </c>
      <c r="BV86" s="3">
        <f>SUMIFS(MOT_AJUSTE,MOT_MOTOR,G86,MOT_MARCA,E86,MOT_DESDE,"&lt;="&amp;M86,MOT_HASTA,"&gt;="&amp;M86)+SUMIFS(MOT_AJUSTE,MOT_MOTOR,G86,MOT_MARCA,"(todas)",MOT_DESDE,"&lt;="&amp;M86,MOT_HASTA,"&gt;="&amp;M86)+SUMIFS(MOT_AJUSTE,MOT_MOTOR,"(cualquiera)",MOT_MARCA,E86,MOT_DESDE,"&lt;="&amp;M86,MOT_HASTA,"&gt;="&amp;M86)</f>
        <v/>
      </c>
      <c r="BW86" s="3">
        <f>SUMIFS(COMB_AJUSTE,COMB_COMB,K86)</f>
        <v/>
      </c>
      <c r="BX86" s="3">
        <f>COUNTIFS(MOT_MOTOR,G86,MOT_MARCA,E86,MOT_DESDE,"&lt;="&amp;M86,MOT_HASTA,"&gt;="&amp;M86)+COUNTIFS(MOT_MOTOR,G86,MOT_MARCA,"(todas)",MOT_DESDE,"&lt;="&amp;M86,MOT_HASTA,"&gt;="&amp;M86)+COUNTIFS(MOT_MOTOR,"(cualquiera)",MOT_MARCA,E86,MOT_DESDE,"&lt;="&amp;M86,MOT_HASTA,"&gt;="&amp;M86)</f>
        <v/>
      </c>
      <c r="BY86" s="3">
        <f>IF(AND(K86="diesel",BX86=0),MIN(BU86,NEUTRO),BU86)</f>
        <v/>
      </c>
      <c r="BZ86" s="3">
        <f>MAX(0,MIN(100,BY86+BV86+BW86-IF(AV86="sí",ROB_PEN,0)))</f>
        <v/>
      </c>
      <c r="CA86" s="3">
        <f>100-MAX(0,N86-KM_TOPE_DESDE)/1000*KM_TOPE_PTS</f>
        <v/>
      </c>
      <c r="CB86" s="3">
        <f>MAX(0,MIN(100,50+BN86*PRECIO_PEND,CA86))</f>
        <v/>
      </c>
      <c r="CC86" s="3">
        <f>MAX(0,100*(1-N86/KM_MAX))</f>
        <v/>
      </c>
      <c r="CD86" s="3">
        <f>IF(BE86&lt;KMA_SOSP,IF(AA86="sí",100,KMA_PEN),IF(BE86&lt;=KMA_IDEAL_MAX,100,MAX(0,100*(KMA_CERO-BE86)/(KMA_CERO-KMA_IDEAL_MAX))))</f>
        <v/>
      </c>
      <c r="CE86" s="3">
        <f>MAX(0,MIN(100,100*(M86-ANIO_MIN)/(ANIO_ACTUAL-ANIO_MIN)))</f>
        <v/>
      </c>
      <c r="CF86" s="3">
        <f>W_KMT*CC86+W_KMA*CD86+W_EDAD*CE86</f>
        <v/>
      </c>
      <c r="CG86" s="3">
        <f>P_ITV*(V86="sí")+P_LIBRO*(W86="sí")+P_CORREA*(X86="sí")+P_PROP*(Y86=1)+P_GAR*(Z86="sí")+P_FOTOS*MIN(1,N(U86)/FOTOS_OBJ)</f>
        <v/>
      </c>
      <c r="CH86" s="3">
        <f>MAX(0,MIN(100,IFERROR(VLOOKUP(BS86,ETQ_TBL,2,0),0)-IF(BT86="sí",ETQ_PEN_DUD,IF(AS86="regla",ETQ_PEN_REGLA,0))))</f>
        <v/>
      </c>
      <c r="CI86" s="3">
        <f>NEUTRO</f>
        <v/>
      </c>
      <c r="CJ86" s="3">
        <f>IFERROR(VLOOKUP(L86,SEGURO_TBL,3,0),"")</f>
        <v/>
      </c>
      <c r="CK86" s="3">
        <f>IF(CJ86="",NEUTRO,MAX(0,MIN(100,100*(SEG_REF_MAX-CJ86)/(SEG_REF_MAX-SEG_REF_MIN))))</f>
        <v/>
      </c>
      <c r="CL86" s="3">
        <f>W_CONS*CI86+W_SEG*CK86</f>
        <v/>
      </c>
      <c r="CM86" s="3">
        <f>IF(N(AB86)&gt;0,AB86,IF(AND(R86="profesional",SG_LEGAL_ON=1),GAR_LEGAL,0))</f>
        <v/>
      </c>
      <c r="CN86" s="3">
        <f>SG_GAR*MIN(1,CM86/SG_GAR_FULL)+SG_AMPL*(AC86="sí")+SG_KMC*(AF86="sí")+SG_REV*(N(AE86)&gt;0)+SG_DEV*MIN(1,N(AG86)/SG_DEV_FULL)+SG_HIST*(W86="sí")</f>
        <v/>
      </c>
      <c r="CO86" s="3">
        <f>IFERROR(VLOOKUP(L86,CARR_PEN_TBL,2,0),0)</f>
        <v/>
      </c>
      <c r="CP86" s="3">
        <f>W_FIAB*BZ86+W_PRECIO*CB86+W_KMEDAD*CF86+W_ANUNCIO*CG86+W_USO*CL86+W_SEGURIDAD*CN86+W_ETIQUETA*CH86-CO86</f>
        <v/>
      </c>
      <c r="CQ86" s="4">
        <f>IF(N(I86)&gt;0,I86,IFERROR(ROUND(_xlfn.NUMBERVALUE(LEFT(G86,FIND(" ",G86&amp;" ")-1),".")*1000,0),99999))</f>
        <v/>
      </c>
      <c r="CR86" s="3">
        <f>IF(R86="profesional",0,IF(O86&lt;CUOTA_VALOR_MAX,IF(BD86&gt;ITP_TRAMO_ALTO,SUMIFS(CF_CUOTA,CF_MAS,ITP_TRAMO_ALTO,CF_CCMIN,"&lt;="&amp;CQ86,CF_CCMAX,"&gt;="&amp;CQ86),IF(BD86&gt;ITP_TRAMO_BAJO,SUMIFS(CF_CUOTA,CF_MAS,ITP_TRAMO_BAJO,CF_CCMIN,"&lt;="&amp;CQ86,CF_CCMAX,"&gt;="&amp;CQ86),O86*ITP_TIPO)),O86*ITP_TIPO))</f>
        <v/>
      </c>
      <c r="CS86" s="4">
        <f>IF(R86="profesional",N(AK86),0)</f>
        <v/>
      </c>
      <c r="CT86" s="3">
        <f>IF(AND(R86="profesional",ISNUMBER(AK86),AL86="sí"),0,TASA_DGT)</f>
        <v/>
      </c>
      <c r="CU86" s="3">
        <f>INFORME_DGT</f>
        <v/>
      </c>
      <c r="CV86" s="4">
        <f>O86+CS86+CR86+CT86+CU86</f>
        <v/>
      </c>
      <c r="CW86" s="4">
        <f>CV86+N(CJ86)</f>
        <v/>
      </c>
      <c r="CX86" s="3">
        <f>IF(CV86&lt;=TOTAL_MAX,"sí",IF(CV86&lt;=TOTAL_MAX+MARGEN_NEG,"negociar","no"))</f>
        <v/>
      </c>
      <c r="CY86" s="4">
        <f>IF(CX86&lt;&gt;"no",COUNTIFS($CX$2:$CX$101,"&lt;&gt;no",$CP$2:$CP$101,"&gt;"&amp;CP86)+COUNTIFS($CX$2:CX86,"&lt;&gt;no",$CP$2:CP86,CP86),"")</f>
        <v/>
      </c>
    </row>
    <row r="87">
      <c r="A87" s="2" t="inlineStr">
        <is>
          <t>cochesnet:71332504</t>
        </is>
      </c>
      <c r="B87" s="2" t="inlineStr">
        <is>
          <t>cochesnet</t>
        </is>
      </c>
      <c r="C87" s="2" t="inlineStr">
        <is>
          <t>https://www.coches.net/mini-mini-one-3p-gasolina-2009-en-valencia-71332504-covo.aspx</t>
        </is>
      </c>
      <c r="D87" s="2" t="inlineStr">
        <is>
          <t>MINI MINI One</t>
        </is>
      </c>
      <c r="E87" s="2" t="inlineStr">
        <is>
          <t>MINI</t>
        </is>
      </c>
      <c r="F87" s="2" t="inlineStr">
        <is>
          <t>MINI MINI</t>
        </is>
      </c>
      <c r="G87" s="2" t="n"/>
      <c r="H87" s="2" t="inlineStr">
        <is>
          <t>One</t>
        </is>
      </c>
      <c r="I87" s="2" t="n"/>
      <c r="J87" s="2" t="n"/>
      <c r="K87" s="2" t="inlineStr">
        <is>
          <t>gasolina</t>
        </is>
      </c>
      <c r="L87" s="2" t="inlineStr">
        <is>
          <t>utilitario</t>
        </is>
      </c>
      <c r="M87" s="2" t="n">
        <v>2009</v>
      </c>
      <c r="N87" s="2" t="n">
        <v>116000</v>
      </c>
      <c r="O87" s="2" t="n">
        <v>4990</v>
      </c>
      <c r="P87" s="2" t="inlineStr">
        <is>
          <t>manual</t>
        </is>
      </c>
      <c r="Q87" s="2" t="inlineStr">
        <is>
          <t>no</t>
        </is>
      </c>
      <c r="R87" s="2" t="inlineStr">
        <is>
          <t>profesional</t>
        </is>
      </c>
      <c r="S87" s="2" t="inlineStr">
        <is>
          <t>Asatryan Motors Godelleta</t>
        </is>
      </c>
      <c r="T87" s="2" t="inlineStr">
        <is>
          <t>2026-08-20T16:10:22Z</t>
        </is>
      </c>
      <c r="U87" s="2" t="n">
        <v>8</v>
      </c>
      <c r="V87" s="2" t="inlineStr">
        <is>
          <t>sí</t>
        </is>
      </c>
      <c r="W87" s="2" t="n"/>
      <c r="X87" s="2" t="n"/>
      <c r="Y87" s="2" t="n"/>
      <c r="Z87" s="2" t="inlineStr">
        <is>
          <t>sí</t>
        </is>
      </c>
      <c r="AA87" s="2" t="n"/>
      <c r="AB87" s="2" t="n">
        <v>12</v>
      </c>
      <c r="AC87" s="2" t="n"/>
      <c r="AD87" s="2" t="n"/>
      <c r="AE87" s="2" t="n"/>
      <c r="AF87" s="2" t="n"/>
      <c r="AG87" s="2" t="n"/>
      <c r="AH87" s="2" t="n">
        <v>4990</v>
      </c>
      <c r="AI87" s="2" t="n"/>
      <c r="AJ87" s="2" t="n"/>
      <c r="AK87" s="2" t="n"/>
      <c r="AL87" s="2" t="n"/>
      <c r="AM87" s="2" t="n">
        <v>27.2</v>
      </c>
      <c r="AN87" s="2" t="n"/>
      <c r="AO87" s="2" t="inlineStr">
        <is>
          <t>2009</t>
        </is>
      </c>
      <c r="AP87" s="2" t="n">
        <v>2009</v>
      </c>
      <c r="AQ87" s="2" t="n"/>
      <c r="AR87" s="2" t="inlineStr">
        <is>
          <t>C</t>
        </is>
      </c>
      <c r="AS87" s="2" t="inlineStr">
        <is>
          <t>anuncio</t>
        </is>
      </c>
      <c r="AT87" s="2" t="n"/>
      <c r="AU87" s="2" t="inlineStr">
        <is>
          <t>no</t>
        </is>
      </c>
      <c r="AV87" s="2" t="inlineStr">
        <is>
          <t>no</t>
        </is>
      </c>
      <c r="AW87" s="2" t="n">
        <v>6300</v>
      </c>
      <c r="AX87" s="2" t="n">
        <v>19</v>
      </c>
      <c r="AY87" s="2" t="inlineStr">
        <is>
          <t>modelo+año+km</t>
        </is>
      </c>
      <c r="AZ87" s="2" t="n"/>
      <c r="BA87"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BB87"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BC87" s="2" t="inlineStr">
        <is>
          <t>https://www.coches.net/mini-mini-one-3p-gasolina-2009-en-valencia-71332504-covo.aspx (window.__INITIAL_PROPS__.ad) /home/user/Alopecia/buscador-coches/raw/cochesnet/31604d79e7744ebf.json</t>
        </is>
      </c>
      <c r="BD87" s="3">
        <f>MAX(ANIO_ACTUAL-M87,0)</f>
        <v/>
      </c>
      <c r="BE87" s="4">
        <f>N87/MAX(BD87,0.5)</f>
        <v/>
      </c>
      <c r="BF87" s="4">
        <f>F87</f>
        <v/>
      </c>
      <c r="BG87" s="3">
        <f>BF87&amp;"|"&amp;INT(M87/SEG_ANIO)*SEG_ANIO</f>
        <v/>
      </c>
      <c r="BH87" s="3">
        <f>BG87&amp;"|"&amp;INT(N87/SEG_KM)*SEG_KM</f>
        <v/>
      </c>
      <c r="BI87" s="4">
        <f>COUNTIF($BF$2:$BF$101,BF87)</f>
        <v/>
      </c>
      <c r="BJ87" s="4">
        <f>COUNTIF($BG$2:$BG$101,BG87)</f>
        <v/>
      </c>
      <c r="BK87" s="4">
        <f>COUNTIF($BH$2:$BH$101,BH87)</f>
        <v/>
      </c>
      <c r="BL87" s="3">
        <f t="array" ref="BL87">IF(N(AX87)&gt;=MIN_N,AW87,IF(BK87&gt;=MIN_N,MEDIAN(IF($BH$2:$BH$101=BH87,$O$2:$O$101)),IF(BJ87&gt;=MIN_N,MEDIAN(IF($BG$2:$BG$101=BG87,$O$2:$O$101)),MEDIAN(IF($BF$2:$BF$101=BF87,$O$2:$O$101)))))</f>
        <v/>
      </c>
      <c r="BM87" s="3">
        <f>IF(N(AX87)&gt;=MIN_N,"mercado "&amp;AY87,IF(BK87&gt;=MIN_N,"modelo+año+km",IF(BJ87&gt;=MIN_N,"modelo+año","modelo")))</f>
        <v/>
      </c>
      <c r="BN87" s="4">
        <f>(BL87-O87)/BL87</f>
        <v/>
      </c>
      <c r="BO87" s="3">
        <f>IF(COUNTIFS(FR_FUEL,K87,FR_YEAR,AP87)&gt;0,1,0)</f>
        <v/>
      </c>
      <c r="BP87" s="3">
        <f>IF(COUNTIFS(FR_FUEL,K87,FR_YEAR,AP87-1)&gt;0,1,0)</f>
        <v/>
      </c>
      <c r="BQ87" s="4">
        <f>IF(N(AQ87)&gt;0,AP87*100+AQ87,IF(AND(BO87=1,BP87=1),(AP87-1)*100+1,AP87*100+1))</f>
        <v/>
      </c>
      <c r="BR87" s="3">
        <f>IF(OR(K87="hibrido",K87="glp",K87="gnc",K87="phev"),"ECO",IF(K87="electrico","CERO",IF(K87="gasolina",IF(BQ87&gt;=GAS_C_YM,"C",IF(BQ87&gt;=GAS_B_YM,"B","A")),IF(K87="diesel",IF(BQ87&gt;=DIE_C_YM,"C",IF(BQ87&gt;=DIE_B_YM,"B","A")),""))))</f>
        <v/>
      </c>
      <c r="BS87" s="2" t="inlineStr">
        <is>
          <t>C</t>
        </is>
      </c>
      <c r="BT87" s="4">
        <f>IF(AU87="sí","sí",IF(AS87="regla",IF(AND(N(AQ87)=0,BO87=1),"sí","no"),"no"))</f>
        <v/>
      </c>
      <c r="BU87" s="3">
        <f>IFERROR(VLOOKUP(F87,MOD_TBL,16,0),IFERROR(VLOOKUP(E87,OCU_TBL,2,0),NEUTRO))</f>
        <v/>
      </c>
      <c r="BV87" s="3">
        <f>SUMIFS(MOT_AJUSTE,MOT_MOTOR,G87,MOT_MARCA,E87,MOT_DESDE,"&lt;="&amp;M87,MOT_HASTA,"&gt;="&amp;M87)+SUMIFS(MOT_AJUSTE,MOT_MOTOR,G87,MOT_MARCA,"(todas)",MOT_DESDE,"&lt;="&amp;M87,MOT_HASTA,"&gt;="&amp;M87)+SUMIFS(MOT_AJUSTE,MOT_MOTOR,"(cualquiera)",MOT_MARCA,E87,MOT_DESDE,"&lt;="&amp;M87,MOT_HASTA,"&gt;="&amp;M87)</f>
        <v/>
      </c>
      <c r="BW87" s="3">
        <f>SUMIFS(COMB_AJUSTE,COMB_COMB,K87)</f>
        <v/>
      </c>
      <c r="BX87" s="3">
        <f>COUNTIFS(MOT_MOTOR,G87,MOT_MARCA,E87,MOT_DESDE,"&lt;="&amp;M87,MOT_HASTA,"&gt;="&amp;M87)+COUNTIFS(MOT_MOTOR,G87,MOT_MARCA,"(todas)",MOT_DESDE,"&lt;="&amp;M87,MOT_HASTA,"&gt;="&amp;M87)+COUNTIFS(MOT_MOTOR,"(cualquiera)",MOT_MARCA,E87,MOT_DESDE,"&lt;="&amp;M87,MOT_HASTA,"&gt;="&amp;M87)</f>
        <v/>
      </c>
      <c r="BY87" s="3">
        <f>IF(AND(K87="diesel",BX87=0),MIN(BU87,NEUTRO),BU87)</f>
        <v/>
      </c>
      <c r="BZ87" s="3">
        <f>MAX(0,MIN(100,BY87+BV87+BW87-IF(AV87="sí",ROB_PEN,0)))</f>
        <v/>
      </c>
      <c r="CA87" s="3">
        <f>100-MAX(0,N87-KM_TOPE_DESDE)/1000*KM_TOPE_PTS</f>
        <v/>
      </c>
      <c r="CB87" s="3">
        <f>MAX(0,MIN(100,50+BN87*PRECIO_PEND,CA87))</f>
        <v/>
      </c>
      <c r="CC87" s="3">
        <f>MAX(0,100*(1-N87/KM_MAX))</f>
        <v/>
      </c>
      <c r="CD87" s="3">
        <f>IF(BE87&lt;KMA_SOSP,IF(AA87="sí",100,KMA_PEN),IF(BE87&lt;=KMA_IDEAL_MAX,100,MAX(0,100*(KMA_CERO-BE87)/(KMA_CERO-KMA_IDEAL_MAX))))</f>
        <v/>
      </c>
      <c r="CE87" s="3">
        <f>MAX(0,MIN(100,100*(M87-ANIO_MIN)/(ANIO_ACTUAL-ANIO_MIN)))</f>
        <v/>
      </c>
      <c r="CF87" s="3">
        <f>W_KMT*CC87+W_KMA*CD87+W_EDAD*CE87</f>
        <v/>
      </c>
      <c r="CG87" s="3">
        <f>P_ITV*(V87="sí")+P_LIBRO*(W87="sí")+P_CORREA*(X87="sí")+P_PROP*(Y87=1)+P_GAR*(Z87="sí")+P_FOTOS*MIN(1,N(U87)/FOTOS_OBJ)</f>
        <v/>
      </c>
      <c r="CH87" s="3">
        <f>MAX(0,MIN(100,IFERROR(VLOOKUP(BS87,ETQ_TBL,2,0),0)-IF(BT87="sí",ETQ_PEN_DUD,IF(AS87="regla",ETQ_PEN_REGLA,0))))</f>
        <v/>
      </c>
      <c r="CI87" s="3">
        <f>NEUTRO</f>
        <v/>
      </c>
      <c r="CJ87" s="3">
        <f>IFERROR(VLOOKUP(L87,SEGURO_TBL,3,0),"")</f>
        <v/>
      </c>
      <c r="CK87" s="3">
        <f>IF(CJ87="",NEUTRO,MAX(0,MIN(100,100*(SEG_REF_MAX-CJ87)/(SEG_REF_MAX-SEG_REF_MIN))))</f>
        <v/>
      </c>
      <c r="CL87" s="3">
        <f>W_CONS*CI87+W_SEG*CK87</f>
        <v/>
      </c>
      <c r="CM87" s="3">
        <f>IF(N(AB87)&gt;0,AB87,IF(AND(R87="profesional",SG_LEGAL_ON=1),GAR_LEGAL,0))</f>
        <v/>
      </c>
      <c r="CN87" s="3">
        <f>SG_GAR*MIN(1,CM87/SG_GAR_FULL)+SG_AMPL*(AC87="sí")+SG_KMC*(AF87="sí")+SG_REV*(N(AE87)&gt;0)+SG_DEV*MIN(1,N(AG87)/SG_DEV_FULL)+SG_HIST*(W87="sí")</f>
        <v/>
      </c>
      <c r="CO87" s="3">
        <f>IFERROR(VLOOKUP(L87,CARR_PEN_TBL,2,0),0)</f>
        <v/>
      </c>
      <c r="CP87" s="3">
        <f>W_FIAB*BZ87+W_PRECIO*CB87+W_KMEDAD*CF87+W_ANUNCIO*CG87+W_USO*CL87+W_SEGURIDAD*CN87+W_ETIQUETA*CH87-CO87</f>
        <v/>
      </c>
      <c r="CQ87" s="4">
        <f>IF(N(I87)&gt;0,I87,IFERROR(ROUND(_xlfn.NUMBERVALUE(LEFT(G87,FIND(" ",G87&amp;" ")-1),".")*1000,0),99999))</f>
        <v/>
      </c>
      <c r="CR87" s="3">
        <f>IF(R87="profesional",0,IF(O87&lt;CUOTA_VALOR_MAX,IF(BD87&gt;ITP_TRAMO_ALTO,SUMIFS(CF_CUOTA,CF_MAS,ITP_TRAMO_ALTO,CF_CCMIN,"&lt;="&amp;CQ87,CF_CCMAX,"&gt;="&amp;CQ87),IF(BD87&gt;ITP_TRAMO_BAJO,SUMIFS(CF_CUOTA,CF_MAS,ITP_TRAMO_BAJO,CF_CCMIN,"&lt;="&amp;CQ87,CF_CCMAX,"&gt;="&amp;CQ87),O87*ITP_TIPO)),O87*ITP_TIPO))</f>
        <v/>
      </c>
      <c r="CS87" s="4">
        <f>IF(R87="profesional",N(AK87),0)</f>
        <v/>
      </c>
      <c r="CT87" s="3">
        <f>IF(AND(R87="profesional",ISNUMBER(AK87),AL87="sí"),0,TASA_DGT)</f>
        <v/>
      </c>
      <c r="CU87" s="3">
        <f>INFORME_DGT</f>
        <v/>
      </c>
      <c r="CV87" s="4">
        <f>O87+CS87+CR87+CT87+CU87</f>
        <v/>
      </c>
      <c r="CW87" s="4">
        <f>CV87+N(CJ87)</f>
        <v/>
      </c>
      <c r="CX87" s="3">
        <f>IF(CV87&lt;=TOTAL_MAX,"sí",IF(CV87&lt;=TOTAL_MAX+MARGEN_NEG,"negociar","no"))</f>
        <v/>
      </c>
      <c r="CY87" s="4">
        <f>IF(CX87&lt;&gt;"no",COUNTIFS($CX$2:$CX$101,"&lt;&gt;no",$CP$2:$CP$101,"&gt;"&amp;CP87)+COUNTIFS($CX$2:CX87,"&lt;&gt;no",$CP$2:CP87,CP87),"")</f>
        <v/>
      </c>
    </row>
    <row r="88">
      <c r="A88" s="2" t="inlineStr">
        <is>
          <t>cochesnet:71527060</t>
        </is>
      </c>
      <c r="B88" s="2" t="inlineStr">
        <is>
          <t>cochesnet</t>
        </is>
      </c>
      <c r="C88" s="2" t="inlineStr">
        <is>
          <t>https://www.coches.net/chevrolet-aveo-12-16v-ls-5p-gasolina-2010-en-valencia-71527060-covo.aspx</t>
        </is>
      </c>
      <c r="D88" s="2" t="inlineStr">
        <is>
          <t>CHEVROLET Aveo 1.2 16v LS</t>
        </is>
      </c>
      <c r="E88" s="2" t="inlineStr">
        <is>
          <t>Chevrolet</t>
        </is>
      </c>
      <c r="F88" s="2" t="inlineStr">
        <is>
          <t>Chevrolet Aveo</t>
        </is>
      </c>
      <c r="G88" s="2" t="inlineStr">
        <is>
          <t>1.2</t>
        </is>
      </c>
      <c r="H88" s="2" t="inlineStr">
        <is>
          <t>1.2 16v LS</t>
        </is>
      </c>
      <c r="I88" s="2" t="n"/>
      <c r="J88" s="2" t="n"/>
      <c r="K88" s="2" t="inlineStr">
        <is>
          <t>gasolina</t>
        </is>
      </c>
      <c r="L88" s="2" t="inlineStr">
        <is>
          <t>utilitario</t>
        </is>
      </c>
      <c r="M88" s="2" t="n">
        <v>2010</v>
      </c>
      <c r="N88" s="2" t="n">
        <v>68000</v>
      </c>
      <c r="O88" s="2" t="n">
        <v>4990</v>
      </c>
      <c r="P88" s="2" t="inlineStr">
        <is>
          <t>manual</t>
        </is>
      </c>
      <c r="Q88" s="2" t="inlineStr">
        <is>
          <t>no</t>
        </is>
      </c>
      <c r="R88" s="2" t="inlineStr">
        <is>
          <t>profesional</t>
        </is>
      </c>
      <c r="S88" s="2" t="inlineStr">
        <is>
          <t>JM Automóviles Alboraya</t>
        </is>
      </c>
      <c r="T88" s="2" t="inlineStr">
        <is>
          <t>2026-09-16T13:30:54Z</t>
        </is>
      </c>
      <c r="U88" s="2" t="n">
        <v>11</v>
      </c>
      <c r="V88" s="2" t="n"/>
      <c r="W88" s="2" t="n"/>
      <c r="X88" s="2" t="n"/>
      <c r="Y88" s="2" t="n"/>
      <c r="Z88" s="2" t="inlineStr">
        <is>
          <t>sí</t>
        </is>
      </c>
      <c r="AA88" s="2" t="n"/>
      <c r="AB88" s="2" t="n">
        <v>12</v>
      </c>
      <c r="AC88" s="2" t="n"/>
      <c r="AD88" s="2" t="n"/>
      <c r="AE88" s="2" t="n"/>
      <c r="AF88" s="2" t="n"/>
      <c r="AG88" s="2" t="n"/>
      <c r="AH88" s="2" t="n">
        <v>4990</v>
      </c>
      <c r="AI88" s="2" t="n">
        <v>4990</v>
      </c>
      <c r="AJ88" s="2" t="n"/>
      <c r="AK88" s="2" t="n"/>
      <c r="AL88" s="2" t="n"/>
      <c r="AM88" s="2" t="n">
        <v>4</v>
      </c>
      <c r="AN88" s="2" t="n"/>
      <c r="AO88" s="2" t="inlineStr">
        <is>
          <t>2010</t>
        </is>
      </c>
      <c r="AP88" s="2" t="n">
        <v>2010</v>
      </c>
      <c r="AQ88" s="2" t="n"/>
      <c r="AR88" s="2" t="inlineStr">
        <is>
          <t>C</t>
        </is>
      </c>
      <c r="AS88" s="2" t="inlineStr">
        <is>
          <t>anuncio</t>
        </is>
      </c>
      <c r="AT88" s="2" t="n"/>
      <c r="AU88" s="2" t="inlineStr">
        <is>
          <t>no</t>
        </is>
      </c>
      <c r="AV88" s="2" t="inlineStr">
        <is>
          <t>no</t>
        </is>
      </c>
      <c r="AW88" s="2" t="n">
        <v>4990</v>
      </c>
      <c r="AX88" s="2" t="n">
        <v>5</v>
      </c>
      <c r="AY88" s="2" t="inlineStr">
        <is>
          <t>modelo+año+km</t>
        </is>
      </c>
      <c r="AZ88" s="2" t="n"/>
      <c r="BA88" s="2" t="inlineStr">
        <is>
          <t>por encima del presupuesto (5054 €), negociar; vendedor profesional: sin ITP (operación con IVA/REBU, confirmar en factura); gastos de gestión del vendedor no indicados: se suma la tasa DGT; preguntar el precio final; revisar: no menciona la ITV; fiabilidad del modelo PENDIENTE de fuente (puntuación neutra)</t>
        </is>
      </c>
      <c r="BB88"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BC88" s="2" t="inlineStr">
        <is>
          <t>https://www.coches.net/chevrolet-aveo-12-16v-ls-5p-gasolina-2010-en-valencia-71527060-covo.aspx (window.__INITIAL_PROPS__.ad) /home/user/Alopecia/buscador-coches/raw/cochesnet/4458a67ba758ba74.json</t>
        </is>
      </c>
      <c r="BD88" s="3">
        <f>MAX(ANIO_ACTUAL-M88,0)</f>
        <v/>
      </c>
      <c r="BE88" s="4">
        <f>N88/MAX(BD88,0.5)</f>
        <v/>
      </c>
      <c r="BF88" s="4">
        <f>F88</f>
        <v/>
      </c>
      <c r="BG88" s="3">
        <f>BF88&amp;"|"&amp;INT(M88/SEG_ANIO)*SEG_ANIO</f>
        <v/>
      </c>
      <c r="BH88" s="3">
        <f>BG88&amp;"|"&amp;INT(N88/SEG_KM)*SEG_KM</f>
        <v/>
      </c>
      <c r="BI88" s="4">
        <f>COUNTIF($BF$2:$BF$101,BF88)</f>
        <v/>
      </c>
      <c r="BJ88" s="4">
        <f>COUNTIF($BG$2:$BG$101,BG88)</f>
        <v/>
      </c>
      <c r="BK88" s="4">
        <f>COUNTIF($BH$2:$BH$101,BH88)</f>
        <v/>
      </c>
      <c r="BL88" s="3">
        <f t="array" ref="BL88">IF(N(AX88)&gt;=MIN_N,AW88,IF(BK88&gt;=MIN_N,MEDIAN(IF($BH$2:$BH$101=BH88,$O$2:$O$101)),IF(BJ88&gt;=MIN_N,MEDIAN(IF($BG$2:$BG$101=BG88,$O$2:$O$101)),MEDIAN(IF($BF$2:$BF$101=BF88,$O$2:$O$101)))))</f>
        <v/>
      </c>
      <c r="BM88" s="3">
        <f>IF(N(AX88)&gt;=MIN_N,"mercado "&amp;AY88,IF(BK88&gt;=MIN_N,"modelo+año+km",IF(BJ88&gt;=MIN_N,"modelo+año","modelo")))</f>
        <v/>
      </c>
      <c r="BN88" s="4">
        <f>(BL88-O88)/BL88</f>
        <v/>
      </c>
      <c r="BO88" s="3">
        <f>IF(COUNTIFS(FR_FUEL,K88,FR_YEAR,AP88)&gt;0,1,0)</f>
        <v/>
      </c>
      <c r="BP88" s="3">
        <f>IF(COUNTIFS(FR_FUEL,K88,FR_YEAR,AP88-1)&gt;0,1,0)</f>
        <v/>
      </c>
      <c r="BQ88" s="4">
        <f>IF(N(AQ88)&gt;0,AP88*100+AQ88,IF(AND(BO88=1,BP88=1),(AP88-1)*100+1,AP88*100+1))</f>
        <v/>
      </c>
      <c r="BR88" s="3">
        <f>IF(OR(K88="hibrido",K88="glp",K88="gnc",K88="phev"),"ECO",IF(K88="electrico","CERO",IF(K88="gasolina",IF(BQ88&gt;=GAS_C_YM,"C",IF(BQ88&gt;=GAS_B_YM,"B","A")),IF(K88="diesel",IF(BQ88&gt;=DIE_C_YM,"C",IF(BQ88&gt;=DIE_B_YM,"B","A")),""))))</f>
        <v/>
      </c>
      <c r="BS88" s="2" t="inlineStr">
        <is>
          <t>C</t>
        </is>
      </c>
      <c r="BT88" s="4">
        <f>IF(AU88="sí","sí",IF(AS88="regla",IF(AND(N(AQ88)=0,BO88=1),"sí","no"),"no"))</f>
        <v/>
      </c>
      <c r="BU88" s="3">
        <f>IFERROR(VLOOKUP(F88,MOD_TBL,16,0),IFERROR(VLOOKUP(E88,OCU_TBL,2,0),NEUTRO))</f>
        <v/>
      </c>
      <c r="BV88" s="3">
        <f>SUMIFS(MOT_AJUSTE,MOT_MOTOR,G88,MOT_MARCA,E88,MOT_DESDE,"&lt;="&amp;M88,MOT_HASTA,"&gt;="&amp;M88)+SUMIFS(MOT_AJUSTE,MOT_MOTOR,G88,MOT_MARCA,"(todas)",MOT_DESDE,"&lt;="&amp;M88,MOT_HASTA,"&gt;="&amp;M88)+SUMIFS(MOT_AJUSTE,MOT_MOTOR,"(cualquiera)",MOT_MARCA,E88,MOT_DESDE,"&lt;="&amp;M88,MOT_HASTA,"&gt;="&amp;M88)</f>
        <v/>
      </c>
      <c r="BW88" s="3">
        <f>SUMIFS(COMB_AJUSTE,COMB_COMB,K88)</f>
        <v/>
      </c>
      <c r="BX88" s="3">
        <f>COUNTIFS(MOT_MOTOR,G88,MOT_MARCA,E88,MOT_DESDE,"&lt;="&amp;M88,MOT_HASTA,"&gt;="&amp;M88)+COUNTIFS(MOT_MOTOR,G88,MOT_MARCA,"(todas)",MOT_DESDE,"&lt;="&amp;M88,MOT_HASTA,"&gt;="&amp;M88)+COUNTIFS(MOT_MOTOR,"(cualquiera)",MOT_MARCA,E88,MOT_DESDE,"&lt;="&amp;M88,MOT_HASTA,"&gt;="&amp;M88)</f>
        <v/>
      </c>
      <c r="BY88" s="3">
        <f>IF(AND(K88="diesel",BX88=0),MIN(BU88,NEUTRO),BU88)</f>
        <v/>
      </c>
      <c r="BZ88" s="3">
        <f>MAX(0,MIN(100,BY88+BV88+BW88-IF(AV88="sí",ROB_PEN,0)))</f>
        <v/>
      </c>
      <c r="CA88" s="3">
        <f>100-MAX(0,N88-KM_TOPE_DESDE)/1000*KM_TOPE_PTS</f>
        <v/>
      </c>
      <c r="CB88" s="3">
        <f>MAX(0,MIN(100,50+BN88*PRECIO_PEND,CA88))</f>
        <v/>
      </c>
      <c r="CC88" s="3">
        <f>MAX(0,100*(1-N88/KM_MAX))</f>
        <v/>
      </c>
      <c r="CD88" s="3">
        <f>IF(BE88&lt;KMA_SOSP,IF(AA88="sí",100,KMA_PEN),IF(BE88&lt;=KMA_IDEAL_MAX,100,MAX(0,100*(KMA_CERO-BE88)/(KMA_CERO-KMA_IDEAL_MAX))))</f>
        <v/>
      </c>
      <c r="CE88" s="3">
        <f>MAX(0,MIN(100,100*(M88-ANIO_MIN)/(ANIO_ACTUAL-ANIO_MIN)))</f>
        <v/>
      </c>
      <c r="CF88" s="3">
        <f>W_KMT*CC88+W_KMA*CD88+W_EDAD*CE88</f>
        <v/>
      </c>
      <c r="CG88" s="3">
        <f>P_ITV*(V88="sí")+P_LIBRO*(W88="sí")+P_CORREA*(X88="sí")+P_PROP*(Y88=1)+P_GAR*(Z88="sí")+P_FOTOS*MIN(1,N(U88)/FOTOS_OBJ)</f>
        <v/>
      </c>
      <c r="CH88" s="3">
        <f>MAX(0,MIN(100,IFERROR(VLOOKUP(BS88,ETQ_TBL,2,0),0)-IF(BT88="sí",ETQ_PEN_DUD,IF(AS88="regla",ETQ_PEN_REGLA,0))))</f>
        <v/>
      </c>
      <c r="CI88" s="3">
        <f>NEUTRO</f>
        <v/>
      </c>
      <c r="CJ88" s="3">
        <f>IFERROR(VLOOKUP(L88,SEGURO_TBL,3,0),"")</f>
        <v/>
      </c>
      <c r="CK88" s="3">
        <f>IF(CJ88="",NEUTRO,MAX(0,MIN(100,100*(SEG_REF_MAX-CJ88)/(SEG_REF_MAX-SEG_REF_MIN))))</f>
        <v/>
      </c>
      <c r="CL88" s="3">
        <f>W_CONS*CI88+W_SEG*CK88</f>
        <v/>
      </c>
      <c r="CM88" s="3">
        <f>IF(N(AB88)&gt;0,AB88,IF(AND(R88="profesional",SG_LEGAL_ON=1),GAR_LEGAL,0))</f>
        <v/>
      </c>
      <c r="CN88" s="3">
        <f>SG_GAR*MIN(1,CM88/SG_GAR_FULL)+SG_AMPL*(AC88="sí")+SG_KMC*(AF88="sí")+SG_REV*(N(AE88)&gt;0)+SG_DEV*MIN(1,N(AG88)/SG_DEV_FULL)+SG_HIST*(W88="sí")</f>
        <v/>
      </c>
      <c r="CO88" s="3">
        <f>IFERROR(VLOOKUP(L88,CARR_PEN_TBL,2,0),0)</f>
        <v/>
      </c>
      <c r="CP88" s="3">
        <f>W_FIAB*BZ88+W_PRECIO*CB88+W_KMEDAD*CF88+W_ANUNCIO*CG88+W_USO*CL88+W_SEGURIDAD*CN88+W_ETIQUETA*CH88-CO88</f>
        <v/>
      </c>
      <c r="CQ88" s="4">
        <f>IF(N(I88)&gt;0,I88,IFERROR(ROUND(_xlfn.NUMBERVALUE(LEFT(G88,FIND(" ",G88&amp;" ")-1),".")*1000,0),99999))</f>
        <v/>
      </c>
      <c r="CR88" s="3">
        <f>IF(R88="profesional",0,IF(O88&lt;CUOTA_VALOR_MAX,IF(BD88&gt;ITP_TRAMO_ALTO,SUMIFS(CF_CUOTA,CF_MAS,ITP_TRAMO_ALTO,CF_CCMIN,"&lt;="&amp;CQ88,CF_CCMAX,"&gt;="&amp;CQ88),IF(BD88&gt;ITP_TRAMO_BAJO,SUMIFS(CF_CUOTA,CF_MAS,ITP_TRAMO_BAJO,CF_CCMIN,"&lt;="&amp;CQ88,CF_CCMAX,"&gt;="&amp;CQ88),O88*ITP_TIPO)),O88*ITP_TIPO))</f>
        <v/>
      </c>
      <c r="CS88" s="4">
        <f>IF(R88="profesional",N(AK88),0)</f>
        <v/>
      </c>
      <c r="CT88" s="3">
        <f>IF(AND(R88="profesional",ISNUMBER(AK88),AL88="sí"),0,TASA_DGT)</f>
        <v/>
      </c>
      <c r="CU88" s="3">
        <f>INFORME_DGT</f>
        <v/>
      </c>
      <c r="CV88" s="4">
        <f>O88+CS88+CR88+CT88+CU88</f>
        <v/>
      </c>
      <c r="CW88" s="4">
        <f>CV88+N(CJ88)</f>
        <v/>
      </c>
      <c r="CX88" s="3">
        <f>IF(CV88&lt;=TOTAL_MAX,"sí",IF(CV88&lt;=TOTAL_MAX+MARGEN_NEG,"negociar","no"))</f>
        <v/>
      </c>
      <c r="CY88" s="4">
        <f>IF(CX88&lt;&gt;"no",COUNTIFS($CX$2:$CX$101,"&lt;&gt;no",$CP$2:$CP$101,"&gt;"&amp;CP88)+COUNTIFS($CX$2:CX88,"&lt;&gt;no",$CP$2:CP88,CP88),"")</f>
        <v/>
      </c>
    </row>
    <row r="89">
      <c r="A89" s="2" t="inlineStr">
        <is>
          <t>cochesnet:71786529</t>
        </is>
      </c>
      <c r="B89" s="2" t="inlineStr">
        <is>
          <t>cochesnet</t>
        </is>
      </c>
      <c r="C89" s="2" t="inlineStr">
        <is>
          <t>https://www.coches.net/chevrolet-cruze-20-vcdi-lt-5p-diesel-2013-en-valencia-71786529-covo.aspx</t>
        </is>
      </c>
      <c r="D89" s="2" t="inlineStr">
        <is>
          <t>CHEVROLET Cruze 2.0 VCDi LT</t>
        </is>
      </c>
      <c r="E89" s="2" t="inlineStr">
        <is>
          <t>Chevrolet</t>
        </is>
      </c>
      <c r="F89" s="2" t="inlineStr">
        <is>
          <t>Chevrolet Cruze</t>
        </is>
      </c>
      <c r="G89" s="2" t="inlineStr">
        <is>
          <t>2.0</t>
        </is>
      </c>
      <c r="H89" s="2" t="inlineStr">
        <is>
          <t>2.0 VCDi LT</t>
        </is>
      </c>
      <c r="I89" s="2" t="n"/>
      <c r="J89" s="2" t="n"/>
      <c r="K89" s="2" t="inlineStr">
        <is>
          <t>diesel</t>
        </is>
      </c>
      <c r="L89" s="2" t="inlineStr">
        <is>
          <t>compacto</t>
        </is>
      </c>
      <c r="M89" s="2" t="n">
        <v>2012</v>
      </c>
      <c r="N89" s="2" t="n">
        <v>176000</v>
      </c>
      <c r="O89" s="2" t="n">
        <v>4990</v>
      </c>
      <c r="P89" s="2" t="inlineStr">
        <is>
          <t>manual</t>
        </is>
      </c>
      <c r="Q89" s="2" t="inlineStr">
        <is>
          <t>no</t>
        </is>
      </c>
      <c r="R89" s="2" t="inlineStr">
        <is>
          <t>profesional</t>
        </is>
      </c>
      <c r="S89" s="2" t="inlineStr">
        <is>
          <t>Saga Vehículos Massanassa</t>
        </is>
      </c>
      <c r="T89" s="2" t="inlineStr">
        <is>
          <t>2026-10-20T00:08:42Z</t>
        </is>
      </c>
      <c r="U89" s="2" t="n">
        <v>26</v>
      </c>
      <c r="V89" s="2" t="n"/>
      <c r="W89" s="2" t="n"/>
      <c r="X89" s="2" t="n"/>
      <c r="Y89" s="2" t="n"/>
      <c r="Z89" s="2" t="inlineStr">
        <is>
          <t>sí</t>
        </is>
      </c>
      <c r="AA89" s="2" t="n"/>
      <c r="AB89" s="2" t="n">
        <v>12</v>
      </c>
      <c r="AC89" s="2" t="inlineStr">
        <is>
          <t>sí</t>
        </is>
      </c>
      <c r="AD89" s="2" t="n"/>
      <c r="AE89" s="2" t="n"/>
      <c r="AF89" s="2" t="n"/>
      <c r="AG89" s="2" t="n"/>
      <c r="AH89" s="2" t="n">
        <v>4990</v>
      </c>
      <c r="AI89" s="2" t="n">
        <v>4990</v>
      </c>
      <c r="AJ89" s="2" t="n"/>
      <c r="AK89" s="2" t="n">
        <v>350</v>
      </c>
      <c r="AL89" s="2" t="inlineStr">
        <is>
          <t>no</t>
        </is>
      </c>
      <c r="AM89" s="2" t="n">
        <v>6.9</v>
      </c>
      <c r="AN89" s="2" t="n"/>
      <c r="AO89" s="2" t="inlineStr">
        <is>
          <t>2012</t>
        </is>
      </c>
      <c r="AP89" s="2" t="n">
        <v>2012</v>
      </c>
      <c r="AQ89" s="2" t="n"/>
      <c r="AR89" s="2" t="inlineStr">
        <is>
          <t>B</t>
        </is>
      </c>
      <c r="AS89" s="2" t="inlineStr">
        <is>
          <t>anuncio</t>
        </is>
      </c>
      <c r="AT89" s="2" t="n">
        <v>2013</v>
      </c>
      <c r="AU89" s="2" t="inlineStr">
        <is>
          <t>no</t>
        </is>
      </c>
      <c r="AV89" s="2" t="inlineStr">
        <is>
          <t>no</t>
        </is>
      </c>
      <c r="AW89" s="2" t="n">
        <v>4990</v>
      </c>
      <c r="AX89" s="2" t="n">
        <v>4</v>
      </c>
      <c r="AY89" s="2" t="inlineStr">
        <is>
          <t>modelo+año+km</t>
        </is>
      </c>
      <c r="AZ89" s="2" t="n"/>
      <c r="BA89" s="2" t="inlineStr">
        <is>
          <t>año a confirmar: la URL/título dice 2013; vendedor profesional: sin ITP (operación con IVA/REBU, confirmar en factura); gastos del vendedor sin indicar si incluyen la transferencia: se suma la tasa DGT; diésel: motor sin fuente de fiabilidad (fiabilidad limitada a neutra); revisar: no menciona la ITV; fiabilidad del modelo PENDIENTE de fuente (puntuación neutra)</t>
        </is>
      </c>
      <c r="BB89" s="2" t="inlineStr">
        <is>
          <t xml:space="preserve">Chevrolet Cruze LT+ 2.0, Diésel, 163CV,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Control de estabilidad ESP
- Airbags
- Control de crucero
- Ordenador abordo
- Sistema multimedia Bluetooth
- Sensores Park-Distance-Control (PDC)
- Llaves con mandos a distancia y mucho mas....
Este anuncio no es vinculante, se muestra a titulo informativo y no contractual.
</t>
        </is>
      </c>
      <c r="BC89" s="2" t="inlineStr">
        <is>
          <t>https://www.coches.net/chevrolet-cruze-20-vcdi-lt-5p-diesel-2013-en-valencia-71786529-covo.aspx (window.__INITIAL_PROPS__.ad) /home/user/Alopecia/buscador-coches/raw/cochesnet/c8160b146f06767f.json</t>
        </is>
      </c>
      <c r="BD89" s="3">
        <f>MAX(ANIO_ACTUAL-M89,0)</f>
        <v/>
      </c>
      <c r="BE89" s="4">
        <f>N89/MAX(BD89,0.5)</f>
        <v/>
      </c>
      <c r="BF89" s="4">
        <f>F89</f>
        <v/>
      </c>
      <c r="BG89" s="3">
        <f>BF89&amp;"|"&amp;INT(M89/SEG_ANIO)*SEG_ANIO</f>
        <v/>
      </c>
      <c r="BH89" s="3">
        <f>BG89&amp;"|"&amp;INT(N89/SEG_KM)*SEG_KM</f>
        <v/>
      </c>
      <c r="BI89" s="4">
        <f>COUNTIF($BF$2:$BF$101,BF89)</f>
        <v/>
      </c>
      <c r="BJ89" s="4">
        <f>COUNTIF($BG$2:$BG$101,BG89)</f>
        <v/>
      </c>
      <c r="BK89" s="4">
        <f>COUNTIF($BH$2:$BH$101,BH89)</f>
        <v/>
      </c>
      <c r="BL89" s="3">
        <f t="array" ref="BL89">IF(N(AX89)&gt;=MIN_N,AW89,IF(BK89&gt;=MIN_N,MEDIAN(IF($BH$2:$BH$101=BH89,$O$2:$O$101)),IF(BJ89&gt;=MIN_N,MEDIAN(IF($BG$2:$BG$101=BG89,$O$2:$O$101)),MEDIAN(IF($BF$2:$BF$101=BF89,$O$2:$O$101)))))</f>
        <v/>
      </c>
      <c r="BM89" s="3">
        <f>IF(N(AX89)&gt;=MIN_N,"mercado "&amp;AY89,IF(BK89&gt;=MIN_N,"modelo+año+km",IF(BJ89&gt;=MIN_N,"modelo+año","modelo")))</f>
        <v/>
      </c>
      <c r="BN89" s="4">
        <f>(BL89-O89)/BL89</f>
        <v/>
      </c>
      <c r="BO89" s="3">
        <f>IF(COUNTIFS(FR_FUEL,K89,FR_YEAR,AP89)&gt;0,1,0)</f>
        <v/>
      </c>
      <c r="BP89" s="3">
        <f>IF(COUNTIFS(FR_FUEL,K89,FR_YEAR,AP89-1)&gt;0,1,0)</f>
        <v/>
      </c>
      <c r="BQ89" s="4">
        <f>IF(N(AQ89)&gt;0,AP89*100+AQ89,IF(AND(BO89=1,BP89=1),(AP89-1)*100+1,AP89*100+1))</f>
        <v/>
      </c>
      <c r="BR89" s="3">
        <f>IF(OR(K89="hibrido",K89="glp",K89="gnc",K89="phev"),"ECO",IF(K89="electrico","CERO",IF(K89="gasolina",IF(BQ89&gt;=GAS_C_YM,"C",IF(BQ89&gt;=GAS_B_YM,"B","A")),IF(K89="diesel",IF(BQ89&gt;=DIE_C_YM,"C",IF(BQ89&gt;=DIE_B_YM,"B","A")),""))))</f>
        <v/>
      </c>
      <c r="BS89" s="2" t="inlineStr">
        <is>
          <t>B</t>
        </is>
      </c>
      <c r="BT89" s="4">
        <f>IF(AU89="sí","sí",IF(AS89="regla",IF(AND(N(AQ89)=0,BO89=1),"sí","no"),"no"))</f>
        <v/>
      </c>
      <c r="BU89" s="3">
        <f>IFERROR(VLOOKUP(F89,MOD_TBL,16,0),IFERROR(VLOOKUP(E89,OCU_TBL,2,0),NEUTRO))</f>
        <v/>
      </c>
      <c r="BV89" s="3">
        <f>SUMIFS(MOT_AJUSTE,MOT_MOTOR,G89,MOT_MARCA,E89,MOT_DESDE,"&lt;="&amp;M89,MOT_HASTA,"&gt;="&amp;M89)+SUMIFS(MOT_AJUSTE,MOT_MOTOR,G89,MOT_MARCA,"(todas)",MOT_DESDE,"&lt;="&amp;M89,MOT_HASTA,"&gt;="&amp;M89)+SUMIFS(MOT_AJUSTE,MOT_MOTOR,"(cualquiera)",MOT_MARCA,E89,MOT_DESDE,"&lt;="&amp;M89,MOT_HASTA,"&gt;="&amp;M89)</f>
        <v/>
      </c>
      <c r="BW89" s="3">
        <f>SUMIFS(COMB_AJUSTE,COMB_COMB,K89)</f>
        <v/>
      </c>
      <c r="BX89" s="3">
        <f>COUNTIFS(MOT_MOTOR,G89,MOT_MARCA,E89,MOT_DESDE,"&lt;="&amp;M89,MOT_HASTA,"&gt;="&amp;M89)+COUNTIFS(MOT_MOTOR,G89,MOT_MARCA,"(todas)",MOT_DESDE,"&lt;="&amp;M89,MOT_HASTA,"&gt;="&amp;M89)+COUNTIFS(MOT_MOTOR,"(cualquiera)",MOT_MARCA,E89,MOT_DESDE,"&lt;="&amp;M89,MOT_HASTA,"&gt;="&amp;M89)</f>
        <v/>
      </c>
      <c r="BY89" s="3">
        <f>IF(AND(K89="diesel",BX89=0),MIN(BU89,NEUTRO),BU89)</f>
        <v/>
      </c>
      <c r="BZ89" s="3">
        <f>MAX(0,MIN(100,BY89+BV89+BW89-IF(AV89="sí",ROB_PEN,0)))</f>
        <v/>
      </c>
      <c r="CA89" s="3">
        <f>100-MAX(0,N89-KM_TOPE_DESDE)/1000*KM_TOPE_PTS</f>
        <v/>
      </c>
      <c r="CB89" s="3">
        <f>MAX(0,MIN(100,50+BN89*PRECIO_PEND,CA89))</f>
        <v/>
      </c>
      <c r="CC89" s="3">
        <f>MAX(0,100*(1-N89/KM_MAX))</f>
        <v/>
      </c>
      <c r="CD89" s="3">
        <f>IF(BE89&lt;KMA_SOSP,IF(AA89="sí",100,KMA_PEN),IF(BE89&lt;=KMA_IDEAL_MAX,100,MAX(0,100*(KMA_CERO-BE89)/(KMA_CERO-KMA_IDEAL_MAX))))</f>
        <v/>
      </c>
      <c r="CE89" s="3">
        <f>MAX(0,MIN(100,100*(M89-ANIO_MIN)/(ANIO_ACTUAL-ANIO_MIN)))</f>
        <v/>
      </c>
      <c r="CF89" s="3">
        <f>W_KMT*CC89+W_KMA*CD89+W_EDAD*CE89</f>
        <v/>
      </c>
      <c r="CG89" s="3">
        <f>P_ITV*(V89="sí")+P_LIBRO*(W89="sí")+P_CORREA*(X89="sí")+P_PROP*(Y89=1)+P_GAR*(Z89="sí")+P_FOTOS*MIN(1,N(U89)/FOTOS_OBJ)</f>
        <v/>
      </c>
      <c r="CH89" s="3">
        <f>MAX(0,MIN(100,IFERROR(VLOOKUP(BS89,ETQ_TBL,2,0),0)-IF(BT89="sí",ETQ_PEN_DUD,IF(AS89="regla",ETQ_PEN_REGLA,0))))</f>
        <v/>
      </c>
      <c r="CI89" s="3">
        <f>NEUTRO</f>
        <v/>
      </c>
      <c r="CJ89" s="3">
        <f>IFERROR(VLOOKUP(L89,SEGURO_TBL,3,0),"")</f>
        <v/>
      </c>
      <c r="CK89" s="3">
        <f>IF(CJ89="",NEUTRO,MAX(0,MIN(100,100*(SEG_REF_MAX-CJ89)/(SEG_REF_MAX-SEG_REF_MIN))))</f>
        <v/>
      </c>
      <c r="CL89" s="3">
        <f>W_CONS*CI89+W_SEG*CK89</f>
        <v/>
      </c>
      <c r="CM89" s="3">
        <f>IF(N(AB89)&gt;0,AB89,IF(AND(R89="profesional",SG_LEGAL_ON=1),GAR_LEGAL,0))</f>
        <v/>
      </c>
      <c r="CN89" s="3">
        <f>SG_GAR*MIN(1,CM89/SG_GAR_FULL)+SG_AMPL*(AC89="sí")+SG_KMC*(AF89="sí")+SG_REV*(N(AE89)&gt;0)+SG_DEV*MIN(1,N(AG89)/SG_DEV_FULL)+SG_HIST*(W89="sí")</f>
        <v/>
      </c>
      <c r="CO89" s="3">
        <f>IFERROR(VLOOKUP(L89,CARR_PEN_TBL,2,0),0)</f>
        <v/>
      </c>
      <c r="CP89" s="3">
        <f>W_FIAB*BZ89+W_PRECIO*CB89+W_KMEDAD*CF89+W_ANUNCIO*CG89+W_USO*CL89+W_SEGURIDAD*CN89+W_ETIQUETA*CH89-CO89</f>
        <v/>
      </c>
      <c r="CQ89" s="4">
        <f>IF(N(I89)&gt;0,I89,IFERROR(ROUND(_xlfn.NUMBERVALUE(LEFT(G89,FIND(" ",G89&amp;" ")-1),".")*1000,0),99999))</f>
        <v/>
      </c>
      <c r="CR89" s="3">
        <f>IF(R89="profesional",0,IF(O89&lt;CUOTA_VALOR_MAX,IF(BD89&gt;ITP_TRAMO_ALTO,SUMIFS(CF_CUOTA,CF_MAS,ITP_TRAMO_ALTO,CF_CCMIN,"&lt;="&amp;CQ89,CF_CCMAX,"&gt;="&amp;CQ89),IF(BD89&gt;ITP_TRAMO_BAJO,SUMIFS(CF_CUOTA,CF_MAS,ITP_TRAMO_BAJO,CF_CCMIN,"&lt;="&amp;CQ89,CF_CCMAX,"&gt;="&amp;CQ89),O89*ITP_TIPO)),O89*ITP_TIPO))</f>
        <v/>
      </c>
      <c r="CS89" s="4">
        <f>IF(R89="profesional",N(AK89),0)</f>
        <v/>
      </c>
      <c r="CT89" s="3">
        <f>IF(AND(R89="profesional",ISNUMBER(AK89),AL89="sí"),0,TASA_DGT)</f>
        <v/>
      </c>
      <c r="CU89" s="3">
        <f>INFORME_DGT</f>
        <v/>
      </c>
      <c r="CV89" s="4">
        <f>O89+CS89+CR89+CT89+CU89</f>
        <v/>
      </c>
      <c r="CW89" s="4">
        <f>CV89+N(CJ89)</f>
        <v/>
      </c>
      <c r="CX89" s="3">
        <f>IF(CV89&lt;=TOTAL_MAX,"sí",IF(CV89&lt;=TOTAL_MAX+MARGEN_NEG,"negociar","no"))</f>
        <v/>
      </c>
      <c r="CY89" s="4">
        <f>IF(CX89&lt;&gt;"no",COUNTIFS($CX$2:$CX$101,"&lt;&gt;no",$CP$2:$CP$101,"&gt;"&amp;CP89)+COUNTIFS($CX$2:CX89,"&lt;&gt;no",$CP$2:CP89,CP89),"")</f>
        <v/>
      </c>
    </row>
    <row r="90">
      <c r="A90" s="2" t="inlineStr">
        <is>
          <t>cochesnet:71757437</t>
        </is>
      </c>
      <c r="B90" s="2" t="inlineStr">
        <is>
          <t>cochesnet</t>
        </is>
      </c>
      <c r="C90" s="2" t="inlineStr">
        <is>
          <t>https://www.coches.net/chevrolet-kalos-14-16v-sx-5p-gasolina-2007-en-valencia-71757437-covo.aspx</t>
        </is>
      </c>
      <c r="D90" s="2" t="inlineStr">
        <is>
          <t>CHEVROLET Kalos 1.4 16v SX</t>
        </is>
      </c>
      <c r="E90" s="2" t="inlineStr">
        <is>
          <t>Chevrolet</t>
        </is>
      </c>
      <c r="F90" s="2" t="inlineStr">
        <is>
          <t>Chevrolet Kalos</t>
        </is>
      </c>
      <c r="G90" s="2" t="inlineStr">
        <is>
          <t>1.4</t>
        </is>
      </c>
      <c r="H90" s="2" t="inlineStr">
        <is>
          <t>1.4 16v SX</t>
        </is>
      </c>
      <c r="I90" s="2" t="n"/>
      <c r="J90" s="2" t="n"/>
      <c r="K90" s="2" t="inlineStr">
        <is>
          <t>gasolina</t>
        </is>
      </c>
      <c r="L90" s="2" t="inlineStr">
        <is>
          <t>utilitario</t>
        </is>
      </c>
      <c r="M90" s="2" t="n">
        <v>2006</v>
      </c>
      <c r="N90" s="2" t="n">
        <v>100200</v>
      </c>
      <c r="O90" s="2" t="n">
        <v>3990</v>
      </c>
      <c r="P90" s="2" t="inlineStr">
        <is>
          <t>manual</t>
        </is>
      </c>
      <c r="Q90" s="2" t="inlineStr">
        <is>
          <t>no</t>
        </is>
      </c>
      <c r="R90" s="2" t="inlineStr">
        <is>
          <t>profesional</t>
        </is>
      </c>
      <c r="S90" s="2" t="inlineStr">
        <is>
          <t>Saga Vehículos Massanassa</t>
        </is>
      </c>
      <c r="T90" s="2" t="inlineStr">
        <is>
          <t>2026-10-15T20:24:18Z</t>
        </is>
      </c>
      <c r="U90" s="2" t="n">
        <v>27</v>
      </c>
      <c r="V90" s="2" t="n"/>
      <c r="W90" s="2" t="n"/>
      <c r="X90" s="2" t="n"/>
      <c r="Y90" s="2" t="n"/>
      <c r="Z90" s="2" t="inlineStr">
        <is>
          <t>sí</t>
        </is>
      </c>
      <c r="AA90" s="2" t="n"/>
      <c r="AB90" s="2" t="n">
        <v>12</v>
      </c>
      <c r="AC90" s="2" t="inlineStr">
        <is>
          <t>sí</t>
        </is>
      </c>
      <c r="AD90" s="2" t="n"/>
      <c r="AE90" s="2" t="n"/>
      <c r="AF90" s="2" t="n"/>
      <c r="AG90" s="2" t="n"/>
      <c r="AH90" s="2" t="n">
        <v>3990</v>
      </c>
      <c r="AI90" s="2" t="n"/>
      <c r="AJ90" s="2" t="n"/>
      <c r="AK90" s="2" t="n">
        <v>350</v>
      </c>
      <c r="AL90" s="2" t="inlineStr">
        <is>
          <t>no</t>
        </is>
      </c>
      <c r="AM90" s="2" t="n">
        <v>6.9</v>
      </c>
      <c r="AN90" s="2" t="n"/>
      <c r="AO90" s="2" t="inlineStr">
        <is>
          <t>2006</t>
        </is>
      </c>
      <c r="AP90" s="2" t="n">
        <v>2006</v>
      </c>
      <c r="AQ90" s="2" t="n"/>
      <c r="AR90" s="2" t="inlineStr">
        <is>
          <t>C</t>
        </is>
      </c>
      <c r="AS90" s="2" t="inlineStr">
        <is>
          <t>anuncio</t>
        </is>
      </c>
      <c r="AT90" s="2" t="n">
        <v>2007</v>
      </c>
      <c r="AU90" s="2" t="inlineStr">
        <is>
          <t>no</t>
        </is>
      </c>
      <c r="AV90" s="2" t="inlineStr">
        <is>
          <t>no</t>
        </is>
      </c>
      <c r="AW90" s="2" t="n"/>
      <c r="AX90" s="2" t="n"/>
      <c r="AY90" s="2" t="n"/>
      <c r="AZ90" s="2" t="n"/>
      <c r="BA90" s="2" t="inlineStr">
        <is>
          <t>año a confirmar: la URL/título dice 2007; vendedor profesional: sin ITP (operación con IVA/REBU, confirmar en factura); gastos del vendedor sin indicar si incluyen la transferencia: se suma la tasa DGT; revisar: no menciona la ITV; fiabilidad del modelo PENDIENTE de fuente (puntuación neutra); mediana con solo 2 anuncio(s)</t>
        </is>
      </c>
      <c r="BB90" s="2" t="inlineStr">
        <is>
          <t xml:space="preserve">Chevrolet Kalos 1.4 SX, 95CV,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Sistema radio CD/MP3/USB
- Llaves presencial con mandos a distancia y mucho mas....
Este anuncio no es vinculante, se muestra a titulo informativo y no contractual.
</t>
        </is>
      </c>
      <c r="BC90" s="2" t="inlineStr">
        <is>
          <t>https://www.coches.net/chevrolet-kalos-14-16v-sx-5p-gasolina-2007-en-valencia-71757437-covo.aspx (window.__INITIAL_PROPS__.ad) /home/user/Alopecia/buscador-coches/raw/cochesnet/afe43bd5bb8532e7.json</t>
        </is>
      </c>
      <c r="BD90" s="3">
        <f>MAX(ANIO_ACTUAL-M90,0)</f>
        <v/>
      </c>
      <c r="BE90" s="4">
        <f>N90/MAX(BD90,0.5)</f>
        <v/>
      </c>
      <c r="BF90" s="4">
        <f>F90</f>
        <v/>
      </c>
      <c r="BG90" s="3">
        <f>BF90&amp;"|"&amp;INT(M90/SEG_ANIO)*SEG_ANIO</f>
        <v/>
      </c>
      <c r="BH90" s="3">
        <f>BG90&amp;"|"&amp;INT(N90/SEG_KM)*SEG_KM</f>
        <v/>
      </c>
      <c r="BI90" s="4">
        <f>COUNTIF($BF$2:$BF$101,BF90)</f>
        <v/>
      </c>
      <c r="BJ90" s="4">
        <f>COUNTIF($BG$2:$BG$101,BG90)</f>
        <v/>
      </c>
      <c r="BK90" s="4">
        <f>COUNTIF($BH$2:$BH$101,BH90)</f>
        <v/>
      </c>
      <c r="BL90" s="3">
        <f t="array" ref="BL90">IF(N(AX90)&gt;=MIN_N,AW90,IF(BK90&gt;=MIN_N,MEDIAN(IF($BH$2:$BH$101=BH90,$O$2:$O$101)),IF(BJ90&gt;=MIN_N,MEDIAN(IF($BG$2:$BG$101=BG90,$O$2:$O$101)),MEDIAN(IF($BF$2:$BF$101=BF90,$O$2:$O$101)))))</f>
        <v/>
      </c>
      <c r="BM90" s="3">
        <f>IF(N(AX90)&gt;=MIN_N,"mercado "&amp;AY90,IF(BK90&gt;=MIN_N,"modelo+año+km",IF(BJ90&gt;=MIN_N,"modelo+año","modelo")))</f>
        <v/>
      </c>
      <c r="BN90" s="4">
        <f>(BL90-O90)/BL90</f>
        <v/>
      </c>
      <c r="BO90" s="3">
        <f>IF(COUNTIFS(FR_FUEL,K90,FR_YEAR,AP90)&gt;0,1,0)</f>
        <v/>
      </c>
      <c r="BP90" s="3">
        <f>IF(COUNTIFS(FR_FUEL,K90,FR_YEAR,AP90-1)&gt;0,1,0)</f>
        <v/>
      </c>
      <c r="BQ90" s="4">
        <f>IF(N(AQ90)&gt;0,AP90*100+AQ90,IF(AND(BO90=1,BP90=1),(AP90-1)*100+1,AP90*100+1))</f>
        <v/>
      </c>
      <c r="BR90" s="3">
        <f>IF(OR(K90="hibrido",K90="glp",K90="gnc",K90="phev"),"ECO",IF(K90="electrico","CERO",IF(K90="gasolina",IF(BQ90&gt;=GAS_C_YM,"C",IF(BQ90&gt;=GAS_B_YM,"B","A")),IF(K90="diesel",IF(BQ90&gt;=DIE_C_YM,"C",IF(BQ90&gt;=DIE_B_YM,"B","A")),""))))</f>
        <v/>
      </c>
      <c r="BS90" s="2" t="inlineStr">
        <is>
          <t>C</t>
        </is>
      </c>
      <c r="BT90" s="4">
        <f>IF(AU90="sí","sí",IF(AS90="regla",IF(AND(N(AQ90)=0,BO90=1),"sí","no"),"no"))</f>
        <v/>
      </c>
      <c r="BU90" s="3">
        <f>IFERROR(VLOOKUP(F90,MOD_TBL,16,0),IFERROR(VLOOKUP(E90,OCU_TBL,2,0),NEUTRO))</f>
        <v/>
      </c>
      <c r="BV90" s="3">
        <f>SUMIFS(MOT_AJUSTE,MOT_MOTOR,G90,MOT_MARCA,E90,MOT_DESDE,"&lt;="&amp;M90,MOT_HASTA,"&gt;="&amp;M90)+SUMIFS(MOT_AJUSTE,MOT_MOTOR,G90,MOT_MARCA,"(todas)",MOT_DESDE,"&lt;="&amp;M90,MOT_HASTA,"&gt;="&amp;M90)+SUMIFS(MOT_AJUSTE,MOT_MOTOR,"(cualquiera)",MOT_MARCA,E90,MOT_DESDE,"&lt;="&amp;M90,MOT_HASTA,"&gt;="&amp;M90)</f>
        <v/>
      </c>
      <c r="BW90" s="3">
        <f>SUMIFS(COMB_AJUSTE,COMB_COMB,K90)</f>
        <v/>
      </c>
      <c r="BX90" s="3">
        <f>COUNTIFS(MOT_MOTOR,G90,MOT_MARCA,E90,MOT_DESDE,"&lt;="&amp;M90,MOT_HASTA,"&gt;="&amp;M90)+COUNTIFS(MOT_MOTOR,G90,MOT_MARCA,"(todas)",MOT_DESDE,"&lt;="&amp;M90,MOT_HASTA,"&gt;="&amp;M90)+COUNTIFS(MOT_MOTOR,"(cualquiera)",MOT_MARCA,E90,MOT_DESDE,"&lt;="&amp;M90,MOT_HASTA,"&gt;="&amp;M90)</f>
        <v/>
      </c>
      <c r="BY90" s="3">
        <f>IF(AND(K90="diesel",BX90=0),MIN(BU90,NEUTRO),BU90)</f>
        <v/>
      </c>
      <c r="BZ90" s="3">
        <f>MAX(0,MIN(100,BY90+BV90+BW90-IF(AV90="sí",ROB_PEN,0)))</f>
        <v/>
      </c>
      <c r="CA90" s="3">
        <f>100-MAX(0,N90-KM_TOPE_DESDE)/1000*KM_TOPE_PTS</f>
        <v/>
      </c>
      <c r="CB90" s="3">
        <f>MAX(0,MIN(100,50+BN90*PRECIO_PEND,CA90))</f>
        <v/>
      </c>
      <c r="CC90" s="3">
        <f>MAX(0,100*(1-N90/KM_MAX))</f>
        <v/>
      </c>
      <c r="CD90" s="3">
        <f>IF(BE90&lt;KMA_SOSP,IF(AA90="sí",100,KMA_PEN),IF(BE90&lt;=KMA_IDEAL_MAX,100,MAX(0,100*(KMA_CERO-BE90)/(KMA_CERO-KMA_IDEAL_MAX))))</f>
        <v/>
      </c>
      <c r="CE90" s="3">
        <f>MAX(0,MIN(100,100*(M90-ANIO_MIN)/(ANIO_ACTUAL-ANIO_MIN)))</f>
        <v/>
      </c>
      <c r="CF90" s="3">
        <f>W_KMT*CC90+W_KMA*CD90+W_EDAD*CE90</f>
        <v/>
      </c>
      <c r="CG90" s="3">
        <f>P_ITV*(V90="sí")+P_LIBRO*(W90="sí")+P_CORREA*(X90="sí")+P_PROP*(Y90=1)+P_GAR*(Z90="sí")+P_FOTOS*MIN(1,N(U90)/FOTOS_OBJ)</f>
        <v/>
      </c>
      <c r="CH90" s="3">
        <f>MAX(0,MIN(100,IFERROR(VLOOKUP(BS90,ETQ_TBL,2,0),0)-IF(BT90="sí",ETQ_PEN_DUD,IF(AS90="regla",ETQ_PEN_REGLA,0))))</f>
        <v/>
      </c>
      <c r="CI90" s="3">
        <f>NEUTRO</f>
        <v/>
      </c>
      <c r="CJ90" s="3">
        <f>IFERROR(VLOOKUP(L90,SEGURO_TBL,3,0),"")</f>
        <v/>
      </c>
      <c r="CK90" s="3">
        <f>IF(CJ90="",NEUTRO,MAX(0,MIN(100,100*(SEG_REF_MAX-CJ90)/(SEG_REF_MAX-SEG_REF_MIN))))</f>
        <v/>
      </c>
      <c r="CL90" s="3">
        <f>W_CONS*CI90+W_SEG*CK90</f>
        <v/>
      </c>
      <c r="CM90" s="3">
        <f>IF(N(AB90)&gt;0,AB90,IF(AND(R90="profesional",SG_LEGAL_ON=1),GAR_LEGAL,0))</f>
        <v/>
      </c>
      <c r="CN90" s="3">
        <f>SG_GAR*MIN(1,CM90/SG_GAR_FULL)+SG_AMPL*(AC90="sí")+SG_KMC*(AF90="sí")+SG_REV*(N(AE90)&gt;0)+SG_DEV*MIN(1,N(AG90)/SG_DEV_FULL)+SG_HIST*(W90="sí")</f>
        <v/>
      </c>
      <c r="CO90" s="3">
        <f>IFERROR(VLOOKUP(L90,CARR_PEN_TBL,2,0),0)</f>
        <v/>
      </c>
      <c r="CP90" s="3">
        <f>W_FIAB*BZ90+W_PRECIO*CB90+W_KMEDAD*CF90+W_ANUNCIO*CG90+W_USO*CL90+W_SEGURIDAD*CN90+W_ETIQUETA*CH90-CO90</f>
        <v/>
      </c>
      <c r="CQ90" s="4">
        <f>IF(N(I90)&gt;0,I90,IFERROR(ROUND(_xlfn.NUMBERVALUE(LEFT(G90,FIND(" ",G90&amp;" ")-1),".")*1000,0),99999))</f>
        <v/>
      </c>
      <c r="CR90" s="3">
        <f>IF(R90="profesional",0,IF(O90&lt;CUOTA_VALOR_MAX,IF(BD90&gt;ITP_TRAMO_ALTO,SUMIFS(CF_CUOTA,CF_MAS,ITP_TRAMO_ALTO,CF_CCMIN,"&lt;="&amp;CQ90,CF_CCMAX,"&gt;="&amp;CQ90),IF(BD90&gt;ITP_TRAMO_BAJO,SUMIFS(CF_CUOTA,CF_MAS,ITP_TRAMO_BAJO,CF_CCMIN,"&lt;="&amp;CQ90,CF_CCMAX,"&gt;="&amp;CQ90),O90*ITP_TIPO)),O90*ITP_TIPO))</f>
        <v/>
      </c>
      <c r="CS90" s="4">
        <f>IF(R90="profesional",N(AK90),0)</f>
        <v/>
      </c>
      <c r="CT90" s="3">
        <f>IF(AND(R90="profesional",ISNUMBER(AK90),AL90="sí"),0,TASA_DGT)</f>
        <v/>
      </c>
      <c r="CU90" s="3">
        <f>INFORME_DGT</f>
        <v/>
      </c>
      <c r="CV90" s="4">
        <f>O90+CS90+CR90+CT90+CU90</f>
        <v/>
      </c>
      <c r="CW90" s="4">
        <f>CV90+N(CJ90)</f>
        <v/>
      </c>
      <c r="CX90" s="3">
        <f>IF(CV90&lt;=TOTAL_MAX,"sí",IF(CV90&lt;=TOTAL_MAX+MARGEN_NEG,"negociar","no"))</f>
        <v/>
      </c>
      <c r="CY90" s="4">
        <f>IF(CX90&lt;&gt;"no",COUNTIFS($CX$2:$CX$101,"&lt;&gt;no",$CP$2:$CP$101,"&gt;"&amp;CP90)+COUNTIFS($CX$2:CX90,"&lt;&gt;no",$CP$2:CP90,CP90),"")</f>
        <v/>
      </c>
    </row>
    <row r="91">
      <c r="A91" s="2" t="inlineStr">
        <is>
          <t>cochesnet:71574866</t>
        </is>
      </c>
      <c r="B91" s="2" t="inlineStr">
        <is>
          <t>cochesnet</t>
        </is>
      </c>
      <c r="C91" s="2" t="inlineStr">
        <is>
          <t>https://www.coches.net/chevrolet-aveo-12-ls-5p-gasolina-2012-en-valencia-71574866-covo.aspx</t>
        </is>
      </c>
      <c r="D91" s="2" t="inlineStr">
        <is>
          <t>CHEVROLET Aveo 1.2 LS</t>
        </is>
      </c>
      <c r="E91" s="2" t="inlineStr">
        <is>
          <t>Chevrolet</t>
        </is>
      </c>
      <c r="F91" s="2" t="inlineStr">
        <is>
          <t>Chevrolet Aveo</t>
        </is>
      </c>
      <c r="G91" s="2" t="inlineStr">
        <is>
          <t>1.2</t>
        </is>
      </c>
      <c r="H91" s="2" t="inlineStr">
        <is>
          <t>1.2 LS</t>
        </is>
      </c>
      <c r="I91" s="2" t="n"/>
      <c r="J91" s="2" t="n"/>
      <c r="K91" s="2" t="inlineStr">
        <is>
          <t>gasolina</t>
        </is>
      </c>
      <c r="L91" s="2" t="inlineStr">
        <is>
          <t>utilitario</t>
        </is>
      </c>
      <c r="M91" s="2" t="n">
        <v>2011</v>
      </c>
      <c r="N91" s="2" t="n">
        <v>66000</v>
      </c>
      <c r="O91" s="2" t="n">
        <v>4990</v>
      </c>
      <c r="P91" s="2" t="inlineStr">
        <is>
          <t>manual</t>
        </is>
      </c>
      <c r="Q91" s="2" t="inlineStr">
        <is>
          <t>no</t>
        </is>
      </c>
      <c r="R91" s="2" t="inlineStr">
        <is>
          <t>profesional</t>
        </is>
      </c>
      <c r="S91" s="2" t="inlineStr">
        <is>
          <t>Saga Vehículos Massanassa</t>
        </is>
      </c>
      <c r="T91" s="2" t="inlineStr">
        <is>
          <t>2026-09-22T19:20:36Z</t>
        </is>
      </c>
      <c r="U91" s="2" t="n">
        <v>24</v>
      </c>
      <c r="V91" s="2" t="n"/>
      <c r="W91" s="2" t="n"/>
      <c r="X91" s="2" t="n"/>
      <c r="Y91" s="2" t="n"/>
      <c r="Z91" s="2" t="inlineStr">
        <is>
          <t>sí</t>
        </is>
      </c>
      <c r="AA91" s="2" t="n"/>
      <c r="AB91" s="2" t="n">
        <v>12</v>
      </c>
      <c r="AC91" s="2" t="inlineStr">
        <is>
          <t>sí</t>
        </is>
      </c>
      <c r="AD91" s="2" t="n"/>
      <c r="AE91" s="2" t="n"/>
      <c r="AF91" s="2" t="n"/>
      <c r="AG91" s="2" t="n"/>
      <c r="AH91" s="2" t="n">
        <v>4990</v>
      </c>
      <c r="AI91" s="2" t="n">
        <v>4990</v>
      </c>
      <c r="AJ91" s="2" t="n"/>
      <c r="AK91" s="2" t="n">
        <v>350</v>
      </c>
      <c r="AL91" s="2" t="inlineStr">
        <is>
          <t>no</t>
        </is>
      </c>
      <c r="AM91" s="2" t="n">
        <v>6.9</v>
      </c>
      <c r="AN91" s="2" t="n"/>
      <c r="AO91" s="2" t="inlineStr">
        <is>
          <t>2011</t>
        </is>
      </c>
      <c r="AP91" s="2" t="n">
        <v>2011</v>
      </c>
      <c r="AQ91" s="2" t="n"/>
      <c r="AR91" s="2" t="inlineStr">
        <is>
          <t>C</t>
        </is>
      </c>
      <c r="AS91" s="2" t="inlineStr">
        <is>
          <t>anuncio</t>
        </is>
      </c>
      <c r="AT91" s="2" t="n">
        <v>2012</v>
      </c>
      <c r="AU91" s="2" t="inlineStr">
        <is>
          <t>no</t>
        </is>
      </c>
      <c r="AV91" s="2" t="inlineStr">
        <is>
          <t>no</t>
        </is>
      </c>
      <c r="AW91" s="2" t="n">
        <v>4990</v>
      </c>
      <c r="AX91" s="2" t="n">
        <v>5</v>
      </c>
      <c r="AY91" s="2" t="inlineStr">
        <is>
          <t>modelo+año+km</t>
        </is>
      </c>
      <c r="AZ91" s="2" t="n"/>
      <c r="BA91" s="2" t="inlineStr">
        <is>
          <t>año a confirmar: la URL/título dice 2012; vendedor profesional: sin ITP (operación con IVA/REBU, confirmar en factura); gastos del vendedor sin indicar si incluyen la transferencia: se suma la tasa DGT; revisar: no menciona la ITV; fiabilidad del modelo PENDIENTE de fuente (puntuación neutra)</t>
        </is>
      </c>
      <c r="BB91" s="2" t="inlineStr">
        <is>
          <t xml:space="preserve">Chevrolet Aveo 1.2 LS, 85CV, Gasolina, unico proprietario, vehículo muy bien cuidado.
Más de 100 coches en stock, Por favor llámenos para más información, atendemos SOLO CON CITA PREVIA. Gracias!!!!
Financiacíon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Frenos ABS/EBD
- Airbags
- Ordenador abordo
- Sistema radio CD/MP3/USB
- Llaves presencial con mandos a distancia y mucho mas....
Este anuncio no es vinculante, se muestra a titulo informativo y no contractual.
</t>
        </is>
      </c>
      <c r="BC91" s="2" t="inlineStr">
        <is>
          <t>https://www.coches.net/chevrolet-aveo-12-ls-5p-gasolina-2012-en-valencia-71574866-covo.aspx (window.__INITIAL_PROPS__.ad) /home/user/Alopecia/buscador-coches/raw/cochesnet/d5e89d737cbacf24.json</t>
        </is>
      </c>
      <c r="BD91" s="3">
        <f>MAX(ANIO_ACTUAL-M91,0)</f>
        <v/>
      </c>
      <c r="BE91" s="4">
        <f>N91/MAX(BD91,0.5)</f>
        <v/>
      </c>
      <c r="BF91" s="4">
        <f>F91</f>
        <v/>
      </c>
      <c r="BG91" s="3">
        <f>BF91&amp;"|"&amp;INT(M91/SEG_ANIO)*SEG_ANIO</f>
        <v/>
      </c>
      <c r="BH91" s="3">
        <f>BG91&amp;"|"&amp;INT(N91/SEG_KM)*SEG_KM</f>
        <v/>
      </c>
      <c r="BI91" s="4">
        <f>COUNTIF($BF$2:$BF$101,BF91)</f>
        <v/>
      </c>
      <c r="BJ91" s="4">
        <f>COUNTIF($BG$2:$BG$101,BG91)</f>
        <v/>
      </c>
      <c r="BK91" s="4">
        <f>COUNTIF($BH$2:$BH$101,BH91)</f>
        <v/>
      </c>
      <c r="BL91" s="3">
        <f t="array" ref="BL91">IF(N(AX91)&gt;=MIN_N,AW91,IF(BK91&gt;=MIN_N,MEDIAN(IF($BH$2:$BH$101=BH91,$O$2:$O$101)),IF(BJ91&gt;=MIN_N,MEDIAN(IF($BG$2:$BG$101=BG91,$O$2:$O$101)),MEDIAN(IF($BF$2:$BF$101=BF91,$O$2:$O$101)))))</f>
        <v/>
      </c>
      <c r="BM91" s="3">
        <f>IF(N(AX91)&gt;=MIN_N,"mercado "&amp;AY91,IF(BK91&gt;=MIN_N,"modelo+año+km",IF(BJ91&gt;=MIN_N,"modelo+año","modelo")))</f>
        <v/>
      </c>
      <c r="BN91" s="4">
        <f>(BL91-O91)/BL91</f>
        <v/>
      </c>
      <c r="BO91" s="3">
        <f>IF(COUNTIFS(FR_FUEL,K91,FR_YEAR,AP91)&gt;0,1,0)</f>
        <v/>
      </c>
      <c r="BP91" s="3">
        <f>IF(COUNTIFS(FR_FUEL,K91,FR_YEAR,AP91-1)&gt;0,1,0)</f>
        <v/>
      </c>
      <c r="BQ91" s="4">
        <f>IF(N(AQ91)&gt;0,AP91*100+AQ91,IF(AND(BO91=1,BP91=1),(AP91-1)*100+1,AP91*100+1))</f>
        <v/>
      </c>
      <c r="BR91" s="3">
        <f>IF(OR(K91="hibrido",K91="glp",K91="gnc",K91="phev"),"ECO",IF(K91="electrico","CERO",IF(K91="gasolina",IF(BQ91&gt;=GAS_C_YM,"C",IF(BQ91&gt;=GAS_B_YM,"B","A")),IF(K91="diesel",IF(BQ91&gt;=DIE_C_YM,"C",IF(BQ91&gt;=DIE_B_YM,"B","A")),""))))</f>
        <v/>
      </c>
      <c r="BS91" s="2" t="inlineStr">
        <is>
          <t>C</t>
        </is>
      </c>
      <c r="BT91" s="4">
        <f>IF(AU91="sí","sí",IF(AS91="regla",IF(AND(N(AQ91)=0,BO91=1),"sí","no"),"no"))</f>
        <v/>
      </c>
      <c r="BU91" s="3">
        <f>IFERROR(VLOOKUP(F91,MOD_TBL,16,0),IFERROR(VLOOKUP(E91,OCU_TBL,2,0),NEUTRO))</f>
        <v/>
      </c>
      <c r="BV91" s="3">
        <f>SUMIFS(MOT_AJUSTE,MOT_MOTOR,G91,MOT_MARCA,E91,MOT_DESDE,"&lt;="&amp;M91,MOT_HASTA,"&gt;="&amp;M91)+SUMIFS(MOT_AJUSTE,MOT_MOTOR,G91,MOT_MARCA,"(todas)",MOT_DESDE,"&lt;="&amp;M91,MOT_HASTA,"&gt;="&amp;M91)+SUMIFS(MOT_AJUSTE,MOT_MOTOR,"(cualquiera)",MOT_MARCA,E91,MOT_DESDE,"&lt;="&amp;M91,MOT_HASTA,"&gt;="&amp;M91)</f>
        <v/>
      </c>
      <c r="BW91" s="3">
        <f>SUMIFS(COMB_AJUSTE,COMB_COMB,K91)</f>
        <v/>
      </c>
      <c r="BX91" s="3">
        <f>COUNTIFS(MOT_MOTOR,G91,MOT_MARCA,E91,MOT_DESDE,"&lt;="&amp;M91,MOT_HASTA,"&gt;="&amp;M91)+COUNTIFS(MOT_MOTOR,G91,MOT_MARCA,"(todas)",MOT_DESDE,"&lt;="&amp;M91,MOT_HASTA,"&gt;="&amp;M91)+COUNTIFS(MOT_MOTOR,"(cualquiera)",MOT_MARCA,E91,MOT_DESDE,"&lt;="&amp;M91,MOT_HASTA,"&gt;="&amp;M91)</f>
        <v/>
      </c>
      <c r="BY91" s="3">
        <f>IF(AND(K91="diesel",BX91=0),MIN(BU91,NEUTRO),BU91)</f>
        <v/>
      </c>
      <c r="BZ91" s="3">
        <f>MAX(0,MIN(100,BY91+BV91+BW91-IF(AV91="sí",ROB_PEN,0)))</f>
        <v/>
      </c>
      <c r="CA91" s="3">
        <f>100-MAX(0,N91-KM_TOPE_DESDE)/1000*KM_TOPE_PTS</f>
        <v/>
      </c>
      <c r="CB91" s="3">
        <f>MAX(0,MIN(100,50+BN91*PRECIO_PEND,CA91))</f>
        <v/>
      </c>
      <c r="CC91" s="3">
        <f>MAX(0,100*(1-N91/KM_MAX))</f>
        <v/>
      </c>
      <c r="CD91" s="3">
        <f>IF(BE91&lt;KMA_SOSP,IF(AA91="sí",100,KMA_PEN),IF(BE91&lt;=KMA_IDEAL_MAX,100,MAX(0,100*(KMA_CERO-BE91)/(KMA_CERO-KMA_IDEAL_MAX))))</f>
        <v/>
      </c>
      <c r="CE91" s="3">
        <f>MAX(0,MIN(100,100*(M91-ANIO_MIN)/(ANIO_ACTUAL-ANIO_MIN)))</f>
        <v/>
      </c>
      <c r="CF91" s="3">
        <f>W_KMT*CC91+W_KMA*CD91+W_EDAD*CE91</f>
        <v/>
      </c>
      <c r="CG91" s="3">
        <f>P_ITV*(V91="sí")+P_LIBRO*(W91="sí")+P_CORREA*(X91="sí")+P_PROP*(Y91=1)+P_GAR*(Z91="sí")+P_FOTOS*MIN(1,N(U91)/FOTOS_OBJ)</f>
        <v/>
      </c>
      <c r="CH91" s="3">
        <f>MAX(0,MIN(100,IFERROR(VLOOKUP(BS91,ETQ_TBL,2,0),0)-IF(BT91="sí",ETQ_PEN_DUD,IF(AS91="regla",ETQ_PEN_REGLA,0))))</f>
        <v/>
      </c>
      <c r="CI91" s="3">
        <f>NEUTRO</f>
        <v/>
      </c>
      <c r="CJ91" s="3">
        <f>IFERROR(VLOOKUP(L91,SEGURO_TBL,3,0),"")</f>
        <v/>
      </c>
      <c r="CK91" s="3">
        <f>IF(CJ91="",NEUTRO,MAX(0,MIN(100,100*(SEG_REF_MAX-CJ91)/(SEG_REF_MAX-SEG_REF_MIN))))</f>
        <v/>
      </c>
      <c r="CL91" s="3">
        <f>W_CONS*CI91+W_SEG*CK91</f>
        <v/>
      </c>
      <c r="CM91" s="3">
        <f>IF(N(AB91)&gt;0,AB91,IF(AND(R91="profesional",SG_LEGAL_ON=1),GAR_LEGAL,0))</f>
        <v/>
      </c>
      <c r="CN91" s="3">
        <f>SG_GAR*MIN(1,CM91/SG_GAR_FULL)+SG_AMPL*(AC91="sí")+SG_KMC*(AF91="sí")+SG_REV*(N(AE91)&gt;0)+SG_DEV*MIN(1,N(AG91)/SG_DEV_FULL)+SG_HIST*(W91="sí")</f>
        <v/>
      </c>
      <c r="CO91" s="3">
        <f>IFERROR(VLOOKUP(L91,CARR_PEN_TBL,2,0),0)</f>
        <v/>
      </c>
      <c r="CP91" s="3">
        <f>W_FIAB*BZ91+W_PRECIO*CB91+W_KMEDAD*CF91+W_ANUNCIO*CG91+W_USO*CL91+W_SEGURIDAD*CN91+W_ETIQUETA*CH91-CO91</f>
        <v/>
      </c>
      <c r="CQ91" s="4">
        <f>IF(N(I91)&gt;0,I91,IFERROR(ROUND(_xlfn.NUMBERVALUE(LEFT(G91,FIND(" ",G91&amp;" ")-1),".")*1000,0),99999))</f>
        <v/>
      </c>
      <c r="CR91" s="3">
        <f>IF(R91="profesional",0,IF(O91&lt;CUOTA_VALOR_MAX,IF(BD91&gt;ITP_TRAMO_ALTO,SUMIFS(CF_CUOTA,CF_MAS,ITP_TRAMO_ALTO,CF_CCMIN,"&lt;="&amp;CQ91,CF_CCMAX,"&gt;="&amp;CQ91),IF(BD91&gt;ITP_TRAMO_BAJO,SUMIFS(CF_CUOTA,CF_MAS,ITP_TRAMO_BAJO,CF_CCMIN,"&lt;="&amp;CQ91,CF_CCMAX,"&gt;="&amp;CQ91),O91*ITP_TIPO)),O91*ITP_TIPO))</f>
        <v/>
      </c>
      <c r="CS91" s="4">
        <f>IF(R91="profesional",N(AK91),0)</f>
        <v/>
      </c>
      <c r="CT91" s="3">
        <f>IF(AND(R91="profesional",ISNUMBER(AK91),AL91="sí"),0,TASA_DGT)</f>
        <v/>
      </c>
      <c r="CU91" s="3">
        <f>INFORME_DGT</f>
        <v/>
      </c>
      <c r="CV91" s="4">
        <f>O91+CS91+CR91+CT91+CU91</f>
        <v/>
      </c>
      <c r="CW91" s="4">
        <f>CV91+N(CJ91)</f>
        <v/>
      </c>
      <c r="CX91" s="3">
        <f>IF(CV91&lt;=TOTAL_MAX,"sí",IF(CV91&lt;=TOTAL_MAX+MARGEN_NEG,"negociar","no"))</f>
        <v/>
      </c>
      <c r="CY91" s="4">
        <f>IF(CX91&lt;&gt;"no",COUNTIFS($CX$2:$CX$101,"&lt;&gt;no",$CP$2:$CP$101,"&gt;"&amp;CP91)+COUNTIFS($CX$2:CX91,"&lt;&gt;no",$CP$2:CP91,CP91),"")</f>
        <v/>
      </c>
    </row>
    <row r="92">
      <c r="A92" s="2" t="inlineStr">
        <is>
          <t>cochesnet:71536876</t>
        </is>
      </c>
      <c r="B92" s="2" t="inlineStr">
        <is>
          <t>cochesnet</t>
        </is>
      </c>
      <c r="C92" s="2" t="inlineStr">
        <is>
          <t>https://www.coches.net/chevrolet-epica-20-vcdi-16v-lt-4p-diesel-2008-en-valencia-71536876-covo.aspx</t>
        </is>
      </c>
      <c r="D92" s="2" t="inlineStr">
        <is>
          <t>CHEVROLET Epica 2.0 VCDI 16v LT</t>
        </is>
      </c>
      <c r="E92" s="2" t="inlineStr">
        <is>
          <t>Chevrolet</t>
        </is>
      </c>
      <c r="F92" s="2" t="inlineStr">
        <is>
          <t>Chevrolet Epica</t>
        </is>
      </c>
      <c r="G92" s="2" t="inlineStr">
        <is>
          <t>2.0</t>
        </is>
      </c>
      <c r="H92" s="2" t="inlineStr">
        <is>
          <t>2.0 VCDI 16v LT</t>
        </is>
      </c>
      <c r="I92" s="2" t="n"/>
      <c r="J92" s="2" t="n"/>
      <c r="K92" s="2" t="inlineStr">
        <is>
          <t>diesel</t>
        </is>
      </c>
      <c r="L92" s="2" t="inlineStr">
        <is>
          <t>berlina</t>
        </is>
      </c>
      <c r="M92" s="2" t="n">
        <v>2009</v>
      </c>
      <c r="N92" s="2" t="n">
        <v>83000</v>
      </c>
      <c r="O92" s="2" t="n">
        <v>3500</v>
      </c>
      <c r="P92" s="2" t="inlineStr">
        <is>
          <t>manual</t>
        </is>
      </c>
      <c r="Q92" s="2" t="inlineStr">
        <is>
          <t>no</t>
        </is>
      </c>
      <c r="R92" s="2" t="inlineStr">
        <is>
          <t>profesional</t>
        </is>
      </c>
      <c r="S92" s="2" t="inlineStr">
        <is>
          <t>Automoción Valencia Albal</t>
        </is>
      </c>
      <c r="T92" s="2" t="inlineStr">
        <is>
          <t>2026-09-17T15:17:03Z</t>
        </is>
      </c>
      <c r="U92" s="2" t="n">
        <v>12</v>
      </c>
      <c r="V92" s="2" t="n"/>
      <c r="W92" s="2" t="n"/>
      <c r="X92" s="2" t="n"/>
      <c r="Y92" s="2" t="n"/>
      <c r="Z92" s="2" t="inlineStr">
        <is>
          <t>no</t>
        </is>
      </c>
      <c r="AA92" s="2" t="n"/>
      <c r="AB92" s="2" t="n"/>
      <c r="AC92" s="2" t="n"/>
      <c r="AD92" s="2" t="n"/>
      <c r="AE92" s="2" t="n"/>
      <c r="AF92" s="2" t="n"/>
      <c r="AG92" s="2" t="n"/>
      <c r="AH92" s="2" t="n">
        <v>3500</v>
      </c>
      <c r="AI92" s="2" t="n">
        <v>3500</v>
      </c>
      <c r="AJ92" s="2" t="n"/>
      <c r="AK92" s="2" t="n"/>
      <c r="AL92" s="2" t="n"/>
      <c r="AM92" s="2" t="n">
        <v>8.699999999999999</v>
      </c>
      <c r="AN92" s="2" t="n"/>
      <c r="AO92" s="2" t="inlineStr">
        <is>
          <t>2009</t>
        </is>
      </c>
      <c r="AP92" s="2" t="n">
        <v>2009</v>
      </c>
      <c r="AQ92" s="2" t="n"/>
      <c r="AR92" s="2" t="inlineStr">
        <is>
          <t>B</t>
        </is>
      </c>
      <c r="AS92" s="2" t="inlineStr">
        <is>
          <t>anuncio</t>
        </is>
      </c>
      <c r="AT92" s="2" t="n">
        <v>2008</v>
      </c>
      <c r="AU92" s="2" t="inlineStr">
        <is>
          <t>no</t>
        </is>
      </c>
      <c r="AV92" s="2" t="inlineStr">
        <is>
          <t>no</t>
        </is>
      </c>
      <c r="AW92" s="2" t="n">
        <v>3600</v>
      </c>
      <c r="AX92" s="2" t="n">
        <v>8</v>
      </c>
      <c r="AY92" s="2" t="inlineStr">
        <is>
          <t>modelo+año</t>
        </is>
      </c>
      <c r="AZ92" s="2" t="n"/>
      <c r="BA92" s="2" t="inlineStr">
        <is>
          <t>año a confirmar: la URL/título dice 2008; vendedor profesional: sin ITP (operación con IVA/REBU, confirmar en factura); gastos de gestión del vendedor no indicados: se suma la tasa DGT; preguntar el precio final; diésel: motor sin fuente de fiabilidad (fiabilidad limitada a neutra); carrocería berlina: -4 puntos; revisar: no menciona la ITV; fiabilidad del modelo PENDIENTE de fuente (puntuación neutra)</t>
        </is>
      </c>
      <c r="BB92" s="2" t="inlineStr">
        <is>
          <t>Chevrolet Epica 2.0 VCDI  150CVdestaca por su completo equipamiento multimedia con ocho altavoces, radio AM/FM, reproductor de CD y mandos en el volante para máximo confort al conducir. Dispone de dirección asistida progresiva, climatizador automático, limpiaparabrisas con sensor de lluvia y control de crucero. Los asientos térmicos del conductor con ajuste lumbar, volante multifuncional de cuero ajustable y retrovisores eléctricos desempañables garantizan una experiencia versátil. Incluye ordenador de viaje, protección antirrobo perimétrica, cierre centralizado con mando a distancia y apertura remota del maletero. Llantas de aleación de dieciséis pulgadas, cristales tintados y etiqueta medioambiental B completan este sedán familiar práctico y bien equipado.</t>
        </is>
      </c>
      <c r="BC92" s="2" t="inlineStr">
        <is>
          <t>https://www.coches.net/chevrolet-epica-20-vcdi-16v-lt-4p-diesel-2008-en-valencia-71536876-covo.aspx (window.__INITIAL_PROPS__.ad) /home/user/Alopecia/buscador-coches/raw/cochesnet/d843838227c2907f.json</t>
        </is>
      </c>
      <c r="BD92" s="3">
        <f>MAX(ANIO_ACTUAL-M92,0)</f>
        <v/>
      </c>
      <c r="BE92" s="4">
        <f>N92/MAX(BD92,0.5)</f>
        <v/>
      </c>
      <c r="BF92" s="4">
        <f>F92</f>
        <v/>
      </c>
      <c r="BG92" s="3">
        <f>BF92&amp;"|"&amp;INT(M92/SEG_ANIO)*SEG_ANIO</f>
        <v/>
      </c>
      <c r="BH92" s="3">
        <f>BG92&amp;"|"&amp;INT(N92/SEG_KM)*SEG_KM</f>
        <v/>
      </c>
      <c r="BI92" s="4">
        <f>COUNTIF($BF$2:$BF$101,BF92)</f>
        <v/>
      </c>
      <c r="BJ92" s="4">
        <f>COUNTIF($BG$2:$BG$101,BG92)</f>
        <v/>
      </c>
      <c r="BK92" s="4">
        <f>COUNTIF($BH$2:$BH$101,BH92)</f>
        <v/>
      </c>
      <c r="BL92" s="3">
        <f t="array" ref="BL92">IF(N(AX92)&gt;=MIN_N,AW92,IF(BK92&gt;=MIN_N,MEDIAN(IF($BH$2:$BH$101=BH92,$O$2:$O$101)),IF(BJ92&gt;=MIN_N,MEDIAN(IF($BG$2:$BG$101=BG92,$O$2:$O$101)),MEDIAN(IF($BF$2:$BF$101=BF92,$O$2:$O$101)))))</f>
        <v/>
      </c>
      <c r="BM92" s="3">
        <f>IF(N(AX92)&gt;=MIN_N,"mercado "&amp;AY92,IF(BK92&gt;=MIN_N,"modelo+año+km",IF(BJ92&gt;=MIN_N,"modelo+año","modelo")))</f>
        <v/>
      </c>
      <c r="BN92" s="4">
        <f>(BL92-O92)/BL92</f>
        <v/>
      </c>
      <c r="BO92" s="3">
        <f>IF(COUNTIFS(FR_FUEL,K92,FR_YEAR,AP92)&gt;0,1,0)</f>
        <v/>
      </c>
      <c r="BP92" s="3">
        <f>IF(COUNTIFS(FR_FUEL,K92,FR_YEAR,AP92-1)&gt;0,1,0)</f>
        <v/>
      </c>
      <c r="BQ92" s="4">
        <f>IF(N(AQ92)&gt;0,AP92*100+AQ92,IF(AND(BO92=1,BP92=1),(AP92-1)*100+1,AP92*100+1))</f>
        <v/>
      </c>
      <c r="BR92" s="3">
        <f>IF(OR(K92="hibrido",K92="glp",K92="gnc",K92="phev"),"ECO",IF(K92="electrico","CERO",IF(K92="gasolina",IF(BQ92&gt;=GAS_C_YM,"C",IF(BQ92&gt;=GAS_B_YM,"B","A")),IF(K92="diesel",IF(BQ92&gt;=DIE_C_YM,"C",IF(BQ92&gt;=DIE_B_YM,"B","A")),""))))</f>
        <v/>
      </c>
      <c r="BS92" s="2" t="inlineStr">
        <is>
          <t>B</t>
        </is>
      </c>
      <c r="BT92" s="4">
        <f>IF(AU92="sí","sí",IF(AS92="regla",IF(AND(N(AQ92)=0,BO92=1),"sí","no"),"no"))</f>
        <v/>
      </c>
      <c r="BU92" s="3">
        <f>IFERROR(VLOOKUP(F92,MOD_TBL,16,0),IFERROR(VLOOKUP(E92,OCU_TBL,2,0),NEUTRO))</f>
        <v/>
      </c>
      <c r="BV92" s="3">
        <f>SUMIFS(MOT_AJUSTE,MOT_MOTOR,G92,MOT_MARCA,E92,MOT_DESDE,"&lt;="&amp;M92,MOT_HASTA,"&gt;="&amp;M92)+SUMIFS(MOT_AJUSTE,MOT_MOTOR,G92,MOT_MARCA,"(todas)",MOT_DESDE,"&lt;="&amp;M92,MOT_HASTA,"&gt;="&amp;M92)+SUMIFS(MOT_AJUSTE,MOT_MOTOR,"(cualquiera)",MOT_MARCA,E92,MOT_DESDE,"&lt;="&amp;M92,MOT_HASTA,"&gt;="&amp;M92)</f>
        <v/>
      </c>
      <c r="BW92" s="3">
        <f>SUMIFS(COMB_AJUSTE,COMB_COMB,K92)</f>
        <v/>
      </c>
      <c r="BX92" s="3">
        <f>COUNTIFS(MOT_MOTOR,G92,MOT_MARCA,E92,MOT_DESDE,"&lt;="&amp;M92,MOT_HASTA,"&gt;="&amp;M92)+COUNTIFS(MOT_MOTOR,G92,MOT_MARCA,"(todas)",MOT_DESDE,"&lt;="&amp;M92,MOT_HASTA,"&gt;="&amp;M92)+COUNTIFS(MOT_MOTOR,"(cualquiera)",MOT_MARCA,E92,MOT_DESDE,"&lt;="&amp;M92,MOT_HASTA,"&gt;="&amp;M92)</f>
        <v/>
      </c>
      <c r="BY92" s="3">
        <f>IF(AND(K92="diesel",BX92=0),MIN(BU92,NEUTRO),BU92)</f>
        <v/>
      </c>
      <c r="BZ92" s="3">
        <f>MAX(0,MIN(100,BY92+BV92+BW92-IF(AV92="sí",ROB_PEN,0)))</f>
        <v/>
      </c>
      <c r="CA92" s="3">
        <f>100-MAX(0,N92-KM_TOPE_DESDE)/1000*KM_TOPE_PTS</f>
        <v/>
      </c>
      <c r="CB92" s="3">
        <f>MAX(0,MIN(100,50+BN92*PRECIO_PEND,CA92))</f>
        <v/>
      </c>
      <c r="CC92" s="3">
        <f>MAX(0,100*(1-N92/KM_MAX))</f>
        <v/>
      </c>
      <c r="CD92" s="3">
        <f>IF(BE92&lt;KMA_SOSP,IF(AA92="sí",100,KMA_PEN),IF(BE92&lt;=KMA_IDEAL_MAX,100,MAX(0,100*(KMA_CERO-BE92)/(KMA_CERO-KMA_IDEAL_MAX))))</f>
        <v/>
      </c>
      <c r="CE92" s="3">
        <f>MAX(0,MIN(100,100*(M92-ANIO_MIN)/(ANIO_ACTUAL-ANIO_MIN)))</f>
        <v/>
      </c>
      <c r="CF92" s="3">
        <f>W_KMT*CC92+W_KMA*CD92+W_EDAD*CE92</f>
        <v/>
      </c>
      <c r="CG92" s="3">
        <f>P_ITV*(V92="sí")+P_LIBRO*(W92="sí")+P_CORREA*(X92="sí")+P_PROP*(Y92=1)+P_GAR*(Z92="sí")+P_FOTOS*MIN(1,N(U92)/FOTOS_OBJ)</f>
        <v/>
      </c>
      <c r="CH92" s="3">
        <f>MAX(0,MIN(100,IFERROR(VLOOKUP(BS92,ETQ_TBL,2,0),0)-IF(BT92="sí",ETQ_PEN_DUD,IF(AS92="regla",ETQ_PEN_REGLA,0))))</f>
        <v/>
      </c>
      <c r="CI92" s="3">
        <f>NEUTRO</f>
        <v/>
      </c>
      <c r="CJ92" s="3">
        <f>IFERROR(VLOOKUP(L92,SEGURO_TBL,3,0),"")</f>
        <v/>
      </c>
      <c r="CK92" s="3">
        <f>IF(CJ92="",NEUTRO,MAX(0,MIN(100,100*(SEG_REF_MAX-CJ92)/(SEG_REF_MAX-SEG_REF_MIN))))</f>
        <v/>
      </c>
      <c r="CL92" s="3">
        <f>W_CONS*CI92+W_SEG*CK92</f>
        <v/>
      </c>
      <c r="CM92" s="3">
        <f>IF(N(AB92)&gt;0,AB92,IF(AND(R92="profesional",SG_LEGAL_ON=1),GAR_LEGAL,0))</f>
        <v/>
      </c>
      <c r="CN92" s="3">
        <f>SG_GAR*MIN(1,CM92/SG_GAR_FULL)+SG_AMPL*(AC92="sí")+SG_KMC*(AF92="sí")+SG_REV*(N(AE92)&gt;0)+SG_DEV*MIN(1,N(AG92)/SG_DEV_FULL)+SG_HIST*(W92="sí")</f>
        <v/>
      </c>
      <c r="CO92" s="3">
        <f>IFERROR(VLOOKUP(L92,CARR_PEN_TBL,2,0),0)</f>
        <v/>
      </c>
      <c r="CP92" s="3">
        <f>W_FIAB*BZ92+W_PRECIO*CB92+W_KMEDAD*CF92+W_ANUNCIO*CG92+W_USO*CL92+W_SEGURIDAD*CN92+W_ETIQUETA*CH92-CO92</f>
        <v/>
      </c>
      <c r="CQ92" s="4">
        <f>IF(N(I92)&gt;0,I92,IFERROR(ROUND(_xlfn.NUMBERVALUE(LEFT(G92,FIND(" ",G92&amp;" ")-1),".")*1000,0),99999))</f>
        <v/>
      </c>
      <c r="CR92" s="3">
        <f>IF(R92="profesional",0,IF(O92&lt;CUOTA_VALOR_MAX,IF(BD92&gt;ITP_TRAMO_ALTO,SUMIFS(CF_CUOTA,CF_MAS,ITP_TRAMO_ALTO,CF_CCMIN,"&lt;="&amp;CQ92,CF_CCMAX,"&gt;="&amp;CQ92),IF(BD92&gt;ITP_TRAMO_BAJO,SUMIFS(CF_CUOTA,CF_MAS,ITP_TRAMO_BAJO,CF_CCMIN,"&lt;="&amp;CQ92,CF_CCMAX,"&gt;="&amp;CQ92),O92*ITP_TIPO)),O92*ITP_TIPO))</f>
        <v/>
      </c>
      <c r="CS92" s="4">
        <f>IF(R92="profesional",N(AK92),0)</f>
        <v/>
      </c>
      <c r="CT92" s="3">
        <f>IF(AND(R92="profesional",ISNUMBER(AK92),AL92="sí"),0,TASA_DGT)</f>
        <v/>
      </c>
      <c r="CU92" s="3">
        <f>INFORME_DGT</f>
        <v/>
      </c>
      <c r="CV92" s="4">
        <f>O92+CS92+CR92+CT92+CU92</f>
        <v/>
      </c>
      <c r="CW92" s="4">
        <f>CV92+N(CJ92)</f>
        <v/>
      </c>
      <c r="CX92" s="3">
        <f>IF(CV92&lt;=TOTAL_MAX,"sí",IF(CV92&lt;=TOTAL_MAX+MARGEN_NEG,"negociar","no"))</f>
        <v/>
      </c>
      <c r="CY92" s="4">
        <f>IF(CX92&lt;&gt;"no",COUNTIFS($CX$2:$CX$101,"&lt;&gt;no",$CP$2:$CP$101,"&gt;"&amp;CP92)+COUNTIFS($CX$2:CX92,"&lt;&gt;no",$CP$2:CP92,CP92),"")</f>
        <v/>
      </c>
    </row>
    <row r="93">
      <c r="A93" s="2" t="inlineStr">
        <is>
          <t>cochesnet:62641273</t>
        </is>
      </c>
      <c r="B93" s="2" t="inlineStr">
        <is>
          <t>cochesnet</t>
        </is>
      </c>
      <c r="C93" s="2" t="inlineStr">
        <is>
          <t>https://www.coches.net/seat-ibiza-19-tdi-100cv-hit-5p-diesel-2007-en-castellon-62641273-covo.aspx</t>
        </is>
      </c>
      <c r="D93" s="2" t="inlineStr">
        <is>
          <t>SEAT Ibiza 1.9 TDI Hit</t>
        </is>
      </c>
      <c r="E93" s="2" t="inlineStr">
        <is>
          <t>Seat</t>
        </is>
      </c>
      <c r="F93" s="2" t="inlineStr">
        <is>
          <t>Seat Ibiza</t>
        </is>
      </c>
      <c r="G93" s="2" t="inlineStr">
        <is>
          <t>1.9 TDI</t>
        </is>
      </c>
      <c r="H93" s="2" t="inlineStr">
        <is>
          <t>1.9 TDI 100cv Hit</t>
        </is>
      </c>
      <c r="I93" s="2" t="n"/>
      <c r="J93" s="2" t="n">
        <v>100</v>
      </c>
      <c r="K93" s="2" t="inlineStr">
        <is>
          <t>diesel</t>
        </is>
      </c>
      <c r="L93" s="2" t="inlineStr">
        <is>
          <t>utilitario</t>
        </is>
      </c>
      <c r="M93" s="2" t="n">
        <v>2006</v>
      </c>
      <c r="N93" s="2" t="n">
        <v>151600</v>
      </c>
      <c r="O93" s="2" t="n">
        <v>4500</v>
      </c>
      <c r="P93" s="2" t="inlineStr">
        <is>
          <t>manual</t>
        </is>
      </c>
      <c r="Q93" s="2" t="inlineStr">
        <is>
          <t>no</t>
        </is>
      </c>
      <c r="R93" s="2" t="inlineStr">
        <is>
          <t>profesional</t>
        </is>
      </c>
      <c r="S93" s="2" t="inlineStr">
        <is>
          <t>Comprartuauto.com Vila-real</t>
        </is>
      </c>
      <c r="T93" s="2" t="inlineStr">
        <is>
          <t>2026-08-10T20:41:38Z</t>
        </is>
      </c>
      <c r="U93" s="2" t="n">
        <v>13</v>
      </c>
      <c r="V93" s="2" t="n"/>
      <c r="W93" s="2" t="n"/>
      <c r="X93" s="2" t="n"/>
      <c r="Y93" s="2" t="n">
        <v>2</v>
      </c>
      <c r="Z93" s="2" t="inlineStr">
        <is>
          <t>no</t>
        </is>
      </c>
      <c r="AA93" s="2" t="n"/>
      <c r="AB93" s="2" t="n"/>
      <c r="AC93" s="2" t="n"/>
      <c r="AD93" s="2" t="n"/>
      <c r="AE93" s="2" t="n"/>
      <c r="AF93" s="2" t="n"/>
      <c r="AG93" s="2" t="n"/>
      <c r="AH93" s="2" t="n">
        <v>4500</v>
      </c>
      <c r="AI93" s="2" t="n">
        <v>4500</v>
      </c>
      <c r="AJ93" s="2" t="n"/>
      <c r="AK93" s="2" t="n"/>
      <c r="AL93" s="2" t="n"/>
      <c r="AM93" s="2" t="n"/>
      <c r="AN93" s="2" t="n"/>
      <c r="AO93" s="2" t="inlineStr">
        <is>
          <t>2006</t>
        </is>
      </c>
      <c r="AP93" s="2" t="n">
        <v>2006</v>
      </c>
      <c r="AQ93" s="2" t="n"/>
      <c r="AR93" s="2" t="inlineStr">
        <is>
          <t>B</t>
        </is>
      </c>
      <c r="AS93" s="2" t="inlineStr">
        <is>
          <t>anuncio</t>
        </is>
      </c>
      <c r="AT93" s="2" t="n">
        <v>2007</v>
      </c>
      <c r="AU93" s="2" t="inlineStr">
        <is>
          <t>no</t>
        </is>
      </c>
      <c r="AV93" s="2" t="inlineStr">
        <is>
          <t>no</t>
        </is>
      </c>
      <c r="AW93" s="2" t="n">
        <v>3750</v>
      </c>
      <c r="AX93" s="2" t="n">
        <v>8</v>
      </c>
      <c r="AY93" s="2" t="inlineStr">
        <is>
          <t>modelo+año+km</t>
        </is>
      </c>
      <c r="AZ93" s="2" t="n"/>
      <c r="BA93" s="2" t="inlineStr">
        <is>
          <t>año a confirmar: la URL/título dice 2007; 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BB93" s="2" t="inlineStr">
        <is>
          <t>Seat Ibiza motor 1.9cc 100cv Diesel, manual 5 velocidades, año 3/2006, 151.600kms, solo 2 propietarios, etiqueta medioambiental B.
Extras: Cierre centralizado a distancia, cristales eléctricos, climatizador, Radio/CD/Mp3, manos libres Parrot, llantas de aleación, ABS, control de tracción y estabilidad, airbags, etc. 
Se entrega con ITV, niveles y fluidos correctos, neumáticos correctos, batería nueva. 
El vehículo esta en perfectas condiciones.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BC93" s="2" t="inlineStr">
        <is>
          <t>https://www.coches.net/seat-ibiza-19-tdi-100cv-hit-5p-diesel-2007-en-castellon-62641273-covo.aspx (window.__INITIAL_PROPS__.ad) /home/user/Alopecia/buscador-coches/raw/cochesnet/a6721eecf8725f18.json</t>
        </is>
      </c>
      <c r="BD93" s="3">
        <f>MAX(ANIO_ACTUAL-M93,0)</f>
        <v/>
      </c>
      <c r="BE93" s="4">
        <f>N93/MAX(BD93,0.5)</f>
        <v/>
      </c>
      <c r="BF93" s="4">
        <f>F93</f>
        <v/>
      </c>
      <c r="BG93" s="3">
        <f>BF93&amp;"|"&amp;INT(M93/SEG_ANIO)*SEG_ANIO</f>
        <v/>
      </c>
      <c r="BH93" s="3">
        <f>BG93&amp;"|"&amp;INT(N93/SEG_KM)*SEG_KM</f>
        <v/>
      </c>
      <c r="BI93" s="4">
        <f>COUNTIF($BF$2:$BF$101,BF93)</f>
        <v/>
      </c>
      <c r="BJ93" s="4">
        <f>COUNTIF($BG$2:$BG$101,BG93)</f>
        <v/>
      </c>
      <c r="BK93" s="4">
        <f>COUNTIF($BH$2:$BH$101,BH93)</f>
        <v/>
      </c>
      <c r="BL93" s="3">
        <f t="array" ref="BL93">IF(N(AX93)&gt;=MIN_N,AW93,IF(BK93&gt;=MIN_N,MEDIAN(IF($BH$2:$BH$101=BH93,$O$2:$O$101)),IF(BJ93&gt;=MIN_N,MEDIAN(IF($BG$2:$BG$101=BG93,$O$2:$O$101)),MEDIAN(IF($BF$2:$BF$101=BF93,$O$2:$O$101)))))</f>
        <v/>
      </c>
      <c r="BM93" s="3">
        <f>IF(N(AX93)&gt;=MIN_N,"mercado "&amp;AY93,IF(BK93&gt;=MIN_N,"modelo+año+km",IF(BJ93&gt;=MIN_N,"modelo+año","modelo")))</f>
        <v/>
      </c>
      <c r="BN93" s="4">
        <f>(BL93-O93)/BL93</f>
        <v/>
      </c>
      <c r="BO93" s="3">
        <f>IF(COUNTIFS(FR_FUEL,K93,FR_YEAR,AP93)&gt;0,1,0)</f>
        <v/>
      </c>
      <c r="BP93" s="3">
        <f>IF(COUNTIFS(FR_FUEL,K93,FR_YEAR,AP93-1)&gt;0,1,0)</f>
        <v/>
      </c>
      <c r="BQ93" s="4">
        <f>IF(N(AQ93)&gt;0,AP93*100+AQ93,IF(AND(BO93=1,BP93=1),(AP93-1)*100+1,AP93*100+1))</f>
        <v/>
      </c>
      <c r="BR93" s="3">
        <f>IF(OR(K93="hibrido",K93="glp",K93="gnc",K93="phev"),"ECO",IF(K93="electrico","CERO",IF(K93="gasolina",IF(BQ93&gt;=GAS_C_YM,"C",IF(BQ93&gt;=GAS_B_YM,"B","A")),IF(K93="diesel",IF(BQ93&gt;=DIE_C_YM,"C",IF(BQ93&gt;=DIE_B_YM,"B","A")),""))))</f>
        <v/>
      </c>
      <c r="BS93" s="2" t="inlineStr">
        <is>
          <t>B</t>
        </is>
      </c>
      <c r="BT93" s="4">
        <f>IF(AU93="sí","sí",IF(AS93="regla",IF(AND(N(AQ93)=0,BO93=1),"sí","no"),"no"))</f>
        <v/>
      </c>
      <c r="BU93" s="3">
        <f>IFERROR(VLOOKUP(F93,MOD_TBL,16,0),IFERROR(VLOOKUP(E93,OCU_TBL,2,0),NEUTRO))</f>
        <v/>
      </c>
      <c r="BV93" s="3">
        <f>SUMIFS(MOT_AJUSTE,MOT_MOTOR,G93,MOT_MARCA,E93,MOT_DESDE,"&lt;="&amp;M93,MOT_HASTA,"&gt;="&amp;M93)+SUMIFS(MOT_AJUSTE,MOT_MOTOR,G93,MOT_MARCA,"(todas)",MOT_DESDE,"&lt;="&amp;M93,MOT_HASTA,"&gt;="&amp;M93)+SUMIFS(MOT_AJUSTE,MOT_MOTOR,"(cualquiera)",MOT_MARCA,E93,MOT_DESDE,"&lt;="&amp;M93,MOT_HASTA,"&gt;="&amp;M93)</f>
        <v/>
      </c>
      <c r="BW93" s="3">
        <f>SUMIFS(COMB_AJUSTE,COMB_COMB,K93)</f>
        <v/>
      </c>
      <c r="BX93" s="3">
        <f>COUNTIFS(MOT_MOTOR,G93,MOT_MARCA,E93,MOT_DESDE,"&lt;="&amp;M93,MOT_HASTA,"&gt;="&amp;M93)+COUNTIFS(MOT_MOTOR,G93,MOT_MARCA,"(todas)",MOT_DESDE,"&lt;="&amp;M93,MOT_HASTA,"&gt;="&amp;M93)+COUNTIFS(MOT_MOTOR,"(cualquiera)",MOT_MARCA,E93,MOT_DESDE,"&lt;="&amp;M93,MOT_HASTA,"&gt;="&amp;M93)</f>
        <v/>
      </c>
      <c r="BY93" s="3">
        <f>IF(AND(K93="diesel",BX93=0),MIN(BU93,NEUTRO),BU93)</f>
        <v/>
      </c>
      <c r="BZ93" s="3">
        <f>MAX(0,MIN(100,BY93+BV93+BW93-IF(AV93="sí",ROB_PEN,0)))</f>
        <v/>
      </c>
      <c r="CA93" s="3">
        <f>100-MAX(0,N93-KM_TOPE_DESDE)/1000*KM_TOPE_PTS</f>
        <v/>
      </c>
      <c r="CB93" s="3">
        <f>MAX(0,MIN(100,50+BN93*PRECIO_PEND,CA93))</f>
        <v/>
      </c>
      <c r="CC93" s="3">
        <f>MAX(0,100*(1-N93/KM_MAX))</f>
        <v/>
      </c>
      <c r="CD93" s="3">
        <f>IF(BE93&lt;KMA_SOSP,IF(AA93="sí",100,KMA_PEN),IF(BE93&lt;=KMA_IDEAL_MAX,100,MAX(0,100*(KMA_CERO-BE93)/(KMA_CERO-KMA_IDEAL_MAX))))</f>
        <v/>
      </c>
      <c r="CE93" s="3">
        <f>MAX(0,MIN(100,100*(M93-ANIO_MIN)/(ANIO_ACTUAL-ANIO_MIN)))</f>
        <v/>
      </c>
      <c r="CF93" s="3">
        <f>W_KMT*CC93+W_KMA*CD93+W_EDAD*CE93</f>
        <v/>
      </c>
      <c r="CG93" s="3">
        <f>P_ITV*(V93="sí")+P_LIBRO*(W93="sí")+P_CORREA*(X93="sí")+P_PROP*(Y93=1)+P_GAR*(Z93="sí")+P_FOTOS*MIN(1,N(U93)/FOTOS_OBJ)</f>
        <v/>
      </c>
      <c r="CH93" s="3">
        <f>MAX(0,MIN(100,IFERROR(VLOOKUP(BS93,ETQ_TBL,2,0),0)-IF(BT93="sí",ETQ_PEN_DUD,IF(AS93="regla",ETQ_PEN_REGLA,0))))</f>
        <v/>
      </c>
      <c r="CI93" s="3">
        <f>NEUTRO</f>
        <v/>
      </c>
      <c r="CJ93" s="3">
        <f>IFERROR(VLOOKUP(L93,SEGURO_TBL,3,0),"")</f>
        <v/>
      </c>
      <c r="CK93" s="3">
        <f>IF(CJ93="",NEUTRO,MAX(0,MIN(100,100*(SEG_REF_MAX-CJ93)/(SEG_REF_MAX-SEG_REF_MIN))))</f>
        <v/>
      </c>
      <c r="CL93" s="3">
        <f>W_CONS*CI93+W_SEG*CK93</f>
        <v/>
      </c>
      <c r="CM93" s="3">
        <f>IF(N(AB93)&gt;0,AB93,IF(AND(R93="profesional",SG_LEGAL_ON=1),GAR_LEGAL,0))</f>
        <v/>
      </c>
      <c r="CN93" s="3">
        <f>SG_GAR*MIN(1,CM93/SG_GAR_FULL)+SG_AMPL*(AC93="sí")+SG_KMC*(AF93="sí")+SG_REV*(N(AE93)&gt;0)+SG_DEV*MIN(1,N(AG93)/SG_DEV_FULL)+SG_HIST*(W93="sí")</f>
        <v/>
      </c>
      <c r="CO93" s="3">
        <f>IFERROR(VLOOKUP(L93,CARR_PEN_TBL,2,0),0)</f>
        <v/>
      </c>
      <c r="CP93" s="3">
        <f>W_FIAB*BZ93+W_PRECIO*CB93+W_KMEDAD*CF93+W_ANUNCIO*CG93+W_USO*CL93+W_SEGURIDAD*CN93+W_ETIQUETA*CH93-CO93</f>
        <v/>
      </c>
      <c r="CQ93" s="4">
        <f>IF(N(I93)&gt;0,I93,IFERROR(ROUND(_xlfn.NUMBERVALUE(LEFT(G93,FIND(" ",G93&amp;" ")-1),".")*1000,0),99999))</f>
        <v/>
      </c>
      <c r="CR93" s="3">
        <f>IF(R93="profesional",0,IF(O93&lt;CUOTA_VALOR_MAX,IF(BD93&gt;ITP_TRAMO_ALTO,SUMIFS(CF_CUOTA,CF_MAS,ITP_TRAMO_ALTO,CF_CCMIN,"&lt;="&amp;CQ93,CF_CCMAX,"&gt;="&amp;CQ93),IF(BD93&gt;ITP_TRAMO_BAJO,SUMIFS(CF_CUOTA,CF_MAS,ITP_TRAMO_BAJO,CF_CCMIN,"&lt;="&amp;CQ93,CF_CCMAX,"&gt;="&amp;CQ93),O93*ITP_TIPO)),O93*ITP_TIPO))</f>
        <v/>
      </c>
      <c r="CS93" s="4">
        <f>IF(R93="profesional",N(AK93),0)</f>
        <v/>
      </c>
      <c r="CT93" s="3">
        <f>IF(AND(R93="profesional",ISNUMBER(AK93),AL93="sí"),0,TASA_DGT)</f>
        <v/>
      </c>
      <c r="CU93" s="3">
        <f>INFORME_DGT</f>
        <v/>
      </c>
      <c r="CV93" s="4">
        <f>O93+CS93+CR93+CT93+CU93</f>
        <v/>
      </c>
      <c r="CW93" s="4">
        <f>CV93+N(CJ93)</f>
        <v/>
      </c>
      <c r="CX93" s="3">
        <f>IF(CV93&lt;=TOTAL_MAX,"sí",IF(CV93&lt;=TOTAL_MAX+MARGEN_NEG,"negociar","no"))</f>
        <v/>
      </c>
      <c r="CY93" s="4">
        <f>IF(CX93&lt;&gt;"no",COUNTIFS($CX$2:$CX$101,"&lt;&gt;no",$CP$2:$CP$101,"&gt;"&amp;CP93)+COUNTIFS($CX$2:CX93,"&lt;&gt;no",$CP$2:CP93,CP93),"")</f>
        <v/>
      </c>
    </row>
    <row r="94">
      <c r="A94" s="2" t="inlineStr">
        <is>
          <t>cochesnet:71526255</t>
        </is>
      </c>
      <c r="B94" s="2" t="inlineStr">
        <is>
          <t>cochesnet</t>
        </is>
      </c>
      <c r="C94" s="2" t="inlineStr">
        <is>
          <t>https://www.coches.net/opel-corsa-enjoy-12-5p-gasolina-2008-en-castellon-71526255-covo.aspx</t>
        </is>
      </c>
      <c r="D94" s="2" t="inlineStr">
        <is>
          <t>OPEL Corsa Enjoy 1.2</t>
        </is>
      </c>
      <c r="E94" s="2" t="inlineStr">
        <is>
          <t>Opel</t>
        </is>
      </c>
      <c r="F94" s="2" t="inlineStr">
        <is>
          <t>Opel Corsa</t>
        </is>
      </c>
      <c r="G94" s="2" t="inlineStr">
        <is>
          <t>1.2</t>
        </is>
      </c>
      <c r="H94" s="2" t="inlineStr">
        <is>
          <t>Enjoy 1.2</t>
        </is>
      </c>
      <c r="I94" s="2" t="n"/>
      <c r="J94" s="2" t="n"/>
      <c r="K94" s="2" t="inlineStr">
        <is>
          <t>gasolina</t>
        </is>
      </c>
      <c r="L94" s="2" t="inlineStr">
        <is>
          <t>utilitario</t>
        </is>
      </c>
      <c r="M94" s="2" t="n">
        <v>2008</v>
      </c>
      <c r="N94" s="2" t="n">
        <v>170000</v>
      </c>
      <c r="O94" s="2" t="n">
        <v>4350</v>
      </c>
      <c r="P94" s="2" t="inlineStr">
        <is>
          <t>manual</t>
        </is>
      </c>
      <c r="Q94" s="2" t="inlineStr">
        <is>
          <t>no</t>
        </is>
      </c>
      <c r="R94" s="2" t="inlineStr">
        <is>
          <t>profesional</t>
        </is>
      </c>
      <c r="S94" s="2" t="inlineStr">
        <is>
          <t>Andrés Cars Castellón de la Plana / Castelló de la Plana</t>
        </is>
      </c>
      <c r="T94" s="2" t="inlineStr">
        <is>
          <t>2026-09-16T12:12:25Z</t>
        </is>
      </c>
      <c r="U94" s="2" t="n">
        <v>40</v>
      </c>
      <c r="V94" s="2" t="n"/>
      <c r="W94" s="2" t="n"/>
      <c r="X94" s="2" t="n"/>
      <c r="Y94" s="2" t="n">
        <v>1</v>
      </c>
      <c r="Z94" s="2" t="inlineStr">
        <is>
          <t>sí</t>
        </is>
      </c>
      <c r="AA94" s="2" t="n"/>
      <c r="AB94" s="2" t="n">
        <v>12</v>
      </c>
      <c r="AC94" s="2" t="n"/>
      <c r="AD94" s="2" t="n"/>
      <c r="AE94" s="2" t="n"/>
      <c r="AF94" s="2" t="n"/>
      <c r="AG94" s="2" t="n"/>
      <c r="AH94" s="2" t="n">
        <v>4350</v>
      </c>
      <c r="AI94" s="2" t="n"/>
      <c r="AJ94" s="2" t="n"/>
      <c r="AK94" s="2" t="n"/>
      <c r="AL94" s="2" t="n"/>
      <c r="AM94" s="2" t="n"/>
      <c r="AN94" s="2" t="n"/>
      <c r="AO94" s="2" t="inlineStr">
        <is>
          <t>2008</t>
        </is>
      </c>
      <c r="AP94" s="2" t="n">
        <v>2008</v>
      </c>
      <c r="AQ94" s="2" t="n"/>
      <c r="AR94" s="2" t="inlineStr">
        <is>
          <t>C</t>
        </is>
      </c>
      <c r="AS94" s="2" t="inlineStr">
        <is>
          <t>anuncio</t>
        </is>
      </c>
      <c r="AT94" s="2" t="n"/>
      <c r="AU94" s="2" t="inlineStr">
        <is>
          <t>no</t>
        </is>
      </c>
      <c r="AV94" s="2" t="inlineStr">
        <is>
          <t>no</t>
        </is>
      </c>
      <c r="AW94" s="2" t="n">
        <v>3150</v>
      </c>
      <c r="AX94" s="2" t="n">
        <v>8</v>
      </c>
      <c r="AY94" s="2" t="inlineStr">
        <is>
          <t>modelo+año+km</t>
        </is>
      </c>
      <c r="AZ94" s="2" t="n"/>
      <c r="BA94"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B94" s="2" t="inlineStr">
        <is>
          <t xml:space="preserve">Etiqueta medio ambiental C.
Se vende Opel corsa C , vehículo nacional procedente de primera mano
Lleva motor 1,2 ECOTEC gasolina,con 80 CV de potencia y distribución por cadena.
Es el acabado enjoy y cuenta con : 
aire acondicionado, elevalunas eléctricos, control y limitador de velocidad , ordenador al bordo........
Admito prueba de taller.
ITV y documentación al día.
Cambio de nombre aparte 150 euros
Precio No negociable.. 
Anuncio  con titulo informativo y no contractual.
GRACIAS. 
Se puede recibir vehiculo como forma de pago.
</t>
        </is>
      </c>
      <c r="BC94" s="2" t="inlineStr">
        <is>
          <t>https://www.coches.net/opel-corsa-enjoy-12-5p-gasolina-2008-en-castellon-71526255-covo.aspx (window.__INITIAL_PROPS__.ad) /home/user/Alopecia/buscador-coches/raw/cochesnet/78a790bd19edaa5e.json</t>
        </is>
      </c>
      <c r="BD94" s="3">
        <f>MAX(ANIO_ACTUAL-M94,0)</f>
        <v/>
      </c>
      <c r="BE94" s="4">
        <f>N94/MAX(BD94,0.5)</f>
        <v/>
      </c>
      <c r="BF94" s="4">
        <f>F94</f>
        <v/>
      </c>
      <c r="BG94" s="3">
        <f>BF94&amp;"|"&amp;INT(M94/SEG_ANIO)*SEG_ANIO</f>
        <v/>
      </c>
      <c r="BH94" s="3">
        <f>BG94&amp;"|"&amp;INT(N94/SEG_KM)*SEG_KM</f>
        <v/>
      </c>
      <c r="BI94" s="4">
        <f>COUNTIF($BF$2:$BF$101,BF94)</f>
        <v/>
      </c>
      <c r="BJ94" s="4">
        <f>COUNTIF($BG$2:$BG$101,BG94)</f>
        <v/>
      </c>
      <c r="BK94" s="4">
        <f>COUNTIF($BH$2:$BH$101,BH94)</f>
        <v/>
      </c>
      <c r="BL94" s="3">
        <f t="array" ref="BL94">IF(N(AX94)&gt;=MIN_N,AW94,IF(BK94&gt;=MIN_N,MEDIAN(IF($BH$2:$BH$101=BH94,$O$2:$O$101)),IF(BJ94&gt;=MIN_N,MEDIAN(IF($BG$2:$BG$101=BG94,$O$2:$O$101)),MEDIAN(IF($BF$2:$BF$101=BF94,$O$2:$O$101)))))</f>
        <v/>
      </c>
      <c r="BM94" s="3">
        <f>IF(N(AX94)&gt;=MIN_N,"mercado "&amp;AY94,IF(BK94&gt;=MIN_N,"modelo+año+km",IF(BJ94&gt;=MIN_N,"modelo+año","modelo")))</f>
        <v/>
      </c>
      <c r="BN94" s="4">
        <f>(BL94-O94)/BL94</f>
        <v/>
      </c>
      <c r="BO94" s="3">
        <f>IF(COUNTIFS(FR_FUEL,K94,FR_YEAR,AP94)&gt;0,1,0)</f>
        <v/>
      </c>
      <c r="BP94" s="3">
        <f>IF(COUNTIFS(FR_FUEL,K94,FR_YEAR,AP94-1)&gt;0,1,0)</f>
        <v/>
      </c>
      <c r="BQ94" s="4">
        <f>IF(N(AQ94)&gt;0,AP94*100+AQ94,IF(AND(BO94=1,BP94=1),(AP94-1)*100+1,AP94*100+1))</f>
        <v/>
      </c>
      <c r="BR94" s="3">
        <f>IF(OR(K94="hibrido",K94="glp",K94="gnc",K94="phev"),"ECO",IF(K94="electrico","CERO",IF(K94="gasolina",IF(BQ94&gt;=GAS_C_YM,"C",IF(BQ94&gt;=GAS_B_YM,"B","A")),IF(K94="diesel",IF(BQ94&gt;=DIE_C_YM,"C",IF(BQ94&gt;=DIE_B_YM,"B","A")),""))))</f>
        <v/>
      </c>
      <c r="BS94" s="2" t="inlineStr">
        <is>
          <t>C</t>
        </is>
      </c>
      <c r="BT94" s="4">
        <f>IF(AU94="sí","sí",IF(AS94="regla",IF(AND(N(AQ94)=0,BO94=1),"sí","no"),"no"))</f>
        <v/>
      </c>
      <c r="BU94" s="3">
        <f>IFERROR(VLOOKUP(F94,MOD_TBL,16,0),IFERROR(VLOOKUP(E94,OCU_TBL,2,0),NEUTRO))</f>
        <v/>
      </c>
      <c r="BV94" s="3">
        <f>SUMIFS(MOT_AJUSTE,MOT_MOTOR,G94,MOT_MARCA,E94,MOT_DESDE,"&lt;="&amp;M94,MOT_HASTA,"&gt;="&amp;M94)+SUMIFS(MOT_AJUSTE,MOT_MOTOR,G94,MOT_MARCA,"(todas)",MOT_DESDE,"&lt;="&amp;M94,MOT_HASTA,"&gt;="&amp;M94)+SUMIFS(MOT_AJUSTE,MOT_MOTOR,"(cualquiera)",MOT_MARCA,E94,MOT_DESDE,"&lt;="&amp;M94,MOT_HASTA,"&gt;="&amp;M94)</f>
        <v/>
      </c>
      <c r="BW94" s="3">
        <f>SUMIFS(COMB_AJUSTE,COMB_COMB,K94)</f>
        <v/>
      </c>
      <c r="BX94" s="3">
        <f>COUNTIFS(MOT_MOTOR,G94,MOT_MARCA,E94,MOT_DESDE,"&lt;="&amp;M94,MOT_HASTA,"&gt;="&amp;M94)+COUNTIFS(MOT_MOTOR,G94,MOT_MARCA,"(todas)",MOT_DESDE,"&lt;="&amp;M94,MOT_HASTA,"&gt;="&amp;M94)+COUNTIFS(MOT_MOTOR,"(cualquiera)",MOT_MARCA,E94,MOT_DESDE,"&lt;="&amp;M94,MOT_HASTA,"&gt;="&amp;M94)</f>
        <v/>
      </c>
      <c r="BY94" s="3">
        <f>IF(AND(K94="diesel",BX94=0),MIN(BU94,NEUTRO),BU94)</f>
        <v/>
      </c>
      <c r="BZ94" s="3">
        <f>MAX(0,MIN(100,BY94+BV94+BW94-IF(AV94="sí",ROB_PEN,0)))</f>
        <v/>
      </c>
      <c r="CA94" s="3">
        <f>100-MAX(0,N94-KM_TOPE_DESDE)/1000*KM_TOPE_PTS</f>
        <v/>
      </c>
      <c r="CB94" s="3">
        <f>MAX(0,MIN(100,50+BN94*PRECIO_PEND,CA94))</f>
        <v/>
      </c>
      <c r="CC94" s="3">
        <f>MAX(0,100*(1-N94/KM_MAX))</f>
        <v/>
      </c>
      <c r="CD94" s="3">
        <f>IF(BE94&lt;KMA_SOSP,IF(AA94="sí",100,KMA_PEN),IF(BE94&lt;=KMA_IDEAL_MAX,100,MAX(0,100*(KMA_CERO-BE94)/(KMA_CERO-KMA_IDEAL_MAX))))</f>
        <v/>
      </c>
      <c r="CE94" s="3">
        <f>MAX(0,MIN(100,100*(M94-ANIO_MIN)/(ANIO_ACTUAL-ANIO_MIN)))</f>
        <v/>
      </c>
      <c r="CF94" s="3">
        <f>W_KMT*CC94+W_KMA*CD94+W_EDAD*CE94</f>
        <v/>
      </c>
      <c r="CG94" s="3">
        <f>P_ITV*(V94="sí")+P_LIBRO*(W94="sí")+P_CORREA*(X94="sí")+P_PROP*(Y94=1)+P_GAR*(Z94="sí")+P_FOTOS*MIN(1,N(U94)/FOTOS_OBJ)</f>
        <v/>
      </c>
      <c r="CH94" s="3">
        <f>MAX(0,MIN(100,IFERROR(VLOOKUP(BS94,ETQ_TBL,2,0),0)-IF(BT94="sí",ETQ_PEN_DUD,IF(AS94="regla",ETQ_PEN_REGLA,0))))</f>
        <v/>
      </c>
      <c r="CI94" s="3">
        <f>NEUTRO</f>
        <v/>
      </c>
      <c r="CJ94" s="3">
        <f>IFERROR(VLOOKUP(L94,SEGURO_TBL,3,0),"")</f>
        <v/>
      </c>
      <c r="CK94" s="3">
        <f>IF(CJ94="",NEUTRO,MAX(0,MIN(100,100*(SEG_REF_MAX-CJ94)/(SEG_REF_MAX-SEG_REF_MIN))))</f>
        <v/>
      </c>
      <c r="CL94" s="3">
        <f>W_CONS*CI94+W_SEG*CK94</f>
        <v/>
      </c>
      <c r="CM94" s="3">
        <f>IF(N(AB94)&gt;0,AB94,IF(AND(R94="profesional",SG_LEGAL_ON=1),GAR_LEGAL,0))</f>
        <v/>
      </c>
      <c r="CN94" s="3">
        <f>SG_GAR*MIN(1,CM94/SG_GAR_FULL)+SG_AMPL*(AC94="sí")+SG_KMC*(AF94="sí")+SG_REV*(N(AE94)&gt;0)+SG_DEV*MIN(1,N(AG94)/SG_DEV_FULL)+SG_HIST*(W94="sí")</f>
        <v/>
      </c>
      <c r="CO94" s="3">
        <f>IFERROR(VLOOKUP(L94,CARR_PEN_TBL,2,0),0)</f>
        <v/>
      </c>
      <c r="CP94" s="3">
        <f>W_FIAB*BZ94+W_PRECIO*CB94+W_KMEDAD*CF94+W_ANUNCIO*CG94+W_USO*CL94+W_SEGURIDAD*CN94+W_ETIQUETA*CH94-CO94</f>
        <v/>
      </c>
      <c r="CQ94" s="4">
        <f>IF(N(I94)&gt;0,I94,IFERROR(ROUND(_xlfn.NUMBERVALUE(LEFT(G94,FIND(" ",G94&amp;" ")-1),".")*1000,0),99999))</f>
        <v/>
      </c>
      <c r="CR94" s="3">
        <f>IF(R94="profesional",0,IF(O94&lt;CUOTA_VALOR_MAX,IF(BD94&gt;ITP_TRAMO_ALTO,SUMIFS(CF_CUOTA,CF_MAS,ITP_TRAMO_ALTO,CF_CCMIN,"&lt;="&amp;CQ94,CF_CCMAX,"&gt;="&amp;CQ94),IF(BD94&gt;ITP_TRAMO_BAJO,SUMIFS(CF_CUOTA,CF_MAS,ITP_TRAMO_BAJO,CF_CCMIN,"&lt;="&amp;CQ94,CF_CCMAX,"&gt;="&amp;CQ94),O94*ITP_TIPO)),O94*ITP_TIPO))</f>
        <v/>
      </c>
      <c r="CS94" s="4">
        <f>IF(R94="profesional",N(AK94),0)</f>
        <v/>
      </c>
      <c r="CT94" s="3">
        <f>IF(AND(R94="profesional",ISNUMBER(AK94),AL94="sí"),0,TASA_DGT)</f>
        <v/>
      </c>
      <c r="CU94" s="3">
        <f>INFORME_DGT</f>
        <v/>
      </c>
      <c r="CV94" s="4">
        <f>O94+CS94+CR94+CT94+CU94</f>
        <v/>
      </c>
      <c r="CW94" s="4">
        <f>CV94+N(CJ94)</f>
        <v/>
      </c>
      <c r="CX94" s="3">
        <f>IF(CV94&lt;=TOTAL_MAX,"sí",IF(CV94&lt;=TOTAL_MAX+MARGEN_NEG,"negociar","no"))</f>
        <v/>
      </c>
      <c r="CY94" s="4">
        <f>IF(CX94&lt;&gt;"no",COUNTIFS($CX$2:$CX$101,"&lt;&gt;no",$CP$2:$CP$101,"&gt;"&amp;CP94)+COUNTIFS($CX$2:CX94,"&lt;&gt;no",$CP$2:CP94,CP94),"")</f>
        <v/>
      </c>
    </row>
    <row r="95">
      <c r="A95" s="2" t="inlineStr">
        <is>
          <t>cochesnet:70895846</t>
        </is>
      </c>
      <c r="B95" s="2" t="inlineStr">
        <is>
          <t>cochesnet</t>
        </is>
      </c>
      <c r="C95" s="2" t="inlineStr">
        <is>
          <t>https://www.coches.net/renault-twingo-authentique-12-eco2-3p-gasolina-2008-en-castellon-70895846-covo.aspx</t>
        </is>
      </c>
      <c r="D95" s="2" t="inlineStr">
        <is>
          <t>RENAULT Twingo Authentique 1.2 eco2</t>
        </is>
      </c>
      <c r="E95" s="2" t="inlineStr">
        <is>
          <t>Renault</t>
        </is>
      </c>
      <c r="F95" s="2" t="inlineStr">
        <is>
          <t>Renault Twingo</t>
        </is>
      </c>
      <c r="G95" s="2" t="inlineStr">
        <is>
          <t>1.2</t>
        </is>
      </c>
      <c r="H95" s="2" t="inlineStr">
        <is>
          <t>Authentique 1.2 eco2</t>
        </is>
      </c>
      <c r="I95" s="2" t="n"/>
      <c r="J95" s="2" t="n"/>
      <c r="K95" s="2" t="inlineStr">
        <is>
          <t>gasolina</t>
        </is>
      </c>
      <c r="L95" s="2" t="inlineStr">
        <is>
          <t>utilitario</t>
        </is>
      </c>
      <c r="M95" s="2" t="n">
        <v>2008</v>
      </c>
      <c r="N95" s="2" t="n">
        <v>34100</v>
      </c>
      <c r="O95" s="2" t="n">
        <v>4900</v>
      </c>
      <c r="P95" s="2" t="inlineStr">
        <is>
          <t>manual</t>
        </is>
      </c>
      <c r="Q95" s="2" t="inlineStr">
        <is>
          <t>no</t>
        </is>
      </c>
      <c r="R95" s="2" t="inlineStr">
        <is>
          <t>profesional</t>
        </is>
      </c>
      <c r="S95" s="2" t="inlineStr">
        <is>
          <t>Comprartuauto.com Vila-real</t>
        </is>
      </c>
      <c r="T95" s="2" t="inlineStr">
        <is>
          <t>2026-09-16T19:33:12Z</t>
        </is>
      </c>
      <c r="U95" s="2" t="n">
        <v>12</v>
      </c>
      <c r="V95" s="2" t="inlineStr">
        <is>
          <t>sí</t>
        </is>
      </c>
      <c r="W95" s="2" t="n"/>
      <c r="X95" s="2" t="n"/>
      <c r="Y95" s="2" t="n">
        <v>1</v>
      </c>
      <c r="Z95" s="2" t="inlineStr">
        <is>
          <t>no</t>
        </is>
      </c>
      <c r="AA95" s="2" t="n"/>
      <c r="AB95" s="2" t="n"/>
      <c r="AC95" s="2" t="n"/>
      <c r="AD95" s="2" t="n"/>
      <c r="AE95" s="2" t="n"/>
      <c r="AF95" s="2" t="n"/>
      <c r="AG95" s="2" t="n"/>
      <c r="AH95" s="2" t="n">
        <v>4900</v>
      </c>
      <c r="AI95" s="2" t="n"/>
      <c r="AJ95" s="2" t="n"/>
      <c r="AK95" s="2" t="n"/>
      <c r="AL95" s="2" t="n"/>
      <c r="AM95" s="2" t="n"/>
      <c r="AN95" s="2" t="n"/>
      <c r="AO95" s="2" t="inlineStr">
        <is>
          <t>2008</t>
        </is>
      </c>
      <c r="AP95" s="2" t="n">
        <v>2008</v>
      </c>
      <c r="AQ95" s="2" t="n"/>
      <c r="AR95" s="2" t="inlineStr">
        <is>
          <t>C</t>
        </is>
      </c>
      <c r="AS95" s="2" t="inlineStr">
        <is>
          <t>anuncio</t>
        </is>
      </c>
      <c r="AT95" s="2" t="n"/>
      <c r="AU95" s="2" t="inlineStr">
        <is>
          <t>no</t>
        </is>
      </c>
      <c r="AV95" s="2" t="inlineStr">
        <is>
          <t>no</t>
        </is>
      </c>
      <c r="AW95" s="2" t="n"/>
      <c r="AX95" s="2" t="n"/>
      <c r="AY95" s="2" t="n"/>
      <c r="AZ95" s="2" t="n"/>
      <c r="BA95"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B95"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BC95" s="2" t="inlineStr">
        <is>
          <t>https://www.coches.net/renault-twingo-authentique-12-eco2-3p-gasolina-2008-en-castellon-70895846-covo.aspx (window.__INITIAL_PROPS__.ad) /home/user/Alopecia/buscador-coches/raw/cochesnet/eec6c7107140ffda.json</t>
        </is>
      </c>
      <c r="BD95" s="3">
        <f>MAX(ANIO_ACTUAL-M95,0)</f>
        <v/>
      </c>
      <c r="BE95" s="4">
        <f>N95/MAX(BD95,0.5)</f>
        <v/>
      </c>
      <c r="BF95" s="4">
        <f>F95</f>
        <v/>
      </c>
      <c r="BG95" s="3">
        <f>BF95&amp;"|"&amp;INT(M95/SEG_ANIO)*SEG_ANIO</f>
        <v/>
      </c>
      <c r="BH95" s="3">
        <f>BG95&amp;"|"&amp;INT(N95/SEG_KM)*SEG_KM</f>
        <v/>
      </c>
      <c r="BI95" s="4">
        <f>COUNTIF($BF$2:$BF$101,BF95)</f>
        <v/>
      </c>
      <c r="BJ95" s="4">
        <f>COUNTIF($BG$2:$BG$101,BG95)</f>
        <v/>
      </c>
      <c r="BK95" s="4">
        <f>COUNTIF($BH$2:$BH$101,BH95)</f>
        <v/>
      </c>
      <c r="BL95" s="3">
        <f t="array" ref="BL95">IF(N(AX95)&gt;=MIN_N,AW95,IF(BK95&gt;=MIN_N,MEDIAN(IF($BH$2:$BH$101=BH95,$O$2:$O$101)),IF(BJ95&gt;=MIN_N,MEDIAN(IF($BG$2:$BG$101=BG95,$O$2:$O$101)),MEDIAN(IF($BF$2:$BF$101=BF95,$O$2:$O$101)))))</f>
        <v/>
      </c>
      <c r="BM95" s="3">
        <f>IF(N(AX95)&gt;=MIN_N,"mercado "&amp;AY95,IF(BK95&gt;=MIN_N,"modelo+año+km",IF(BJ95&gt;=MIN_N,"modelo+año","modelo")))</f>
        <v/>
      </c>
      <c r="BN95" s="4">
        <f>(BL95-O95)/BL95</f>
        <v/>
      </c>
      <c r="BO95" s="3">
        <f>IF(COUNTIFS(FR_FUEL,K95,FR_YEAR,AP95)&gt;0,1,0)</f>
        <v/>
      </c>
      <c r="BP95" s="3">
        <f>IF(COUNTIFS(FR_FUEL,K95,FR_YEAR,AP95-1)&gt;0,1,0)</f>
        <v/>
      </c>
      <c r="BQ95" s="4">
        <f>IF(N(AQ95)&gt;0,AP95*100+AQ95,IF(AND(BO95=1,BP95=1),(AP95-1)*100+1,AP95*100+1))</f>
        <v/>
      </c>
      <c r="BR95" s="3">
        <f>IF(OR(K95="hibrido",K95="glp",K95="gnc",K95="phev"),"ECO",IF(K95="electrico","CERO",IF(K95="gasolina",IF(BQ95&gt;=GAS_C_YM,"C",IF(BQ95&gt;=GAS_B_YM,"B","A")),IF(K95="diesel",IF(BQ95&gt;=DIE_C_YM,"C",IF(BQ95&gt;=DIE_B_YM,"B","A")),""))))</f>
        <v/>
      </c>
      <c r="BS95" s="2" t="inlineStr">
        <is>
          <t>C</t>
        </is>
      </c>
      <c r="BT95" s="4">
        <f>IF(AU95="sí","sí",IF(AS95="regla",IF(AND(N(AQ95)=0,BO95=1),"sí","no"),"no"))</f>
        <v/>
      </c>
      <c r="BU95" s="3">
        <f>IFERROR(VLOOKUP(F95,MOD_TBL,16,0),IFERROR(VLOOKUP(E95,OCU_TBL,2,0),NEUTRO))</f>
        <v/>
      </c>
      <c r="BV95" s="3">
        <f>SUMIFS(MOT_AJUSTE,MOT_MOTOR,G95,MOT_MARCA,E95,MOT_DESDE,"&lt;="&amp;M95,MOT_HASTA,"&gt;="&amp;M95)+SUMIFS(MOT_AJUSTE,MOT_MOTOR,G95,MOT_MARCA,"(todas)",MOT_DESDE,"&lt;="&amp;M95,MOT_HASTA,"&gt;="&amp;M95)+SUMIFS(MOT_AJUSTE,MOT_MOTOR,"(cualquiera)",MOT_MARCA,E95,MOT_DESDE,"&lt;="&amp;M95,MOT_HASTA,"&gt;="&amp;M95)</f>
        <v/>
      </c>
      <c r="BW95" s="3">
        <f>SUMIFS(COMB_AJUSTE,COMB_COMB,K95)</f>
        <v/>
      </c>
      <c r="BX95" s="3">
        <f>COUNTIFS(MOT_MOTOR,G95,MOT_MARCA,E95,MOT_DESDE,"&lt;="&amp;M95,MOT_HASTA,"&gt;="&amp;M95)+COUNTIFS(MOT_MOTOR,G95,MOT_MARCA,"(todas)",MOT_DESDE,"&lt;="&amp;M95,MOT_HASTA,"&gt;="&amp;M95)+COUNTIFS(MOT_MOTOR,"(cualquiera)",MOT_MARCA,E95,MOT_DESDE,"&lt;="&amp;M95,MOT_HASTA,"&gt;="&amp;M95)</f>
        <v/>
      </c>
      <c r="BY95" s="3">
        <f>IF(AND(K95="diesel",BX95=0),MIN(BU95,NEUTRO),BU95)</f>
        <v/>
      </c>
      <c r="BZ95" s="3">
        <f>MAX(0,MIN(100,BY95+BV95+BW95-IF(AV95="sí",ROB_PEN,0)))</f>
        <v/>
      </c>
      <c r="CA95" s="3">
        <f>100-MAX(0,N95-KM_TOPE_DESDE)/1000*KM_TOPE_PTS</f>
        <v/>
      </c>
      <c r="CB95" s="3">
        <f>MAX(0,MIN(100,50+BN95*PRECIO_PEND,CA95))</f>
        <v/>
      </c>
      <c r="CC95" s="3">
        <f>MAX(0,100*(1-N95/KM_MAX))</f>
        <v/>
      </c>
      <c r="CD95" s="3">
        <f>IF(BE95&lt;KMA_SOSP,IF(AA95="sí",100,KMA_PEN),IF(BE95&lt;=KMA_IDEAL_MAX,100,MAX(0,100*(KMA_CERO-BE95)/(KMA_CERO-KMA_IDEAL_MAX))))</f>
        <v/>
      </c>
      <c r="CE95" s="3">
        <f>MAX(0,MIN(100,100*(M95-ANIO_MIN)/(ANIO_ACTUAL-ANIO_MIN)))</f>
        <v/>
      </c>
      <c r="CF95" s="3">
        <f>W_KMT*CC95+W_KMA*CD95+W_EDAD*CE95</f>
        <v/>
      </c>
      <c r="CG95" s="3">
        <f>P_ITV*(V95="sí")+P_LIBRO*(W95="sí")+P_CORREA*(X95="sí")+P_PROP*(Y95=1)+P_GAR*(Z95="sí")+P_FOTOS*MIN(1,N(U95)/FOTOS_OBJ)</f>
        <v/>
      </c>
      <c r="CH95" s="3">
        <f>MAX(0,MIN(100,IFERROR(VLOOKUP(BS95,ETQ_TBL,2,0),0)-IF(BT95="sí",ETQ_PEN_DUD,IF(AS95="regla",ETQ_PEN_REGLA,0))))</f>
        <v/>
      </c>
      <c r="CI95" s="3">
        <f>NEUTRO</f>
        <v/>
      </c>
      <c r="CJ95" s="3">
        <f>IFERROR(VLOOKUP(L95,SEGURO_TBL,3,0),"")</f>
        <v/>
      </c>
      <c r="CK95" s="3">
        <f>IF(CJ95="",NEUTRO,MAX(0,MIN(100,100*(SEG_REF_MAX-CJ95)/(SEG_REF_MAX-SEG_REF_MIN))))</f>
        <v/>
      </c>
      <c r="CL95" s="3">
        <f>W_CONS*CI95+W_SEG*CK95</f>
        <v/>
      </c>
      <c r="CM95" s="3">
        <f>IF(N(AB95)&gt;0,AB95,IF(AND(R95="profesional",SG_LEGAL_ON=1),GAR_LEGAL,0))</f>
        <v/>
      </c>
      <c r="CN95" s="3">
        <f>SG_GAR*MIN(1,CM95/SG_GAR_FULL)+SG_AMPL*(AC95="sí")+SG_KMC*(AF95="sí")+SG_REV*(N(AE95)&gt;0)+SG_DEV*MIN(1,N(AG95)/SG_DEV_FULL)+SG_HIST*(W95="sí")</f>
        <v/>
      </c>
      <c r="CO95" s="3">
        <f>IFERROR(VLOOKUP(L95,CARR_PEN_TBL,2,0),0)</f>
        <v/>
      </c>
      <c r="CP95" s="3">
        <f>W_FIAB*BZ95+W_PRECIO*CB95+W_KMEDAD*CF95+W_ANUNCIO*CG95+W_USO*CL95+W_SEGURIDAD*CN95+W_ETIQUETA*CH95-CO95</f>
        <v/>
      </c>
      <c r="CQ95" s="4">
        <f>IF(N(I95)&gt;0,I95,IFERROR(ROUND(_xlfn.NUMBERVALUE(LEFT(G95,FIND(" ",G95&amp;" ")-1),".")*1000,0),99999))</f>
        <v/>
      </c>
      <c r="CR95" s="3">
        <f>IF(R95="profesional",0,IF(O95&lt;CUOTA_VALOR_MAX,IF(BD95&gt;ITP_TRAMO_ALTO,SUMIFS(CF_CUOTA,CF_MAS,ITP_TRAMO_ALTO,CF_CCMIN,"&lt;="&amp;CQ95,CF_CCMAX,"&gt;="&amp;CQ95),IF(BD95&gt;ITP_TRAMO_BAJO,SUMIFS(CF_CUOTA,CF_MAS,ITP_TRAMO_BAJO,CF_CCMIN,"&lt;="&amp;CQ95,CF_CCMAX,"&gt;="&amp;CQ95),O95*ITP_TIPO)),O95*ITP_TIPO))</f>
        <v/>
      </c>
      <c r="CS95" s="4">
        <f>IF(R95="profesional",N(AK95),0)</f>
        <v/>
      </c>
      <c r="CT95" s="3">
        <f>IF(AND(R95="profesional",ISNUMBER(AK95),AL95="sí"),0,TASA_DGT)</f>
        <v/>
      </c>
      <c r="CU95" s="3">
        <f>INFORME_DGT</f>
        <v/>
      </c>
      <c r="CV95" s="4">
        <f>O95+CS95+CR95+CT95+CU95</f>
        <v/>
      </c>
      <c r="CW95" s="4">
        <f>CV95+N(CJ95)</f>
        <v/>
      </c>
      <c r="CX95" s="3">
        <f>IF(CV95&lt;=TOTAL_MAX,"sí",IF(CV95&lt;=TOTAL_MAX+MARGEN_NEG,"negociar","no"))</f>
        <v/>
      </c>
      <c r="CY95" s="4">
        <f>IF(CX95&lt;&gt;"no",COUNTIFS($CX$2:$CX$101,"&lt;&gt;no",$CP$2:$CP$101,"&gt;"&amp;CP95)+COUNTIFS($CX$2:CX95,"&lt;&gt;no",$CP$2:CP95,CP95),"")</f>
        <v/>
      </c>
    </row>
    <row r="96">
      <c r="A96" s="2" t="inlineStr">
        <is>
          <t>cochesnet:71576158</t>
        </is>
      </c>
      <c r="B96" s="2" t="inlineStr">
        <is>
          <t>cochesnet</t>
        </is>
      </c>
      <c r="C96" s="2" t="inlineStr">
        <is>
          <t>https://www.coches.net/peugeot-207-confort-14-vti-16v-95-5p-gasolina-2009-en-castellon-71576158-covo.aspx</t>
        </is>
      </c>
      <c r="D96" s="2" t="inlineStr">
        <is>
          <t>PEUGEOT 207 Confort 1.4 VTi 16v 95</t>
        </is>
      </c>
      <c r="E96" s="2" t="inlineStr">
        <is>
          <t>Peugeot</t>
        </is>
      </c>
      <c r="F96" s="2" t="inlineStr">
        <is>
          <t>Peugeot 207</t>
        </is>
      </c>
      <c r="G96" s="2" t="inlineStr">
        <is>
          <t>1.4 VTi</t>
        </is>
      </c>
      <c r="H96" s="2" t="inlineStr">
        <is>
          <t>Confort 1.4 VTi 16v 95</t>
        </is>
      </c>
      <c r="I96" s="2" t="n"/>
      <c r="J96" s="2" t="n"/>
      <c r="K96" s="2" t="inlineStr">
        <is>
          <t>gasolina</t>
        </is>
      </c>
      <c r="L96" s="2" t="inlineStr">
        <is>
          <t>utilitario</t>
        </is>
      </c>
      <c r="M96" s="2" t="n">
        <v>2009</v>
      </c>
      <c r="N96" s="2" t="n">
        <v>134000</v>
      </c>
      <c r="O96" s="2" t="n">
        <v>4990</v>
      </c>
      <c r="P96" s="2" t="inlineStr">
        <is>
          <t>manual</t>
        </is>
      </c>
      <c r="Q96" s="2" t="inlineStr">
        <is>
          <t>no</t>
        </is>
      </c>
      <c r="R96" s="2" t="inlineStr">
        <is>
          <t>profesional</t>
        </is>
      </c>
      <c r="S96" s="2" t="inlineStr">
        <is>
          <t>Car Point Castellon Castellón de la Plana / Castelló de la Plana</t>
        </is>
      </c>
      <c r="T96" s="2" t="inlineStr">
        <is>
          <t>2026-09-22T22:04:09Z</t>
        </is>
      </c>
      <c r="U96" s="2" t="n">
        <v>13</v>
      </c>
      <c r="V96" s="2" t="n"/>
      <c r="W96" s="2" t="n"/>
      <c r="X96" s="2" t="n"/>
      <c r="Y96" s="2" t="n">
        <v>2</v>
      </c>
      <c r="Z96" s="2" t="inlineStr">
        <is>
          <t>sí</t>
        </is>
      </c>
      <c r="AA96" s="2" t="inlineStr">
        <is>
          <t>sí</t>
        </is>
      </c>
      <c r="AB96" s="2" t="n">
        <v>12</v>
      </c>
      <c r="AC96" s="2" t="n"/>
      <c r="AD96" s="2" t="n"/>
      <c r="AE96" s="2" t="n"/>
      <c r="AF96" s="2" t="inlineStr">
        <is>
          <t>sí</t>
        </is>
      </c>
      <c r="AG96" s="2" t="n"/>
      <c r="AH96" s="2" t="n">
        <v>4990</v>
      </c>
      <c r="AI96" s="2" t="n">
        <v>4990</v>
      </c>
      <c r="AJ96" s="2" t="n"/>
      <c r="AK96" s="2" t="n"/>
      <c r="AL96" s="2" t="n"/>
      <c r="AM96" s="2" t="n"/>
      <c r="AN96" s="2" t="n"/>
      <c r="AO96" s="2" t="inlineStr">
        <is>
          <t>2009</t>
        </is>
      </c>
      <c r="AP96" s="2" t="n">
        <v>2009</v>
      </c>
      <c r="AQ96" s="2" t="n"/>
      <c r="AR96" s="2" t="inlineStr">
        <is>
          <t>C</t>
        </is>
      </c>
      <c r="AS96" s="2" t="inlineStr">
        <is>
          <t>anuncio</t>
        </is>
      </c>
      <c r="AT96" s="2" t="n"/>
      <c r="AU96" s="2" t="inlineStr">
        <is>
          <t>no</t>
        </is>
      </c>
      <c r="AV96" s="2" t="inlineStr">
        <is>
          <t>no</t>
        </is>
      </c>
      <c r="AW96" s="2" t="n">
        <v>3650</v>
      </c>
      <c r="AX96" s="2" t="n">
        <v>28</v>
      </c>
      <c r="AY96" s="2" t="inlineStr">
        <is>
          <t>modelo+año+km</t>
        </is>
      </c>
      <c r="AZ96" s="2" t="n"/>
      <c r="BA96" s="2" t="inlineStr">
        <is>
          <t>por encima del presupuesto (5054 €), negociar;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B96"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BC96" s="2" t="inlineStr">
        <is>
          <t>https://www.coches.net/peugeot-207-confort-14-vti-16v-95-5p-gasolina-2009-en-castellon-71576158-covo.aspx (window.__INITIAL_PROPS__.ad) /home/user/Alopecia/buscador-coches/raw/cochesnet/69ad177154c860d3.json</t>
        </is>
      </c>
      <c r="BD96" s="3">
        <f>MAX(ANIO_ACTUAL-M96,0)</f>
        <v/>
      </c>
      <c r="BE96" s="4">
        <f>N96/MAX(BD96,0.5)</f>
        <v/>
      </c>
      <c r="BF96" s="4">
        <f>F96</f>
        <v/>
      </c>
      <c r="BG96" s="3">
        <f>BF96&amp;"|"&amp;INT(M96/SEG_ANIO)*SEG_ANIO</f>
        <v/>
      </c>
      <c r="BH96" s="3">
        <f>BG96&amp;"|"&amp;INT(N96/SEG_KM)*SEG_KM</f>
        <v/>
      </c>
      <c r="BI96" s="4">
        <f>COUNTIF($BF$2:$BF$101,BF96)</f>
        <v/>
      </c>
      <c r="BJ96" s="4">
        <f>COUNTIF($BG$2:$BG$101,BG96)</f>
        <v/>
      </c>
      <c r="BK96" s="4">
        <f>COUNTIF($BH$2:$BH$101,BH96)</f>
        <v/>
      </c>
      <c r="BL96" s="3">
        <f t="array" ref="BL96">IF(N(AX96)&gt;=MIN_N,AW96,IF(BK96&gt;=MIN_N,MEDIAN(IF($BH$2:$BH$101=BH96,$O$2:$O$101)),IF(BJ96&gt;=MIN_N,MEDIAN(IF($BG$2:$BG$101=BG96,$O$2:$O$101)),MEDIAN(IF($BF$2:$BF$101=BF96,$O$2:$O$101)))))</f>
        <v/>
      </c>
      <c r="BM96" s="3">
        <f>IF(N(AX96)&gt;=MIN_N,"mercado "&amp;AY96,IF(BK96&gt;=MIN_N,"modelo+año+km",IF(BJ96&gt;=MIN_N,"modelo+año","modelo")))</f>
        <v/>
      </c>
      <c r="BN96" s="4">
        <f>(BL96-O96)/BL96</f>
        <v/>
      </c>
      <c r="BO96" s="3">
        <f>IF(COUNTIFS(FR_FUEL,K96,FR_YEAR,AP96)&gt;0,1,0)</f>
        <v/>
      </c>
      <c r="BP96" s="3">
        <f>IF(COUNTIFS(FR_FUEL,K96,FR_YEAR,AP96-1)&gt;0,1,0)</f>
        <v/>
      </c>
      <c r="BQ96" s="4">
        <f>IF(N(AQ96)&gt;0,AP96*100+AQ96,IF(AND(BO96=1,BP96=1),(AP96-1)*100+1,AP96*100+1))</f>
        <v/>
      </c>
      <c r="BR96" s="3">
        <f>IF(OR(K96="hibrido",K96="glp",K96="gnc",K96="phev"),"ECO",IF(K96="electrico","CERO",IF(K96="gasolina",IF(BQ96&gt;=GAS_C_YM,"C",IF(BQ96&gt;=GAS_B_YM,"B","A")),IF(K96="diesel",IF(BQ96&gt;=DIE_C_YM,"C",IF(BQ96&gt;=DIE_B_YM,"B","A")),""))))</f>
        <v/>
      </c>
      <c r="BS96" s="2" t="inlineStr">
        <is>
          <t>C</t>
        </is>
      </c>
      <c r="BT96" s="4">
        <f>IF(AU96="sí","sí",IF(AS96="regla",IF(AND(N(AQ96)=0,BO96=1),"sí","no"),"no"))</f>
        <v/>
      </c>
      <c r="BU96" s="3">
        <f>IFERROR(VLOOKUP(F96,MOD_TBL,16,0),IFERROR(VLOOKUP(E96,OCU_TBL,2,0),NEUTRO))</f>
        <v/>
      </c>
      <c r="BV96" s="3">
        <f>SUMIFS(MOT_AJUSTE,MOT_MOTOR,G96,MOT_MARCA,E96,MOT_DESDE,"&lt;="&amp;M96,MOT_HASTA,"&gt;="&amp;M96)+SUMIFS(MOT_AJUSTE,MOT_MOTOR,G96,MOT_MARCA,"(todas)",MOT_DESDE,"&lt;="&amp;M96,MOT_HASTA,"&gt;="&amp;M96)+SUMIFS(MOT_AJUSTE,MOT_MOTOR,"(cualquiera)",MOT_MARCA,E96,MOT_DESDE,"&lt;="&amp;M96,MOT_HASTA,"&gt;="&amp;M96)</f>
        <v/>
      </c>
      <c r="BW96" s="3">
        <f>SUMIFS(COMB_AJUSTE,COMB_COMB,K96)</f>
        <v/>
      </c>
      <c r="BX96" s="3">
        <f>COUNTIFS(MOT_MOTOR,G96,MOT_MARCA,E96,MOT_DESDE,"&lt;="&amp;M96,MOT_HASTA,"&gt;="&amp;M96)+COUNTIFS(MOT_MOTOR,G96,MOT_MARCA,"(todas)",MOT_DESDE,"&lt;="&amp;M96,MOT_HASTA,"&gt;="&amp;M96)+COUNTIFS(MOT_MOTOR,"(cualquiera)",MOT_MARCA,E96,MOT_DESDE,"&lt;="&amp;M96,MOT_HASTA,"&gt;="&amp;M96)</f>
        <v/>
      </c>
      <c r="BY96" s="3">
        <f>IF(AND(K96="diesel",BX96=0),MIN(BU96,NEUTRO),BU96)</f>
        <v/>
      </c>
      <c r="BZ96" s="3">
        <f>MAX(0,MIN(100,BY96+BV96+BW96-IF(AV96="sí",ROB_PEN,0)))</f>
        <v/>
      </c>
      <c r="CA96" s="3">
        <f>100-MAX(0,N96-KM_TOPE_DESDE)/1000*KM_TOPE_PTS</f>
        <v/>
      </c>
      <c r="CB96" s="3">
        <f>MAX(0,MIN(100,50+BN96*PRECIO_PEND,CA96))</f>
        <v/>
      </c>
      <c r="CC96" s="3">
        <f>MAX(0,100*(1-N96/KM_MAX))</f>
        <v/>
      </c>
      <c r="CD96" s="3">
        <f>IF(BE96&lt;KMA_SOSP,IF(AA96="sí",100,KMA_PEN),IF(BE96&lt;=KMA_IDEAL_MAX,100,MAX(0,100*(KMA_CERO-BE96)/(KMA_CERO-KMA_IDEAL_MAX))))</f>
        <v/>
      </c>
      <c r="CE96" s="3">
        <f>MAX(0,MIN(100,100*(M96-ANIO_MIN)/(ANIO_ACTUAL-ANIO_MIN)))</f>
        <v/>
      </c>
      <c r="CF96" s="3">
        <f>W_KMT*CC96+W_KMA*CD96+W_EDAD*CE96</f>
        <v/>
      </c>
      <c r="CG96" s="3">
        <f>P_ITV*(V96="sí")+P_LIBRO*(W96="sí")+P_CORREA*(X96="sí")+P_PROP*(Y96=1)+P_GAR*(Z96="sí")+P_FOTOS*MIN(1,N(U96)/FOTOS_OBJ)</f>
        <v/>
      </c>
      <c r="CH96" s="3">
        <f>MAX(0,MIN(100,IFERROR(VLOOKUP(BS96,ETQ_TBL,2,0),0)-IF(BT96="sí",ETQ_PEN_DUD,IF(AS96="regla",ETQ_PEN_REGLA,0))))</f>
        <v/>
      </c>
      <c r="CI96" s="3">
        <f>NEUTRO</f>
        <v/>
      </c>
      <c r="CJ96" s="3">
        <f>IFERROR(VLOOKUP(L96,SEGURO_TBL,3,0),"")</f>
        <v/>
      </c>
      <c r="CK96" s="3">
        <f>IF(CJ96="",NEUTRO,MAX(0,MIN(100,100*(SEG_REF_MAX-CJ96)/(SEG_REF_MAX-SEG_REF_MIN))))</f>
        <v/>
      </c>
      <c r="CL96" s="3">
        <f>W_CONS*CI96+W_SEG*CK96</f>
        <v/>
      </c>
      <c r="CM96" s="3">
        <f>IF(N(AB96)&gt;0,AB96,IF(AND(R96="profesional",SG_LEGAL_ON=1),GAR_LEGAL,0))</f>
        <v/>
      </c>
      <c r="CN96" s="3">
        <f>SG_GAR*MIN(1,CM96/SG_GAR_FULL)+SG_AMPL*(AC96="sí")+SG_KMC*(AF96="sí")+SG_REV*(N(AE96)&gt;0)+SG_DEV*MIN(1,N(AG96)/SG_DEV_FULL)+SG_HIST*(W96="sí")</f>
        <v/>
      </c>
      <c r="CO96" s="3">
        <f>IFERROR(VLOOKUP(L96,CARR_PEN_TBL,2,0),0)</f>
        <v/>
      </c>
      <c r="CP96" s="3">
        <f>W_FIAB*BZ96+W_PRECIO*CB96+W_KMEDAD*CF96+W_ANUNCIO*CG96+W_USO*CL96+W_SEGURIDAD*CN96+W_ETIQUETA*CH96-CO96</f>
        <v/>
      </c>
      <c r="CQ96" s="4">
        <f>IF(N(I96)&gt;0,I96,IFERROR(ROUND(_xlfn.NUMBERVALUE(LEFT(G96,FIND(" ",G96&amp;" ")-1),".")*1000,0),99999))</f>
        <v/>
      </c>
      <c r="CR96" s="3">
        <f>IF(R96="profesional",0,IF(O96&lt;CUOTA_VALOR_MAX,IF(BD96&gt;ITP_TRAMO_ALTO,SUMIFS(CF_CUOTA,CF_MAS,ITP_TRAMO_ALTO,CF_CCMIN,"&lt;="&amp;CQ96,CF_CCMAX,"&gt;="&amp;CQ96),IF(BD96&gt;ITP_TRAMO_BAJO,SUMIFS(CF_CUOTA,CF_MAS,ITP_TRAMO_BAJO,CF_CCMIN,"&lt;="&amp;CQ96,CF_CCMAX,"&gt;="&amp;CQ96),O96*ITP_TIPO)),O96*ITP_TIPO))</f>
        <v/>
      </c>
      <c r="CS96" s="4">
        <f>IF(R96="profesional",N(AK96),0)</f>
        <v/>
      </c>
      <c r="CT96" s="3">
        <f>IF(AND(R96="profesional",ISNUMBER(AK96),AL96="sí"),0,TASA_DGT)</f>
        <v/>
      </c>
      <c r="CU96" s="3">
        <f>INFORME_DGT</f>
        <v/>
      </c>
      <c r="CV96" s="4">
        <f>O96+CS96+CR96+CT96+CU96</f>
        <v/>
      </c>
      <c r="CW96" s="4">
        <f>CV96+N(CJ96)</f>
        <v/>
      </c>
      <c r="CX96" s="3">
        <f>IF(CV96&lt;=TOTAL_MAX,"sí",IF(CV96&lt;=TOTAL_MAX+MARGEN_NEG,"negociar","no"))</f>
        <v/>
      </c>
      <c r="CY96" s="4">
        <f>IF(CX96&lt;&gt;"no",COUNTIFS($CX$2:$CX$101,"&lt;&gt;no",$CP$2:$CP$101,"&gt;"&amp;CP96)+COUNTIFS($CX$2:CX96,"&lt;&gt;no",$CP$2:CP96,CP96),"")</f>
        <v/>
      </c>
    </row>
    <row r="97">
      <c r="A97" s="2" t="inlineStr">
        <is>
          <t>cochesnet:70833137</t>
        </is>
      </c>
      <c r="B97" s="2" t="inlineStr">
        <is>
          <t>cochesnet</t>
        </is>
      </c>
      <c r="C97" s="2" t="inlineStr">
        <is>
          <t>https://www.coches.net/fiat-500-09-turbo-twinair-85cv-blackjack-3p-gasolina-2007-en-castellon-70833137-covo.aspx</t>
        </is>
      </c>
      <c r="D97" s="2" t="inlineStr">
        <is>
          <t>FIAT 500 0.9 Turbo TwinAir Blackjack</t>
        </is>
      </c>
      <c r="E97" s="2" t="inlineStr">
        <is>
          <t>Fiat</t>
        </is>
      </c>
      <c r="F97" s="2" t="inlineStr">
        <is>
          <t>Fiat 500</t>
        </is>
      </c>
      <c r="G97" s="2" t="inlineStr">
        <is>
          <t>0.9 Turbo</t>
        </is>
      </c>
      <c r="H97" s="2" t="inlineStr">
        <is>
          <t>0.9 Turbo TwinAir 85cv Blackjack</t>
        </is>
      </c>
      <c r="I97" s="2" t="n"/>
      <c r="J97" s="2" t="n">
        <v>85</v>
      </c>
      <c r="K97" s="2" t="inlineStr">
        <is>
          <t>gasolina</t>
        </is>
      </c>
      <c r="L97" s="2" t="inlineStr">
        <is>
          <t>utilitario</t>
        </is>
      </c>
      <c r="M97" s="2" t="n">
        <v>2011</v>
      </c>
      <c r="N97" s="2" t="n">
        <v>131000</v>
      </c>
      <c r="O97" s="2" t="n">
        <v>5200</v>
      </c>
      <c r="P97" s="2" t="inlineStr">
        <is>
          <t>manual</t>
        </is>
      </c>
      <c r="Q97" s="2" t="inlineStr">
        <is>
          <t>no</t>
        </is>
      </c>
      <c r="R97" s="2" t="inlineStr">
        <is>
          <t>profesional</t>
        </is>
      </c>
      <c r="S97" s="2" t="inlineStr">
        <is>
          <t>Automoviles Llorens  Almazora</t>
        </is>
      </c>
      <c r="T97" s="2" t="inlineStr">
        <is>
          <t>2026-09-07T18:31:01Z</t>
        </is>
      </c>
      <c r="U97" s="2" t="n">
        <v>17</v>
      </c>
      <c r="V97" s="2" t="inlineStr">
        <is>
          <t>sí</t>
        </is>
      </c>
      <c r="W97" s="2" t="inlineStr">
        <is>
          <t>sí</t>
        </is>
      </c>
      <c r="X97" s="2" t="n"/>
      <c r="Y97" s="2" t="n"/>
      <c r="Z97" s="2" t="inlineStr">
        <is>
          <t>sí</t>
        </is>
      </c>
      <c r="AA97" s="2" t="n"/>
      <c r="AB97" s="2" t="n">
        <v>12</v>
      </c>
      <c r="AC97" s="2" t="n"/>
      <c r="AD97" s="2" t="n"/>
      <c r="AE97" s="2" t="n"/>
      <c r="AF97" s="2" t="n"/>
      <c r="AG97" s="2" t="n"/>
      <c r="AH97" s="2" t="n">
        <v>5200</v>
      </c>
      <c r="AI97" s="2" t="n"/>
      <c r="AJ97" s="2" t="n"/>
      <c r="AK97" s="2" t="n"/>
      <c r="AL97" s="2" t="n"/>
      <c r="AM97" s="2" t="n"/>
      <c r="AN97" s="2" t="n"/>
      <c r="AO97" s="2" t="inlineStr">
        <is>
          <t>2011</t>
        </is>
      </c>
      <c r="AP97" s="2" t="n">
        <v>2011</v>
      </c>
      <c r="AQ97" s="2" t="n"/>
      <c r="AR97" s="2" t="inlineStr">
        <is>
          <t>C</t>
        </is>
      </c>
      <c r="AS97" s="2" t="inlineStr">
        <is>
          <t>anuncio</t>
        </is>
      </c>
      <c r="AT97" s="2" t="n">
        <v>2007</v>
      </c>
      <c r="AU97" s="2" t="inlineStr">
        <is>
          <t>no</t>
        </is>
      </c>
      <c r="AV97" s="2" t="inlineStr">
        <is>
          <t>no</t>
        </is>
      </c>
      <c r="AW97" s="2" t="n">
        <v>5500</v>
      </c>
      <c r="AX97" s="2" t="n">
        <v>7</v>
      </c>
      <c r="AY97" s="2" t="inlineStr">
        <is>
          <t>modelo+año+km</t>
        </is>
      </c>
      <c r="AZ97" s="2" t="n"/>
      <c r="BA97" s="2" t="inlineStr">
        <is>
          <t>año a confirmar: la URL/título dice 2007; por encima del presupuesto (5264 €), negociar; vendedor profesional: sin ITP (operación con IVA/REBU, confirmar en factura); gastos de gestión del vendedor no indicados: se suma la tasa DGT; preguntar el precio final; distancia no verificable (el anuncio solo indica la provincia): confirmar que está a &lt;= 70 km</t>
        </is>
      </c>
      <c r="BB97"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BC97" s="2" t="inlineStr">
        <is>
          <t>https://www.coches.net/fiat-500-09-turbo-twinair-85cv-blackjack-3p-gasolina-2007-en-castellon-70833137-covo.aspx (window.__INITIAL_PROPS__.ad) /home/user/Alopecia/buscador-coches/raw/cochesnet/2b91e3171b4f1026.json</t>
        </is>
      </c>
      <c r="BD97" s="3">
        <f>MAX(ANIO_ACTUAL-M97,0)</f>
        <v/>
      </c>
      <c r="BE97" s="4">
        <f>N97/MAX(BD97,0.5)</f>
        <v/>
      </c>
      <c r="BF97" s="4">
        <f>F97</f>
        <v/>
      </c>
      <c r="BG97" s="3">
        <f>BF97&amp;"|"&amp;INT(M97/SEG_ANIO)*SEG_ANIO</f>
        <v/>
      </c>
      <c r="BH97" s="3">
        <f>BG97&amp;"|"&amp;INT(N97/SEG_KM)*SEG_KM</f>
        <v/>
      </c>
      <c r="BI97" s="4">
        <f>COUNTIF($BF$2:$BF$101,BF97)</f>
        <v/>
      </c>
      <c r="BJ97" s="4">
        <f>COUNTIF($BG$2:$BG$101,BG97)</f>
        <v/>
      </c>
      <c r="BK97" s="4">
        <f>COUNTIF($BH$2:$BH$101,BH97)</f>
        <v/>
      </c>
      <c r="BL97" s="3">
        <f t="array" ref="BL97">IF(N(AX97)&gt;=MIN_N,AW97,IF(BK97&gt;=MIN_N,MEDIAN(IF($BH$2:$BH$101=BH97,$O$2:$O$101)),IF(BJ97&gt;=MIN_N,MEDIAN(IF($BG$2:$BG$101=BG97,$O$2:$O$101)),MEDIAN(IF($BF$2:$BF$101=BF97,$O$2:$O$101)))))</f>
        <v/>
      </c>
      <c r="BM97" s="3">
        <f>IF(N(AX97)&gt;=MIN_N,"mercado "&amp;AY97,IF(BK97&gt;=MIN_N,"modelo+año+km",IF(BJ97&gt;=MIN_N,"modelo+año","modelo")))</f>
        <v/>
      </c>
      <c r="BN97" s="4">
        <f>(BL97-O97)/BL97</f>
        <v/>
      </c>
      <c r="BO97" s="3">
        <f>IF(COUNTIFS(FR_FUEL,K97,FR_YEAR,AP97)&gt;0,1,0)</f>
        <v/>
      </c>
      <c r="BP97" s="3">
        <f>IF(COUNTIFS(FR_FUEL,K97,FR_YEAR,AP97-1)&gt;0,1,0)</f>
        <v/>
      </c>
      <c r="BQ97" s="4">
        <f>IF(N(AQ97)&gt;0,AP97*100+AQ97,IF(AND(BO97=1,BP97=1),(AP97-1)*100+1,AP97*100+1))</f>
        <v/>
      </c>
      <c r="BR97" s="3">
        <f>IF(OR(K97="hibrido",K97="glp",K97="gnc",K97="phev"),"ECO",IF(K97="electrico","CERO",IF(K97="gasolina",IF(BQ97&gt;=GAS_C_YM,"C",IF(BQ97&gt;=GAS_B_YM,"B","A")),IF(K97="diesel",IF(BQ97&gt;=DIE_C_YM,"C",IF(BQ97&gt;=DIE_B_YM,"B","A")),""))))</f>
        <v/>
      </c>
      <c r="BS97" s="2" t="inlineStr">
        <is>
          <t>C</t>
        </is>
      </c>
      <c r="BT97" s="4">
        <f>IF(AU97="sí","sí",IF(AS97="regla",IF(AND(N(AQ97)=0,BO97=1),"sí","no"),"no"))</f>
        <v/>
      </c>
      <c r="BU97" s="3">
        <f>IFERROR(VLOOKUP(F97,MOD_TBL,16,0),IFERROR(VLOOKUP(E97,OCU_TBL,2,0),NEUTRO))</f>
        <v/>
      </c>
      <c r="BV97" s="3">
        <f>SUMIFS(MOT_AJUSTE,MOT_MOTOR,G97,MOT_MARCA,E97,MOT_DESDE,"&lt;="&amp;M97,MOT_HASTA,"&gt;="&amp;M97)+SUMIFS(MOT_AJUSTE,MOT_MOTOR,G97,MOT_MARCA,"(todas)",MOT_DESDE,"&lt;="&amp;M97,MOT_HASTA,"&gt;="&amp;M97)+SUMIFS(MOT_AJUSTE,MOT_MOTOR,"(cualquiera)",MOT_MARCA,E97,MOT_DESDE,"&lt;="&amp;M97,MOT_HASTA,"&gt;="&amp;M97)</f>
        <v/>
      </c>
      <c r="BW97" s="3">
        <f>SUMIFS(COMB_AJUSTE,COMB_COMB,K97)</f>
        <v/>
      </c>
      <c r="BX97" s="3">
        <f>COUNTIFS(MOT_MOTOR,G97,MOT_MARCA,E97,MOT_DESDE,"&lt;="&amp;M97,MOT_HASTA,"&gt;="&amp;M97)+COUNTIFS(MOT_MOTOR,G97,MOT_MARCA,"(todas)",MOT_DESDE,"&lt;="&amp;M97,MOT_HASTA,"&gt;="&amp;M97)+COUNTIFS(MOT_MOTOR,"(cualquiera)",MOT_MARCA,E97,MOT_DESDE,"&lt;="&amp;M97,MOT_HASTA,"&gt;="&amp;M97)</f>
        <v/>
      </c>
      <c r="BY97" s="3">
        <f>IF(AND(K97="diesel",BX97=0),MIN(BU97,NEUTRO),BU97)</f>
        <v/>
      </c>
      <c r="BZ97" s="3">
        <f>MAX(0,MIN(100,BY97+BV97+BW97-IF(AV97="sí",ROB_PEN,0)))</f>
        <v/>
      </c>
      <c r="CA97" s="3">
        <f>100-MAX(0,N97-KM_TOPE_DESDE)/1000*KM_TOPE_PTS</f>
        <v/>
      </c>
      <c r="CB97" s="3">
        <f>MAX(0,MIN(100,50+BN97*PRECIO_PEND,CA97))</f>
        <v/>
      </c>
      <c r="CC97" s="3">
        <f>MAX(0,100*(1-N97/KM_MAX))</f>
        <v/>
      </c>
      <c r="CD97" s="3">
        <f>IF(BE97&lt;KMA_SOSP,IF(AA97="sí",100,KMA_PEN),IF(BE97&lt;=KMA_IDEAL_MAX,100,MAX(0,100*(KMA_CERO-BE97)/(KMA_CERO-KMA_IDEAL_MAX))))</f>
        <v/>
      </c>
      <c r="CE97" s="3">
        <f>MAX(0,MIN(100,100*(M97-ANIO_MIN)/(ANIO_ACTUAL-ANIO_MIN)))</f>
        <v/>
      </c>
      <c r="CF97" s="3">
        <f>W_KMT*CC97+W_KMA*CD97+W_EDAD*CE97</f>
        <v/>
      </c>
      <c r="CG97" s="3">
        <f>P_ITV*(V97="sí")+P_LIBRO*(W97="sí")+P_CORREA*(X97="sí")+P_PROP*(Y97=1)+P_GAR*(Z97="sí")+P_FOTOS*MIN(1,N(U97)/FOTOS_OBJ)</f>
        <v/>
      </c>
      <c r="CH97" s="3">
        <f>MAX(0,MIN(100,IFERROR(VLOOKUP(BS97,ETQ_TBL,2,0),0)-IF(BT97="sí",ETQ_PEN_DUD,IF(AS97="regla",ETQ_PEN_REGLA,0))))</f>
        <v/>
      </c>
      <c r="CI97" s="3">
        <f>NEUTRO</f>
        <v/>
      </c>
      <c r="CJ97" s="3">
        <f>IFERROR(VLOOKUP(L97,SEGURO_TBL,3,0),"")</f>
        <v/>
      </c>
      <c r="CK97" s="3">
        <f>IF(CJ97="",NEUTRO,MAX(0,MIN(100,100*(SEG_REF_MAX-CJ97)/(SEG_REF_MAX-SEG_REF_MIN))))</f>
        <v/>
      </c>
      <c r="CL97" s="3">
        <f>W_CONS*CI97+W_SEG*CK97</f>
        <v/>
      </c>
      <c r="CM97" s="3">
        <f>IF(N(AB97)&gt;0,AB97,IF(AND(R97="profesional",SG_LEGAL_ON=1),GAR_LEGAL,0))</f>
        <v/>
      </c>
      <c r="CN97" s="3">
        <f>SG_GAR*MIN(1,CM97/SG_GAR_FULL)+SG_AMPL*(AC97="sí")+SG_KMC*(AF97="sí")+SG_REV*(N(AE97)&gt;0)+SG_DEV*MIN(1,N(AG97)/SG_DEV_FULL)+SG_HIST*(W97="sí")</f>
        <v/>
      </c>
      <c r="CO97" s="3">
        <f>IFERROR(VLOOKUP(L97,CARR_PEN_TBL,2,0),0)</f>
        <v/>
      </c>
      <c r="CP97" s="3">
        <f>W_FIAB*BZ97+W_PRECIO*CB97+W_KMEDAD*CF97+W_ANUNCIO*CG97+W_USO*CL97+W_SEGURIDAD*CN97+W_ETIQUETA*CH97-CO97</f>
        <v/>
      </c>
      <c r="CQ97" s="4">
        <f>IF(N(I97)&gt;0,I97,IFERROR(ROUND(_xlfn.NUMBERVALUE(LEFT(G97,FIND(" ",G97&amp;" ")-1),".")*1000,0),99999))</f>
        <v/>
      </c>
      <c r="CR97" s="3">
        <f>IF(R97="profesional",0,IF(O97&lt;CUOTA_VALOR_MAX,IF(BD97&gt;ITP_TRAMO_ALTO,SUMIFS(CF_CUOTA,CF_MAS,ITP_TRAMO_ALTO,CF_CCMIN,"&lt;="&amp;CQ97,CF_CCMAX,"&gt;="&amp;CQ97),IF(BD97&gt;ITP_TRAMO_BAJO,SUMIFS(CF_CUOTA,CF_MAS,ITP_TRAMO_BAJO,CF_CCMIN,"&lt;="&amp;CQ97,CF_CCMAX,"&gt;="&amp;CQ97),O97*ITP_TIPO)),O97*ITP_TIPO))</f>
        <v/>
      </c>
      <c r="CS97" s="4">
        <f>IF(R97="profesional",N(AK97),0)</f>
        <v/>
      </c>
      <c r="CT97" s="3">
        <f>IF(AND(R97="profesional",ISNUMBER(AK97),AL97="sí"),0,TASA_DGT)</f>
        <v/>
      </c>
      <c r="CU97" s="3">
        <f>INFORME_DGT</f>
        <v/>
      </c>
      <c r="CV97" s="4">
        <f>O97+CS97+CR97+CT97+CU97</f>
        <v/>
      </c>
      <c r="CW97" s="4">
        <f>CV97+N(CJ97)</f>
        <v/>
      </c>
      <c r="CX97" s="3">
        <f>IF(CV97&lt;=TOTAL_MAX,"sí",IF(CV97&lt;=TOTAL_MAX+MARGEN_NEG,"negociar","no"))</f>
        <v/>
      </c>
      <c r="CY97" s="4">
        <f>IF(CX97&lt;&gt;"no",COUNTIFS($CX$2:$CX$101,"&lt;&gt;no",$CP$2:$CP$101,"&gt;"&amp;CP97)+COUNTIFS($CX$2:CX97,"&lt;&gt;no",$CP$2:CP97,CP97),"")</f>
        <v/>
      </c>
    </row>
    <row r="98">
      <c r="A98" s="2" t="inlineStr">
        <is>
          <t>cochesnet:70558216</t>
        </is>
      </c>
      <c r="B98" s="2" t="inlineStr">
        <is>
          <t>cochesnet</t>
        </is>
      </c>
      <c r="C98" s="2" t="inlineStr">
        <is>
          <t>https://www.coches.net/smart-forfour-15-cdi-68cv-pure-5p-diesel-2006-en-castellon-70558216-covo.aspx</t>
        </is>
      </c>
      <c r="D98" s="2" t="inlineStr">
        <is>
          <t>SMART forfour 1.5 cdi pure</t>
        </is>
      </c>
      <c r="E98" s="2" t="inlineStr">
        <is>
          <t>smart</t>
        </is>
      </c>
      <c r="F98" s="2" t="inlineStr">
        <is>
          <t>smart forfour</t>
        </is>
      </c>
      <c r="G98" s="2" t="inlineStr">
        <is>
          <t>1.5</t>
        </is>
      </c>
      <c r="H98" s="2" t="inlineStr">
        <is>
          <t>1.5 cdi 68cv pure</t>
        </is>
      </c>
      <c r="I98" s="2" t="n"/>
      <c r="J98" s="2" t="n">
        <v>68</v>
      </c>
      <c r="K98" s="2" t="inlineStr">
        <is>
          <t>diesel</t>
        </is>
      </c>
      <c r="L98" s="2" t="inlineStr">
        <is>
          <t>utilitario</t>
        </is>
      </c>
      <c r="M98" s="2" t="n">
        <v>2006</v>
      </c>
      <c r="N98" s="2" t="n">
        <v>130000</v>
      </c>
      <c r="O98" s="2" t="n">
        <v>3500</v>
      </c>
      <c r="P98" s="2" t="inlineStr">
        <is>
          <t>manual</t>
        </is>
      </c>
      <c r="Q98" s="2" t="inlineStr">
        <is>
          <t>no</t>
        </is>
      </c>
      <c r="R98" s="2" t="inlineStr">
        <is>
          <t>profesional</t>
        </is>
      </c>
      <c r="S98" s="2" t="inlineStr">
        <is>
          <t>Andrés Cars Castellón de la Plana / Castelló de la Plana</t>
        </is>
      </c>
      <c r="T98" s="2" t="inlineStr">
        <is>
          <t>2026-10-29T22:05:48Z</t>
        </is>
      </c>
      <c r="U98" s="2" t="n">
        <v>43</v>
      </c>
      <c r="V98" s="2" t="n"/>
      <c r="W98" s="2" t="n"/>
      <c r="X98" s="2" t="n"/>
      <c r="Y98" s="2" t="n"/>
      <c r="Z98" s="2" t="inlineStr">
        <is>
          <t>sí</t>
        </is>
      </c>
      <c r="AA98" s="2" t="n"/>
      <c r="AB98" s="2" t="n">
        <v>12</v>
      </c>
      <c r="AC98" s="2" t="n"/>
      <c r="AD98" s="2" t="n"/>
      <c r="AE98" s="2" t="n"/>
      <c r="AF98" s="2" t="n"/>
      <c r="AG98" s="2" t="n"/>
      <c r="AH98" s="2" t="n">
        <v>3500</v>
      </c>
      <c r="AI98" s="2" t="n"/>
      <c r="AJ98" s="2" t="n"/>
      <c r="AK98" s="2" t="n"/>
      <c r="AL98" s="2" t="n"/>
      <c r="AM98" s="2" t="n"/>
      <c r="AN98" s="2" t="n"/>
      <c r="AO98" s="2" t="inlineStr">
        <is>
          <t>2006</t>
        </is>
      </c>
      <c r="AP98" s="2" t="n">
        <v>2006</v>
      </c>
      <c r="AQ98" s="2" t="n"/>
      <c r="AR98" s="2" t="inlineStr">
        <is>
          <t>B</t>
        </is>
      </c>
      <c r="AS98" s="2" t="inlineStr">
        <is>
          <t>anuncio</t>
        </is>
      </c>
      <c r="AT98" s="2" t="n"/>
      <c r="AU98" s="2" t="inlineStr">
        <is>
          <t>no</t>
        </is>
      </c>
      <c r="AV98" s="2" t="inlineStr">
        <is>
          <t>no</t>
        </is>
      </c>
      <c r="AW98" s="2" t="n">
        <v>2500</v>
      </c>
      <c r="AX98" s="2" t="n">
        <v>11</v>
      </c>
      <c r="AY98" s="2" t="inlineStr">
        <is>
          <t>modelo+año</t>
        </is>
      </c>
      <c r="AZ98" s="2" t="n"/>
      <c r="BA98" s="2" t="inlineStr">
        <is>
          <t>vendedor profesional: sin ITP (operación con IVA/REBU, confirmar en factura); gastos de gestión del vendedor no indicados: se suma la tasa DGT; preguntar el precio final; diésel: motor sin fuente de fiabilidad (fiabilidad limitada a neutra); revisar: no menciona la ITV; distancia no verificable (el anuncio solo indica la provincia): confirmar que está a &lt;= 70 km; fiabilidad del modelo PENDIENTE de fuente (puntuación neutra)</t>
        </is>
      </c>
      <c r="BB98" s="2" t="inlineStr">
        <is>
          <t xml:space="preserve">Etiqueta medio ambiental B.
SMART FORFOUR  5 PUERTAS 68 CV .
Lleva motor mercedes con distribución por cadena.
Consumo muy bajo de un 4,2 litros a los 100 kilometros.
Como extras lleva:aire acondicionado, cierre centralizado, elevalunas,abs,esp, ordenador al bordo.....
Admitió prueba de taller.
Precio no negociable.
Cambio de nombre aparte 150 euros.
1 AÑO DE GARANTIA.
Anuncio  con titulo informativo y no contractual.
</t>
        </is>
      </c>
      <c r="BC98" s="2" t="inlineStr">
        <is>
          <t>https://www.coches.net/smart-forfour-15-cdi-68cv-pure-5p-diesel-2006-en-castellon-70558216-covo.aspx (window.__INITIAL_PROPS__.ad) /home/user/Alopecia/buscador-coches/raw/cochesnet/cf1538095842b0d8.json</t>
        </is>
      </c>
      <c r="BD98" s="3">
        <f>MAX(ANIO_ACTUAL-M98,0)</f>
        <v/>
      </c>
      <c r="BE98" s="4">
        <f>N98/MAX(BD98,0.5)</f>
        <v/>
      </c>
      <c r="BF98" s="4">
        <f>F98</f>
        <v/>
      </c>
      <c r="BG98" s="3">
        <f>BF98&amp;"|"&amp;INT(M98/SEG_ANIO)*SEG_ANIO</f>
        <v/>
      </c>
      <c r="BH98" s="3">
        <f>BG98&amp;"|"&amp;INT(N98/SEG_KM)*SEG_KM</f>
        <v/>
      </c>
      <c r="BI98" s="4">
        <f>COUNTIF($BF$2:$BF$101,BF98)</f>
        <v/>
      </c>
      <c r="BJ98" s="4">
        <f>COUNTIF($BG$2:$BG$101,BG98)</f>
        <v/>
      </c>
      <c r="BK98" s="4">
        <f>COUNTIF($BH$2:$BH$101,BH98)</f>
        <v/>
      </c>
      <c r="BL98" s="3">
        <f t="array" ref="BL98">IF(N(AX98)&gt;=MIN_N,AW98,IF(BK98&gt;=MIN_N,MEDIAN(IF($BH$2:$BH$101=BH98,$O$2:$O$101)),IF(BJ98&gt;=MIN_N,MEDIAN(IF($BG$2:$BG$101=BG98,$O$2:$O$101)),MEDIAN(IF($BF$2:$BF$101=BF98,$O$2:$O$101)))))</f>
        <v/>
      </c>
      <c r="BM98" s="3">
        <f>IF(N(AX98)&gt;=MIN_N,"mercado "&amp;AY98,IF(BK98&gt;=MIN_N,"modelo+año+km",IF(BJ98&gt;=MIN_N,"modelo+año","modelo")))</f>
        <v/>
      </c>
      <c r="BN98" s="4">
        <f>(BL98-O98)/BL98</f>
        <v/>
      </c>
      <c r="BO98" s="3">
        <f>IF(COUNTIFS(FR_FUEL,K98,FR_YEAR,AP98)&gt;0,1,0)</f>
        <v/>
      </c>
      <c r="BP98" s="3">
        <f>IF(COUNTIFS(FR_FUEL,K98,FR_YEAR,AP98-1)&gt;0,1,0)</f>
        <v/>
      </c>
      <c r="BQ98" s="4">
        <f>IF(N(AQ98)&gt;0,AP98*100+AQ98,IF(AND(BO98=1,BP98=1),(AP98-1)*100+1,AP98*100+1))</f>
        <v/>
      </c>
      <c r="BR98" s="3">
        <f>IF(OR(K98="hibrido",K98="glp",K98="gnc",K98="phev"),"ECO",IF(K98="electrico","CERO",IF(K98="gasolina",IF(BQ98&gt;=GAS_C_YM,"C",IF(BQ98&gt;=GAS_B_YM,"B","A")),IF(K98="diesel",IF(BQ98&gt;=DIE_C_YM,"C",IF(BQ98&gt;=DIE_B_YM,"B","A")),""))))</f>
        <v/>
      </c>
      <c r="BS98" s="2" t="inlineStr">
        <is>
          <t>B</t>
        </is>
      </c>
      <c r="BT98" s="4">
        <f>IF(AU98="sí","sí",IF(AS98="regla",IF(AND(N(AQ98)=0,BO98=1),"sí","no"),"no"))</f>
        <v/>
      </c>
      <c r="BU98" s="3">
        <f>IFERROR(VLOOKUP(F98,MOD_TBL,16,0),IFERROR(VLOOKUP(E98,OCU_TBL,2,0),NEUTRO))</f>
        <v/>
      </c>
      <c r="BV98" s="3">
        <f>SUMIFS(MOT_AJUSTE,MOT_MOTOR,G98,MOT_MARCA,E98,MOT_DESDE,"&lt;="&amp;M98,MOT_HASTA,"&gt;="&amp;M98)+SUMIFS(MOT_AJUSTE,MOT_MOTOR,G98,MOT_MARCA,"(todas)",MOT_DESDE,"&lt;="&amp;M98,MOT_HASTA,"&gt;="&amp;M98)+SUMIFS(MOT_AJUSTE,MOT_MOTOR,"(cualquiera)",MOT_MARCA,E98,MOT_DESDE,"&lt;="&amp;M98,MOT_HASTA,"&gt;="&amp;M98)</f>
        <v/>
      </c>
      <c r="BW98" s="3">
        <f>SUMIFS(COMB_AJUSTE,COMB_COMB,K98)</f>
        <v/>
      </c>
      <c r="BX98" s="3">
        <f>COUNTIFS(MOT_MOTOR,G98,MOT_MARCA,E98,MOT_DESDE,"&lt;="&amp;M98,MOT_HASTA,"&gt;="&amp;M98)+COUNTIFS(MOT_MOTOR,G98,MOT_MARCA,"(todas)",MOT_DESDE,"&lt;="&amp;M98,MOT_HASTA,"&gt;="&amp;M98)+COUNTIFS(MOT_MOTOR,"(cualquiera)",MOT_MARCA,E98,MOT_DESDE,"&lt;="&amp;M98,MOT_HASTA,"&gt;="&amp;M98)</f>
        <v/>
      </c>
      <c r="BY98" s="3">
        <f>IF(AND(K98="diesel",BX98=0),MIN(BU98,NEUTRO),BU98)</f>
        <v/>
      </c>
      <c r="BZ98" s="3">
        <f>MAX(0,MIN(100,BY98+BV98+BW98-IF(AV98="sí",ROB_PEN,0)))</f>
        <v/>
      </c>
      <c r="CA98" s="3">
        <f>100-MAX(0,N98-KM_TOPE_DESDE)/1000*KM_TOPE_PTS</f>
        <v/>
      </c>
      <c r="CB98" s="3">
        <f>MAX(0,MIN(100,50+BN98*PRECIO_PEND,CA98))</f>
        <v/>
      </c>
      <c r="CC98" s="3">
        <f>MAX(0,100*(1-N98/KM_MAX))</f>
        <v/>
      </c>
      <c r="CD98" s="3">
        <f>IF(BE98&lt;KMA_SOSP,IF(AA98="sí",100,KMA_PEN),IF(BE98&lt;=KMA_IDEAL_MAX,100,MAX(0,100*(KMA_CERO-BE98)/(KMA_CERO-KMA_IDEAL_MAX))))</f>
        <v/>
      </c>
      <c r="CE98" s="3">
        <f>MAX(0,MIN(100,100*(M98-ANIO_MIN)/(ANIO_ACTUAL-ANIO_MIN)))</f>
        <v/>
      </c>
      <c r="CF98" s="3">
        <f>W_KMT*CC98+W_KMA*CD98+W_EDAD*CE98</f>
        <v/>
      </c>
      <c r="CG98" s="3">
        <f>P_ITV*(V98="sí")+P_LIBRO*(W98="sí")+P_CORREA*(X98="sí")+P_PROP*(Y98=1)+P_GAR*(Z98="sí")+P_FOTOS*MIN(1,N(U98)/FOTOS_OBJ)</f>
        <v/>
      </c>
      <c r="CH98" s="3">
        <f>MAX(0,MIN(100,IFERROR(VLOOKUP(BS98,ETQ_TBL,2,0),0)-IF(BT98="sí",ETQ_PEN_DUD,IF(AS98="regla",ETQ_PEN_REGLA,0))))</f>
        <v/>
      </c>
      <c r="CI98" s="3">
        <f>NEUTRO</f>
        <v/>
      </c>
      <c r="CJ98" s="3">
        <f>IFERROR(VLOOKUP(L98,SEGURO_TBL,3,0),"")</f>
        <v/>
      </c>
      <c r="CK98" s="3">
        <f>IF(CJ98="",NEUTRO,MAX(0,MIN(100,100*(SEG_REF_MAX-CJ98)/(SEG_REF_MAX-SEG_REF_MIN))))</f>
        <v/>
      </c>
      <c r="CL98" s="3">
        <f>W_CONS*CI98+W_SEG*CK98</f>
        <v/>
      </c>
      <c r="CM98" s="3">
        <f>IF(N(AB98)&gt;0,AB98,IF(AND(R98="profesional",SG_LEGAL_ON=1),GAR_LEGAL,0))</f>
        <v/>
      </c>
      <c r="CN98" s="3">
        <f>SG_GAR*MIN(1,CM98/SG_GAR_FULL)+SG_AMPL*(AC98="sí")+SG_KMC*(AF98="sí")+SG_REV*(N(AE98)&gt;0)+SG_DEV*MIN(1,N(AG98)/SG_DEV_FULL)+SG_HIST*(W98="sí")</f>
        <v/>
      </c>
      <c r="CO98" s="3">
        <f>IFERROR(VLOOKUP(L98,CARR_PEN_TBL,2,0),0)</f>
        <v/>
      </c>
      <c r="CP98" s="3">
        <f>W_FIAB*BZ98+W_PRECIO*CB98+W_KMEDAD*CF98+W_ANUNCIO*CG98+W_USO*CL98+W_SEGURIDAD*CN98+W_ETIQUETA*CH98-CO98</f>
        <v/>
      </c>
      <c r="CQ98" s="4">
        <f>IF(N(I98)&gt;0,I98,IFERROR(ROUND(_xlfn.NUMBERVALUE(LEFT(G98,FIND(" ",G98&amp;" ")-1),".")*1000,0),99999))</f>
        <v/>
      </c>
      <c r="CR98" s="3">
        <f>IF(R98="profesional",0,IF(O98&lt;CUOTA_VALOR_MAX,IF(BD98&gt;ITP_TRAMO_ALTO,SUMIFS(CF_CUOTA,CF_MAS,ITP_TRAMO_ALTO,CF_CCMIN,"&lt;="&amp;CQ98,CF_CCMAX,"&gt;="&amp;CQ98),IF(BD98&gt;ITP_TRAMO_BAJO,SUMIFS(CF_CUOTA,CF_MAS,ITP_TRAMO_BAJO,CF_CCMIN,"&lt;="&amp;CQ98,CF_CCMAX,"&gt;="&amp;CQ98),O98*ITP_TIPO)),O98*ITP_TIPO))</f>
        <v/>
      </c>
      <c r="CS98" s="4">
        <f>IF(R98="profesional",N(AK98),0)</f>
        <v/>
      </c>
      <c r="CT98" s="3">
        <f>IF(AND(R98="profesional",ISNUMBER(AK98),AL98="sí"),0,TASA_DGT)</f>
        <v/>
      </c>
      <c r="CU98" s="3">
        <f>INFORME_DGT</f>
        <v/>
      </c>
      <c r="CV98" s="4">
        <f>O98+CS98+CR98+CT98+CU98</f>
        <v/>
      </c>
      <c r="CW98" s="4">
        <f>CV98+N(CJ98)</f>
        <v/>
      </c>
      <c r="CX98" s="3">
        <f>IF(CV98&lt;=TOTAL_MAX,"sí",IF(CV98&lt;=TOTAL_MAX+MARGEN_NEG,"negociar","no"))</f>
        <v/>
      </c>
      <c r="CY98" s="4">
        <f>IF(CX98&lt;&gt;"no",COUNTIFS($CX$2:$CX$101,"&lt;&gt;no",$CP$2:$CP$101,"&gt;"&amp;CP98)+COUNTIFS($CX$2:CX98,"&lt;&gt;no",$CP$2:CP98,CP98),"")</f>
        <v/>
      </c>
    </row>
    <row r="99">
      <c r="A99" s="2" t="inlineStr">
        <is>
          <t>cochesnet:71789822</t>
        </is>
      </c>
      <c r="B99" s="2" t="inlineStr">
        <is>
          <t>cochesnet</t>
        </is>
      </c>
      <c r="C99" s="2" t="inlineStr">
        <is>
          <t>https://www.coches.net/chevrolet-aveo-12-16v-ls-5p-gasolina-2011-en-castellon-71789822-covo.aspx</t>
        </is>
      </c>
      <c r="D99" s="2" t="inlineStr">
        <is>
          <t>CHEVROLET Aveo 1.2 16v LS</t>
        </is>
      </c>
      <c r="E99" s="2" t="inlineStr">
        <is>
          <t>Chevrolet</t>
        </is>
      </c>
      <c r="F99" s="2" t="inlineStr">
        <is>
          <t>Chevrolet Aveo</t>
        </is>
      </c>
      <c r="G99" s="2" t="inlineStr">
        <is>
          <t>1.2</t>
        </is>
      </c>
      <c r="H99" s="2" t="inlineStr">
        <is>
          <t>1.2 16v LS</t>
        </is>
      </c>
      <c r="I99" s="2" t="n"/>
      <c r="J99" s="2" t="n"/>
      <c r="K99" s="2" t="inlineStr">
        <is>
          <t>gasolina</t>
        </is>
      </c>
      <c r="L99" s="2" t="inlineStr">
        <is>
          <t>utilitario</t>
        </is>
      </c>
      <c r="M99" s="2" t="n">
        <v>2011</v>
      </c>
      <c r="N99" s="2" t="n">
        <v>80000</v>
      </c>
      <c r="O99" s="2" t="n">
        <v>5100</v>
      </c>
      <c r="P99" s="2" t="inlineStr">
        <is>
          <t>manual</t>
        </is>
      </c>
      <c r="Q99" s="2" t="inlineStr">
        <is>
          <t>no</t>
        </is>
      </c>
      <c r="R99" s="2" t="inlineStr">
        <is>
          <t>profesional</t>
        </is>
      </c>
      <c r="S99" s="2" t="inlineStr">
        <is>
          <t>Zapra Motor Almazora / Almassora</t>
        </is>
      </c>
      <c r="T99" s="2" t="inlineStr">
        <is>
          <t>2026-10-20T12:46:17Z</t>
        </is>
      </c>
      <c r="U99" s="2" t="n">
        <v>17</v>
      </c>
      <c r="V99" s="2" t="n"/>
      <c r="W99" s="2" t="n"/>
      <c r="X99" s="2" t="n"/>
      <c r="Y99" s="2" t="n"/>
      <c r="Z99" s="2" t="inlineStr">
        <is>
          <t>sí</t>
        </is>
      </c>
      <c r="AA99" s="2" t="n"/>
      <c r="AB99" s="2" t="n">
        <v>12</v>
      </c>
      <c r="AC99" s="2" t="n"/>
      <c r="AD99" s="2" t="n"/>
      <c r="AE99" s="2" t="n"/>
      <c r="AF99" s="2" t="n"/>
      <c r="AG99" s="2" t="n"/>
      <c r="AH99" s="2" t="n">
        <v>5100</v>
      </c>
      <c r="AI99" s="2" t="n">
        <v>5100</v>
      </c>
      <c r="AJ99" s="2" t="n"/>
      <c r="AK99" s="2" t="n"/>
      <c r="AL99" s="2" t="n"/>
      <c r="AM99" s="2" t="n"/>
      <c r="AN99" s="2" t="n"/>
      <c r="AO99" s="2" t="inlineStr">
        <is>
          <t>2011</t>
        </is>
      </c>
      <c r="AP99" s="2" t="n">
        <v>2011</v>
      </c>
      <c r="AQ99" s="2" t="n"/>
      <c r="AR99" s="2" t="inlineStr">
        <is>
          <t>C</t>
        </is>
      </c>
      <c r="AS99" s="2" t="inlineStr">
        <is>
          <t>anuncio</t>
        </is>
      </c>
      <c r="AT99" s="2" t="n"/>
      <c r="AU99" s="2" t="inlineStr">
        <is>
          <t>no</t>
        </is>
      </c>
      <c r="AV99" s="2" t="inlineStr">
        <is>
          <t>no</t>
        </is>
      </c>
      <c r="AW99" s="2" t="n">
        <v>4990</v>
      </c>
      <c r="AX99" s="2" t="n">
        <v>5</v>
      </c>
      <c r="AY99" s="2" t="inlineStr">
        <is>
          <t>modelo+año+km</t>
        </is>
      </c>
      <c r="AZ99" s="2" t="n"/>
      <c r="BA99" s="2" t="inlineStr">
        <is>
          <t>por encima del presupuesto (5164 €), negociar;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B99"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BC99" s="2" t="inlineStr">
        <is>
          <t>https://www.coches.net/chevrolet-aveo-12-16v-ls-5p-gasolina-2011-en-castellon-71789822-covo.aspx (window.__INITIAL_PROPS__.ad) /home/user/Alopecia/buscador-coches/raw/cochesnet/2ae76fad9ca2d05b.json</t>
        </is>
      </c>
      <c r="BD99" s="3">
        <f>MAX(ANIO_ACTUAL-M99,0)</f>
        <v/>
      </c>
      <c r="BE99" s="4">
        <f>N99/MAX(BD99,0.5)</f>
        <v/>
      </c>
      <c r="BF99" s="4">
        <f>F99</f>
        <v/>
      </c>
      <c r="BG99" s="3">
        <f>BF99&amp;"|"&amp;INT(M99/SEG_ANIO)*SEG_ANIO</f>
        <v/>
      </c>
      <c r="BH99" s="3">
        <f>BG99&amp;"|"&amp;INT(N99/SEG_KM)*SEG_KM</f>
        <v/>
      </c>
      <c r="BI99" s="4">
        <f>COUNTIF($BF$2:$BF$101,BF99)</f>
        <v/>
      </c>
      <c r="BJ99" s="4">
        <f>COUNTIF($BG$2:$BG$101,BG99)</f>
        <v/>
      </c>
      <c r="BK99" s="4">
        <f>COUNTIF($BH$2:$BH$101,BH99)</f>
        <v/>
      </c>
      <c r="BL99" s="3">
        <f t="array" ref="BL99">IF(N(AX99)&gt;=MIN_N,AW99,IF(BK99&gt;=MIN_N,MEDIAN(IF($BH$2:$BH$101=BH99,$O$2:$O$101)),IF(BJ99&gt;=MIN_N,MEDIAN(IF($BG$2:$BG$101=BG99,$O$2:$O$101)),MEDIAN(IF($BF$2:$BF$101=BF99,$O$2:$O$101)))))</f>
        <v/>
      </c>
      <c r="BM99" s="3">
        <f>IF(N(AX99)&gt;=MIN_N,"mercado "&amp;AY99,IF(BK99&gt;=MIN_N,"modelo+año+km",IF(BJ99&gt;=MIN_N,"modelo+año","modelo")))</f>
        <v/>
      </c>
      <c r="BN99" s="4">
        <f>(BL99-O99)/BL99</f>
        <v/>
      </c>
      <c r="BO99" s="3">
        <f>IF(COUNTIFS(FR_FUEL,K99,FR_YEAR,AP99)&gt;0,1,0)</f>
        <v/>
      </c>
      <c r="BP99" s="3">
        <f>IF(COUNTIFS(FR_FUEL,K99,FR_YEAR,AP99-1)&gt;0,1,0)</f>
        <v/>
      </c>
      <c r="BQ99" s="4">
        <f>IF(N(AQ99)&gt;0,AP99*100+AQ99,IF(AND(BO99=1,BP99=1),(AP99-1)*100+1,AP99*100+1))</f>
        <v/>
      </c>
      <c r="BR99" s="3">
        <f>IF(OR(K99="hibrido",K99="glp",K99="gnc",K99="phev"),"ECO",IF(K99="electrico","CERO",IF(K99="gasolina",IF(BQ99&gt;=GAS_C_YM,"C",IF(BQ99&gt;=GAS_B_YM,"B","A")),IF(K99="diesel",IF(BQ99&gt;=DIE_C_YM,"C",IF(BQ99&gt;=DIE_B_YM,"B","A")),""))))</f>
        <v/>
      </c>
      <c r="BS99" s="2" t="inlineStr">
        <is>
          <t>C</t>
        </is>
      </c>
      <c r="BT99" s="4">
        <f>IF(AU99="sí","sí",IF(AS99="regla",IF(AND(N(AQ99)=0,BO99=1),"sí","no"),"no"))</f>
        <v/>
      </c>
      <c r="BU99" s="3">
        <f>IFERROR(VLOOKUP(F99,MOD_TBL,16,0),IFERROR(VLOOKUP(E99,OCU_TBL,2,0),NEUTRO))</f>
        <v/>
      </c>
      <c r="BV99" s="3">
        <f>SUMIFS(MOT_AJUSTE,MOT_MOTOR,G99,MOT_MARCA,E99,MOT_DESDE,"&lt;="&amp;M99,MOT_HASTA,"&gt;="&amp;M99)+SUMIFS(MOT_AJUSTE,MOT_MOTOR,G99,MOT_MARCA,"(todas)",MOT_DESDE,"&lt;="&amp;M99,MOT_HASTA,"&gt;="&amp;M99)+SUMIFS(MOT_AJUSTE,MOT_MOTOR,"(cualquiera)",MOT_MARCA,E99,MOT_DESDE,"&lt;="&amp;M99,MOT_HASTA,"&gt;="&amp;M99)</f>
        <v/>
      </c>
      <c r="BW99" s="3">
        <f>SUMIFS(COMB_AJUSTE,COMB_COMB,K99)</f>
        <v/>
      </c>
      <c r="BX99" s="3">
        <f>COUNTIFS(MOT_MOTOR,G99,MOT_MARCA,E99,MOT_DESDE,"&lt;="&amp;M99,MOT_HASTA,"&gt;="&amp;M99)+COUNTIFS(MOT_MOTOR,G99,MOT_MARCA,"(todas)",MOT_DESDE,"&lt;="&amp;M99,MOT_HASTA,"&gt;="&amp;M99)+COUNTIFS(MOT_MOTOR,"(cualquiera)",MOT_MARCA,E99,MOT_DESDE,"&lt;="&amp;M99,MOT_HASTA,"&gt;="&amp;M99)</f>
        <v/>
      </c>
      <c r="BY99" s="3">
        <f>IF(AND(K99="diesel",BX99=0),MIN(BU99,NEUTRO),BU99)</f>
        <v/>
      </c>
      <c r="BZ99" s="3">
        <f>MAX(0,MIN(100,BY99+BV99+BW99-IF(AV99="sí",ROB_PEN,0)))</f>
        <v/>
      </c>
      <c r="CA99" s="3">
        <f>100-MAX(0,N99-KM_TOPE_DESDE)/1000*KM_TOPE_PTS</f>
        <v/>
      </c>
      <c r="CB99" s="3">
        <f>MAX(0,MIN(100,50+BN99*PRECIO_PEND,CA99))</f>
        <v/>
      </c>
      <c r="CC99" s="3">
        <f>MAX(0,100*(1-N99/KM_MAX))</f>
        <v/>
      </c>
      <c r="CD99" s="3">
        <f>IF(BE99&lt;KMA_SOSP,IF(AA99="sí",100,KMA_PEN),IF(BE99&lt;=KMA_IDEAL_MAX,100,MAX(0,100*(KMA_CERO-BE99)/(KMA_CERO-KMA_IDEAL_MAX))))</f>
        <v/>
      </c>
      <c r="CE99" s="3">
        <f>MAX(0,MIN(100,100*(M99-ANIO_MIN)/(ANIO_ACTUAL-ANIO_MIN)))</f>
        <v/>
      </c>
      <c r="CF99" s="3">
        <f>W_KMT*CC99+W_KMA*CD99+W_EDAD*CE99</f>
        <v/>
      </c>
      <c r="CG99" s="3">
        <f>P_ITV*(V99="sí")+P_LIBRO*(W99="sí")+P_CORREA*(X99="sí")+P_PROP*(Y99=1)+P_GAR*(Z99="sí")+P_FOTOS*MIN(1,N(U99)/FOTOS_OBJ)</f>
        <v/>
      </c>
      <c r="CH99" s="3">
        <f>MAX(0,MIN(100,IFERROR(VLOOKUP(BS99,ETQ_TBL,2,0),0)-IF(BT99="sí",ETQ_PEN_DUD,IF(AS99="regla",ETQ_PEN_REGLA,0))))</f>
        <v/>
      </c>
      <c r="CI99" s="3">
        <f>NEUTRO</f>
        <v/>
      </c>
      <c r="CJ99" s="3">
        <f>IFERROR(VLOOKUP(L99,SEGURO_TBL,3,0),"")</f>
        <v/>
      </c>
      <c r="CK99" s="3">
        <f>IF(CJ99="",NEUTRO,MAX(0,MIN(100,100*(SEG_REF_MAX-CJ99)/(SEG_REF_MAX-SEG_REF_MIN))))</f>
        <v/>
      </c>
      <c r="CL99" s="3">
        <f>W_CONS*CI99+W_SEG*CK99</f>
        <v/>
      </c>
      <c r="CM99" s="3">
        <f>IF(N(AB99)&gt;0,AB99,IF(AND(R99="profesional",SG_LEGAL_ON=1),GAR_LEGAL,0))</f>
        <v/>
      </c>
      <c r="CN99" s="3">
        <f>SG_GAR*MIN(1,CM99/SG_GAR_FULL)+SG_AMPL*(AC99="sí")+SG_KMC*(AF99="sí")+SG_REV*(N(AE99)&gt;0)+SG_DEV*MIN(1,N(AG99)/SG_DEV_FULL)+SG_HIST*(W99="sí")</f>
        <v/>
      </c>
      <c r="CO99" s="3">
        <f>IFERROR(VLOOKUP(L99,CARR_PEN_TBL,2,0),0)</f>
        <v/>
      </c>
      <c r="CP99" s="3">
        <f>W_FIAB*BZ99+W_PRECIO*CB99+W_KMEDAD*CF99+W_ANUNCIO*CG99+W_USO*CL99+W_SEGURIDAD*CN99+W_ETIQUETA*CH99-CO99</f>
        <v/>
      </c>
      <c r="CQ99" s="4">
        <f>IF(N(I99)&gt;0,I99,IFERROR(ROUND(_xlfn.NUMBERVALUE(LEFT(G99,FIND(" ",G99&amp;" ")-1),".")*1000,0),99999))</f>
        <v/>
      </c>
      <c r="CR99" s="3">
        <f>IF(R99="profesional",0,IF(O99&lt;CUOTA_VALOR_MAX,IF(BD99&gt;ITP_TRAMO_ALTO,SUMIFS(CF_CUOTA,CF_MAS,ITP_TRAMO_ALTO,CF_CCMIN,"&lt;="&amp;CQ99,CF_CCMAX,"&gt;="&amp;CQ99),IF(BD99&gt;ITP_TRAMO_BAJO,SUMIFS(CF_CUOTA,CF_MAS,ITP_TRAMO_BAJO,CF_CCMIN,"&lt;="&amp;CQ99,CF_CCMAX,"&gt;="&amp;CQ99),O99*ITP_TIPO)),O99*ITP_TIPO))</f>
        <v/>
      </c>
      <c r="CS99" s="4">
        <f>IF(R99="profesional",N(AK99),0)</f>
        <v/>
      </c>
      <c r="CT99" s="3">
        <f>IF(AND(R99="profesional",ISNUMBER(AK99),AL99="sí"),0,TASA_DGT)</f>
        <v/>
      </c>
      <c r="CU99" s="3">
        <f>INFORME_DGT</f>
        <v/>
      </c>
      <c r="CV99" s="4">
        <f>O99+CS99+CR99+CT99+CU99</f>
        <v/>
      </c>
      <c r="CW99" s="4">
        <f>CV99+N(CJ99)</f>
        <v/>
      </c>
      <c r="CX99" s="3">
        <f>IF(CV99&lt;=TOTAL_MAX,"sí",IF(CV99&lt;=TOTAL_MAX+MARGEN_NEG,"negociar","no"))</f>
        <v/>
      </c>
      <c r="CY99" s="4">
        <f>IF(CX99&lt;&gt;"no",COUNTIFS($CX$2:$CX$101,"&lt;&gt;no",$CP$2:$CP$101,"&gt;"&amp;CP99)+COUNTIFS($CX$2:CX99,"&lt;&gt;no",$CP$2:CP99,CP99),"")</f>
        <v/>
      </c>
    </row>
    <row r="100">
      <c r="A100" s="2" t="inlineStr">
        <is>
          <t>cochesnet:71686041</t>
        </is>
      </c>
      <c r="B100" s="2" t="inlineStr">
        <is>
          <t>cochesnet</t>
        </is>
      </c>
      <c r="C100" s="2" t="inlineStr">
        <is>
          <t>https://www.coches.net/chevrolet-matiz-10-s-5p-gasolina-2006-en-castellon-71686041-covo.aspx</t>
        </is>
      </c>
      <c r="D100" s="2" t="inlineStr">
        <is>
          <t>CHEVROLET Matiz 1.0 S</t>
        </is>
      </c>
      <c r="E100" s="2" t="inlineStr">
        <is>
          <t>Chevrolet</t>
        </is>
      </c>
      <c r="F100" s="2" t="inlineStr">
        <is>
          <t>Chevrolet Matiz</t>
        </is>
      </c>
      <c r="G100" s="2" t="inlineStr">
        <is>
          <t>1.0</t>
        </is>
      </c>
      <c r="H100" s="2" t="inlineStr">
        <is>
          <t>1.0 S</t>
        </is>
      </c>
      <c r="I100" s="2" t="n"/>
      <c r="J100" s="2" t="n"/>
      <c r="K100" s="2" t="inlineStr">
        <is>
          <t>gasolina</t>
        </is>
      </c>
      <c r="L100" s="2" t="inlineStr">
        <is>
          <t>utilitario</t>
        </is>
      </c>
      <c r="M100" s="2" t="n">
        <v>2006</v>
      </c>
      <c r="N100" s="2" t="n">
        <v>61400</v>
      </c>
      <c r="O100" s="2" t="n">
        <v>3750</v>
      </c>
      <c r="P100" s="2" t="inlineStr">
        <is>
          <t>manual</t>
        </is>
      </c>
      <c r="Q100" s="2" t="inlineStr">
        <is>
          <t>no</t>
        </is>
      </c>
      <c r="R100" s="2" t="inlineStr">
        <is>
          <t>profesional</t>
        </is>
      </c>
      <c r="S100" s="2" t="inlineStr">
        <is>
          <t>Andrés Cars Castellón de la Plana / Castelló de la Plana</t>
        </is>
      </c>
      <c r="T100" s="2" t="inlineStr">
        <is>
          <t>2026-10-06T14:49:48Z</t>
        </is>
      </c>
      <c r="U100" s="2" t="n">
        <v>44</v>
      </c>
      <c r="V100" s="2" t="n"/>
      <c r="W100" s="2" t="n"/>
      <c r="X100" s="2" t="n"/>
      <c r="Y100" s="2" t="n"/>
      <c r="Z100" s="2" t="inlineStr">
        <is>
          <t>sí</t>
        </is>
      </c>
      <c r="AA100" s="2" t="n"/>
      <c r="AB100" s="2" t="n">
        <v>12</v>
      </c>
      <c r="AC100" s="2" t="n"/>
      <c r="AD100" s="2" t="n"/>
      <c r="AE100" s="2" t="n"/>
      <c r="AF100" s="2" t="n"/>
      <c r="AG100" s="2" t="n"/>
      <c r="AH100" s="2" t="n">
        <v>3750</v>
      </c>
      <c r="AI100" s="2" t="n"/>
      <c r="AJ100" s="2" t="n"/>
      <c r="AK100" s="2" t="n"/>
      <c r="AL100" s="2" t="n"/>
      <c r="AM100" s="2" t="n"/>
      <c r="AN100" s="2" t="n"/>
      <c r="AO100" s="2" t="inlineStr">
        <is>
          <t>2006</t>
        </is>
      </c>
      <c r="AP100" s="2" t="n">
        <v>2006</v>
      </c>
      <c r="AQ100" s="2" t="n"/>
      <c r="AR100" s="2" t="inlineStr">
        <is>
          <t>B</t>
        </is>
      </c>
      <c r="AS100" s="2" t="inlineStr">
        <is>
          <t>anuncio</t>
        </is>
      </c>
      <c r="AT100" s="2" t="n"/>
      <c r="AU100" s="2" t="inlineStr">
        <is>
          <t>no</t>
        </is>
      </c>
      <c r="AV100" s="2" t="inlineStr">
        <is>
          <t>no</t>
        </is>
      </c>
      <c r="AW100" s="2" t="n"/>
      <c r="AX100" s="2" t="n"/>
      <c r="AY100" s="2" t="n"/>
      <c r="AZ100" s="2" t="n"/>
      <c r="BA100"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B100"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BC100" s="2" t="inlineStr">
        <is>
          <t>https://www.coches.net/chevrolet-matiz-10-s-5p-gasolina-2006-en-castellon-71686041-covo.aspx (window.__INITIAL_PROPS__.ad) /home/user/Alopecia/buscador-coches/raw/cochesnet/aa809b0e3f8323da.json</t>
        </is>
      </c>
      <c r="BD100" s="3">
        <f>MAX(ANIO_ACTUAL-M100,0)</f>
        <v/>
      </c>
      <c r="BE100" s="4">
        <f>N100/MAX(BD100,0.5)</f>
        <v/>
      </c>
      <c r="BF100" s="4">
        <f>F100</f>
        <v/>
      </c>
      <c r="BG100" s="3">
        <f>BF100&amp;"|"&amp;INT(M100/SEG_ANIO)*SEG_ANIO</f>
        <v/>
      </c>
      <c r="BH100" s="3">
        <f>BG100&amp;"|"&amp;INT(N100/SEG_KM)*SEG_KM</f>
        <v/>
      </c>
      <c r="BI100" s="4">
        <f>COUNTIF($BF$2:$BF$101,BF100)</f>
        <v/>
      </c>
      <c r="BJ100" s="4">
        <f>COUNTIF($BG$2:$BG$101,BG100)</f>
        <v/>
      </c>
      <c r="BK100" s="4">
        <f>COUNTIF($BH$2:$BH$101,BH100)</f>
        <v/>
      </c>
      <c r="BL100" s="3">
        <f t="array" ref="BL100">IF(N(AX100)&gt;=MIN_N,AW100,IF(BK100&gt;=MIN_N,MEDIAN(IF($BH$2:$BH$101=BH100,$O$2:$O$101)),IF(BJ100&gt;=MIN_N,MEDIAN(IF($BG$2:$BG$101=BG100,$O$2:$O$101)),MEDIAN(IF($BF$2:$BF$101=BF100,$O$2:$O$101)))))</f>
        <v/>
      </c>
      <c r="BM100" s="3">
        <f>IF(N(AX100)&gt;=MIN_N,"mercado "&amp;AY100,IF(BK100&gt;=MIN_N,"modelo+año+km",IF(BJ100&gt;=MIN_N,"modelo+año","modelo")))</f>
        <v/>
      </c>
      <c r="BN100" s="4">
        <f>(BL100-O100)/BL100</f>
        <v/>
      </c>
      <c r="BO100" s="3">
        <f>IF(COUNTIFS(FR_FUEL,K100,FR_YEAR,AP100)&gt;0,1,0)</f>
        <v/>
      </c>
      <c r="BP100" s="3">
        <f>IF(COUNTIFS(FR_FUEL,K100,FR_YEAR,AP100-1)&gt;0,1,0)</f>
        <v/>
      </c>
      <c r="BQ100" s="4">
        <f>IF(N(AQ100)&gt;0,AP100*100+AQ100,IF(AND(BO100=1,BP100=1),(AP100-1)*100+1,AP100*100+1))</f>
        <v/>
      </c>
      <c r="BR100" s="3">
        <f>IF(OR(K100="hibrido",K100="glp",K100="gnc",K100="phev"),"ECO",IF(K100="electrico","CERO",IF(K100="gasolina",IF(BQ100&gt;=GAS_C_YM,"C",IF(BQ100&gt;=GAS_B_YM,"B","A")),IF(K100="diesel",IF(BQ100&gt;=DIE_C_YM,"C",IF(BQ100&gt;=DIE_B_YM,"B","A")),""))))</f>
        <v/>
      </c>
      <c r="BS100" s="2" t="inlineStr">
        <is>
          <t>B</t>
        </is>
      </c>
      <c r="BT100" s="4">
        <f>IF(AU100="sí","sí",IF(AS100="regla",IF(AND(N(AQ100)=0,BO100=1),"sí","no"),"no"))</f>
        <v/>
      </c>
      <c r="BU100" s="3">
        <f>IFERROR(VLOOKUP(F100,MOD_TBL,16,0),IFERROR(VLOOKUP(E100,OCU_TBL,2,0),NEUTRO))</f>
        <v/>
      </c>
      <c r="BV100" s="3">
        <f>SUMIFS(MOT_AJUSTE,MOT_MOTOR,G100,MOT_MARCA,E100,MOT_DESDE,"&lt;="&amp;M100,MOT_HASTA,"&gt;="&amp;M100)+SUMIFS(MOT_AJUSTE,MOT_MOTOR,G100,MOT_MARCA,"(todas)",MOT_DESDE,"&lt;="&amp;M100,MOT_HASTA,"&gt;="&amp;M100)+SUMIFS(MOT_AJUSTE,MOT_MOTOR,"(cualquiera)",MOT_MARCA,E100,MOT_DESDE,"&lt;="&amp;M100,MOT_HASTA,"&gt;="&amp;M100)</f>
        <v/>
      </c>
      <c r="BW100" s="3">
        <f>SUMIFS(COMB_AJUSTE,COMB_COMB,K100)</f>
        <v/>
      </c>
      <c r="BX100" s="3">
        <f>COUNTIFS(MOT_MOTOR,G100,MOT_MARCA,E100,MOT_DESDE,"&lt;="&amp;M100,MOT_HASTA,"&gt;="&amp;M100)+COUNTIFS(MOT_MOTOR,G100,MOT_MARCA,"(todas)",MOT_DESDE,"&lt;="&amp;M100,MOT_HASTA,"&gt;="&amp;M100)+COUNTIFS(MOT_MOTOR,"(cualquiera)",MOT_MARCA,E100,MOT_DESDE,"&lt;="&amp;M100,MOT_HASTA,"&gt;="&amp;M100)</f>
        <v/>
      </c>
      <c r="BY100" s="3">
        <f>IF(AND(K100="diesel",BX100=0),MIN(BU100,NEUTRO),BU100)</f>
        <v/>
      </c>
      <c r="BZ100" s="3">
        <f>MAX(0,MIN(100,BY100+BV100+BW100-IF(AV100="sí",ROB_PEN,0)))</f>
        <v/>
      </c>
      <c r="CA100" s="3">
        <f>100-MAX(0,N100-KM_TOPE_DESDE)/1000*KM_TOPE_PTS</f>
        <v/>
      </c>
      <c r="CB100" s="3">
        <f>MAX(0,MIN(100,50+BN100*PRECIO_PEND,CA100))</f>
        <v/>
      </c>
      <c r="CC100" s="3">
        <f>MAX(0,100*(1-N100/KM_MAX))</f>
        <v/>
      </c>
      <c r="CD100" s="3">
        <f>IF(BE100&lt;KMA_SOSP,IF(AA100="sí",100,KMA_PEN),IF(BE100&lt;=KMA_IDEAL_MAX,100,MAX(0,100*(KMA_CERO-BE100)/(KMA_CERO-KMA_IDEAL_MAX))))</f>
        <v/>
      </c>
      <c r="CE100" s="3">
        <f>MAX(0,MIN(100,100*(M100-ANIO_MIN)/(ANIO_ACTUAL-ANIO_MIN)))</f>
        <v/>
      </c>
      <c r="CF100" s="3">
        <f>W_KMT*CC100+W_KMA*CD100+W_EDAD*CE100</f>
        <v/>
      </c>
      <c r="CG100" s="3">
        <f>P_ITV*(V100="sí")+P_LIBRO*(W100="sí")+P_CORREA*(X100="sí")+P_PROP*(Y100=1)+P_GAR*(Z100="sí")+P_FOTOS*MIN(1,N(U100)/FOTOS_OBJ)</f>
        <v/>
      </c>
      <c r="CH100" s="3">
        <f>MAX(0,MIN(100,IFERROR(VLOOKUP(BS100,ETQ_TBL,2,0),0)-IF(BT100="sí",ETQ_PEN_DUD,IF(AS100="regla",ETQ_PEN_REGLA,0))))</f>
        <v/>
      </c>
      <c r="CI100" s="3">
        <f>NEUTRO</f>
        <v/>
      </c>
      <c r="CJ100" s="3">
        <f>IFERROR(VLOOKUP(L100,SEGURO_TBL,3,0),"")</f>
        <v/>
      </c>
      <c r="CK100" s="3">
        <f>IF(CJ100="",NEUTRO,MAX(0,MIN(100,100*(SEG_REF_MAX-CJ100)/(SEG_REF_MAX-SEG_REF_MIN))))</f>
        <v/>
      </c>
      <c r="CL100" s="3">
        <f>W_CONS*CI100+W_SEG*CK100</f>
        <v/>
      </c>
      <c r="CM100" s="3">
        <f>IF(N(AB100)&gt;0,AB100,IF(AND(R100="profesional",SG_LEGAL_ON=1),GAR_LEGAL,0))</f>
        <v/>
      </c>
      <c r="CN100" s="3">
        <f>SG_GAR*MIN(1,CM100/SG_GAR_FULL)+SG_AMPL*(AC100="sí")+SG_KMC*(AF100="sí")+SG_REV*(N(AE100)&gt;0)+SG_DEV*MIN(1,N(AG100)/SG_DEV_FULL)+SG_HIST*(W100="sí")</f>
        <v/>
      </c>
      <c r="CO100" s="3">
        <f>IFERROR(VLOOKUP(L100,CARR_PEN_TBL,2,0),0)</f>
        <v/>
      </c>
      <c r="CP100" s="3">
        <f>W_FIAB*BZ100+W_PRECIO*CB100+W_KMEDAD*CF100+W_ANUNCIO*CG100+W_USO*CL100+W_SEGURIDAD*CN100+W_ETIQUETA*CH100-CO100</f>
        <v/>
      </c>
      <c r="CQ100" s="4">
        <f>IF(N(I100)&gt;0,I100,IFERROR(ROUND(_xlfn.NUMBERVALUE(LEFT(G100,FIND(" ",G100&amp;" ")-1),".")*1000,0),99999))</f>
        <v/>
      </c>
      <c r="CR100" s="3">
        <f>IF(R100="profesional",0,IF(O100&lt;CUOTA_VALOR_MAX,IF(BD100&gt;ITP_TRAMO_ALTO,SUMIFS(CF_CUOTA,CF_MAS,ITP_TRAMO_ALTO,CF_CCMIN,"&lt;="&amp;CQ100,CF_CCMAX,"&gt;="&amp;CQ100),IF(BD100&gt;ITP_TRAMO_BAJO,SUMIFS(CF_CUOTA,CF_MAS,ITP_TRAMO_BAJO,CF_CCMIN,"&lt;="&amp;CQ100,CF_CCMAX,"&gt;="&amp;CQ100),O100*ITP_TIPO)),O100*ITP_TIPO))</f>
        <v/>
      </c>
      <c r="CS100" s="4">
        <f>IF(R100="profesional",N(AK100),0)</f>
        <v/>
      </c>
      <c r="CT100" s="3">
        <f>IF(AND(R100="profesional",ISNUMBER(AK100),AL100="sí"),0,TASA_DGT)</f>
        <v/>
      </c>
      <c r="CU100" s="3">
        <f>INFORME_DGT</f>
        <v/>
      </c>
      <c r="CV100" s="4">
        <f>O100+CS100+CR100+CT100+CU100</f>
        <v/>
      </c>
      <c r="CW100" s="4">
        <f>CV100+N(CJ100)</f>
        <v/>
      </c>
      <c r="CX100" s="3">
        <f>IF(CV100&lt;=TOTAL_MAX,"sí",IF(CV100&lt;=TOTAL_MAX+MARGEN_NEG,"negociar","no"))</f>
        <v/>
      </c>
      <c r="CY100" s="4">
        <f>IF(CX100&lt;&gt;"no",COUNTIFS($CX$2:$CX$101,"&lt;&gt;no",$CP$2:$CP$101,"&gt;"&amp;CP100)+COUNTIFS($CX$2:CX100,"&lt;&gt;no",$CP$2:CP100,CP100),"")</f>
        <v/>
      </c>
    </row>
    <row r="101">
      <c r="A101" s="2" t="inlineStr">
        <is>
          <t>cochesnet:71319739</t>
        </is>
      </c>
      <c r="B101" s="2" t="inlineStr">
        <is>
          <t>cochesnet</t>
        </is>
      </c>
      <c r="C101" s="2" t="inlineStr">
        <is>
          <t>https://www.coches.net/chevrolet-kalos-12-se-3p-gasolina-2006-en-castellon-71319739-covo.aspx</t>
        </is>
      </c>
      <c r="D101" s="2" t="inlineStr">
        <is>
          <t>CHEVROLET Kalos 1.2 SE</t>
        </is>
      </c>
      <c r="E101" s="2" t="inlineStr">
        <is>
          <t>Chevrolet</t>
        </is>
      </c>
      <c r="F101" s="2" t="inlineStr">
        <is>
          <t>Chevrolet Kalos</t>
        </is>
      </c>
      <c r="G101" s="2" t="inlineStr">
        <is>
          <t>1.2</t>
        </is>
      </c>
      <c r="H101" s="2" t="inlineStr">
        <is>
          <t>1.2 SE</t>
        </is>
      </c>
      <c r="I101" s="2" t="n"/>
      <c r="J101" s="2" t="n"/>
      <c r="K101" s="2" t="inlineStr">
        <is>
          <t>gasolina</t>
        </is>
      </c>
      <c r="L101" s="2" t="inlineStr">
        <is>
          <t>utilitario</t>
        </is>
      </c>
      <c r="M101" s="2" t="n">
        <v>2007</v>
      </c>
      <c r="N101" s="2" t="n">
        <v>99000</v>
      </c>
      <c r="O101" s="2" t="n">
        <v>3350</v>
      </c>
      <c r="P101" s="2" t="inlineStr">
        <is>
          <t>manual</t>
        </is>
      </c>
      <c r="Q101" s="2" t="inlineStr">
        <is>
          <t>no</t>
        </is>
      </c>
      <c r="R101" s="2" t="inlineStr">
        <is>
          <t>profesional</t>
        </is>
      </c>
      <c r="S101" s="2" t="inlineStr">
        <is>
          <t>Andrés Cars Castellón de la Plana / Castelló de la Plana</t>
        </is>
      </c>
      <c r="T101" s="2" t="inlineStr">
        <is>
          <t>2026-08-19T10:36:35Z</t>
        </is>
      </c>
      <c r="U101" s="2" t="n">
        <v>34</v>
      </c>
      <c r="V101" s="2" t="inlineStr">
        <is>
          <t>sí</t>
        </is>
      </c>
      <c r="W101" s="2" t="inlineStr">
        <is>
          <t>sí</t>
        </is>
      </c>
      <c r="X101" s="2" t="inlineStr">
        <is>
          <t>sí</t>
        </is>
      </c>
      <c r="Y101" s="2" t="n">
        <v>1</v>
      </c>
      <c r="Z101" s="2" t="inlineStr">
        <is>
          <t>sí</t>
        </is>
      </c>
      <c r="AA101" s="2" t="n"/>
      <c r="AB101" s="2" t="n">
        <v>12</v>
      </c>
      <c r="AC101" s="2" t="n"/>
      <c r="AD101" s="2" t="n"/>
      <c r="AE101" s="2" t="n"/>
      <c r="AF101" s="2" t="n"/>
      <c r="AG101" s="2" t="n"/>
      <c r="AH101" s="2" t="n">
        <v>3350</v>
      </c>
      <c r="AI101" s="2" t="n"/>
      <c r="AJ101" s="2" t="n"/>
      <c r="AK101" s="2" t="n"/>
      <c r="AL101" s="2" t="n"/>
      <c r="AM101" s="2" t="n"/>
      <c r="AN101" s="2" t="n"/>
      <c r="AO101" s="2" t="inlineStr">
        <is>
          <t>2007</t>
        </is>
      </c>
      <c r="AP101" s="2" t="n">
        <v>2007</v>
      </c>
      <c r="AQ101" s="2" t="n"/>
      <c r="AR101" s="2" t="inlineStr">
        <is>
          <t>C</t>
        </is>
      </c>
      <c r="AS101" s="2" t="inlineStr">
        <is>
          <t>anuncio</t>
        </is>
      </c>
      <c r="AT101" s="2" t="n">
        <v>2006</v>
      </c>
      <c r="AU101" s="2" t="inlineStr">
        <is>
          <t>no</t>
        </is>
      </c>
      <c r="AV101" s="2" t="inlineStr">
        <is>
          <t>no</t>
        </is>
      </c>
      <c r="AW101" s="2" t="n">
        <v>2999</v>
      </c>
      <c r="AX101" s="2" t="n">
        <v>6</v>
      </c>
      <c r="AY101" s="2" t="inlineStr">
        <is>
          <t>modelo+año</t>
        </is>
      </c>
      <c r="AZ101" s="2" t="n"/>
      <c r="BA101" s="2" t="inlineStr">
        <is>
          <t>año a confirmar: la URL/título dice 2006;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B101" s="2" t="inlineStr">
        <is>
          <t>Etiqueta medioambiental C.
 Puede entrar en las grandes ciudades. 
Vehículo procedente de primera mano, con tan solo 100 mil kilómetros y en perfecto estado tanto de chapa como de mecanica. 
Lleva motor 1,2 gasolina con 65 cv de potencia, consumo muy bajo. 
Mantenimiento al día, con el kit de distribución recién cambiado, todo con factura y garantía.
Se entrega con itv recien pasada .
Admito prueba de taller.
Cambio de nombre aparte 150 €. 
Precio no negociable.
Anuncio  con titulo informativo y no contractual.
GRACIAS.</t>
        </is>
      </c>
      <c r="BC101" s="2" t="inlineStr">
        <is>
          <t>https://www.coches.net/chevrolet-kalos-12-se-3p-gasolina-2006-en-castellon-71319739-covo.aspx (window.__INITIAL_PROPS__.ad) /home/user/Alopecia/buscador-coches/raw/cochesnet/77f0948f945de291.json</t>
        </is>
      </c>
      <c r="BD101" s="3">
        <f>MAX(ANIO_ACTUAL-M101,0)</f>
        <v/>
      </c>
      <c r="BE101" s="4">
        <f>N101/MAX(BD101,0.5)</f>
        <v/>
      </c>
      <c r="BF101" s="4">
        <f>F101</f>
        <v/>
      </c>
      <c r="BG101" s="3">
        <f>BF101&amp;"|"&amp;INT(M101/SEG_ANIO)*SEG_ANIO</f>
        <v/>
      </c>
      <c r="BH101" s="3">
        <f>BG101&amp;"|"&amp;INT(N101/SEG_KM)*SEG_KM</f>
        <v/>
      </c>
      <c r="BI101" s="4">
        <f>COUNTIF($BF$2:$BF$101,BF101)</f>
        <v/>
      </c>
      <c r="BJ101" s="4">
        <f>COUNTIF($BG$2:$BG$101,BG101)</f>
        <v/>
      </c>
      <c r="BK101" s="4">
        <f>COUNTIF($BH$2:$BH$101,BH101)</f>
        <v/>
      </c>
      <c r="BL101" s="3">
        <f t="array" ref="BL101">IF(N(AX101)&gt;=MIN_N,AW101,IF(BK101&gt;=MIN_N,MEDIAN(IF($BH$2:$BH$101=BH101,$O$2:$O$101)),IF(BJ101&gt;=MIN_N,MEDIAN(IF($BG$2:$BG$101=BG101,$O$2:$O$101)),MEDIAN(IF($BF$2:$BF$101=BF101,$O$2:$O$101)))))</f>
        <v/>
      </c>
      <c r="BM101" s="3">
        <f>IF(N(AX101)&gt;=MIN_N,"mercado "&amp;AY101,IF(BK101&gt;=MIN_N,"modelo+año+km",IF(BJ101&gt;=MIN_N,"modelo+año","modelo")))</f>
        <v/>
      </c>
      <c r="BN101" s="4">
        <f>(BL101-O101)/BL101</f>
        <v/>
      </c>
      <c r="BO101" s="3">
        <f>IF(COUNTIFS(FR_FUEL,K101,FR_YEAR,AP101)&gt;0,1,0)</f>
        <v/>
      </c>
      <c r="BP101" s="3">
        <f>IF(COUNTIFS(FR_FUEL,K101,FR_YEAR,AP101-1)&gt;0,1,0)</f>
        <v/>
      </c>
      <c r="BQ101" s="4">
        <f>IF(N(AQ101)&gt;0,AP101*100+AQ101,IF(AND(BO101=1,BP101=1),(AP101-1)*100+1,AP101*100+1))</f>
        <v/>
      </c>
      <c r="BR101" s="3">
        <f>IF(OR(K101="hibrido",K101="glp",K101="gnc",K101="phev"),"ECO",IF(K101="electrico","CERO",IF(K101="gasolina",IF(BQ101&gt;=GAS_C_YM,"C",IF(BQ101&gt;=GAS_B_YM,"B","A")),IF(K101="diesel",IF(BQ101&gt;=DIE_C_YM,"C",IF(BQ101&gt;=DIE_B_YM,"B","A")),""))))</f>
        <v/>
      </c>
      <c r="BS101" s="2" t="inlineStr">
        <is>
          <t>C</t>
        </is>
      </c>
      <c r="BT101" s="4">
        <f>IF(AU101="sí","sí",IF(AS101="regla",IF(AND(N(AQ101)=0,BO101=1),"sí","no"),"no"))</f>
        <v/>
      </c>
      <c r="BU101" s="3">
        <f>IFERROR(VLOOKUP(F101,MOD_TBL,16,0),IFERROR(VLOOKUP(E101,OCU_TBL,2,0),NEUTRO))</f>
        <v/>
      </c>
      <c r="BV101" s="3">
        <f>SUMIFS(MOT_AJUSTE,MOT_MOTOR,G101,MOT_MARCA,E101,MOT_DESDE,"&lt;="&amp;M101,MOT_HASTA,"&gt;="&amp;M101)+SUMIFS(MOT_AJUSTE,MOT_MOTOR,G101,MOT_MARCA,"(todas)",MOT_DESDE,"&lt;="&amp;M101,MOT_HASTA,"&gt;="&amp;M101)+SUMIFS(MOT_AJUSTE,MOT_MOTOR,"(cualquiera)",MOT_MARCA,E101,MOT_DESDE,"&lt;="&amp;M101,MOT_HASTA,"&gt;="&amp;M101)</f>
        <v/>
      </c>
      <c r="BW101" s="3">
        <f>SUMIFS(COMB_AJUSTE,COMB_COMB,K101)</f>
        <v/>
      </c>
      <c r="BX101" s="3">
        <f>COUNTIFS(MOT_MOTOR,G101,MOT_MARCA,E101,MOT_DESDE,"&lt;="&amp;M101,MOT_HASTA,"&gt;="&amp;M101)+COUNTIFS(MOT_MOTOR,G101,MOT_MARCA,"(todas)",MOT_DESDE,"&lt;="&amp;M101,MOT_HASTA,"&gt;="&amp;M101)+COUNTIFS(MOT_MOTOR,"(cualquiera)",MOT_MARCA,E101,MOT_DESDE,"&lt;="&amp;M101,MOT_HASTA,"&gt;="&amp;M101)</f>
        <v/>
      </c>
      <c r="BY101" s="3">
        <f>IF(AND(K101="diesel",BX101=0),MIN(BU101,NEUTRO),BU101)</f>
        <v/>
      </c>
      <c r="BZ101" s="3">
        <f>MAX(0,MIN(100,BY101+BV101+BW101-IF(AV101="sí",ROB_PEN,0)))</f>
        <v/>
      </c>
      <c r="CA101" s="3">
        <f>100-MAX(0,N101-KM_TOPE_DESDE)/1000*KM_TOPE_PTS</f>
        <v/>
      </c>
      <c r="CB101" s="3">
        <f>MAX(0,MIN(100,50+BN101*PRECIO_PEND,CA101))</f>
        <v/>
      </c>
      <c r="CC101" s="3">
        <f>MAX(0,100*(1-N101/KM_MAX))</f>
        <v/>
      </c>
      <c r="CD101" s="3">
        <f>IF(BE101&lt;KMA_SOSP,IF(AA101="sí",100,KMA_PEN),IF(BE101&lt;=KMA_IDEAL_MAX,100,MAX(0,100*(KMA_CERO-BE101)/(KMA_CERO-KMA_IDEAL_MAX))))</f>
        <v/>
      </c>
      <c r="CE101" s="3">
        <f>MAX(0,MIN(100,100*(M101-ANIO_MIN)/(ANIO_ACTUAL-ANIO_MIN)))</f>
        <v/>
      </c>
      <c r="CF101" s="3">
        <f>W_KMT*CC101+W_KMA*CD101+W_EDAD*CE101</f>
        <v/>
      </c>
      <c r="CG101" s="3">
        <f>P_ITV*(V101="sí")+P_LIBRO*(W101="sí")+P_CORREA*(X101="sí")+P_PROP*(Y101=1)+P_GAR*(Z101="sí")+P_FOTOS*MIN(1,N(U101)/FOTOS_OBJ)</f>
        <v/>
      </c>
      <c r="CH101" s="3">
        <f>MAX(0,MIN(100,IFERROR(VLOOKUP(BS101,ETQ_TBL,2,0),0)-IF(BT101="sí",ETQ_PEN_DUD,IF(AS101="regla",ETQ_PEN_REGLA,0))))</f>
        <v/>
      </c>
      <c r="CI101" s="3">
        <f>NEUTRO</f>
        <v/>
      </c>
      <c r="CJ101" s="3">
        <f>IFERROR(VLOOKUP(L101,SEGURO_TBL,3,0),"")</f>
        <v/>
      </c>
      <c r="CK101" s="3">
        <f>IF(CJ101="",NEUTRO,MAX(0,MIN(100,100*(SEG_REF_MAX-CJ101)/(SEG_REF_MAX-SEG_REF_MIN))))</f>
        <v/>
      </c>
      <c r="CL101" s="3">
        <f>W_CONS*CI101+W_SEG*CK101</f>
        <v/>
      </c>
      <c r="CM101" s="3">
        <f>IF(N(AB101)&gt;0,AB101,IF(AND(R101="profesional",SG_LEGAL_ON=1),GAR_LEGAL,0))</f>
        <v/>
      </c>
      <c r="CN101" s="3">
        <f>SG_GAR*MIN(1,CM101/SG_GAR_FULL)+SG_AMPL*(AC101="sí")+SG_KMC*(AF101="sí")+SG_REV*(N(AE101)&gt;0)+SG_DEV*MIN(1,N(AG101)/SG_DEV_FULL)+SG_HIST*(W101="sí")</f>
        <v/>
      </c>
      <c r="CO101" s="3">
        <f>IFERROR(VLOOKUP(L101,CARR_PEN_TBL,2,0),0)</f>
        <v/>
      </c>
      <c r="CP101" s="3">
        <f>W_FIAB*BZ101+W_PRECIO*CB101+W_KMEDAD*CF101+W_ANUNCIO*CG101+W_USO*CL101+W_SEGURIDAD*CN101+W_ETIQUETA*CH101-CO101</f>
        <v/>
      </c>
      <c r="CQ101" s="4">
        <f>IF(N(I101)&gt;0,I101,IFERROR(ROUND(_xlfn.NUMBERVALUE(LEFT(G101,FIND(" ",G101&amp;" ")-1),".")*1000,0),99999))</f>
        <v/>
      </c>
      <c r="CR101" s="3">
        <f>IF(R101="profesional",0,IF(O101&lt;CUOTA_VALOR_MAX,IF(BD101&gt;ITP_TRAMO_ALTO,SUMIFS(CF_CUOTA,CF_MAS,ITP_TRAMO_ALTO,CF_CCMIN,"&lt;="&amp;CQ101,CF_CCMAX,"&gt;="&amp;CQ101),IF(BD101&gt;ITP_TRAMO_BAJO,SUMIFS(CF_CUOTA,CF_MAS,ITP_TRAMO_BAJO,CF_CCMIN,"&lt;="&amp;CQ101,CF_CCMAX,"&gt;="&amp;CQ101),O101*ITP_TIPO)),O101*ITP_TIPO))</f>
        <v/>
      </c>
      <c r="CS101" s="4">
        <f>IF(R101="profesional",N(AK101),0)</f>
        <v/>
      </c>
      <c r="CT101" s="3">
        <f>IF(AND(R101="profesional",ISNUMBER(AK101),AL101="sí"),0,TASA_DGT)</f>
        <v/>
      </c>
      <c r="CU101" s="3">
        <f>INFORME_DGT</f>
        <v/>
      </c>
      <c r="CV101" s="4">
        <f>O101+CS101+CR101+CT101+CU101</f>
        <v/>
      </c>
      <c r="CW101" s="4">
        <f>CV101+N(CJ101)</f>
        <v/>
      </c>
      <c r="CX101" s="3">
        <f>IF(CV101&lt;=TOTAL_MAX,"sí",IF(CV101&lt;=TOTAL_MAX+MARGEN_NEG,"negociar","no"))</f>
        <v/>
      </c>
      <c r="CY101" s="4">
        <f>IF(CX101&lt;&gt;"no",COUNTIFS($CX$2:$CX$101,"&lt;&gt;no",$CP$2:$CP$101,"&gt;"&amp;CP101)+COUNTIFS($CX$2:CX101,"&lt;&gt;no",$CP$2:CP101,CP101),"")</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Fuente etiqueta</t>
        </is>
      </c>
      <c r="Y1" s="1" t="inlineStr">
        <is>
          <t>Etiqueta dudosa</t>
        </is>
      </c>
      <c r="Z1" s="1" t="inlineStr">
        <is>
          <t>P. Fiabilidad</t>
        </is>
      </c>
      <c r="AA1" s="1" t="inlineStr">
        <is>
          <t>P. Precio</t>
        </is>
      </c>
      <c r="AB1" s="1" t="inlineStr">
        <is>
          <t>P. Km y edad</t>
        </is>
      </c>
      <c r="AC1" s="1" t="inlineStr">
        <is>
          <t>P. Anuncio</t>
        </is>
      </c>
      <c r="AD1" s="1" t="inlineStr">
        <is>
          <t>P. Coste uso</t>
        </is>
      </c>
      <c r="AE1" s="1" t="inlineStr">
        <is>
          <t>P. Seguridad compra</t>
        </is>
      </c>
      <c r="AF1" s="1" t="inlineStr">
        <is>
          <t>P. Etiqueta y ZBE</t>
        </is>
      </c>
      <c r="AG1" s="1" t="inlineStr">
        <is>
          <t>PUNTUACIÓN</t>
        </is>
      </c>
      <c r="AH1" s="1" t="inlineStr">
        <is>
          <t>Avisos</t>
        </is>
      </c>
      <c r="AI1" s="1" t="inlineStr">
        <is>
          <t>Aport. fiabilidad</t>
        </is>
      </c>
      <c r="AJ1" s="1" t="inlineStr">
        <is>
          <t>Aport. precio</t>
        </is>
      </c>
      <c r="AK1" s="1" t="inlineStr">
        <is>
          <t>Aport. km/edad</t>
        </is>
      </c>
      <c r="AL1" s="1" t="inlineStr">
        <is>
          <t>Aport. anuncio</t>
        </is>
      </c>
      <c r="AM1" s="1" t="inlineStr">
        <is>
          <t>Aport. uso</t>
        </is>
      </c>
      <c r="AN1" s="1" t="inlineStr">
        <is>
          <t>Aport. seguridad</t>
        </is>
      </c>
      <c r="AO1" s="1" t="inlineStr">
        <is>
          <t>Aport. etiqueta</t>
        </is>
      </c>
    </row>
    <row r="2">
      <c r="A2" s="2" t="n">
        <v>1</v>
      </c>
      <c r="B2" s="3">
        <f>IFERROR(MATCH(A2,Anuncios!$CY$2:$CY$101,0),"")</f>
        <v/>
      </c>
      <c r="C2" s="3">
        <f>IF(B2="","",HYPERLINK(INDEX(Anuncios!$C$2:$C$101,B2),"Abrir anuncio"))</f>
        <v/>
      </c>
      <c r="D2" s="3">
        <f>IF($B2="","",INDEX(Anuncios!$D$2:$D$101,$B2))</f>
        <v/>
      </c>
      <c r="E2" s="3">
        <f>IF($B2="","",INDEX(Anuncios!$B$2:$B$101,$B2))</f>
        <v/>
      </c>
      <c r="F2" s="3">
        <f>IF($B2="","",INDEX(Anuncios!$E$2:$E$101,$B2))</f>
        <v/>
      </c>
      <c r="G2" s="3">
        <f>IF($B2="","",INDEX(Anuncios!$F$2:$F$101,$B2))</f>
        <v/>
      </c>
      <c r="H2" s="3">
        <f>IF($B2="","",INDEX(Anuncios!$G$2:$G$101,$B2))</f>
        <v/>
      </c>
      <c r="I2" s="3">
        <f>IF($B2="","",INDEX(Anuncios!$K$2:$K$101,$B2))</f>
        <v/>
      </c>
      <c r="J2" s="3">
        <f>IF($B2="","",INDEX(Anuncios!$M$2:$M$101,$B2))</f>
        <v/>
      </c>
      <c r="K2" s="3">
        <f>IF($B2="","",INDEX(Anuncios!$N$2:$N$101,$B2))</f>
        <v/>
      </c>
      <c r="L2" s="3">
        <f>IF($B2="","",INDEX(Anuncios!$Q$2:$Q$101,$B2))</f>
        <v/>
      </c>
      <c r="M2" s="3">
        <f>IF($B2="","",INDEX(Anuncios!$R$2:$R$101,$B2))</f>
        <v/>
      </c>
      <c r="N2" s="3">
        <f>IF($B2="","",INDEX(Anuncios!$O$2:$O$101,$B2))</f>
        <v/>
      </c>
      <c r="O2" s="3">
        <f>IF($B2="","",INDEX(Anuncios!$AJ$2:$AJ$101,$B2))</f>
        <v/>
      </c>
      <c r="P2" s="3">
        <f>IF($B2="","",INDEX(Anuncios!$AI$2:$AI$101,$B2))</f>
        <v/>
      </c>
      <c r="Q2" s="3">
        <f>IF($B2="","",INDEX(Anuncios!$CM$2:$CM$101,$B2))</f>
        <v/>
      </c>
      <c r="R2" s="3">
        <f>IF($B2="","",INDEX(Anuncios!$CS$2:$CS$101,$B2))</f>
        <v/>
      </c>
      <c r="S2" s="3">
        <f>IF($B2="","",INDEX(Anuncios!$CR$2:$CR$101,$B2))</f>
        <v/>
      </c>
      <c r="T2" s="3">
        <f>IF($B2="","",INDEX(Anuncios!$CV$2:$CV$101,$B2))</f>
        <v/>
      </c>
      <c r="U2" s="3">
        <f>IF($B2="","",INDEX(Anuncios!$BL$2:$BL$101,$B2))</f>
        <v/>
      </c>
      <c r="V2" s="3">
        <f>IF($B2="","",INDEX(Anuncios!$BN$2:$BN$101,$B2))</f>
        <v/>
      </c>
      <c r="W2" s="3">
        <f>IF($B2="","",INDEX(Anuncios!$BS$2:$BS$101,$B2))</f>
        <v/>
      </c>
      <c r="X2" s="3">
        <f>IF($B2="","",INDEX(Anuncios!$AS$2:$AS$101,$B2))</f>
        <v/>
      </c>
      <c r="Y2" s="3">
        <f>IF($B2="","",INDEX(Anuncios!$BT$2:$BT$101,$B2))</f>
        <v/>
      </c>
      <c r="Z2" s="3">
        <f>IF($B2="","",INDEX(Anuncios!$BZ$2:$BZ$101,$B2))</f>
        <v/>
      </c>
      <c r="AA2" s="3">
        <f>IF($B2="","",INDEX(Anuncios!$CB$2:$CB$101,$B2))</f>
        <v/>
      </c>
      <c r="AB2" s="3">
        <f>IF($B2="","",INDEX(Anuncios!$CF$2:$CF$101,$B2))</f>
        <v/>
      </c>
      <c r="AC2" s="3">
        <f>IF($B2="","",INDEX(Anuncios!$CG$2:$CG$101,$B2))</f>
        <v/>
      </c>
      <c r="AD2" s="3">
        <f>IF($B2="","",INDEX(Anuncios!$CL$2:$CL$101,$B2))</f>
        <v/>
      </c>
      <c r="AE2" s="3">
        <f>IF($B2="","",INDEX(Anuncios!$CN$2:$CN$101,$B2))</f>
        <v/>
      </c>
      <c r="AF2" s="3">
        <f>IF($B2="","",INDEX(Anuncios!$CH$2:$CH$101,$B2))</f>
        <v/>
      </c>
      <c r="AG2" s="3">
        <f>IF($B2="","",INDEX(Anuncios!$CP$2:$CP$101,$B2))</f>
        <v/>
      </c>
      <c r="AH2" s="3">
        <f>IF($B2="","",INDEX(Anuncios!$BA$2:$BA$101,$B2))</f>
        <v/>
      </c>
      <c r="AI2" s="3">
        <f>IF($B2="","",Z2*W_FIAB)</f>
        <v/>
      </c>
      <c r="AJ2" s="3">
        <f>IF($B2="","",AA2*W_PRECIO)</f>
        <v/>
      </c>
      <c r="AK2" s="3">
        <f>IF($B2="","",AB2*W_KMEDAD)</f>
        <v/>
      </c>
      <c r="AL2" s="3">
        <f>IF($B2="","",AC2*W_ANUNCIO)</f>
        <v/>
      </c>
      <c r="AM2" s="3">
        <f>IF($B2="","",AD2*W_USO)</f>
        <v/>
      </c>
      <c r="AN2" s="3">
        <f>IF($B2="","",AE2*W_SEGURIDAD)</f>
        <v/>
      </c>
      <c r="AO2" s="3">
        <f>IF($B2="","",AF2*W_ETIQUETA)</f>
        <v/>
      </c>
    </row>
    <row r="3">
      <c r="A3" s="2" t="n">
        <v>2</v>
      </c>
      <c r="B3" s="3">
        <f>IFERROR(MATCH(A3,Anuncios!$CY$2:$CY$101,0),"")</f>
        <v/>
      </c>
      <c r="C3" s="3">
        <f>IF(B3="","",HYPERLINK(INDEX(Anuncios!$C$2:$C$101,B3),"Abrir anuncio"))</f>
        <v/>
      </c>
      <c r="D3" s="3">
        <f>IF($B3="","",INDEX(Anuncios!$D$2:$D$101,$B3))</f>
        <v/>
      </c>
      <c r="E3" s="3">
        <f>IF($B3="","",INDEX(Anuncios!$B$2:$B$101,$B3))</f>
        <v/>
      </c>
      <c r="F3" s="3">
        <f>IF($B3="","",INDEX(Anuncios!$E$2:$E$101,$B3))</f>
        <v/>
      </c>
      <c r="G3" s="3">
        <f>IF($B3="","",INDEX(Anuncios!$F$2:$F$101,$B3))</f>
        <v/>
      </c>
      <c r="H3" s="3">
        <f>IF($B3="","",INDEX(Anuncios!$G$2:$G$101,$B3))</f>
        <v/>
      </c>
      <c r="I3" s="3">
        <f>IF($B3="","",INDEX(Anuncios!$K$2:$K$101,$B3))</f>
        <v/>
      </c>
      <c r="J3" s="3">
        <f>IF($B3="","",INDEX(Anuncios!$M$2:$M$101,$B3))</f>
        <v/>
      </c>
      <c r="K3" s="3">
        <f>IF($B3="","",INDEX(Anuncios!$N$2:$N$101,$B3))</f>
        <v/>
      </c>
      <c r="L3" s="3">
        <f>IF($B3="","",INDEX(Anuncios!$Q$2:$Q$101,$B3))</f>
        <v/>
      </c>
      <c r="M3" s="3">
        <f>IF($B3="","",INDEX(Anuncios!$R$2:$R$101,$B3))</f>
        <v/>
      </c>
      <c r="N3" s="3">
        <f>IF($B3="","",INDEX(Anuncios!$O$2:$O$101,$B3))</f>
        <v/>
      </c>
      <c r="O3" s="3">
        <f>IF($B3="","",INDEX(Anuncios!$AJ$2:$AJ$101,$B3))</f>
        <v/>
      </c>
      <c r="P3" s="3">
        <f>IF($B3="","",INDEX(Anuncios!$AI$2:$AI$101,$B3))</f>
        <v/>
      </c>
      <c r="Q3" s="3">
        <f>IF($B3="","",INDEX(Anuncios!$CM$2:$CM$101,$B3))</f>
        <v/>
      </c>
      <c r="R3" s="3">
        <f>IF($B3="","",INDEX(Anuncios!$CS$2:$CS$101,$B3))</f>
        <v/>
      </c>
      <c r="S3" s="3">
        <f>IF($B3="","",INDEX(Anuncios!$CR$2:$CR$101,$B3))</f>
        <v/>
      </c>
      <c r="T3" s="3">
        <f>IF($B3="","",INDEX(Anuncios!$CV$2:$CV$101,$B3))</f>
        <v/>
      </c>
      <c r="U3" s="3">
        <f>IF($B3="","",INDEX(Anuncios!$BL$2:$BL$101,$B3))</f>
        <v/>
      </c>
      <c r="V3" s="3">
        <f>IF($B3="","",INDEX(Anuncios!$BN$2:$BN$101,$B3))</f>
        <v/>
      </c>
      <c r="W3" s="3">
        <f>IF($B3="","",INDEX(Anuncios!$BS$2:$BS$101,$B3))</f>
        <v/>
      </c>
      <c r="X3" s="3">
        <f>IF($B3="","",INDEX(Anuncios!$AS$2:$AS$101,$B3))</f>
        <v/>
      </c>
      <c r="Y3" s="3">
        <f>IF($B3="","",INDEX(Anuncios!$BT$2:$BT$101,$B3))</f>
        <v/>
      </c>
      <c r="Z3" s="3">
        <f>IF($B3="","",INDEX(Anuncios!$BZ$2:$BZ$101,$B3))</f>
        <v/>
      </c>
      <c r="AA3" s="3">
        <f>IF($B3="","",INDEX(Anuncios!$CB$2:$CB$101,$B3))</f>
        <v/>
      </c>
      <c r="AB3" s="3">
        <f>IF($B3="","",INDEX(Anuncios!$CF$2:$CF$101,$B3))</f>
        <v/>
      </c>
      <c r="AC3" s="3">
        <f>IF($B3="","",INDEX(Anuncios!$CG$2:$CG$101,$B3))</f>
        <v/>
      </c>
      <c r="AD3" s="3">
        <f>IF($B3="","",INDEX(Anuncios!$CL$2:$CL$101,$B3))</f>
        <v/>
      </c>
      <c r="AE3" s="3">
        <f>IF($B3="","",INDEX(Anuncios!$CN$2:$CN$101,$B3))</f>
        <v/>
      </c>
      <c r="AF3" s="3">
        <f>IF($B3="","",INDEX(Anuncios!$CH$2:$CH$101,$B3))</f>
        <v/>
      </c>
      <c r="AG3" s="3">
        <f>IF($B3="","",INDEX(Anuncios!$CP$2:$CP$101,$B3))</f>
        <v/>
      </c>
      <c r="AH3" s="3">
        <f>IF($B3="","",INDEX(Anuncios!$BA$2:$BA$101,$B3))</f>
        <v/>
      </c>
      <c r="AI3" s="3">
        <f>IF($B3="","",Z3*W_FIAB)</f>
        <v/>
      </c>
      <c r="AJ3" s="3">
        <f>IF($B3="","",AA3*W_PRECIO)</f>
        <v/>
      </c>
      <c r="AK3" s="3">
        <f>IF($B3="","",AB3*W_KMEDAD)</f>
        <v/>
      </c>
      <c r="AL3" s="3">
        <f>IF($B3="","",AC3*W_ANUNCIO)</f>
        <v/>
      </c>
      <c r="AM3" s="3">
        <f>IF($B3="","",AD3*W_USO)</f>
        <v/>
      </c>
      <c r="AN3" s="3">
        <f>IF($B3="","",AE3*W_SEGURIDAD)</f>
        <v/>
      </c>
      <c r="AO3" s="3">
        <f>IF($B3="","",AF3*W_ETIQUETA)</f>
        <v/>
      </c>
    </row>
    <row r="4">
      <c r="A4" s="2" t="n">
        <v>3</v>
      </c>
      <c r="B4" s="3">
        <f>IFERROR(MATCH(A4,Anuncios!$CY$2:$CY$101,0),"")</f>
        <v/>
      </c>
      <c r="C4" s="3">
        <f>IF(B4="","",HYPERLINK(INDEX(Anuncios!$C$2:$C$101,B4),"Abrir anuncio"))</f>
        <v/>
      </c>
      <c r="D4" s="3">
        <f>IF($B4="","",INDEX(Anuncios!$D$2:$D$101,$B4))</f>
        <v/>
      </c>
      <c r="E4" s="3">
        <f>IF($B4="","",INDEX(Anuncios!$B$2:$B$101,$B4))</f>
        <v/>
      </c>
      <c r="F4" s="3">
        <f>IF($B4="","",INDEX(Anuncios!$E$2:$E$101,$B4))</f>
        <v/>
      </c>
      <c r="G4" s="3">
        <f>IF($B4="","",INDEX(Anuncios!$F$2:$F$101,$B4))</f>
        <v/>
      </c>
      <c r="H4" s="3">
        <f>IF($B4="","",INDEX(Anuncios!$G$2:$G$101,$B4))</f>
        <v/>
      </c>
      <c r="I4" s="3">
        <f>IF($B4="","",INDEX(Anuncios!$K$2:$K$101,$B4))</f>
        <v/>
      </c>
      <c r="J4" s="3">
        <f>IF($B4="","",INDEX(Anuncios!$M$2:$M$101,$B4))</f>
        <v/>
      </c>
      <c r="K4" s="3">
        <f>IF($B4="","",INDEX(Anuncios!$N$2:$N$101,$B4))</f>
        <v/>
      </c>
      <c r="L4" s="3">
        <f>IF($B4="","",INDEX(Anuncios!$Q$2:$Q$101,$B4))</f>
        <v/>
      </c>
      <c r="M4" s="3">
        <f>IF($B4="","",INDEX(Anuncios!$R$2:$R$101,$B4))</f>
        <v/>
      </c>
      <c r="N4" s="3">
        <f>IF($B4="","",INDEX(Anuncios!$O$2:$O$101,$B4))</f>
        <v/>
      </c>
      <c r="O4" s="3">
        <f>IF($B4="","",INDEX(Anuncios!$AJ$2:$AJ$101,$B4))</f>
        <v/>
      </c>
      <c r="P4" s="3">
        <f>IF($B4="","",INDEX(Anuncios!$AI$2:$AI$101,$B4))</f>
        <v/>
      </c>
      <c r="Q4" s="3">
        <f>IF($B4="","",INDEX(Anuncios!$CM$2:$CM$101,$B4))</f>
        <v/>
      </c>
      <c r="R4" s="3">
        <f>IF($B4="","",INDEX(Anuncios!$CS$2:$CS$101,$B4))</f>
        <v/>
      </c>
      <c r="S4" s="3">
        <f>IF($B4="","",INDEX(Anuncios!$CR$2:$CR$101,$B4))</f>
        <v/>
      </c>
      <c r="T4" s="3">
        <f>IF($B4="","",INDEX(Anuncios!$CV$2:$CV$101,$B4))</f>
        <v/>
      </c>
      <c r="U4" s="3">
        <f>IF($B4="","",INDEX(Anuncios!$BL$2:$BL$101,$B4))</f>
        <v/>
      </c>
      <c r="V4" s="3">
        <f>IF($B4="","",INDEX(Anuncios!$BN$2:$BN$101,$B4))</f>
        <v/>
      </c>
      <c r="W4" s="3">
        <f>IF($B4="","",INDEX(Anuncios!$BS$2:$BS$101,$B4))</f>
        <v/>
      </c>
      <c r="X4" s="3">
        <f>IF($B4="","",INDEX(Anuncios!$AS$2:$AS$101,$B4))</f>
        <v/>
      </c>
      <c r="Y4" s="3">
        <f>IF($B4="","",INDEX(Anuncios!$BT$2:$BT$101,$B4))</f>
        <v/>
      </c>
      <c r="Z4" s="3">
        <f>IF($B4="","",INDEX(Anuncios!$BZ$2:$BZ$101,$B4))</f>
        <v/>
      </c>
      <c r="AA4" s="3">
        <f>IF($B4="","",INDEX(Anuncios!$CB$2:$CB$101,$B4))</f>
        <v/>
      </c>
      <c r="AB4" s="3">
        <f>IF($B4="","",INDEX(Anuncios!$CF$2:$CF$101,$B4))</f>
        <v/>
      </c>
      <c r="AC4" s="3">
        <f>IF($B4="","",INDEX(Anuncios!$CG$2:$CG$101,$B4))</f>
        <v/>
      </c>
      <c r="AD4" s="3">
        <f>IF($B4="","",INDEX(Anuncios!$CL$2:$CL$101,$B4))</f>
        <v/>
      </c>
      <c r="AE4" s="3">
        <f>IF($B4="","",INDEX(Anuncios!$CN$2:$CN$101,$B4))</f>
        <v/>
      </c>
      <c r="AF4" s="3">
        <f>IF($B4="","",INDEX(Anuncios!$CH$2:$CH$101,$B4))</f>
        <v/>
      </c>
      <c r="AG4" s="3">
        <f>IF($B4="","",INDEX(Anuncios!$CP$2:$CP$101,$B4))</f>
        <v/>
      </c>
      <c r="AH4" s="3">
        <f>IF($B4="","",INDEX(Anuncios!$BA$2:$BA$101,$B4))</f>
        <v/>
      </c>
      <c r="AI4" s="3">
        <f>IF($B4="","",Z4*W_FIAB)</f>
        <v/>
      </c>
      <c r="AJ4" s="3">
        <f>IF($B4="","",AA4*W_PRECIO)</f>
        <v/>
      </c>
      <c r="AK4" s="3">
        <f>IF($B4="","",AB4*W_KMEDAD)</f>
        <v/>
      </c>
      <c r="AL4" s="3">
        <f>IF($B4="","",AC4*W_ANUNCIO)</f>
        <v/>
      </c>
      <c r="AM4" s="3">
        <f>IF($B4="","",AD4*W_USO)</f>
        <v/>
      </c>
      <c r="AN4" s="3">
        <f>IF($B4="","",AE4*W_SEGURIDAD)</f>
        <v/>
      </c>
      <c r="AO4" s="3">
        <f>IF($B4="","",AF4*W_ETIQUETA)</f>
        <v/>
      </c>
    </row>
    <row r="5">
      <c r="A5" s="2" t="n">
        <v>4</v>
      </c>
      <c r="B5" s="3">
        <f>IFERROR(MATCH(A5,Anuncios!$CY$2:$CY$101,0),"")</f>
        <v/>
      </c>
      <c r="C5" s="3">
        <f>IF(B5="","",HYPERLINK(INDEX(Anuncios!$C$2:$C$101,B5),"Abrir anuncio"))</f>
        <v/>
      </c>
      <c r="D5" s="3">
        <f>IF($B5="","",INDEX(Anuncios!$D$2:$D$101,$B5))</f>
        <v/>
      </c>
      <c r="E5" s="3">
        <f>IF($B5="","",INDEX(Anuncios!$B$2:$B$101,$B5))</f>
        <v/>
      </c>
      <c r="F5" s="3">
        <f>IF($B5="","",INDEX(Anuncios!$E$2:$E$101,$B5))</f>
        <v/>
      </c>
      <c r="G5" s="3">
        <f>IF($B5="","",INDEX(Anuncios!$F$2:$F$101,$B5))</f>
        <v/>
      </c>
      <c r="H5" s="3">
        <f>IF($B5="","",INDEX(Anuncios!$G$2:$G$101,$B5))</f>
        <v/>
      </c>
      <c r="I5" s="3">
        <f>IF($B5="","",INDEX(Anuncios!$K$2:$K$101,$B5))</f>
        <v/>
      </c>
      <c r="J5" s="3">
        <f>IF($B5="","",INDEX(Anuncios!$M$2:$M$101,$B5))</f>
        <v/>
      </c>
      <c r="K5" s="3">
        <f>IF($B5="","",INDEX(Anuncios!$N$2:$N$101,$B5))</f>
        <v/>
      </c>
      <c r="L5" s="3">
        <f>IF($B5="","",INDEX(Anuncios!$Q$2:$Q$101,$B5))</f>
        <v/>
      </c>
      <c r="M5" s="3">
        <f>IF($B5="","",INDEX(Anuncios!$R$2:$R$101,$B5))</f>
        <v/>
      </c>
      <c r="N5" s="3">
        <f>IF($B5="","",INDEX(Anuncios!$O$2:$O$101,$B5))</f>
        <v/>
      </c>
      <c r="O5" s="3">
        <f>IF($B5="","",INDEX(Anuncios!$AJ$2:$AJ$101,$B5))</f>
        <v/>
      </c>
      <c r="P5" s="3">
        <f>IF($B5="","",INDEX(Anuncios!$AI$2:$AI$101,$B5))</f>
        <v/>
      </c>
      <c r="Q5" s="3">
        <f>IF($B5="","",INDEX(Anuncios!$CM$2:$CM$101,$B5))</f>
        <v/>
      </c>
      <c r="R5" s="3">
        <f>IF($B5="","",INDEX(Anuncios!$CS$2:$CS$101,$B5))</f>
        <v/>
      </c>
      <c r="S5" s="3">
        <f>IF($B5="","",INDEX(Anuncios!$CR$2:$CR$101,$B5))</f>
        <v/>
      </c>
      <c r="T5" s="3">
        <f>IF($B5="","",INDEX(Anuncios!$CV$2:$CV$101,$B5))</f>
        <v/>
      </c>
      <c r="U5" s="3">
        <f>IF($B5="","",INDEX(Anuncios!$BL$2:$BL$101,$B5))</f>
        <v/>
      </c>
      <c r="V5" s="3">
        <f>IF($B5="","",INDEX(Anuncios!$BN$2:$BN$101,$B5))</f>
        <v/>
      </c>
      <c r="W5" s="3">
        <f>IF($B5="","",INDEX(Anuncios!$BS$2:$BS$101,$B5))</f>
        <v/>
      </c>
      <c r="X5" s="3">
        <f>IF($B5="","",INDEX(Anuncios!$AS$2:$AS$101,$B5))</f>
        <v/>
      </c>
      <c r="Y5" s="3">
        <f>IF($B5="","",INDEX(Anuncios!$BT$2:$BT$101,$B5))</f>
        <v/>
      </c>
      <c r="Z5" s="3">
        <f>IF($B5="","",INDEX(Anuncios!$BZ$2:$BZ$101,$B5))</f>
        <v/>
      </c>
      <c r="AA5" s="3">
        <f>IF($B5="","",INDEX(Anuncios!$CB$2:$CB$101,$B5))</f>
        <v/>
      </c>
      <c r="AB5" s="3">
        <f>IF($B5="","",INDEX(Anuncios!$CF$2:$CF$101,$B5))</f>
        <v/>
      </c>
      <c r="AC5" s="3">
        <f>IF($B5="","",INDEX(Anuncios!$CG$2:$CG$101,$B5))</f>
        <v/>
      </c>
      <c r="AD5" s="3">
        <f>IF($B5="","",INDEX(Anuncios!$CL$2:$CL$101,$B5))</f>
        <v/>
      </c>
      <c r="AE5" s="3">
        <f>IF($B5="","",INDEX(Anuncios!$CN$2:$CN$101,$B5))</f>
        <v/>
      </c>
      <c r="AF5" s="3">
        <f>IF($B5="","",INDEX(Anuncios!$CH$2:$CH$101,$B5))</f>
        <v/>
      </c>
      <c r="AG5" s="3">
        <f>IF($B5="","",INDEX(Anuncios!$CP$2:$CP$101,$B5))</f>
        <v/>
      </c>
      <c r="AH5" s="3">
        <f>IF($B5="","",INDEX(Anuncios!$BA$2:$BA$101,$B5))</f>
        <v/>
      </c>
      <c r="AI5" s="3">
        <f>IF($B5="","",Z5*W_FIAB)</f>
        <v/>
      </c>
      <c r="AJ5" s="3">
        <f>IF($B5="","",AA5*W_PRECIO)</f>
        <v/>
      </c>
      <c r="AK5" s="3">
        <f>IF($B5="","",AB5*W_KMEDAD)</f>
        <v/>
      </c>
      <c r="AL5" s="3">
        <f>IF($B5="","",AC5*W_ANUNCIO)</f>
        <v/>
      </c>
      <c r="AM5" s="3">
        <f>IF($B5="","",AD5*W_USO)</f>
        <v/>
      </c>
      <c r="AN5" s="3">
        <f>IF($B5="","",AE5*W_SEGURIDAD)</f>
        <v/>
      </c>
      <c r="AO5" s="3">
        <f>IF($B5="","",AF5*W_ETIQUETA)</f>
        <v/>
      </c>
    </row>
    <row r="6">
      <c r="A6" s="2" t="n">
        <v>5</v>
      </c>
      <c r="B6" s="3">
        <f>IFERROR(MATCH(A6,Anuncios!$CY$2:$CY$101,0),"")</f>
        <v/>
      </c>
      <c r="C6" s="3">
        <f>IF(B6="","",HYPERLINK(INDEX(Anuncios!$C$2:$C$101,B6),"Abrir anuncio"))</f>
        <v/>
      </c>
      <c r="D6" s="3">
        <f>IF($B6="","",INDEX(Anuncios!$D$2:$D$101,$B6))</f>
        <v/>
      </c>
      <c r="E6" s="3">
        <f>IF($B6="","",INDEX(Anuncios!$B$2:$B$101,$B6))</f>
        <v/>
      </c>
      <c r="F6" s="3">
        <f>IF($B6="","",INDEX(Anuncios!$E$2:$E$101,$B6))</f>
        <v/>
      </c>
      <c r="G6" s="3">
        <f>IF($B6="","",INDEX(Anuncios!$F$2:$F$101,$B6))</f>
        <v/>
      </c>
      <c r="H6" s="3">
        <f>IF($B6="","",INDEX(Anuncios!$G$2:$G$101,$B6))</f>
        <v/>
      </c>
      <c r="I6" s="3">
        <f>IF($B6="","",INDEX(Anuncios!$K$2:$K$101,$B6))</f>
        <v/>
      </c>
      <c r="J6" s="3">
        <f>IF($B6="","",INDEX(Anuncios!$M$2:$M$101,$B6))</f>
        <v/>
      </c>
      <c r="K6" s="3">
        <f>IF($B6="","",INDEX(Anuncios!$N$2:$N$101,$B6))</f>
        <v/>
      </c>
      <c r="L6" s="3">
        <f>IF($B6="","",INDEX(Anuncios!$Q$2:$Q$101,$B6))</f>
        <v/>
      </c>
      <c r="M6" s="3">
        <f>IF($B6="","",INDEX(Anuncios!$R$2:$R$101,$B6))</f>
        <v/>
      </c>
      <c r="N6" s="3">
        <f>IF($B6="","",INDEX(Anuncios!$O$2:$O$101,$B6))</f>
        <v/>
      </c>
      <c r="O6" s="3">
        <f>IF($B6="","",INDEX(Anuncios!$AJ$2:$AJ$101,$B6))</f>
        <v/>
      </c>
      <c r="P6" s="3">
        <f>IF($B6="","",INDEX(Anuncios!$AI$2:$AI$101,$B6))</f>
        <v/>
      </c>
      <c r="Q6" s="3">
        <f>IF($B6="","",INDEX(Anuncios!$CM$2:$CM$101,$B6))</f>
        <v/>
      </c>
      <c r="R6" s="3">
        <f>IF($B6="","",INDEX(Anuncios!$CS$2:$CS$101,$B6))</f>
        <v/>
      </c>
      <c r="S6" s="3">
        <f>IF($B6="","",INDEX(Anuncios!$CR$2:$CR$101,$B6))</f>
        <v/>
      </c>
      <c r="T6" s="3">
        <f>IF($B6="","",INDEX(Anuncios!$CV$2:$CV$101,$B6))</f>
        <v/>
      </c>
      <c r="U6" s="3">
        <f>IF($B6="","",INDEX(Anuncios!$BL$2:$BL$101,$B6))</f>
        <v/>
      </c>
      <c r="V6" s="3">
        <f>IF($B6="","",INDEX(Anuncios!$BN$2:$BN$101,$B6))</f>
        <v/>
      </c>
      <c r="W6" s="3">
        <f>IF($B6="","",INDEX(Anuncios!$BS$2:$BS$101,$B6))</f>
        <v/>
      </c>
      <c r="X6" s="3">
        <f>IF($B6="","",INDEX(Anuncios!$AS$2:$AS$101,$B6))</f>
        <v/>
      </c>
      <c r="Y6" s="3">
        <f>IF($B6="","",INDEX(Anuncios!$BT$2:$BT$101,$B6))</f>
        <v/>
      </c>
      <c r="Z6" s="3">
        <f>IF($B6="","",INDEX(Anuncios!$BZ$2:$BZ$101,$B6))</f>
        <v/>
      </c>
      <c r="AA6" s="3">
        <f>IF($B6="","",INDEX(Anuncios!$CB$2:$CB$101,$B6))</f>
        <v/>
      </c>
      <c r="AB6" s="3">
        <f>IF($B6="","",INDEX(Anuncios!$CF$2:$CF$101,$B6))</f>
        <v/>
      </c>
      <c r="AC6" s="3">
        <f>IF($B6="","",INDEX(Anuncios!$CG$2:$CG$101,$B6))</f>
        <v/>
      </c>
      <c r="AD6" s="3">
        <f>IF($B6="","",INDEX(Anuncios!$CL$2:$CL$101,$B6))</f>
        <v/>
      </c>
      <c r="AE6" s="3">
        <f>IF($B6="","",INDEX(Anuncios!$CN$2:$CN$101,$B6))</f>
        <v/>
      </c>
      <c r="AF6" s="3">
        <f>IF($B6="","",INDEX(Anuncios!$CH$2:$CH$101,$B6))</f>
        <v/>
      </c>
      <c r="AG6" s="3">
        <f>IF($B6="","",INDEX(Anuncios!$CP$2:$CP$101,$B6))</f>
        <v/>
      </c>
      <c r="AH6" s="3">
        <f>IF($B6="","",INDEX(Anuncios!$BA$2:$BA$101,$B6))</f>
        <v/>
      </c>
      <c r="AI6" s="3">
        <f>IF($B6="","",Z6*W_FIAB)</f>
        <v/>
      </c>
      <c r="AJ6" s="3">
        <f>IF($B6="","",AA6*W_PRECIO)</f>
        <v/>
      </c>
      <c r="AK6" s="3">
        <f>IF($B6="","",AB6*W_KMEDAD)</f>
        <v/>
      </c>
      <c r="AL6" s="3">
        <f>IF($B6="","",AC6*W_ANUNCIO)</f>
        <v/>
      </c>
      <c r="AM6" s="3">
        <f>IF($B6="","",AD6*W_USO)</f>
        <v/>
      </c>
      <c r="AN6" s="3">
        <f>IF($B6="","",AE6*W_SEGURIDAD)</f>
        <v/>
      </c>
      <c r="AO6" s="3">
        <f>IF($B6="","",AF6*W_ETIQUETA)</f>
        <v/>
      </c>
    </row>
    <row r="7">
      <c r="A7" s="2" t="n">
        <v>6</v>
      </c>
      <c r="B7" s="3">
        <f>IFERROR(MATCH(A7,Anuncios!$CY$2:$CY$101,0),"")</f>
        <v/>
      </c>
      <c r="C7" s="3">
        <f>IF(B7="","",HYPERLINK(INDEX(Anuncios!$C$2:$C$101,B7),"Abrir anuncio"))</f>
        <v/>
      </c>
      <c r="D7" s="3">
        <f>IF($B7="","",INDEX(Anuncios!$D$2:$D$101,$B7))</f>
        <v/>
      </c>
      <c r="E7" s="3">
        <f>IF($B7="","",INDEX(Anuncios!$B$2:$B$101,$B7))</f>
        <v/>
      </c>
      <c r="F7" s="3">
        <f>IF($B7="","",INDEX(Anuncios!$E$2:$E$101,$B7))</f>
        <v/>
      </c>
      <c r="G7" s="3">
        <f>IF($B7="","",INDEX(Anuncios!$F$2:$F$101,$B7))</f>
        <v/>
      </c>
      <c r="H7" s="3">
        <f>IF($B7="","",INDEX(Anuncios!$G$2:$G$101,$B7))</f>
        <v/>
      </c>
      <c r="I7" s="3">
        <f>IF($B7="","",INDEX(Anuncios!$K$2:$K$101,$B7))</f>
        <v/>
      </c>
      <c r="J7" s="3">
        <f>IF($B7="","",INDEX(Anuncios!$M$2:$M$101,$B7))</f>
        <v/>
      </c>
      <c r="K7" s="3">
        <f>IF($B7="","",INDEX(Anuncios!$N$2:$N$101,$B7))</f>
        <v/>
      </c>
      <c r="L7" s="3">
        <f>IF($B7="","",INDEX(Anuncios!$Q$2:$Q$101,$B7))</f>
        <v/>
      </c>
      <c r="M7" s="3">
        <f>IF($B7="","",INDEX(Anuncios!$R$2:$R$101,$B7))</f>
        <v/>
      </c>
      <c r="N7" s="3">
        <f>IF($B7="","",INDEX(Anuncios!$O$2:$O$101,$B7))</f>
        <v/>
      </c>
      <c r="O7" s="3">
        <f>IF($B7="","",INDEX(Anuncios!$AJ$2:$AJ$101,$B7))</f>
        <v/>
      </c>
      <c r="P7" s="3">
        <f>IF($B7="","",INDEX(Anuncios!$AI$2:$AI$101,$B7))</f>
        <v/>
      </c>
      <c r="Q7" s="3">
        <f>IF($B7="","",INDEX(Anuncios!$CM$2:$CM$101,$B7))</f>
        <v/>
      </c>
      <c r="R7" s="3">
        <f>IF($B7="","",INDEX(Anuncios!$CS$2:$CS$101,$B7))</f>
        <v/>
      </c>
      <c r="S7" s="3">
        <f>IF($B7="","",INDEX(Anuncios!$CR$2:$CR$101,$B7))</f>
        <v/>
      </c>
      <c r="T7" s="3">
        <f>IF($B7="","",INDEX(Anuncios!$CV$2:$CV$101,$B7))</f>
        <v/>
      </c>
      <c r="U7" s="3">
        <f>IF($B7="","",INDEX(Anuncios!$BL$2:$BL$101,$B7))</f>
        <v/>
      </c>
      <c r="V7" s="3">
        <f>IF($B7="","",INDEX(Anuncios!$BN$2:$BN$101,$B7))</f>
        <v/>
      </c>
      <c r="W7" s="3">
        <f>IF($B7="","",INDEX(Anuncios!$BS$2:$BS$101,$B7))</f>
        <v/>
      </c>
      <c r="X7" s="3">
        <f>IF($B7="","",INDEX(Anuncios!$AS$2:$AS$101,$B7))</f>
        <v/>
      </c>
      <c r="Y7" s="3">
        <f>IF($B7="","",INDEX(Anuncios!$BT$2:$BT$101,$B7))</f>
        <v/>
      </c>
      <c r="Z7" s="3">
        <f>IF($B7="","",INDEX(Anuncios!$BZ$2:$BZ$101,$B7))</f>
        <v/>
      </c>
      <c r="AA7" s="3">
        <f>IF($B7="","",INDEX(Anuncios!$CB$2:$CB$101,$B7))</f>
        <v/>
      </c>
      <c r="AB7" s="3">
        <f>IF($B7="","",INDEX(Anuncios!$CF$2:$CF$101,$B7))</f>
        <v/>
      </c>
      <c r="AC7" s="3">
        <f>IF($B7="","",INDEX(Anuncios!$CG$2:$CG$101,$B7))</f>
        <v/>
      </c>
      <c r="AD7" s="3">
        <f>IF($B7="","",INDEX(Anuncios!$CL$2:$CL$101,$B7))</f>
        <v/>
      </c>
      <c r="AE7" s="3">
        <f>IF($B7="","",INDEX(Anuncios!$CN$2:$CN$101,$B7))</f>
        <v/>
      </c>
      <c r="AF7" s="3">
        <f>IF($B7="","",INDEX(Anuncios!$CH$2:$CH$101,$B7))</f>
        <v/>
      </c>
      <c r="AG7" s="3">
        <f>IF($B7="","",INDEX(Anuncios!$CP$2:$CP$101,$B7))</f>
        <v/>
      </c>
      <c r="AH7" s="3">
        <f>IF($B7="","",INDEX(Anuncios!$BA$2:$BA$101,$B7))</f>
        <v/>
      </c>
      <c r="AI7" s="3">
        <f>IF($B7="","",Z7*W_FIAB)</f>
        <v/>
      </c>
      <c r="AJ7" s="3">
        <f>IF($B7="","",AA7*W_PRECIO)</f>
        <v/>
      </c>
      <c r="AK7" s="3">
        <f>IF($B7="","",AB7*W_KMEDAD)</f>
        <v/>
      </c>
      <c r="AL7" s="3">
        <f>IF($B7="","",AC7*W_ANUNCIO)</f>
        <v/>
      </c>
      <c r="AM7" s="3">
        <f>IF($B7="","",AD7*W_USO)</f>
        <v/>
      </c>
      <c r="AN7" s="3">
        <f>IF($B7="","",AE7*W_SEGURIDAD)</f>
        <v/>
      </c>
      <c r="AO7" s="3">
        <f>IF($B7="","",AF7*W_ETIQUETA)</f>
        <v/>
      </c>
    </row>
    <row r="8">
      <c r="A8" s="2" t="n">
        <v>7</v>
      </c>
      <c r="B8" s="3">
        <f>IFERROR(MATCH(A8,Anuncios!$CY$2:$CY$101,0),"")</f>
        <v/>
      </c>
      <c r="C8" s="3">
        <f>IF(B8="","",HYPERLINK(INDEX(Anuncios!$C$2:$C$101,B8),"Abrir anuncio"))</f>
        <v/>
      </c>
      <c r="D8" s="3">
        <f>IF($B8="","",INDEX(Anuncios!$D$2:$D$101,$B8))</f>
        <v/>
      </c>
      <c r="E8" s="3">
        <f>IF($B8="","",INDEX(Anuncios!$B$2:$B$101,$B8))</f>
        <v/>
      </c>
      <c r="F8" s="3">
        <f>IF($B8="","",INDEX(Anuncios!$E$2:$E$101,$B8))</f>
        <v/>
      </c>
      <c r="G8" s="3">
        <f>IF($B8="","",INDEX(Anuncios!$F$2:$F$101,$B8))</f>
        <v/>
      </c>
      <c r="H8" s="3">
        <f>IF($B8="","",INDEX(Anuncios!$G$2:$G$101,$B8))</f>
        <v/>
      </c>
      <c r="I8" s="3">
        <f>IF($B8="","",INDEX(Anuncios!$K$2:$K$101,$B8))</f>
        <v/>
      </c>
      <c r="J8" s="3">
        <f>IF($B8="","",INDEX(Anuncios!$M$2:$M$101,$B8))</f>
        <v/>
      </c>
      <c r="K8" s="3">
        <f>IF($B8="","",INDEX(Anuncios!$N$2:$N$101,$B8))</f>
        <v/>
      </c>
      <c r="L8" s="3">
        <f>IF($B8="","",INDEX(Anuncios!$Q$2:$Q$101,$B8))</f>
        <v/>
      </c>
      <c r="M8" s="3">
        <f>IF($B8="","",INDEX(Anuncios!$R$2:$R$101,$B8))</f>
        <v/>
      </c>
      <c r="N8" s="3">
        <f>IF($B8="","",INDEX(Anuncios!$O$2:$O$101,$B8))</f>
        <v/>
      </c>
      <c r="O8" s="3">
        <f>IF($B8="","",INDEX(Anuncios!$AJ$2:$AJ$101,$B8))</f>
        <v/>
      </c>
      <c r="P8" s="3">
        <f>IF($B8="","",INDEX(Anuncios!$AI$2:$AI$101,$B8))</f>
        <v/>
      </c>
      <c r="Q8" s="3">
        <f>IF($B8="","",INDEX(Anuncios!$CM$2:$CM$101,$B8))</f>
        <v/>
      </c>
      <c r="R8" s="3">
        <f>IF($B8="","",INDEX(Anuncios!$CS$2:$CS$101,$B8))</f>
        <v/>
      </c>
      <c r="S8" s="3">
        <f>IF($B8="","",INDEX(Anuncios!$CR$2:$CR$101,$B8))</f>
        <v/>
      </c>
      <c r="T8" s="3">
        <f>IF($B8="","",INDEX(Anuncios!$CV$2:$CV$101,$B8))</f>
        <v/>
      </c>
      <c r="U8" s="3">
        <f>IF($B8="","",INDEX(Anuncios!$BL$2:$BL$101,$B8))</f>
        <v/>
      </c>
      <c r="V8" s="3">
        <f>IF($B8="","",INDEX(Anuncios!$BN$2:$BN$101,$B8))</f>
        <v/>
      </c>
      <c r="W8" s="3">
        <f>IF($B8="","",INDEX(Anuncios!$BS$2:$BS$101,$B8))</f>
        <v/>
      </c>
      <c r="X8" s="3">
        <f>IF($B8="","",INDEX(Anuncios!$AS$2:$AS$101,$B8))</f>
        <v/>
      </c>
      <c r="Y8" s="3">
        <f>IF($B8="","",INDEX(Anuncios!$BT$2:$BT$101,$B8))</f>
        <v/>
      </c>
      <c r="Z8" s="3">
        <f>IF($B8="","",INDEX(Anuncios!$BZ$2:$BZ$101,$B8))</f>
        <v/>
      </c>
      <c r="AA8" s="3">
        <f>IF($B8="","",INDEX(Anuncios!$CB$2:$CB$101,$B8))</f>
        <v/>
      </c>
      <c r="AB8" s="3">
        <f>IF($B8="","",INDEX(Anuncios!$CF$2:$CF$101,$B8))</f>
        <v/>
      </c>
      <c r="AC8" s="3">
        <f>IF($B8="","",INDEX(Anuncios!$CG$2:$CG$101,$B8))</f>
        <v/>
      </c>
      <c r="AD8" s="3">
        <f>IF($B8="","",INDEX(Anuncios!$CL$2:$CL$101,$B8))</f>
        <v/>
      </c>
      <c r="AE8" s="3">
        <f>IF($B8="","",INDEX(Anuncios!$CN$2:$CN$101,$B8))</f>
        <v/>
      </c>
      <c r="AF8" s="3">
        <f>IF($B8="","",INDEX(Anuncios!$CH$2:$CH$101,$B8))</f>
        <v/>
      </c>
      <c r="AG8" s="3">
        <f>IF($B8="","",INDEX(Anuncios!$CP$2:$CP$101,$B8))</f>
        <v/>
      </c>
      <c r="AH8" s="3">
        <f>IF($B8="","",INDEX(Anuncios!$BA$2:$BA$101,$B8))</f>
        <v/>
      </c>
      <c r="AI8" s="3">
        <f>IF($B8="","",Z8*W_FIAB)</f>
        <v/>
      </c>
      <c r="AJ8" s="3">
        <f>IF($B8="","",AA8*W_PRECIO)</f>
        <v/>
      </c>
      <c r="AK8" s="3">
        <f>IF($B8="","",AB8*W_KMEDAD)</f>
        <v/>
      </c>
      <c r="AL8" s="3">
        <f>IF($B8="","",AC8*W_ANUNCIO)</f>
        <v/>
      </c>
      <c r="AM8" s="3">
        <f>IF($B8="","",AD8*W_USO)</f>
        <v/>
      </c>
      <c r="AN8" s="3">
        <f>IF($B8="","",AE8*W_SEGURIDAD)</f>
        <v/>
      </c>
      <c r="AO8" s="3">
        <f>IF($B8="","",AF8*W_ETIQUETA)</f>
        <v/>
      </c>
    </row>
    <row r="9">
      <c r="A9" s="2" t="n">
        <v>8</v>
      </c>
      <c r="B9" s="3">
        <f>IFERROR(MATCH(A9,Anuncios!$CY$2:$CY$101,0),"")</f>
        <v/>
      </c>
      <c r="C9" s="3">
        <f>IF(B9="","",HYPERLINK(INDEX(Anuncios!$C$2:$C$101,B9),"Abrir anuncio"))</f>
        <v/>
      </c>
      <c r="D9" s="3">
        <f>IF($B9="","",INDEX(Anuncios!$D$2:$D$101,$B9))</f>
        <v/>
      </c>
      <c r="E9" s="3">
        <f>IF($B9="","",INDEX(Anuncios!$B$2:$B$101,$B9))</f>
        <v/>
      </c>
      <c r="F9" s="3">
        <f>IF($B9="","",INDEX(Anuncios!$E$2:$E$101,$B9))</f>
        <v/>
      </c>
      <c r="G9" s="3">
        <f>IF($B9="","",INDEX(Anuncios!$F$2:$F$101,$B9))</f>
        <v/>
      </c>
      <c r="H9" s="3">
        <f>IF($B9="","",INDEX(Anuncios!$G$2:$G$101,$B9))</f>
        <v/>
      </c>
      <c r="I9" s="3">
        <f>IF($B9="","",INDEX(Anuncios!$K$2:$K$101,$B9))</f>
        <v/>
      </c>
      <c r="J9" s="3">
        <f>IF($B9="","",INDEX(Anuncios!$M$2:$M$101,$B9))</f>
        <v/>
      </c>
      <c r="K9" s="3">
        <f>IF($B9="","",INDEX(Anuncios!$N$2:$N$101,$B9))</f>
        <v/>
      </c>
      <c r="L9" s="3">
        <f>IF($B9="","",INDEX(Anuncios!$Q$2:$Q$101,$B9))</f>
        <v/>
      </c>
      <c r="M9" s="3">
        <f>IF($B9="","",INDEX(Anuncios!$R$2:$R$101,$B9))</f>
        <v/>
      </c>
      <c r="N9" s="3">
        <f>IF($B9="","",INDEX(Anuncios!$O$2:$O$101,$B9))</f>
        <v/>
      </c>
      <c r="O9" s="3">
        <f>IF($B9="","",INDEX(Anuncios!$AJ$2:$AJ$101,$B9))</f>
        <v/>
      </c>
      <c r="P9" s="3">
        <f>IF($B9="","",INDEX(Anuncios!$AI$2:$AI$101,$B9))</f>
        <v/>
      </c>
      <c r="Q9" s="3">
        <f>IF($B9="","",INDEX(Anuncios!$CM$2:$CM$101,$B9))</f>
        <v/>
      </c>
      <c r="R9" s="3">
        <f>IF($B9="","",INDEX(Anuncios!$CS$2:$CS$101,$B9))</f>
        <v/>
      </c>
      <c r="S9" s="3">
        <f>IF($B9="","",INDEX(Anuncios!$CR$2:$CR$101,$B9))</f>
        <v/>
      </c>
      <c r="T9" s="3">
        <f>IF($B9="","",INDEX(Anuncios!$CV$2:$CV$101,$B9))</f>
        <v/>
      </c>
      <c r="U9" s="3">
        <f>IF($B9="","",INDEX(Anuncios!$BL$2:$BL$101,$B9))</f>
        <v/>
      </c>
      <c r="V9" s="3">
        <f>IF($B9="","",INDEX(Anuncios!$BN$2:$BN$101,$B9))</f>
        <v/>
      </c>
      <c r="W9" s="3">
        <f>IF($B9="","",INDEX(Anuncios!$BS$2:$BS$101,$B9))</f>
        <v/>
      </c>
      <c r="X9" s="3">
        <f>IF($B9="","",INDEX(Anuncios!$AS$2:$AS$101,$B9))</f>
        <v/>
      </c>
      <c r="Y9" s="3">
        <f>IF($B9="","",INDEX(Anuncios!$BT$2:$BT$101,$B9))</f>
        <v/>
      </c>
      <c r="Z9" s="3">
        <f>IF($B9="","",INDEX(Anuncios!$BZ$2:$BZ$101,$B9))</f>
        <v/>
      </c>
      <c r="AA9" s="3">
        <f>IF($B9="","",INDEX(Anuncios!$CB$2:$CB$101,$B9))</f>
        <v/>
      </c>
      <c r="AB9" s="3">
        <f>IF($B9="","",INDEX(Anuncios!$CF$2:$CF$101,$B9))</f>
        <v/>
      </c>
      <c r="AC9" s="3">
        <f>IF($B9="","",INDEX(Anuncios!$CG$2:$CG$101,$B9))</f>
        <v/>
      </c>
      <c r="AD9" s="3">
        <f>IF($B9="","",INDEX(Anuncios!$CL$2:$CL$101,$B9))</f>
        <v/>
      </c>
      <c r="AE9" s="3">
        <f>IF($B9="","",INDEX(Anuncios!$CN$2:$CN$101,$B9))</f>
        <v/>
      </c>
      <c r="AF9" s="3">
        <f>IF($B9="","",INDEX(Anuncios!$CH$2:$CH$101,$B9))</f>
        <v/>
      </c>
      <c r="AG9" s="3">
        <f>IF($B9="","",INDEX(Anuncios!$CP$2:$CP$101,$B9))</f>
        <v/>
      </c>
      <c r="AH9" s="3">
        <f>IF($B9="","",INDEX(Anuncios!$BA$2:$BA$101,$B9))</f>
        <v/>
      </c>
      <c r="AI9" s="3">
        <f>IF($B9="","",Z9*W_FIAB)</f>
        <v/>
      </c>
      <c r="AJ9" s="3">
        <f>IF($B9="","",AA9*W_PRECIO)</f>
        <v/>
      </c>
      <c r="AK9" s="3">
        <f>IF($B9="","",AB9*W_KMEDAD)</f>
        <v/>
      </c>
      <c r="AL9" s="3">
        <f>IF($B9="","",AC9*W_ANUNCIO)</f>
        <v/>
      </c>
      <c r="AM9" s="3">
        <f>IF($B9="","",AD9*W_USO)</f>
        <v/>
      </c>
      <c r="AN9" s="3">
        <f>IF($B9="","",AE9*W_SEGURIDAD)</f>
        <v/>
      </c>
      <c r="AO9" s="3">
        <f>IF($B9="","",AF9*W_ETIQUETA)</f>
        <v/>
      </c>
    </row>
    <row r="10">
      <c r="A10" s="2" t="n">
        <v>9</v>
      </c>
      <c r="B10" s="3">
        <f>IFERROR(MATCH(A10,Anuncios!$CY$2:$CY$101,0),"")</f>
        <v/>
      </c>
      <c r="C10" s="3">
        <f>IF(B10="","",HYPERLINK(INDEX(Anuncios!$C$2:$C$101,B10),"Abrir anuncio"))</f>
        <v/>
      </c>
      <c r="D10" s="3">
        <f>IF($B10="","",INDEX(Anuncios!$D$2:$D$101,$B10))</f>
        <v/>
      </c>
      <c r="E10" s="3">
        <f>IF($B10="","",INDEX(Anuncios!$B$2:$B$101,$B10))</f>
        <v/>
      </c>
      <c r="F10" s="3">
        <f>IF($B10="","",INDEX(Anuncios!$E$2:$E$101,$B10))</f>
        <v/>
      </c>
      <c r="G10" s="3">
        <f>IF($B10="","",INDEX(Anuncios!$F$2:$F$101,$B10))</f>
        <v/>
      </c>
      <c r="H10" s="3">
        <f>IF($B10="","",INDEX(Anuncios!$G$2:$G$101,$B10))</f>
        <v/>
      </c>
      <c r="I10" s="3">
        <f>IF($B10="","",INDEX(Anuncios!$K$2:$K$101,$B10))</f>
        <v/>
      </c>
      <c r="J10" s="3">
        <f>IF($B10="","",INDEX(Anuncios!$M$2:$M$101,$B10))</f>
        <v/>
      </c>
      <c r="K10" s="3">
        <f>IF($B10="","",INDEX(Anuncios!$N$2:$N$101,$B10))</f>
        <v/>
      </c>
      <c r="L10" s="3">
        <f>IF($B10="","",INDEX(Anuncios!$Q$2:$Q$101,$B10))</f>
        <v/>
      </c>
      <c r="M10" s="3">
        <f>IF($B10="","",INDEX(Anuncios!$R$2:$R$101,$B10))</f>
        <v/>
      </c>
      <c r="N10" s="3">
        <f>IF($B10="","",INDEX(Anuncios!$O$2:$O$101,$B10))</f>
        <v/>
      </c>
      <c r="O10" s="3">
        <f>IF($B10="","",INDEX(Anuncios!$AJ$2:$AJ$101,$B10))</f>
        <v/>
      </c>
      <c r="P10" s="3">
        <f>IF($B10="","",INDEX(Anuncios!$AI$2:$AI$101,$B10))</f>
        <v/>
      </c>
      <c r="Q10" s="3">
        <f>IF($B10="","",INDEX(Anuncios!$CM$2:$CM$101,$B10))</f>
        <v/>
      </c>
      <c r="R10" s="3">
        <f>IF($B10="","",INDEX(Anuncios!$CS$2:$CS$101,$B10))</f>
        <v/>
      </c>
      <c r="S10" s="3">
        <f>IF($B10="","",INDEX(Anuncios!$CR$2:$CR$101,$B10))</f>
        <v/>
      </c>
      <c r="T10" s="3">
        <f>IF($B10="","",INDEX(Anuncios!$CV$2:$CV$101,$B10))</f>
        <v/>
      </c>
      <c r="U10" s="3">
        <f>IF($B10="","",INDEX(Anuncios!$BL$2:$BL$101,$B10))</f>
        <v/>
      </c>
      <c r="V10" s="3">
        <f>IF($B10="","",INDEX(Anuncios!$BN$2:$BN$101,$B10))</f>
        <v/>
      </c>
      <c r="W10" s="3">
        <f>IF($B10="","",INDEX(Anuncios!$BS$2:$BS$101,$B10))</f>
        <v/>
      </c>
      <c r="X10" s="3">
        <f>IF($B10="","",INDEX(Anuncios!$AS$2:$AS$101,$B10))</f>
        <v/>
      </c>
      <c r="Y10" s="3">
        <f>IF($B10="","",INDEX(Anuncios!$BT$2:$BT$101,$B10))</f>
        <v/>
      </c>
      <c r="Z10" s="3">
        <f>IF($B10="","",INDEX(Anuncios!$BZ$2:$BZ$101,$B10))</f>
        <v/>
      </c>
      <c r="AA10" s="3">
        <f>IF($B10="","",INDEX(Anuncios!$CB$2:$CB$101,$B10))</f>
        <v/>
      </c>
      <c r="AB10" s="3">
        <f>IF($B10="","",INDEX(Anuncios!$CF$2:$CF$101,$B10))</f>
        <v/>
      </c>
      <c r="AC10" s="3">
        <f>IF($B10="","",INDEX(Anuncios!$CG$2:$CG$101,$B10))</f>
        <v/>
      </c>
      <c r="AD10" s="3">
        <f>IF($B10="","",INDEX(Anuncios!$CL$2:$CL$101,$B10))</f>
        <v/>
      </c>
      <c r="AE10" s="3">
        <f>IF($B10="","",INDEX(Anuncios!$CN$2:$CN$101,$B10))</f>
        <v/>
      </c>
      <c r="AF10" s="3">
        <f>IF($B10="","",INDEX(Anuncios!$CH$2:$CH$101,$B10))</f>
        <v/>
      </c>
      <c r="AG10" s="3">
        <f>IF($B10="","",INDEX(Anuncios!$CP$2:$CP$101,$B10))</f>
        <v/>
      </c>
      <c r="AH10" s="3">
        <f>IF($B10="","",INDEX(Anuncios!$BA$2:$BA$101,$B10))</f>
        <v/>
      </c>
      <c r="AI10" s="3">
        <f>IF($B10="","",Z10*W_FIAB)</f>
        <v/>
      </c>
      <c r="AJ10" s="3">
        <f>IF($B10="","",AA10*W_PRECIO)</f>
        <v/>
      </c>
      <c r="AK10" s="3">
        <f>IF($B10="","",AB10*W_KMEDAD)</f>
        <v/>
      </c>
      <c r="AL10" s="3">
        <f>IF($B10="","",AC10*W_ANUNCIO)</f>
        <v/>
      </c>
      <c r="AM10" s="3">
        <f>IF($B10="","",AD10*W_USO)</f>
        <v/>
      </c>
      <c r="AN10" s="3">
        <f>IF($B10="","",AE10*W_SEGURIDAD)</f>
        <v/>
      </c>
      <c r="AO10" s="3">
        <f>IF($B10="","",AF10*W_ETIQUETA)</f>
        <v/>
      </c>
    </row>
    <row r="11">
      <c r="A11" s="2" t="n">
        <v>10</v>
      </c>
      <c r="B11" s="3">
        <f>IFERROR(MATCH(A11,Anuncios!$CY$2:$CY$101,0),"")</f>
        <v/>
      </c>
      <c r="C11" s="3">
        <f>IF(B11="","",HYPERLINK(INDEX(Anuncios!$C$2:$C$101,B11),"Abrir anuncio"))</f>
        <v/>
      </c>
      <c r="D11" s="3">
        <f>IF($B11="","",INDEX(Anuncios!$D$2:$D$101,$B11))</f>
        <v/>
      </c>
      <c r="E11" s="3">
        <f>IF($B11="","",INDEX(Anuncios!$B$2:$B$101,$B11))</f>
        <v/>
      </c>
      <c r="F11" s="3">
        <f>IF($B11="","",INDEX(Anuncios!$E$2:$E$101,$B11))</f>
        <v/>
      </c>
      <c r="G11" s="3">
        <f>IF($B11="","",INDEX(Anuncios!$F$2:$F$101,$B11))</f>
        <v/>
      </c>
      <c r="H11" s="3">
        <f>IF($B11="","",INDEX(Anuncios!$G$2:$G$101,$B11))</f>
        <v/>
      </c>
      <c r="I11" s="3">
        <f>IF($B11="","",INDEX(Anuncios!$K$2:$K$101,$B11))</f>
        <v/>
      </c>
      <c r="J11" s="3">
        <f>IF($B11="","",INDEX(Anuncios!$M$2:$M$101,$B11))</f>
        <v/>
      </c>
      <c r="K11" s="3">
        <f>IF($B11="","",INDEX(Anuncios!$N$2:$N$101,$B11))</f>
        <v/>
      </c>
      <c r="L11" s="3">
        <f>IF($B11="","",INDEX(Anuncios!$Q$2:$Q$101,$B11))</f>
        <v/>
      </c>
      <c r="M11" s="3">
        <f>IF($B11="","",INDEX(Anuncios!$R$2:$R$101,$B11))</f>
        <v/>
      </c>
      <c r="N11" s="3">
        <f>IF($B11="","",INDEX(Anuncios!$O$2:$O$101,$B11))</f>
        <v/>
      </c>
      <c r="O11" s="3">
        <f>IF($B11="","",INDEX(Anuncios!$AJ$2:$AJ$101,$B11))</f>
        <v/>
      </c>
      <c r="P11" s="3">
        <f>IF($B11="","",INDEX(Anuncios!$AI$2:$AI$101,$B11))</f>
        <v/>
      </c>
      <c r="Q11" s="3">
        <f>IF($B11="","",INDEX(Anuncios!$CM$2:$CM$101,$B11))</f>
        <v/>
      </c>
      <c r="R11" s="3">
        <f>IF($B11="","",INDEX(Anuncios!$CS$2:$CS$101,$B11))</f>
        <v/>
      </c>
      <c r="S11" s="3">
        <f>IF($B11="","",INDEX(Anuncios!$CR$2:$CR$101,$B11))</f>
        <v/>
      </c>
      <c r="T11" s="3">
        <f>IF($B11="","",INDEX(Anuncios!$CV$2:$CV$101,$B11))</f>
        <v/>
      </c>
      <c r="U11" s="3">
        <f>IF($B11="","",INDEX(Anuncios!$BL$2:$BL$101,$B11))</f>
        <v/>
      </c>
      <c r="V11" s="3">
        <f>IF($B11="","",INDEX(Anuncios!$BN$2:$BN$101,$B11))</f>
        <v/>
      </c>
      <c r="W11" s="3">
        <f>IF($B11="","",INDEX(Anuncios!$BS$2:$BS$101,$B11))</f>
        <v/>
      </c>
      <c r="X11" s="3">
        <f>IF($B11="","",INDEX(Anuncios!$AS$2:$AS$101,$B11))</f>
        <v/>
      </c>
      <c r="Y11" s="3">
        <f>IF($B11="","",INDEX(Anuncios!$BT$2:$BT$101,$B11))</f>
        <v/>
      </c>
      <c r="Z11" s="3">
        <f>IF($B11="","",INDEX(Anuncios!$BZ$2:$BZ$101,$B11))</f>
        <v/>
      </c>
      <c r="AA11" s="3">
        <f>IF($B11="","",INDEX(Anuncios!$CB$2:$CB$101,$B11))</f>
        <v/>
      </c>
      <c r="AB11" s="3">
        <f>IF($B11="","",INDEX(Anuncios!$CF$2:$CF$101,$B11))</f>
        <v/>
      </c>
      <c r="AC11" s="3">
        <f>IF($B11="","",INDEX(Anuncios!$CG$2:$CG$101,$B11))</f>
        <v/>
      </c>
      <c r="AD11" s="3">
        <f>IF($B11="","",INDEX(Anuncios!$CL$2:$CL$101,$B11))</f>
        <v/>
      </c>
      <c r="AE11" s="3">
        <f>IF($B11="","",INDEX(Anuncios!$CN$2:$CN$101,$B11))</f>
        <v/>
      </c>
      <c r="AF11" s="3">
        <f>IF($B11="","",INDEX(Anuncios!$CH$2:$CH$101,$B11))</f>
        <v/>
      </c>
      <c r="AG11" s="3">
        <f>IF($B11="","",INDEX(Anuncios!$CP$2:$CP$101,$B11))</f>
        <v/>
      </c>
      <c r="AH11" s="3">
        <f>IF($B11="","",INDEX(Anuncios!$BA$2:$BA$101,$B11))</f>
        <v/>
      </c>
      <c r="AI11" s="3">
        <f>IF($B11="","",Z11*W_FIAB)</f>
        <v/>
      </c>
      <c r="AJ11" s="3">
        <f>IF($B11="","",AA11*W_PRECIO)</f>
        <v/>
      </c>
      <c r="AK11" s="3">
        <f>IF($B11="","",AB11*W_KMEDAD)</f>
        <v/>
      </c>
      <c r="AL11" s="3">
        <f>IF($B11="","",AC11*W_ANUNCIO)</f>
        <v/>
      </c>
      <c r="AM11" s="3">
        <f>IF($B11="","",AD11*W_USO)</f>
        <v/>
      </c>
      <c r="AN11" s="3">
        <f>IF($B11="","",AE11*W_SEGURIDAD)</f>
        <v/>
      </c>
      <c r="AO11" s="3">
        <f>IF($B11="","",AF11*W_ETIQUETA)</f>
        <v/>
      </c>
    </row>
    <row r="12">
      <c r="A12" s="2" t="n">
        <v>11</v>
      </c>
      <c r="B12" s="3">
        <f>IFERROR(MATCH(A12,Anuncios!$CY$2:$CY$101,0),"")</f>
        <v/>
      </c>
      <c r="C12" s="3">
        <f>IF(B12="","",HYPERLINK(INDEX(Anuncios!$C$2:$C$101,B12),"Abrir anuncio"))</f>
        <v/>
      </c>
      <c r="D12" s="3">
        <f>IF($B12="","",INDEX(Anuncios!$D$2:$D$101,$B12))</f>
        <v/>
      </c>
      <c r="E12" s="3">
        <f>IF($B12="","",INDEX(Anuncios!$B$2:$B$101,$B12))</f>
        <v/>
      </c>
      <c r="F12" s="3">
        <f>IF($B12="","",INDEX(Anuncios!$E$2:$E$101,$B12))</f>
        <v/>
      </c>
      <c r="G12" s="3">
        <f>IF($B12="","",INDEX(Anuncios!$F$2:$F$101,$B12))</f>
        <v/>
      </c>
      <c r="H12" s="3">
        <f>IF($B12="","",INDEX(Anuncios!$G$2:$G$101,$B12))</f>
        <v/>
      </c>
      <c r="I12" s="3">
        <f>IF($B12="","",INDEX(Anuncios!$K$2:$K$101,$B12))</f>
        <v/>
      </c>
      <c r="J12" s="3">
        <f>IF($B12="","",INDEX(Anuncios!$M$2:$M$101,$B12))</f>
        <v/>
      </c>
      <c r="K12" s="3">
        <f>IF($B12="","",INDEX(Anuncios!$N$2:$N$101,$B12))</f>
        <v/>
      </c>
      <c r="L12" s="3">
        <f>IF($B12="","",INDEX(Anuncios!$Q$2:$Q$101,$B12))</f>
        <v/>
      </c>
      <c r="M12" s="3">
        <f>IF($B12="","",INDEX(Anuncios!$R$2:$R$101,$B12))</f>
        <v/>
      </c>
      <c r="N12" s="3">
        <f>IF($B12="","",INDEX(Anuncios!$O$2:$O$101,$B12))</f>
        <v/>
      </c>
      <c r="O12" s="3">
        <f>IF($B12="","",INDEX(Anuncios!$AJ$2:$AJ$101,$B12))</f>
        <v/>
      </c>
      <c r="P12" s="3">
        <f>IF($B12="","",INDEX(Anuncios!$AI$2:$AI$101,$B12))</f>
        <v/>
      </c>
      <c r="Q12" s="3">
        <f>IF($B12="","",INDEX(Anuncios!$CM$2:$CM$101,$B12))</f>
        <v/>
      </c>
      <c r="R12" s="3">
        <f>IF($B12="","",INDEX(Anuncios!$CS$2:$CS$101,$B12))</f>
        <v/>
      </c>
      <c r="S12" s="3">
        <f>IF($B12="","",INDEX(Anuncios!$CR$2:$CR$101,$B12))</f>
        <v/>
      </c>
      <c r="T12" s="3">
        <f>IF($B12="","",INDEX(Anuncios!$CV$2:$CV$101,$B12))</f>
        <v/>
      </c>
      <c r="U12" s="3">
        <f>IF($B12="","",INDEX(Anuncios!$BL$2:$BL$101,$B12))</f>
        <v/>
      </c>
      <c r="V12" s="3">
        <f>IF($B12="","",INDEX(Anuncios!$BN$2:$BN$101,$B12))</f>
        <v/>
      </c>
      <c r="W12" s="3">
        <f>IF($B12="","",INDEX(Anuncios!$BS$2:$BS$101,$B12))</f>
        <v/>
      </c>
      <c r="X12" s="3">
        <f>IF($B12="","",INDEX(Anuncios!$AS$2:$AS$101,$B12))</f>
        <v/>
      </c>
      <c r="Y12" s="3">
        <f>IF($B12="","",INDEX(Anuncios!$BT$2:$BT$101,$B12))</f>
        <v/>
      </c>
      <c r="Z12" s="3">
        <f>IF($B12="","",INDEX(Anuncios!$BZ$2:$BZ$101,$B12))</f>
        <v/>
      </c>
      <c r="AA12" s="3">
        <f>IF($B12="","",INDEX(Anuncios!$CB$2:$CB$101,$B12))</f>
        <v/>
      </c>
      <c r="AB12" s="3">
        <f>IF($B12="","",INDEX(Anuncios!$CF$2:$CF$101,$B12))</f>
        <v/>
      </c>
      <c r="AC12" s="3">
        <f>IF($B12="","",INDEX(Anuncios!$CG$2:$CG$101,$B12))</f>
        <v/>
      </c>
      <c r="AD12" s="3">
        <f>IF($B12="","",INDEX(Anuncios!$CL$2:$CL$101,$B12))</f>
        <v/>
      </c>
      <c r="AE12" s="3">
        <f>IF($B12="","",INDEX(Anuncios!$CN$2:$CN$101,$B12))</f>
        <v/>
      </c>
      <c r="AF12" s="3">
        <f>IF($B12="","",INDEX(Anuncios!$CH$2:$CH$101,$B12))</f>
        <v/>
      </c>
      <c r="AG12" s="3">
        <f>IF($B12="","",INDEX(Anuncios!$CP$2:$CP$101,$B12))</f>
        <v/>
      </c>
      <c r="AH12" s="3">
        <f>IF($B12="","",INDEX(Anuncios!$BA$2:$BA$101,$B12))</f>
        <v/>
      </c>
      <c r="AI12" s="3">
        <f>IF($B12="","",Z12*W_FIAB)</f>
        <v/>
      </c>
      <c r="AJ12" s="3">
        <f>IF($B12="","",AA12*W_PRECIO)</f>
        <v/>
      </c>
      <c r="AK12" s="3">
        <f>IF($B12="","",AB12*W_KMEDAD)</f>
        <v/>
      </c>
      <c r="AL12" s="3">
        <f>IF($B12="","",AC12*W_ANUNCIO)</f>
        <v/>
      </c>
      <c r="AM12" s="3">
        <f>IF($B12="","",AD12*W_USO)</f>
        <v/>
      </c>
      <c r="AN12" s="3">
        <f>IF($B12="","",AE12*W_SEGURIDAD)</f>
        <v/>
      </c>
      <c r="AO12" s="3">
        <f>IF($B12="","",AF12*W_ETIQUETA)</f>
        <v/>
      </c>
    </row>
    <row r="13">
      <c r="A13" s="2" t="n">
        <v>12</v>
      </c>
      <c r="B13" s="3">
        <f>IFERROR(MATCH(A13,Anuncios!$CY$2:$CY$101,0),"")</f>
        <v/>
      </c>
      <c r="C13" s="3">
        <f>IF(B13="","",HYPERLINK(INDEX(Anuncios!$C$2:$C$101,B13),"Abrir anuncio"))</f>
        <v/>
      </c>
      <c r="D13" s="3">
        <f>IF($B13="","",INDEX(Anuncios!$D$2:$D$101,$B13))</f>
        <v/>
      </c>
      <c r="E13" s="3">
        <f>IF($B13="","",INDEX(Anuncios!$B$2:$B$101,$B13))</f>
        <v/>
      </c>
      <c r="F13" s="3">
        <f>IF($B13="","",INDEX(Anuncios!$E$2:$E$101,$B13))</f>
        <v/>
      </c>
      <c r="G13" s="3">
        <f>IF($B13="","",INDEX(Anuncios!$F$2:$F$101,$B13))</f>
        <v/>
      </c>
      <c r="H13" s="3">
        <f>IF($B13="","",INDEX(Anuncios!$G$2:$G$101,$B13))</f>
        <v/>
      </c>
      <c r="I13" s="3">
        <f>IF($B13="","",INDEX(Anuncios!$K$2:$K$101,$B13))</f>
        <v/>
      </c>
      <c r="J13" s="3">
        <f>IF($B13="","",INDEX(Anuncios!$M$2:$M$101,$B13))</f>
        <v/>
      </c>
      <c r="K13" s="3">
        <f>IF($B13="","",INDEX(Anuncios!$N$2:$N$101,$B13))</f>
        <v/>
      </c>
      <c r="L13" s="3">
        <f>IF($B13="","",INDEX(Anuncios!$Q$2:$Q$101,$B13))</f>
        <v/>
      </c>
      <c r="M13" s="3">
        <f>IF($B13="","",INDEX(Anuncios!$R$2:$R$101,$B13))</f>
        <v/>
      </c>
      <c r="N13" s="3">
        <f>IF($B13="","",INDEX(Anuncios!$O$2:$O$101,$B13))</f>
        <v/>
      </c>
      <c r="O13" s="3">
        <f>IF($B13="","",INDEX(Anuncios!$AJ$2:$AJ$101,$B13))</f>
        <v/>
      </c>
      <c r="P13" s="3">
        <f>IF($B13="","",INDEX(Anuncios!$AI$2:$AI$101,$B13))</f>
        <v/>
      </c>
      <c r="Q13" s="3">
        <f>IF($B13="","",INDEX(Anuncios!$CM$2:$CM$101,$B13))</f>
        <v/>
      </c>
      <c r="R13" s="3">
        <f>IF($B13="","",INDEX(Anuncios!$CS$2:$CS$101,$B13))</f>
        <v/>
      </c>
      <c r="S13" s="3">
        <f>IF($B13="","",INDEX(Anuncios!$CR$2:$CR$101,$B13))</f>
        <v/>
      </c>
      <c r="T13" s="3">
        <f>IF($B13="","",INDEX(Anuncios!$CV$2:$CV$101,$B13))</f>
        <v/>
      </c>
      <c r="U13" s="3">
        <f>IF($B13="","",INDEX(Anuncios!$BL$2:$BL$101,$B13))</f>
        <v/>
      </c>
      <c r="V13" s="3">
        <f>IF($B13="","",INDEX(Anuncios!$BN$2:$BN$101,$B13))</f>
        <v/>
      </c>
      <c r="W13" s="3">
        <f>IF($B13="","",INDEX(Anuncios!$BS$2:$BS$101,$B13))</f>
        <v/>
      </c>
      <c r="X13" s="3">
        <f>IF($B13="","",INDEX(Anuncios!$AS$2:$AS$101,$B13))</f>
        <v/>
      </c>
      <c r="Y13" s="3">
        <f>IF($B13="","",INDEX(Anuncios!$BT$2:$BT$101,$B13))</f>
        <v/>
      </c>
      <c r="Z13" s="3">
        <f>IF($B13="","",INDEX(Anuncios!$BZ$2:$BZ$101,$B13))</f>
        <v/>
      </c>
      <c r="AA13" s="3">
        <f>IF($B13="","",INDEX(Anuncios!$CB$2:$CB$101,$B13))</f>
        <v/>
      </c>
      <c r="AB13" s="3">
        <f>IF($B13="","",INDEX(Anuncios!$CF$2:$CF$101,$B13))</f>
        <v/>
      </c>
      <c r="AC13" s="3">
        <f>IF($B13="","",INDEX(Anuncios!$CG$2:$CG$101,$B13))</f>
        <v/>
      </c>
      <c r="AD13" s="3">
        <f>IF($B13="","",INDEX(Anuncios!$CL$2:$CL$101,$B13))</f>
        <v/>
      </c>
      <c r="AE13" s="3">
        <f>IF($B13="","",INDEX(Anuncios!$CN$2:$CN$101,$B13))</f>
        <v/>
      </c>
      <c r="AF13" s="3">
        <f>IF($B13="","",INDEX(Anuncios!$CH$2:$CH$101,$B13))</f>
        <v/>
      </c>
      <c r="AG13" s="3">
        <f>IF($B13="","",INDEX(Anuncios!$CP$2:$CP$101,$B13))</f>
        <v/>
      </c>
      <c r="AH13" s="3">
        <f>IF($B13="","",INDEX(Anuncios!$BA$2:$BA$101,$B13))</f>
        <v/>
      </c>
      <c r="AI13" s="3">
        <f>IF($B13="","",Z13*W_FIAB)</f>
        <v/>
      </c>
      <c r="AJ13" s="3">
        <f>IF($B13="","",AA13*W_PRECIO)</f>
        <v/>
      </c>
      <c r="AK13" s="3">
        <f>IF($B13="","",AB13*W_KMEDAD)</f>
        <v/>
      </c>
      <c r="AL13" s="3">
        <f>IF($B13="","",AC13*W_ANUNCIO)</f>
        <v/>
      </c>
      <c r="AM13" s="3">
        <f>IF($B13="","",AD13*W_USO)</f>
        <v/>
      </c>
      <c r="AN13" s="3">
        <f>IF($B13="","",AE13*W_SEGURIDAD)</f>
        <v/>
      </c>
      <c r="AO13" s="3">
        <f>IF($B13="","",AF13*W_ETIQUETA)</f>
        <v/>
      </c>
    </row>
    <row r="14">
      <c r="A14" s="2" t="n">
        <v>13</v>
      </c>
      <c r="B14" s="3">
        <f>IFERROR(MATCH(A14,Anuncios!$CY$2:$CY$101,0),"")</f>
        <v/>
      </c>
      <c r="C14" s="3">
        <f>IF(B14="","",HYPERLINK(INDEX(Anuncios!$C$2:$C$101,B14),"Abrir anuncio"))</f>
        <v/>
      </c>
      <c r="D14" s="3">
        <f>IF($B14="","",INDEX(Anuncios!$D$2:$D$101,$B14))</f>
        <v/>
      </c>
      <c r="E14" s="3">
        <f>IF($B14="","",INDEX(Anuncios!$B$2:$B$101,$B14))</f>
        <v/>
      </c>
      <c r="F14" s="3">
        <f>IF($B14="","",INDEX(Anuncios!$E$2:$E$101,$B14))</f>
        <v/>
      </c>
      <c r="G14" s="3">
        <f>IF($B14="","",INDEX(Anuncios!$F$2:$F$101,$B14))</f>
        <v/>
      </c>
      <c r="H14" s="3">
        <f>IF($B14="","",INDEX(Anuncios!$G$2:$G$101,$B14))</f>
        <v/>
      </c>
      <c r="I14" s="3">
        <f>IF($B14="","",INDEX(Anuncios!$K$2:$K$101,$B14))</f>
        <v/>
      </c>
      <c r="J14" s="3">
        <f>IF($B14="","",INDEX(Anuncios!$M$2:$M$101,$B14))</f>
        <v/>
      </c>
      <c r="K14" s="3">
        <f>IF($B14="","",INDEX(Anuncios!$N$2:$N$101,$B14))</f>
        <v/>
      </c>
      <c r="L14" s="3">
        <f>IF($B14="","",INDEX(Anuncios!$Q$2:$Q$101,$B14))</f>
        <v/>
      </c>
      <c r="M14" s="3">
        <f>IF($B14="","",INDEX(Anuncios!$R$2:$R$101,$B14))</f>
        <v/>
      </c>
      <c r="N14" s="3">
        <f>IF($B14="","",INDEX(Anuncios!$O$2:$O$101,$B14))</f>
        <v/>
      </c>
      <c r="O14" s="3">
        <f>IF($B14="","",INDEX(Anuncios!$AJ$2:$AJ$101,$B14))</f>
        <v/>
      </c>
      <c r="P14" s="3">
        <f>IF($B14="","",INDEX(Anuncios!$AI$2:$AI$101,$B14))</f>
        <v/>
      </c>
      <c r="Q14" s="3">
        <f>IF($B14="","",INDEX(Anuncios!$CM$2:$CM$101,$B14))</f>
        <v/>
      </c>
      <c r="R14" s="3">
        <f>IF($B14="","",INDEX(Anuncios!$CS$2:$CS$101,$B14))</f>
        <v/>
      </c>
      <c r="S14" s="3">
        <f>IF($B14="","",INDEX(Anuncios!$CR$2:$CR$101,$B14))</f>
        <v/>
      </c>
      <c r="T14" s="3">
        <f>IF($B14="","",INDEX(Anuncios!$CV$2:$CV$101,$B14))</f>
        <v/>
      </c>
      <c r="U14" s="3">
        <f>IF($B14="","",INDEX(Anuncios!$BL$2:$BL$101,$B14))</f>
        <v/>
      </c>
      <c r="V14" s="3">
        <f>IF($B14="","",INDEX(Anuncios!$BN$2:$BN$101,$B14))</f>
        <v/>
      </c>
      <c r="W14" s="3">
        <f>IF($B14="","",INDEX(Anuncios!$BS$2:$BS$101,$B14))</f>
        <v/>
      </c>
      <c r="X14" s="3">
        <f>IF($B14="","",INDEX(Anuncios!$AS$2:$AS$101,$B14))</f>
        <v/>
      </c>
      <c r="Y14" s="3">
        <f>IF($B14="","",INDEX(Anuncios!$BT$2:$BT$101,$B14))</f>
        <v/>
      </c>
      <c r="Z14" s="3">
        <f>IF($B14="","",INDEX(Anuncios!$BZ$2:$BZ$101,$B14))</f>
        <v/>
      </c>
      <c r="AA14" s="3">
        <f>IF($B14="","",INDEX(Anuncios!$CB$2:$CB$101,$B14))</f>
        <v/>
      </c>
      <c r="AB14" s="3">
        <f>IF($B14="","",INDEX(Anuncios!$CF$2:$CF$101,$B14))</f>
        <v/>
      </c>
      <c r="AC14" s="3">
        <f>IF($B14="","",INDEX(Anuncios!$CG$2:$CG$101,$B14))</f>
        <v/>
      </c>
      <c r="AD14" s="3">
        <f>IF($B14="","",INDEX(Anuncios!$CL$2:$CL$101,$B14))</f>
        <v/>
      </c>
      <c r="AE14" s="3">
        <f>IF($B14="","",INDEX(Anuncios!$CN$2:$CN$101,$B14))</f>
        <v/>
      </c>
      <c r="AF14" s="3">
        <f>IF($B14="","",INDEX(Anuncios!$CH$2:$CH$101,$B14))</f>
        <v/>
      </c>
      <c r="AG14" s="3">
        <f>IF($B14="","",INDEX(Anuncios!$CP$2:$CP$101,$B14))</f>
        <v/>
      </c>
      <c r="AH14" s="3">
        <f>IF($B14="","",INDEX(Anuncios!$BA$2:$BA$101,$B14))</f>
        <v/>
      </c>
      <c r="AI14" s="3">
        <f>IF($B14="","",Z14*W_FIAB)</f>
        <v/>
      </c>
      <c r="AJ14" s="3">
        <f>IF($B14="","",AA14*W_PRECIO)</f>
        <v/>
      </c>
      <c r="AK14" s="3">
        <f>IF($B14="","",AB14*W_KMEDAD)</f>
        <v/>
      </c>
      <c r="AL14" s="3">
        <f>IF($B14="","",AC14*W_ANUNCIO)</f>
        <v/>
      </c>
      <c r="AM14" s="3">
        <f>IF($B14="","",AD14*W_USO)</f>
        <v/>
      </c>
      <c r="AN14" s="3">
        <f>IF($B14="","",AE14*W_SEGURIDAD)</f>
        <v/>
      </c>
      <c r="AO14" s="3">
        <f>IF($B14="","",AF14*W_ETIQUETA)</f>
        <v/>
      </c>
    </row>
    <row r="15">
      <c r="A15" s="2" t="n">
        <v>14</v>
      </c>
      <c r="B15" s="3">
        <f>IFERROR(MATCH(A15,Anuncios!$CY$2:$CY$101,0),"")</f>
        <v/>
      </c>
      <c r="C15" s="3">
        <f>IF(B15="","",HYPERLINK(INDEX(Anuncios!$C$2:$C$101,B15),"Abrir anuncio"))</f>
        <v/>
      </c>
      <c r="D15" s="3">
        <f>IF($B15="","",INDEX(Anuncios!$D$2:$D$101,$B15))</f>
        <v/>
      </c>
      <c r="E15" s="3">
        <f>IF($B15="","",INDEX(Anuncios!$B$2:$B$101,$B15))</f>
        <v/>
      </c>
      <c r="F15" s="3">
        <f>IF($B15="","",INDEX(Anuncios!$E$2:$E$101,$B15))</f>
        <v/>
      </c>
      <c r="G15" s="3">
        <f>IF($B15="","",INDEX(Anuncios!$F$2:$F$101,$B15))</f>
        <v/>
      </c>
      <c r="H15" s="3">
        <f>IF($B15="","",INDEX(Anuncios!$G$2:$G$101,$B15))</f>
        <v/>
      </c>
      <c r="I15" s="3">
        <f>IF($B15="","",INDEX(Anuncios!$K$2:$K$101,$B15))</f>
        <v/>
      </c>
      <c r="J15" s="3">
        <f>IF($B15="","",INDEX(Anuncios!$M$2:$M$101,$B15))</f>
        <v/>
      </c>
      <c r="K15" s="3">
        <f>IF($B15="","",INDEX(Anuncios!$N$2:$N$101,$B15))</f>
        <v/>
      </c>
      <c r="L15" s="3">
        <f>IF($B15="","",INDEX(Anuncios!$Q$2:$Q$101,$B15))</f>
        <v/>
      </c>
      <c r="M15" s="3">
        <f>IF($B15="","",INDEX(Anuncios!$R$2:$R$101,$B15))</f>
        <v/>
      </c>
      <c r="N15" s="3">
        <f>IF($B15="","",INDEX(Anuncios!$O$2:$O$101,$B15))</f>
        <v/>
      </c>
      <c r="O15" s="3">
        <f>IF($B15="","",INDEX(Anuncios!$AJ$2:$AJ$101,$B15))</f>
        <v/>
      </c>
      <c r="P15" s="3">
        <f>IF($B15="","",INDEX(Anuncios!$AI$2:$AI$101,$B15))</f>
        <v/>
      </c>
      <c r="Q15" s="3">
        <f>IF($B15="","",INDEX(Anuncios!$CM$2:$CM$101,$B15))</f>
        <v/>
      </c>
      <c r="R15" s="3">
        <f>IF($B15="","",INDEX(Anuncios!$CS$2:$CS$101,$B15))</f>
        <v/>
      </c>
      <c r="S15" s="3">
        <f>IF($B15="","",INDEX(Anuncios!$CR$2:$CR$101,$B15))</f>
        <v/>
      </c>
      <c r="T15" s="3">
        <f>IF($B15="","",INDEX(Anuncios!$CV$2:$CV$101,$B15))</f>
        <v/>
      </c>
      <c r="U15" s="3">
        <f>IF($B15="","",INDEX(Anuncios!$BL$2:$BL$101,$B15))</f>
        <v/>
      </c>
      <c r="V15" s="3">
        <f>IF($B15="","",INDEX(Anuncios!$BN$2:$BN$101,$B15))</f>
        <v/>
      </c>
      <c r="W15" s="3">
        <f>IF($B15="","",INDEX(Anuncios!$BS$2:$BS$101,$B15))</f>
        <v/>
      </c>
      <c r="X15" s="3">
        <f>IF($B15="","",INDEX(Anuncios!$AS$2:$AS$101,$B15))</f>
        <v/>
      </c>
      <c r="Y15" s="3">
        <f>IF($B15="","",INDEX(Anuncios!$BT$2:$BT$101,$B15))</f>
        <v/>
      </c>
      <c r="Z15" s="3">
        <f>IF($B15="","",INDEX(Anuncios!$BZ$2:$BZ$101,$B15))</f>
        <v/>
      </c>
      <c r="AA15" s="3">
        <f>IF($B15="","",INDEX(Anuncios!$CB$2:$CB$101,$B15))</f>
        <v/>
      </c>
      <c r="AB15" s="3">
        <f>IF($B15="","",INDEX(Anuncios!$CF$2:$CF$101,$B15))</f>
        <v/>
      </c>
      <c r="AC15" s="3">
        <f>IF($B15="","",INDEX(Anuncios!$CG$2:$CG$101,$B15))</f>
        <v/>
      </c>
      <c r="AD15" s="3">
        <f>IF($B15="","",INDEX(Anuncios!$CL$2:$CL$101,$B15))</f>
        <v/>
      </c>
      <c r="AE15" s="3">
        <f>IF($B15="","",INDEX(Anuncios!$CN$2:$CN$101,$B15))</f>
        <v/>
      </c>
      <c r="AF15" s="3">
        <f>IF($B15="","",INDEX(Anuncios!$CH$2:$CH$101,$B15))</f>
        <v/>
      </c>
      <c r="AG15" s="3">
        <f>IF($B15="","",INDEX(Anuncios!$CP$2:$CP$101,$B15))</f>
        <v/>
      </c>
      <c r="AH15" s="3">
        <f>IF($B15="","",INDEX(Anuncios!$BA$2:$BA$101,$B15))</f>
        <v/>
      </c>
      <c r="AI15" s="3">
        <f>IF($B15="","",Z15*W_FIAB)</f>
        <v/>
      </c>
      <c r="AJ15" s="3">
        <f>IF($B15="","",AA15*W_PRECIO)</f>
        <v/>
      </c>
      <c r="AK15" s="3">
        <f>IF($B15="","",AB15*W_KMEDAD)</f>
        <v/>
      </c>
      <c r="AL15" s="3">
        <f>IF($B15="","",AC15*W_ANUNCIO)</f>
        <v/>
      </c>
      <c r="AM15" s="3">
        <f>IF($B15="","",AD15*W_USO)</f>
        <v/>
      </c>
      <c r="AN15" s="3">
        <f>IF($B15="","",AE15*W_SEGURIDAD)</f>
        <v/>
      </c>
      <c r="AO15" s="3">
        <f>IF($B15="","",AF15*W_ETIQUETA)</f>
        <v/>
      </c>
    </row>
    <row r="16">
      <c r="A16" s="2" t="n">
        <v>15</v>
      </c>
      <c r="B16" s="3">
        <f>IFERROR(MATCH(A16,Anuncios!$CY$2:$CY$101,0),"")</f>
        <v/>
      </c>
      <c r="C16" s="3">
        <f>IF(B16="","",HYPERLINK(INDEX(Anuncios!$C$2:$C$101,B16),"Abrir anuncio"))</f>
        <v/>
      </c>
      <c r="D16" s="3">
        <f>IF($B16="","",INDEX(Anuncios!$D$2:$D$101,$B16))</f>
        <v/>
      </c>
      <c r="E16" s="3">
        <f>IF($B16="","",INDEX(Anuncios!$B$2:$B$101,$B16))</f>
        <v/>
      </c>
      <c r="F16" s="3">
        <f>IF($B16="","",INDEX(Anuncios!$E$2:$E$101,$B16))</f>
        <v/>
      </c>
      <c r="G16" s="3">
        <f>IF($B16="","",INDEX(Anuncios!$F$2:$F$101,$B16))</f>
        <v/>
      </c>
      <c r="H16" s="3">
        <f>IF($B16="","",INDEX(Anuncios!$G$2:$G$101,$B16))</f>
        <v/>
      </c>
      <c r="I16" s="3">
        <f>IF($B16="","",INDEX(Anuncios!$K$2:$K$101,$B16))</f>
        <v/>
      </c>
      <c r="J16" s="3">
        <f>IF($B16="","",INDEX(Anuncios!$M$2:$M$101,$B16))</f>
        <v/>
      </c>
      <c r="K16" s="3">
        <f>IF($B16="","",INDEX(Anuncios!$N$2:$N$101,$B16))</f>
        <v/>
      </c>
      <c r="L16" s="3">
        <f>IF($B16="","",INDEX(Anuncios!$Q$2:$Q$101,$B16))</f>
        <v/>
      </c>
      <c r="M16" s="3">
        <f>IF($B16="","",INDEX(Anuncios!$R$2:$R$101,$B16))</f>
        <v/>
      </c>
      <c r="N16" s="3">
        <f>IF($B16="","",INDEX(Anuncios!$O$2:$O$101,$B16))</f>
        <v/>
      </c>
      <c r="O16" s="3">
        <f>IF($B16="","",INDEX(Anuncios!$AJ$2:$AJ$101,$B16))</f>
        <v/>
      </c>
      <c r="P16" s="3">
        <f>IF($B16="","",INDEX(Anuncios!$AI$2:$AI$101,$B16))</f>
        <v/>
      </c>
      <c r="Q16" s="3">
        <f>IF($B16="","",INDEX(Anuncios!$CM$2:$CM$101,$B16))</f>
        <v/>
      </c>
      <c r="R16" s="3">
        <f>IF($B16="","",INDEX(Anuncios!$CS$2:$CS$101,$B16))</f>
        <v/>
      </c>
      <c r="S16" s="3">
        <f>IF($B16="","",INDEX(Anuncios!$CR$2:$CR$101,$B16))</f>
        <v/>
      </c>
      <c r="T16" s="3">
        <f>IF($B16="","",INDEX(Anuncios!$CV$2:$CV$101,$B16))</f>
        <v/>
      </c>
      <c r="U16" s="3">
        <f>IF($B16="","",INDEX(Anuncios!$BL$2:$BL$101,$B16))</f>
        <v/>
      </c>
      <c r="V16" s="3">
        <f>IF($B16="","",INDEX(Anuncios!$BN$2:$BN$101,$B16))</f>
        <v/>
      </c>
      <c r="W16" s="3">
        <f>IF($B16="","",INDEX(Anuncios!$BS$2:$BS$101,$B16))</f>
        <v/>
      </c>
      <c r="X16" s="3">
        <f>IF($B16="","",INDEX(Anuncios!$AS$2:$AS$101,$B16))</f>
        <v/>
      </c>
      <c r="Y16" s="3">
        <f>IF($B16="","",INDEX(Anuncios!$BT$2:$BT$101,$B16))</f>
        <v/>
      </c>
      <c r="Z16" s="3">
        <f>IF($B16="","",INDEX(Anuncios!$BZ$2:$BZ$101,$B16))</f>
        <v/>
      </c>
      <c r="AA16" s="3">
        <f>IF($B16="","",INDEX(Anuncios!$CB$2:$CB$101,$B16))</f>
        <v/>
      </c>
      <c r="AB16" s="3">
        <f>IF($B16="","",INDEX(Anuncios!$CF$2:$CF$101,$B16))</f>
        <v/>
      </c>
      <c r="AC16" s="3">
        <f>IF($B16="","",INDEX(Anuncios!$CG$2:$CG$101,$B16))</f>
        <v/>
      </c>
      <c r="AD16" s="3">
        <f>IF($B16="","",INDEX(Anuncios!$CL$2:$CL$101,$B16))</f>
        <v/>
      </c>
      <c r="AE16" s="3">
        <f>IF($B16="","",INDEX(Anuncios!$CN$2:$CN$101,$B16))</f>
        <v/>
      </c>
      <c r="AF16" s="3">
        <f>IF($B16="","",INDEX(Anuncios!$CH$2:$CH$101,$B16))</f>
        <v/>
      </c>
      <c r="AG16" s="3">
        <f>IF($B16="","",INDEX(Anuncios!$CP$2:$CP$101,$B16))</f>
        <v/>
      </c>
      <c r="AH16" s="3">
        <f>IF($B16="","",INDEX(Anuncios!$BA$2:$BA$101,$B16))</f>
        <v/>
      </c>
      <c r="AI16" s="3">
        <f>IF($B16="","",Z16*W_FIAB)</f>
        <v/>
      </c>
      <c r="AJ16" s="3">
        <f>IF($B16="","",AA16*W_PRECIO)</f>
        <v/>
      </c>
      <c r="AK16" s="3">
        <f>IF($B16="","",AB16*W_KMEDAD)</f>
        <v/>
      </c>
      <c r="AL16" s="3">
        <f>IF($B16="","",AC16*W_ANUNCIO)</f>
        <v/>
      </c>
      <c r="AM16" s="3">
        <f>IF($B16="","",AD16*W_USO)</f>
        <v/>
      </c>
      <c r="AN16" s="3">
        <f>IF($B16="","",AE16*W_SEGURIDAD)</f>
        <v/>
      </c>
      <c r="AO16" s="3">
        <f>IF($B16="","",AF16*W_ETIQUETA)</f>
        <v/>
      </c>
    </row>
    <row r="17">
      <c r="A17" s="2" t="n">
        <v>16</v>
      </c>
      <c r="B17" s="3">
        <f>IFERROR(MATCH(A17,Anuncios!$CY$2:$CY$101,0),"")</f>
        <v/>
      </c>
      <c r="C17" s="3">
        <f>IF(B17="","",HYPERLINK(INDEX(Anuncios!$C$2:$C$101,B17),"Abrir anuncio"))</f>
        <v/>
      </c>
      <c r="D17" s="3">
        <f>IF($B17="","",INDEX(Anuncios!$D$2:$D$101,$B17))</f>
        <v/>
      </c>
      <c r="E17" s="3">
        <f>IF($B17="","",INDEX(Anuncios!$B$2:$B$101,$B17))</f>
        <v/>
      </c>
      <c r="F17" s="3">
        <f>IF($B17="","",INDEX(Anuncios!$E$2:$E$101,$B17))</f>
        <v/>
      </c>
      <c r="G17" s="3">
        <f>IF($B17="","",INDEX(Anuncios!$F$2:$F$101,$B17))</f>
        <v/>
      </c>
      <c r="H17" s="3">
        <f>IF($B17="","",INDEX(Anuncios!$G$2:$G$101,$B17))</f>
        <v/>
      </c>
      <c r="I17" s="3">
        <f>IF($B17="","",INDEX(Anuncios!$K$2:$K$101,$B17))</f>
        <v/>
      </c>
      <c r="J17" s="3">
        <f>IF($B17="","",INDEX(Anuncios!$M$2:$M$101,$B17))</f>
        <v/>
      </c>
      <c r="K17" s="3">
        <f>IF($B17="","",INDEX(Anuncios!$N$2:$N$101,$B17))</f>
        <v/>
      </c>
      <c r="L17" s="3">
        <f>IF($B17="","",INDEX(Anuncios!$Q$2:$Q$101,$B17))</f>
        <v/>
      </c>
      <c r="M17" s="3">
        <f>IF($B17="","",INDEX(Anuncios!$R$2:$R$101,$B17))</f>
        <v/>
      </c>
      <c r="N17" s="3">
        <f>IF($B17="","",INDEX(Anuncios!$O$2:$O$101,$B17))</f>
        <v/>
      </c>
      <c r="O17" s="3">
        <f>IF($B17="","",INDEX(Anuncios!$AJ$2:$AJ$101,$B17))</f>
        <v/>
      </c>
      <c r="P17" s="3">
        <f>IF($B17="","",INDEX(Anuncios!$AI$2:$AI$101,$B17))</f>
        <v/>
      </c>
      <c r="Q17" s="3">
        <f>IF($B17="","",INDEX(Anuncios!$CM$2:$CM$101,$B17))</f>
        <v/>
      </c>
      <c r="R17" s="3">
        <f>IF($B17="","",INDEX(Anuncios!$CS$2:$CS$101,$B17))</f>
        <v/>
      </c>
      <c r="S17" s="3">
        <f>IF($B17="","",INDEX(Anuncios!$CR$2:$CR$101,$B17))</f>
        <v/>
      </c>
      <c r="T17" s="3">
        <f>IF($B17="","",INDEX(Anuncios!$CV$2:$CV$101,$B17))</f>
        <v/>
      </c>
      <c r="U17" s="3">
        <f>IF($B17="","",INDEX(Anuncios!$BL$2:$BL$101,$B17))</f>
        <v/>
      </c>
      <c r="V17" s="3">
        <f>IF($B17="","",INDEX(Anuncios!$BN$2:$BN$101,$B17))</f>
        <v/>
      </c>
      <c r="W17" s="3">
        <f>IF($B17="","",INDEX(Anuncios!$BS$2:$BS$101,$B17))</f>
        <v/>
      </c>
      <c r="X17" s="3">
        <f>IF($B17="","",INDEX(Anuncios!$AS$2:$AS$101,$B17))</f>
        <v/>
      </c>
      <c r="Y17" s="3">
        <f>IF($B17="","",INDEX(Anuncios!$BT$2:$BT$101,$B17))</f>
        <v/>
      </c>
      <c r="Z17" s="3">
        <f>IF($B17="","",INDEX(Anuncios!$BZ$2:$BZ$101,$B17))</f>
        <v/>
      </c>
      <c r="AA17" s="3">
        <f>IF($B17="","",INDEX(Anuncios!$CB$2:$CB$101,$B17))</f>
        <v/>
      </c>
      <c r="AB17" s="3">
        <f>IF($B17="","",INDEX(Anuncios!$CF$2:$CF$101,$B17))</f>
        <v/>
      </c>
      <c r="AC17" s="3">
        <f>IF($B17="","",INDEX(Anuncios!$CG$2:$CG$101,$B17))</f>
        <v/>
      </c>
      <c r="AD17" s="3">
        <f>IF($B17="","",INDEX(Anuncios!$CL$2:$CL$101,$B17))</f>
        <v/>
      </c>
      <c r="AE17" s="3">
        <f>IF($B17="","",INDEX(Anuncios!$CN$2:$CN$101,$B17))</f>
        <v/>
      </c>
      <c r="AF17" s="3">
        <f>IF($B17="","",INDEX(Anuncios!$CH$2:$CH$101,$B17))</f>
        <v/>
      </c>
      <c r="AG17" s="3">
        <f>IF($B17="","",INDEX(Anuncios!$CP$2:$CP$101,$B17))</f>
        <v/>
      </c>
      <c r="AH17" s="3">
        <f>IF($B17="","",INDEX(Anuncios!$BA$2:$BA$101,$B17))</f>
        <v/>
      </c>
      <c r="AI17" s="3">
        <f>IF($B17="","",Z17*W_FIAB)</f>
        <v/>
      </c>
      <c r="AJ17" s="3">
        <f>IF($B17="","",AA17*W_PRECIO)</f>
        <v/>
      </c>
      <c r="AK17" s="3">
        <f>IF($B17="","",AB17*W_KMEDAD)</f>
        <v/>
      </c>
      <c r="AL17" s="3">
        <f>IF($B17="","",AC17*W_ANUNCIO)</f>
        <v/>
      </c>
      <c r="AM17" s="3">
        <f>IF($B17="","",AD17*W_USO)</f>
        <v/>
      </c>
      <c r="AN17" s="3">
        <f>IF($B17="","",AE17*W_SEGURIDAD)</f>
        <v/>
      </c>
      <c r="AO17" s="3">
        <f>IF($B17="","",AF17*W_ETIQUETA)</f>
        <v/>
      </c>
    </row>
    <row r="18">
      <c r="A18" s="2" t="n">
        <v>17</v>
      </c>
      <c r="B18" s="3">
        <f>IFERROR(MATCH(A18,Anuncios!$CY$2:$CY$101,0),"")</f>
        <v/>
      </c>
      <c r="C18" s="3">
        <f>IF(B18="","",HYPERLINK(INDEX(Anuncios!$C$2:$C$101,B18),"Abrir anuncio"))</f>
        <v/>
      </c>
      <c r="D18" s="3">
        <f>IF($B18="","",INDEX(Anuncios!$D$2:$D$101,$B18))</f>
        <v/>
      </c>
      <c r="E18" s="3">
        <f>IF($B18="","",INDEX(Anuncios!$B$2:$B$101,$B18))</f>
        <v/>
      </c>
      <c r="F18" s="3">
        <f>IF($B18="","",INDEX(Anuncios!$E$2:$E$101,$B18))</f>
        <v/>
      </c>
      <c r="G18" s="3">
        <f>IF($B18="","",INDEX(Anuncios!$F$2:$F$101,$B18))</f>
        <v/>
      </c>
      <c r="H18" s="3">
        <f>IF($B18="","",INDEX(Anuncios!$G$2:$G$101,$B18))</f>
        <v/>
      </c>
      <c r="I18" s="3">
        <f>IF($B18="","",INDEX(Anuncios!$K$2:$K$101,$B18))</f>
        <v/>
      </c>
      <c r="J18" s="3">
        <f>IF($B18="","",INDEX(Anuncios!$M$2:$M$101,$B18))</f>
        <v/>
      </c>
      <c r="K18" s="3">
        <f>IF($B18="","",INDEX(Anuncios!$N$2:$N$101,$B18))</f>
        <v/>
      </c>
      <c r="L18" s="3">
        <f>IF($B18="","",INDEX(Anuncios!$Q$2:$Q$101,$B18))</f>
        <v/>
      </c>
      <c r="M18" s="3">
        <f>IF($B18="","",INDEX(Anuncios!$R$2:$R$101,$B18))</f>
        <v/>
      </c>
      <c r="N18" s="3">
        <f>IF($B18="","",INDEX(Anuncios!$O$2:$O$101,$B18))</f>
        <v/>
      </c>
      <c r="O18" s="3">
        <f>IF($B18="","",INDEX(Anuncios!$AJ$2:$AJ$101,$B18))</f>
        <v/>
      </c>
      <c r="P18" s="3">
        <f>IF($B18="","",INDEX(Anuncios!$AI$2:$AI$101,$B18))</f>
        <v/>
      </c>
      <c r="Q18" s="3">
        <f>IF($B18="","",INDEX(Anuncios!$CM$2:$CM$101,$B18))</f>
        <v/>
      </c>
      <c r="R18" s="3">
        <f>IF($B18="","",INDEX(Anuncios!$CS$2:$CS$101,$B18))</f>
        <v/>
      </c>
      <c r="S18" s="3">
        <f>IF($B18="","",INDEX(Anuncios!$CR$2:$CR$101,$B18))</f>
        <v/>
      </c>
      <c r="T18" s="3">
        <f>IF($B18="","",INDEX(Anuncios!$CV$2:$CV$101,$B18))</f>
        <v/>
      </c>
      <c r="U18" s="3">
        <f>IF($B18="","",INDEX(Anuncios!$BL$2:$BL$101,$B18))</f>
        <v/>
      </c>
      <c r="V18" s="3">
        <f>IF($B18="","",INDEX(Anuncios!$BN$2:$BN$101,$B18))</f>
        <v/>
      </c>
      <c r="W18" s="3">
        <f>IF($B18="","",INDEX(Anuncios!$BS$2:$BS$101,$B18))</f>
        <v/>
      </c>
      <c r="X18" s="3">
        <f>IF($B18="","",INDEX(Anuncios!$AS$2:$AS$101,$B18))</f>
        <v/>
      </c>
      <c r="Y18" s="3">
        <f>IF($B18="","",INDEX(Anuncios!$BT$2:$BT$101,$B18))</f>
        <v/>
      </c>
      <c r="Z18" s="3">
        <f>IF($B18="","",INDEX(Anuncios!$BZ$2:$BZ$101,$B18))</f>
        <v/>
      </c>
      <c r="AA18" s="3">
        <f>IF($B18="","",INDEX(Anuncios!$CB$2:$CB$101,$B18))</f>
        <v/>
      </c>
      <c r="AB18" s="3">
        <f>IF($B18="","",INDEX(Anuncios!$CF$2:$CF$101,$B18))</f>
        <v/>
      </c>
      <c r="AC18" s="3">
        <f>IF($B18="","",INDEX(Anuncios!$CG$2:$CG$101,$B18))</f>
        <v/>
      </c>
      <c r="AD18" s="3">
        <f>IF($B18="","",INDEX(Anuncios!$CL$2:$CL$101,$B18))</f>
        <v/>
      </c>
      <c r="AE18" s="3">
        <f>IF($B18="","",INDEX(Anuncios!$CN$2:$CN$101,$B18))</f>
        <v/>
      </c>
      <c r="AF18" s="3">
        <f>IF($B18="","",INDEX(Anuncios!$CH$2:$CH$101,$B18))</f>
        <v/>
      </c>
      <c r="AG18" s="3">
        <f>IF($B18="","",INDEX(Anuncios!$CP$2:$CP$101,$B18))</f>
        <v/>
      </c>
      <c r="AH18" s="3">
        <f>IF($B18="","",INDEX(Anuncios!$BA$2:$BA$101,$B18))</f>
        <v/>
      </c>
      <c r="AI18" s="3">
        <f>IF($B18="","",Z18*W_FIAB)</f>
        <v/>
      </c>
      <c r="AJ18" s="3">
        <f>IF($B18="","",AA18*W_PRECIO)</f>
        <v/>
      </c>
      <c r="AK18" s="3">
        <f>IF($B18="","",AB18*W_KMEDAD)</f>
        <v/>
      </c>
      <c r="AL18" s="3">
        <f>IF($B18="","",AC18*W_ANUNCIO)</f>
        <v/>
      </c>
      <c r="AM18" s="3">
        <f>IF($B18="","",AD18*W_USO)</f>
        <v/>
      </c>
      <c r="AN18" s="3">
        <f>IF($B18="","",AE18*W_SEGURIDAD)</f>
        <v/>
      </c>
      <c r="AO18" s="3">
        <f>IF($B18="","",AF18*W_ETIQUETA)</f>
        <v/>
      </c>
    </row>
    <row r="19">
      <c r="A19" s="2" t="n">
        <v>18</v>
      </c>
      <c r="B19" s="3">
        <f>IFERROR(MATCH(A19,Anuncios!$CY$2:$CY$101,0),"")</f>
        <v/>
      </c>
      <c r="C19" s="3">
        <f>IF(B19="","",HYPERLINK(INDEX(Anuncios!$C$2:$C$101,B19),"Abrir anuncio"))</f>
        <v/>
      </c>
      <c r="D19" s="3">
        <f>IF($B19="","",INDEX(Anuncios!$D$2:$D$101,$B19))</f>
        <v/>
      </c>
      <c r="E19" s="3">
        <f>IF($B19="","",INDEX(Anuncios!$B$2:$B$101,$B19))</f>
        <v/>
      </c>
      <c r="F19" s="3">
        <f>IF($B19="","",INDEX(Anuncios!$E$2:$E$101,$B19))</f>
        <v/>
      </c>
      <c r="G19" s="3">
        <f>IF($B19="","",INDEX(Anuncios!$F$2:$F$101,$B19))</f>
        <v/>
      </c>
      <c r="H19" s="3">
        <f>IF($B19="","",INDEX(Anuncios!$G$2:$G$101,$B19))</f>
        <v/>
      </c>
      <c r="I19" s="3">
        <f>IF($B19="","",INDEX(Anuncios!$K$2:$K$101,$B19))</f>
        <v/>
      </c>
      <c r="J19" s="3">
        <f>IF($B19="","",INDEX(Anuncios!$M$2:$M$101,$B19))</f>
        <v/>
      </c>
      <c r="K19" s="3">
        <f>IF($B19="","",INDEX(Anuncios!$N$2:$N$101,$B19))</f>
        <v/>
      </c>
      <c r="L19" s="3">
        <f>IF($B19="","",INDEX(Anuncios!$Q$2:$Q$101,$B19))</f>
        <v/>
      </c>
      <c r="M19" s="3">
        <f>IF($B19="","",INDEX(Anuncios!$R$2:$R$101,$B19))</f>
        <v/>
      </c>
      <c r="N19" s="3">
        <f>IF($B19="","",INDEX(Anuncios!$O$2:$O$101,$B19))</f>
        <v/>
      </c>
      <c r="O19" s="3">
        <f>IF($B19="","",INDEX(Anuncios!$AJ$2:$AJ$101,$B19))</f>
        <v/>
      </c>
      <c r="P19" s="3">
        <f>IF($B19="","",INDEX(Anuncios!$AI$2:$AI$101,$B19))</f>
        <v/>
      </c>
      <c r="Q19" s="3">
        <f>IF($B19="","",INDEX(Anuncios!$CM$2:$CM$101,$B19))</f>
        <v/>
      </c>
      <c r="R19" s="3">
        <f>IF($B19="","",INDEX(Anuncios!$CS$2:$CS$101,$B19))</f>
        <v/>
      </c>
      <c r="S19" s="3">
        <f>IF($B19="","",INDEX(Anuncios!$CR$2:$CR$101,$B19))</f>
        <v/>
      </c>
      <c r="T19" s="3">
        <f>IF($B19="","",INDEX(Anuncios!$CV$2:$CV$101,$B19))</f>
        <v/>
      </c>
      <c r="U19" s="3">
        <f>IF($B19="","",INDEX(Anuncios!$BL$2:$BL$101,$B19))</f>
        <v/>
      </c>
      <c r="V19" s="3">
        <f>IF($B19="","",INDEX(Anuncios!$BN$2:$BN$101,$B19))</f>
        <v/>
      </c>
      <c r="W19" s="3">
        <f>IF($B19="","",INDEX(Anuncios!$BS$2:$BS$101,$B19))</f>
        <v/>
      </c>
      <c r="X19" s="3">
        <f>IF($B19="","",INDEX(Anuncios!$AS$2:$AS$101,$B19))</f>
        <v/>
      </c>
      <c r="Y19" s="3">
        <f>IF($B19="","",INDEX(Anuncios!$BT$2:$BT$101,$B19))</f>
        <v/>
      </c>
      <c r="Z19" s="3">
        <f>IF($B19="","",INDEX(Anuncios!$BZ$2:$BZ$101,$B19))</f>
        <v/>
      </c>
      <c r="AA19" s="3">
        <f>IF($B19="","",INDEX(Anuncios!$CB$2:$CB$101,$B19))</f>
        <v/>
      </c>
      <c r="AB19" s="3">
        <f>IF($B19="","",INDEX(Anuncios!$CF$2:$CF$101,$B19))</f>
        <v/>
      </c>
      <c r="AC19" s="3">
        <f>IF($B19="","",INDEX(Anuncios!$CG$2:$CG$101,$B19))</f>
        <v/>
      </c>
      <c r="AD19" s="3">
        <f>IF($B19="","",INDEX(Anuncios!$CL$2:$CL$101,$B19))</f>
        <v/>
      </c>
      <c r="AE19" s="3">
        <f>IF($B19="","",INDEX(Anuncios!$CN$2:$CN$101,$B19))</f>
        <v/>
      </c>
      <c r="AF19" s="3">
        <f>IF($B19="","",INDEX(Anuncios!$CH$2:$CH$101,$B19))</f>
        <v/>
      </c>
      <c r="AG19" s="3">
        <f>IF($B19="","",INDEX(Anuncios!$CP$2:$CP$101,$B19))</f>
        <v/>
      </c>
      <c r="AH19" s="3">
        <f>IF($B19="","",INDEX(Anuncios!$BA$2:$BA$101,$B19))</f>
        <v/>
      </c>
      <c r="AI19" s="3">
        <f>IF($B19="","",Z19*W_FIAB)</f>
        <v/>
      </c>
      <c r="AJ19" s="3">
        <f>IF($B19="","",AA19*W_PRECIO)</f>
        <v/>
      </c>
      <c r="AK19" s="3">
        <f>IF($B19="","",AB19*W_KMEDAD)</f>
        <v/>
      </c>
      <c r="AL19" s="3">
        <f>IF($B19="","",AC19*W_ANUNCIO)</f>
        <v/>
      </c>
      <c r="AM19" s="3">
        <f>IF($B19="","",AD19*W_USO)</f>
        <v/>
      </c>
      <c r="AN19" s="3">
        <f>IF($B19="","",AE19*W_SEGURIDAD)</f>
        <v/>
      </c>
      <c r="AO19" s="3">
        <f>IF($B19="","",AF19*W_ETIQUETA)</f>
        <v/>
      </c>
    </row>
    <row r="20">
      <c r="A20" s="2" t="n">
        <v>19</v>
      </c>
      <c r="B20" s="3">
        <f>IFERROR(MATCH(A20,Anuncios!$CY$2:$CY$101,0),"")</f>
        <v/>
      </c>
      <c r="C20" s="3">
        <f>IF(B20="","",HYPERLINK(INDEX(Anuncios!$C$2:$C$101,B20),"Abrir anuncio"))</f>
        <v/>
      </c>
      <c r="D20" s="3">
        <f>IF($B20="","",INDEX(Anuncios!$D$2:$D$101,$B20))</f>
        <v/>
      </c>
      <c r="E20" s="3">
        <f>IF($B20="","",INDEX(Anuncios!$B$2:$B$101,$B20))</f>
        <v/>
      </c>
      <c r="F20" s="3">
        <f>IF($B20="","",INDEX(Anuncios!$E$2:$E$101,$B20))</f>
        <v/>
      </c>
      <c r="G20" s="3">
        <f>IF($B20="","",INDEX(Anuncios!$F$2:$F$101,$B20))</f>
        <v/>
      </c>
      <c r="H20" s="3">
        <f>IF($B20="","",INDEX(Anuncios!$G$2:$G$101,$B20))</f>
        <v/>
      </c>
      <c r="I20" s="3">
        <f>IF($B20="","",INDEX(Anuncios!$K$2:$K$101,$B20))</f>
        <v/>
      </c>
      <c r="J20" s="3">
        <f>IF($B20="","",INDEX(Anuncios!$M$2:$M$101,$B20))</f>
        <v/>
      </c>
      <c r="K20" s="3">
        <f>IF($B20="","",INDEX(Anuncios!$N$2:$N$101,$B20))</f>
        <v/>
      </c>
      <c r="L20" s="3">
        <f>IF($B20="","",INDEX(Anuncios!$Q$2:$Q$101,$B20))</f>
        <v/>
      </c>
      <c r="M20" s="3">
        <f>IF($B20="","",INDEX(Anuncios!$R$2:$R$101,$B20))</f>
        <v/>
      </c>
      <c r="N20" s="3">
        <f>IF($B20="","",INDEX(Anuncios!$O$2:$O$101,$B20))</f>
        <v/>
      </c>
      <c r="O20" s="3">
        <f>IF($B20="","",INDEX(Anuncios!$AJ$2:$AJ$101,$B20))</f>
        <v/>
      </c>
      <c r="P20" s="3">
        <f>IF($B20="","",INDEX(Anuncios!$AI$2:$AI$101,$B20))</f>
        <v/>
      </c>
      <c r="Q20" s="3">
        <f>IF($B20="","",INDEX(Anuncios!$CM$2:$CM$101,$B20))</f>
        <v/>
      </c>
      <c r="R20" s="3">
        <f>IF($B20="","",INDEX(Anuncios!$CS$2:$CS$101,$B20))</f>
        <v/>
      </c>
      <c r="S20" s="3">
        <f>IF($B20="","",INDEX(Anuncios!$CR$2:$CR$101,$B20))</f>
        <v/>
      </c>
      <c r="T20" s="3">
        <f>IF($B20="","",INDEX(Anuncios!$CV$2:$CV$101,$B20))</f>
        <v/>
      </c>
      <c r="U20" s="3">
        <f>IF($B20="","",INDEX(Anuncios!$BL$2:$BL$101,$B20))</f>
        <v/>
      </c>
      <c r="V20" s="3">
        <f>IF($B20="","",INDEX(Anuncios!$BN$2:$BN$101,$B20))</f>
        <v/>
      </c>
      <c r="W20" s="3">
        <f>IF($B20="","",INDEX(Anuncios!$BS$2:$BS$101,$B20))</f>
        <v/>
      </c>
      <c r="X20" s="3">
        <f>IF($B20="","",INDEX(Anuncios!$AS$2:$AS$101,$B20))</f>
        <v/>
      </c>
      <c r="Y20" s="3">
        <f>IF($B20="","",INDEX(Anuncios!$BT$2:$BT$101,$B20))</f>
        <v/>
      </c>
      <c r="Z20" s="3">
        <f>IF($B20="","",INDEX(Anuncios!$BZ$2:$BZ$101,$B20))</f>
        <v/>
      </c>
      <c r="AA20" s="3">
        <f>IF($B20="","",INDEX(Anuncios!$CB$2:$CB$101,$B20))</f>
        <v/>
      </c>
      <c r="AB20" s="3">
        <f>IF($B20="","",INDEX(Anuncios!$CF$2:$CF$101,$B20))</f>
        <v/>
      </c>
      <c r="AC20" s="3">
        <f>IF($B20="","",INDEX(Anuncios!$CG$2:$CG$101,$B20))</f>
        <v/>
      </c>
      <c r="AD20" s="3">
        <f>IF($B20="","",INDEX(Anuncios!$CL$2:$CL$101,$B20))</f>
        <v/>
      </c>
      <c r="AE20" s="3">
        <f>IF($B20="","",INDEX(Anuncios!$CN$2:$CN$101,$B20))</f>
        <v/>
      </c>
      <c r="AF20" s="3">
        <f>IF($B20="","",INDEX(Anuncios!$CH$2:$CH$101,$B20))</f>
        <v/>
      </c>
      <c r="AG20" s="3">
        <f>IF($B20="","",INDEX(Anuncios!$CP$2:$CP$101,$B20))</f>
        <v/>
      </c>
      <c r="AH20" s="3">
        <f>IF($B20="","",INDEX(Anuncios!$BA$2:$BA$101,$B20))</f>
        <v/>
      </c>
      <c r="AI20" s="3">
        <f>IF($B20="","",Z20*W_FIAB)</f>
        <v/>
      </c>
      <c r="AJ20" s="3">
        <f>IF($B20="","",AA20*W_PRECIO)</f>
        <v/>
      </c>
      <c r="AK20" s="3">
        <f>IF($B20="","",AB20*W_KMEDAD)</f>
        <v/>
      </c>
      <c r="AL20" s="3">
        <f>IF($B20="","",AC20*W_ANUNCIO)</f>
        <v/>
      </c>
      <c r="AM20" s="3">
        <f>IF($B20="","",AD20*W_USO)</f>
        <v/>
      </c>
      <c r="AN20" s="3">
        <f>IF($B20="","",AE20*W_SEGURIDAD)</f>
        <v/>
      </c>
      <c r="AO20" s="3">
        <f>IF($B20="","",AF20*W_ETIQUETA)</f>
        <v/>
      </c>
    </row>
    <row r="21">
      <c r="A21" s="2" t="n">
        <v>20</v>
      </c>
      <c r="B21" s="3">
        <f>IFERROR(MATCH(A21,Anuncios!$CY$2:$CY$101,0),"")</f>
        <v/>
      </c>
      <c r="C21" s="3">
        <f>IF(B21="","",HYPERLINK(INDEX(Anuncios!$C$2:$C$101,B21),"Abrir anuncio"))</f>
        <v/>
      </c>
      <c r="D21" s="3">
        <f>IF($B21="","",INDEX(Anuncios!$D$2:$D$101,$B21))</f>
        <v/>
      </c>
      <c r="E21" s="3">
        <f>IF($B21="","",INDEX(Anuncios!$B$2:$B$101,$B21))</f>
        <v/>
      </c>
      <c r="F21" s="3">
        <f>IF($B21="","",INDEX(Anuncios!$E$2:$E$101,$B21))</f>
        <v/>
      </c>
      <c r="G21" s="3">
        <f>IF($B21="","",INDEX(Anuncios!$F$2:$F$101,$B21))</f>
        <v/>
      </c>
      <c r="H21" s="3">
        <f>IF($B21="","",INDEX(Anuncios!$G$2:$G$101,$B21))</f>
        <v/>
      </c>
      <c r="I21" s="3">
        <f>IF($B21="","",INDEX(Anuncios!$K$2:$K$101,$B21))</f>
        <v/>
      </c>
      <c r="J21" s="3">
        <f>IF($B21="","",INDEX(Anuncios!$M$2:$M$101,$B21))</f>
        <v/>
      </c>
      <c r="K21" s="3">
        <f>IF($B21="","",INDEX(Anuncios!$N$2:$N$101,$B21))</f>
        <v/>
      </c>
      <c r="L21" s="3">
        <f>IF($B21="","",INDEX(Anuncios!$Q$2:$Q$101,$B21))</f>
        <v/>
      </c>
      <c r="M21" s="3">
        <f>IF($B21="","",INDEX(Anuncios!$R$2:$R$101,$B21))</f>
        <v/>
      </c>
      <c r="N21" s="3">
        <f>IF($B21="","",INDEX(Anuncios!$O$2:$O$101,$B21))</f>
        <v/>
      </c>
      <c r="O21" s="3">
        <f>IF($B21="","",INDEX(Anuncios!$AJ$2:$AJ$101,$B21))</f>
        <v/>
      </c>
      <c r="P21" s="3">
        <f>IF($B21="","",INDEX(Anuncios!$AI$2:$AI$101,$B21))</f>
        <v/>
      </c>
      <c r="Q21" s="3">
        <f>IF($B21="","",INDEX(Anuncios!$CM$2:$CM$101,$B21))</f>
        <v/>
      </c>
      <c r="R21" s="3">
        <f>IF($B21="","",INDEX(Anuncios!$CS$2:$CS$101,$B21))</f>
        <v/>
      </c>
      <c r="S21" s="3">
        <f>IF($B21="","",INDEX(Anuncios!$CR$2:$CR$101,$B21))</f>
        <v/>
      </c>
      <c r="T21" s="3">
        <f>IF($B21="","",INDEX(Anuncios!$CV$2:$CV$101,$B21))</f>
        <v/>
      </c>
      <c r="U21" s="3">
        <f>IF($B21="","",INDEX(Anuncios!$BL$2:$BL$101,$B21))</f>
        <v/>
      </c>
      <c r="V21" s="3">
        <f>IF($B21="","",INDEX(Anuncios!$BN$2:$BN$101,$B21))</f>
        <v/>
      </c>
      <c r="W21" s="3">
        <f>IF($B21="","",INDEX(Anuncios!$BS$2:$BS$101,$B21))</f>
        <v/>
      </c>
      <c r="X21" s="3">
        <f>IF($B21="","",INDEX(Anuncios!$AS$2:$AS$101,$B21))</f>
        <v/>
      </c>
      <c r="Y21" s="3">
        <f>IF($B21="","",INDEX(Anuncios!$BT$2:$BT$101,$B21))</f>
        <v/>
      </c>
      <c r="Z21" s="3">
        <f>IF($B21="","",INDEX(Anuncios!$BZ$2:$BZ$101,$B21))</f>
        <v/>
      </c>
      <c r="AA21" s="3">
        <f>IF($B21="","",INDEX(Anuncios!$CB$2:$CB$101,$B21))</f>
        <v/>
      </c>
      <c r="AB21" s="3">
        <f>IF($B21="","",INDEX(Anuncios!$CF$2:$CF$101,$B21))</f>
        <v/>
      </c>
      <c r="AC21" s="3">
        <f>IF($B21="","",INDEX(Anuncios!$CG$2:$CG$101,$B21))</f>
        <v/>
      </c>
      <c r="AD21" s="3">
        <f>IF($B21="","",INDEX(Anuncios!$CL$2:$CL$101,$B21))</f>
        <v/>
      </c>
      <c r="AE21" s="3">
        <f>IF($B21="","",INDEX(Anuncios!$CN$2:$CN$101,$B21))</f>
        <v/>
      </c>
      <c r="AF21" s="3">
        <f>IF($B21="","",INDEX(Anuncios!$CH$2:$CH$101,$B21))</f>
        <v/>
      </c>
      <c r="AG21" s="3">
        <f>IF($B21="","",INDEX(Anuncios!$CP$2:$CP$101,$B21))</f>
        <v/>
      </c>
      <c r="AH21" s="3">
        <f>IF($B21="","",INDEX(Anuncios!$BA$2:$BA$101,$B21))</f>
        <v/>
      </c>
      <c r="AI21" s="3">
        <f>IF($B21="","",Z21*W_FIAB)</f>
        <v/>
      </c>
      <c r="AJ21" s="3">
        <f>IF($B21="","",AA21*W_PRECIO)</f>
        <v/>
      </c>
      <c r="AK21" s="3">
        <f>IF($B21="","",AB21*W_KMEDAD)</f>
        <v/>
      </c>
      <c r="AL21" s="3">
        <f>IF($B21="","",AC21*W_ANUNCIO)</f>
        <v/>
      </c>
      <c r="AM21" s="3">
        <f>IF($B21="","",AD21*W_USO)</f>
        <v/>
      </c>
      <c r="AN21" s="3">
        <f>IF($B21="","",AE21*W_SEGURIDAD)</f>
        <v/>
      </c>
      <c r="AO21" s="3">
        <f>IF($B21="","",AF21*W_ETIQUETA)</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28"/>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0.29</v>
      </c>
      <c r="C7" t="inlineStr">
        <is>
          <t>criterio (config.yaml)</t>
        </is>
      </c>
      <c r="D7" t="inlineStr">
        <is>
          <t>config.yaml</t>
        </is>
      </c>
    </row>
    <row r="8">
      <c r="A8" t="inlineStr">
        <is>
          <t>Precio frente al mercado</t>
        </is>
      </c>
      <c r="B8" s="2" t="n">
        <v>0.24</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0.05</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Etiqueta y ZBE</t>
        </is>
      </c>
      <c r="B13" s="2" t="n">
        <v>0.06</v>
      </c>
      <c r="C13" t="inlineStr">
        <is>
          <t>criterio (config.yaml)</t>
        </is>
      </c>
      <c r="D13" t="inlineStr">
        <is>
          <t>config.yaml: añadido el 01-11-2026; sale de Coste de uso (9→5) y 1 punto de fiabilidad y de precio</t>
        </is>
      </c>
    </row>
    <row r="14">
      <c r="A14" t="inlineStr">
        <is>
          <t>Suma de pesos (control)</t>
        </is>
      </c>
      <c r="B14" s="4">
        <f>SUM(B7:B13)</f>
        <v/>
      </c>
      <c r="C14" t="inlineStr">
        <is>
          <t>calculado</t>
        </is>
      </c>
      <c r="D14" t="inlineStr"/>
    </row>
    <row r="16">
      <c r="A16" s="6" t="inlineStr">
        <is>
          <t>2. Parámetros de búsqueda y de puntuación</t>
        </is>
      </c>
    </row>
    <row r="17">
      <c r="A17" s="7" t="inlineStr">
        <is>
          <t>Parámetro</t>
        </is>
      </c>
      <c r="B17" s="7" t="inlineStr">
        <is>
          <t>Valor</t>
        </is>
      </c>
      <c r="C17" s="7" t="inlineStr">
        <is>
          <t>Estado</t>
        </is>
      </c>
      <c r="D17" s="7" t="inlineStr">
        <is>
          <t>Fuente</t>
        </is>
      </c>
    </row>
    <row r="18">
      <c r="A18" t="inlineStr">
        <is>
          <t>Año de referencia</t>
        </is>
      </c>
      <c r="B18" s="2" t="n">
        <v>2026</v>
      </c>
      <c r="C18" t="inlineStr">
        <is>
          <t>dato</t>
        </is>
      </c>
      <c r="D18" t="inlineStr">
        <is>
          <t>fiscal.yaml</t>
        </is>
      </c>
    </row>
    <row r="19">
      <c r="A19" t="inlineStr">
        <is>
          <t>Año mínimo</t>
        </is>
      </c>
      <c r="B19" s="2" t="n">
        <v>2006</v>
      </c>
      <c r="C19" t="inlineStr">
        <is>
          <t>criterio (config.yaml)</t>
        </is>
      </c>
      <c r="D19" t="inlineStr">
        <is>
          <t>config.yaml</t>
        </is>
      </c>
    </row>
    <row r="20">
      <c r="A20" t="inlineStr">
        <is>
          <t>Km máximos</t>
        </is>
      </c>
      <c r="B20" s="2" t="n">
        <v>220000</v>
      </c>
      <c r="C20" t="inlineStr">
        <is>
          <t>criterio (config.yaml)</t>
        </is>
      </c>
      <c r="D20" t="inlineStr">
        <is>
          <t>config.yaml</t>
        </is>
      </c>
    </row>
    <row r="21">
      <c r="A21" t="inlineStr">
        <is>
          <t>Precio anuncio máximo (€)</t>
        </is>
      </c>
      <c r="B21" s="2" t="n">
        <v>5200</v>
      </c>
      <c r="C21" t="inlineStr">
        <is>
          <t>criterio (config.yaml)</t>
        </is>
      </c>
      <c r="D21" t="inlineStr">
        <is>
          <t>config.yaml</t>
        </is>
      </c>
    </row>
    <row r="22">
      <c r="A22" t="inlineStr">
        <is>
          <t>Coste total máximo (€)</t>
        </is>
      </c>
      <c r="B22" s="2" t="n">
        <v>5000</v>
      </c>
      <c r="C22" t="inlineStr">
        <is>
          <t>criterio (config.yaml)</t>
        </is>
      </c>
      <c r="D22" t="inlineStr">
        <is>
          <t>config.yaml</t>
        </is>
      </c>
    </row>
    <row r="23">
      <c r="A23" t="inlineStr">
        <is>
          <t>Margen de negociación sobre el coste total (€): entra marcado 'negociar'</t>
        </is>
      </c>
      <c r="B23" s="2" t="n">
        <v>300</v>
      </c>
      <c r="C23" t="inlineStr">
        <is>
          <t>criterio (config.yaml)</t>
        </is>
      </c>
      <c r="D23" t="inlineStr">
        <is>
          <t>config.yaml</t>
        </is>
      </c>
    </row>
    <row r="24">
      <c r="A24" t="inlineStr">
        <is>
          <t>Tramo de años para mediana</t>
        </is>
      </c>
      <c r="B24" s="2" t="n">
        <v>3</v>
      </c>
      <c r="C24" t="inlineStr">
        <is>
          <t>criterio (config.yaml)</t>
        </is>
      </c>
      <c r="D24" t="inlineStr">
        <is>
          <t>config.yaml</t>
        </is>
      </c>
    </row>
    <row r="25">
      <c r="A25" t="inlineStr">
        <is>
          <t>Tramo de km para mediana</t>
        </is>
      </c>
      <c r="B25" s="2" t="n">
        <v>50000</v>
      </c>
      <c r="C25" t="inlineStr">
        <is>
          <t>criterio (config.yaml)</t>
        </is>
      </c>
      <c r="D25" t="inlineStr">
        <is>
          <t>config.yaml</t>
        </is>
      </c>
    </row>
    <row r="26">
      <c r="A26" t="inlineStr">
        <is>
          <t>Mín. anuncios por segmento (si no, se sube de nivel)</t>
        </is>
      </c>
      <c r="B26" s="2" t="n">
        <v>4</v>
      </c>
      <c r="C26" t="inlineStr">
        <is>
          <t>criterio (config.yaml)</t>
        </is>
      </c>
      <c r="D26" t="inlineStr">
        <is>
          <t>config.yaml</t>
        </is>
      </c>
    </row>
    <row r="27">
      <c r="A27" t="inlineStr">
        <is>
          <t>Puntos por unidad de descuento (50 + desc·k)</t>
        </is>
      </c>
      <c r="B27" s="2" t="n">
        <v>250</v>
      </c>
      <c r="C27" t="inlineStr">
        <is>
          <t>criterio (config.yaml)</t>
        </is>
      </c>
      <c r="D27" t="inlineStr">
        <is>
          <t>config.yaml</t>
        </is>
      </c>
    </row>
    <row r="28">
      <c r="A28" t="inlineStr">
        <is>
          <t>Precio: km a partir de los que la nota tiene tope decreciente</t>
        </is>
      </c>
      <c r="B28" s="2" t="n">
        <v>180000</v>
      </c>
      <c r="C28" t="inlineStr">
        <is>
          <t>criterio (config.yaml)</t>
        </is>
      </c>
      <c r="D28" t="inlineStr">
        <is>
          <t>config.yaml</t>
        </is>
      </c>
    </row>
    <row r="29">
      <c r="A29" t="inlineStr">
        <is>
          <t>Precio: puntos de tope perdidos por cada 1.000 km por encima</t>
        </is>
      </c>
      <c r="B29" s="2" t="n">
        <v>2</v>
      </c>
      <c r="C29" t="inlineStr">
        <is>
          <t>criterio (config.yaml)</t>
        </is>
      </c>
      <c r="D29" t="inlineStr">
        <is>
          <t>config.yaml</t>
        </is>
      </c>
    </row>
    <row r="30">
      <c r="A30" t="inlineStr">
        <is>
          <t>Fiabilidad: puntos menos por caja robotizada (Easytronic/MTA, Dualogic, MMT, 2-Tronic/ETG…)</t>
        </is>
      </c>
      <c r="B30" s="2" t="n">
        <v>10</v>
      </c>
      <c r="C30" t="inlineStr">
        <is>
          <t>criterio sin fuente seria de fiabilidad (no hay datos ADAC/TÜV/OCU por tipo de caja)</t>
        </is>
      </c>
      <c r="D30" t="inlineStr">
        <is>
          <t>km77 sobre la mala fama de las cajas robotizadas por lentitud, imprecisión y brusquedad (no es un dato de averías): https://www.km77.com/revista/?p=14315</t>
        </is>
      </c>
    </row>
    <row r="31">
      <c r="A31" t="inlineStr">
        <is>
          <t>Km/año ideal máximo (100 puntos hasta aquí)</t>
        </is>
      </c>
      <c r="B31" s="2" t="n">
        <v>18000</v>
      </c>
      <c r="C31" t="inlineStr">
        <is>
          <t>criterio (config.yaml)</t>
        </is>
      </c>
      <c r="D31" t="inlineStr">
        <is>
          <t>config.yaml</t>
        </is>
      </c>
    </row>
    <row r="32">
      <c r="A32" t="inlineStr">
        <is>
          <t>Km/año con 0 puntos</t>
        </is>
      </c>
      <c r="B32" s="2" t="n">
        <v>35000</v>
      </c>
      <c r="C32" t="inlineStr">
        <is>
          <t>criterio (config.yaml)</t>
        </is>
      </c>
      <c r="D32" t="inlineStr">
        <is>
          <t>config.yaml</t>
        </is>
      </c>
    </row>
    <row r="33">
      <c r="A33" t="inlineStr">
        <is>
          <t>Km/año sospechosamente bajo</t>
        </is>
      </c>
      <c r="B33" s="2" t="n">
        <v>4000</v>
      </c>
      <c r="C33" t="inlineStr">
        <is>
          <t>criterio (config.yaml)</t>
        </is>
      </c>
      <c r="D33" t="inlineStr">
        <is>
          <t>config.yaml</t>
        </is>
      </c>
    </row>
    <row r="34">
      <c r="A34" t="inlineStr">
        <is>
          <t>Puntos km/año si es sospechoso y no justificado</t>
        </is>
      </c>
      <c r="B34" s="2" t="n">
        <v>40</v>
      </c>
      <c r="C34" t="inlineStr">
        <is>
          <t>criterio (config.yaml)</t>
        </is>
      </c>
      <c r="D34" t="inlineStr">
        <is>
          <t>config.yaml</t>
        </is>
      </c>
    </row>
    <row r="35">
      <c r="A35" t="inlineStr">
        <is>
          <t>Peso km totales dentro de Km y edad</t>
        </is>
      </c>
      <c r="B35" s="2" t="n">
        <v>0.4</v>
      </c>
      <c r="C35" t="inlineStr">
        <is>
          <t>criterio (config.yaml)</t>
        </is>
      </c>
      <c r="D35" t="inlineStr">
        <is>
          <t>config.yaml</t>
        </is>
      </c>
    </row>
    <row r="36">
      <c r="A36" t="inlineStr">
        <is>
          <t>Peso km/año dentro de Km y edad</t>
        </is>
      </c>
      <c r="B36" s="2" t="n">
        <v>0.3</v>
      </c>
      <c r="C36" t="inlineStr">
        <is>
          <t>criterio (config.yaml)</t>
        </is>
      </c>
      <c r="D36" t="inlineStr">
        <is>
          <t>config.yaml</t>
        </is>
      </c>
    </row>
    <row r="37">
      <c r="A37" t="inlineStr">
        <is>
          <t>Peso edad dentro de Km y edad</t>
        </is>
      </c>
      <c r="B37" s="2" t="n">
        <v>0.3</v>
      </c>
      <c r="C37" t="inlineStr">
        <is>
          <t>criterio (config.yaml)</t>
        </is>
      </c>
      <c r="D37" t="inlineStr">
        <is>
          <t>config.yaml</t>
        </is>
      </c>
    </row>
    <row r="38">
      <c r="A38" t="inlineStr">
        <is>
          <t>Puntos: ITV en vigor</t>
        </is>
      </c>
      <c r="B38" s="2" t="n">
        <v>20</v>
      </c>
      <c r="C38" t="inlineStr">
        <is>
          <t>criterio (config.yaml)</t>
        </is>
      </c>
      <c r="D38" t="inlineStr">
        <is>
          <t>config.yaml</t>
        </is>
      </c>
    </row>
    <row r="39">
      <c r="A39" t="inlineStr">
        <is>
          <t>Puntos: libro de mantenimiento</t>
        </is>
      </c>
      <c r="B39" s="2" t="n">
        <v>25</v>
      </c>
      <c r="C39" t="inlineStr">
        <is>
          <t>criterio (config.yaml)</t>
        </is>
      </c>
      <c r="D39" t="inlineStr">
        <is>
          <t>config.yaml</t>
        </is>
      </c>
    </row>
    <row r="40">
      <c r="A40" t="inlineStr">
        <is>
          <t>Puntos: correa/distribución cambiada</t>
        </is>
      </c>
      <c r="B40" s="2" t="n">
        <v>25</v>
      </c>
      <c r="C40" t="inlineStr">
        <is>
          <t>criterio (config.yaml)</t>
        </is>
      </c>
      <c r="D40" t="inlineStr">
        <is>
          <t>config.yaml</t>
        </is>
      </c>
    </row>
    <row r="41">
      <c r="A41" t="inlineStr">
        <is>
          <t>Puntos: un solo propietario</t>
        </is>
      </c>
      <c r="B41" s="2" t="n">
        <v>15</v>
      </c>
      <c r="C41" t="inlineStr">
        <is>
          <t>criterio (config.yaml)</t>
        </is>
      </c>
      <c r="D41" t="inlineStr">
        <is>
          <t>config.yaml</t>
        </is>
      </c>
    </row>
    <row r="42">
      <c r="A42" t="inlineStr">
        <is>
          <t>Puntos: garantía</t>
        </is>
      </c>
      <c r="B42" s="2" t="n">
        <v>0</v>
      </c>
      <c r="C42" t="inlineStr">
        <is>
          <t>criterio (config.yaml)</t>
        </is>
      </c>
      <c r="D42" t="inlineStr">
        <is>
          <t>config.yaml</t>
        </is>
      </c>
    </row>
    <row r="43">
      <c r="A43" t="inlineStr">
        <is>
          <t>Puntos: fotos (proporcional)</t>
        </is>
      </c>
      <c r="B43" s="2" t="n">
        <v>15</v>
      </c>
      <c r="C43" t="inlineStr">
        <is>
          <t>criterio (config.yaml)</t>
        </is>
      </c>
      <c r="D43" t="inlineStr">
        <is>
          <t>config.yaml</t>
        </is>
      </c>
    </row>
    <row r="44">
      <c r="A44" t="inlineStr">
        <is>
          <t>Fotos para puntuación completa</t>
        </is>
      </c>
      <c r="B44" s="2" t="n">
        <v>10</v>
      </c>
      <c r="C44" t="inlineStr">
        <is>
          <t>criterio (config.yaml)</t>
        </is>
      </c>
      <c r="D44" t="inlineStr">
        <is>
          <t>config.yaml</t>
        </is>
      </c>
    </row>
    <row r="45">
      <c r="A45" t="inlineStr">
        <is>
          <t>Peso etiqueta dentro de Coste de uso</t>
        </is>
      </c>
      <c r="B45" s="2" t="n">
        <v>0</v>
      </c>
      <c r="C45" t="inlineStr">
        <is>
          <t>criterio (config.yaml)</t>
        </is>
      </c>
      <c r="D45" t="inlineStr">
        <is>
          <t>config.yaml</t>
        </is>
      </c>
    </row>
    <row r="46">
      <c r="A46" t="inlineStr">
        <is>
          <t>Peso consumo dentro de Coste de uso</t>
        </is>
      </c>
      <c r="B46" s="2" t="n">
        <v>0.5</v>
      </c>
      <c r="C46" t="inlineStr">
        <is>
          <t>criterio (config.yaml)</t>
        </is>
      </c>
      <c r="D46" t="inlineStr">
        <is>
          <t>config.yaml</t>
        </is>
      </c>
    </row>
    <row r="47">
      <c r="A47" t="inlineStr">
        <is>
          <t>Peso seguro dentro de Coste de uso</t>
        </is>
      </c>
      <c r="B47" s="2" t="n">
        <v>0.5</v>
      </c>
      <c r="C47" t="inlineStr">
        <is>
          <t>criterio (config.yaml)</t>
        </is>
      </c>
      <c r="D47" t="inlineStr">
        <is>
          <t>config.yaml</t>
        </is>
      </c>
    </row>
    <row r="48">
      <c r="A48" t="inlineStr">
        <is>
          <t>Puntuación neutra cuando el dato está PENDIENTE</t>
        </is>
      </c>
      <c r="B48" s="2" t="n">
        <v>50</v>
      </c>
      <c r="C48" t="inlineStr">
        <is>
          <t>criterio (config.yaml)</t>
        </is>
      </c>
      <c r="D48" t="inlineStr">
        <is>
          <t>config.yaml</t>
        </is>
      </c>
    </row>
    <row r="49">
      <c r="A49" t="inlineStr">
        <is>
          <t>Seguridad: puntos por garantía (proporcional a meses)</t>
        </is>
      </c>
      <c r="B49" s="2" t="n">
        <v>35</v>
      </c>
      <c r="C49" t="inlineStr">
        <is>
          <t>criterio (config.yaml)</t>
        </is>
      </c>
      <c r="D49" t="inlineStr">
        <is>
          <t>config.yaml</t>
        </is>
      </c>
    </row>
    <row r="50">
      <c r="A50" t="inlineStr">
        <is>
          <t>Seguridad: meses de garantía para puntuación completa</t>
        </is>
      </c>
      <c r="B50" s="2" t="n">
        <v>24</v>
      </c>
      <c r="C50" t="inlineStr">
        <is>
          <t>criterio (config.yaml)</t>
        </is>
      </c>
      <c r="D50" t="inlineStr">
        <is>
          <t>config.yaml</t>
        </is>
      </c>
    </row>
    <row r="51">
      <c r="A51" t="inlineStr">
        <is>
          <t>Seguridad: puntos si la garantía es ampliable</t>
        </is>
      </c>
      <c r="B51" s="2" t="n">
        <v>10</v>
      </c>
      <c r="C51" t="inlineStr">
        <is>
          <t>criterio (config.yaml)</t>
        </is>
      </c>
      <c r="D51" t="inlineStr">
        <is>
          <t>config.yaml</t>
        </is>
      </c>
    </row>
    <row r="52">
      <c r="A52" t="inlineStr">
        <is>
          <t>Seguridad: puntos por km certificados</t>
        </is>
      </c>
      <c r="B52" s="2" t="n">
        <v>15</v>
      </c>
      <c r="C52" t="inlineStr">
        <is>
          <t>criterio (config.yaml)</t>
        </is>
      </c>
      <c r="D52" t="inlineStr">
        <is>
          <t>config.yaml</t>
        </is>
      </c>
    </row>
    <row r="53">
      <c r="A53" t="inlineStr">
        <is>
          <t>Seguridad: puntos por revisión documentada</t>
        </is>
      </c>
      <c r="B53" s="2" t="n">
        <v>15</v>
      </c>
      <c r="C53" t="inlineStr">
        <is>
          <t>criterio (config.yaml)</t>
        </is>
      </c>
      <c r="D53" t="inlineStr">
        <is>
          <t>config.yaml</t>
        </is>
      </c>
    </row>
    <row r="54">
      <c r="A54" t="inlineStr">
        <is>
          <t>Seguridad: puntos por derecho de devolución (proporcional a días)</t>
        </is>
      </c>
      <c r="B54" s="2" t="n">
        <v>15</v>
      </c>
      <c r="C54" t="inlineStr">
        <is>
          <t>criterio (config.yaml)</t>
        </is>
      </c>
      <c r="D54" t="inlineStr">
        <is>
          <t>config.yaml</t>
        </is>
      </c>
    </row>
    <row r="55">
      <c r="A55" t="inlineStr">
        <is>
          <t>Seguridad: días de devolución para puntuación completa</t>
        </is>
      </c>
      <c r="B55" s="2" t="n">
        <v>15</v>
      </c>
      <c r="C55" t="inlineStr">
        <is>
          <t>criterio (config.yaml)</t>
        </is>
      </c>
      <c r="D55" t="inlineStr">
        <is>
          <t>config.yaml</t>
        </is>
      </c>
    </row>
    <row r="56">
      <c r="A56" t="inlineStr">
        <is>
          <t>Seguridad: puntos por historial/libro de mantenimiento</t>
        </is>
      </c>
      <c r="B56" s="2" t="n">
        <v>10</v>
      </c>
      <c r="C56" t="inlineStr">
        <is>
          <t>criterio (config.yaml)</t>
        </is>
      </c>
      <c r="D56" t="inlineStr">
        <is>
          <t>config.yaml</t>
        </is>
      </c>
    </row>
    <row r="57">
      <c r="A57" t="inlineStr">
        <is>
          <t>Aplicar mínimo legal a profesionales sin garantía declarada (1 = sí)</t>
        </is>
      </c>
      <c r="B57" s="2" t="n">
        <v>1</v>
      </c>
      <c r="C57" t="inlineStr">
        <is>
          <t>criterio (config.yaml)</t>
        </is>
      </c>
      <c r="D57" t="inlineStr">
        <is>
          <t>config.yaml</t>
        </is>
      </c>
    </row>
    <row r="58">
      <c r="A58" t="inlineStr">
        <is>
          <t>Garantía legal mínima en usados de vendedor profesional (meses)</t>
        </is>
      </c>
      <c r="B58" s="2" t="n">
        <v>12</v>
      </c>
      <c r="C58" t="inlineStr">
        <is>
          <t>confirmado</t>
        </is>
      </c>
      <c r="D58" t="inlineStr">
        <is>
          <t>TRLGDCU (RDLeg. 1/2007), art. 120.1, en la redacción del Real Decreto-ley 7/2021, de 27 de abril — https://www.boe.es/buscar/act.php?id=BOE-A-2007-20555</t>
        </is>
      </c>
    </row>
    <row r="60">
      <c r="A60" s="6" t="inlineStr">
        <is>
          <t>3. Coste de compra: ITP (Comunitat Valenciana) y tasas DGT</t>
        </is>
      </c>
    </row>
    <row r="61">
      <c r="A61" s="7" t="inlineStr">
        <is>
          <t>Concepto</t>
        </is>
      </c>
      <c r="B61" s="7" t="inlineStr">
        <is>
          <t>Valor</t>
        </is>
      </c>
      <c r="C61" s="7" t="inlineStr">
        <is>
          <t>Estado</t>
        </is>
      </c>
      <c r="D61" s="7" t="inlineStr">
        <is>
          <t>Fuente</t>
        </is>
      </c>
    </row>
    <row r="62">
      <c r="A62" t="inlineStr">
        <is>
          <t>ITP tipo general (si no aplica cuota fija)</t>
        </is>
      </c>
      <c r="B62" s="2" t="n">
        <v>0.06</v>
      </c>
      <c r="C62" t="inlineStr">
        <is>
          <t>confirmado (cuadro resumen art. 13.Tres Ley 13/1997 en atv.gva.es/es/vehiculos-faq, leído 31-10-2026: 6 % hasta 5 años y &lt;= 2.000 cc)</t>
        </is>
      </c>
      <c r="D62" t="inlineStr">
        <is>
          <t>https://atv.gva.es/es/tarifes-itpajd ; https://atv.gva.es/es/compraventa-de-vehiculos</t>
        </is>
      </c>
    </row>
    <row r="63">
      <c r="A63" t="inlineStr">
        <is>
          <t>Cuota fija solo si valor &lt; (€)</t>
        </is>
      </c>
      <c r="B63" s="2" t="n">
        <v>20000</v>
      </c>
      <c r="C63" t="inlineStr">
        <is>
          <t>confirmado (cuadro resumen de la ATV, https://atv.gva.es/es/vehiculos-faq, leído 31-10-2026)</t>
        </is>
      </c>
      <c r="D63" t="inlineStr">
        <is>
          <t>https://atv.gva.es/es/vehiculos-faq ; Ley 13/1997 consolidada https://www.boe.es/buscar/act.php?id=BOE-A-1998-8202</t>
        </is>
      </c>
    </row>
    <row r="64">
      <c r="A64" t="inlineStr">
        <is>
          <t>Tasa DGT transferencia 1.5 (€)</t>
        </is>
      </c>
      <c r="B64" s="2" t="n">
        <v>55.7</v>
      </c>
      <c r="C64" t="inlineStr">
        <is>
          <t>probable: la sede web DGT indica 55,70 €; el PDF oficial de importes (creado 21-12-2020) da 55,15 €, desactualizado. Se usa el más reciente.</t>
        </is>
      </c>
      <c r="D64" t="inlineStr">
        <is>
          <t>https://sede.dgt.gob.es/es/vehiculos/transferencias-de-vehiculos/</t>
        </is>
      </c>
    </row>
    <row r="65">
      <c r="A65" t="inlineStr">
        <is>
          <t>Informe DGT 4.1 (€)</t>
        </is>
      </c>
      <c r="B65" s="2" t="n">
        <v>8.67</v>
      </c>
      <c r="C65" t="inlineStr">
        <is>
          <t>probable: sede web DGT 8,67 €; el PDF de 2020 da 8,59 € (tasa 4.1)</t>
        </is>
      </c>
      <c r="D65" t="inlineStr">
        <is>
          <t>https://sede.dgt.gob.es/es/vehiculos/informacion-de-vehiculos/informe-de-un-vehiculo/</t>
        </is>
      </c>
    </row>
    <row r="66">
      <c r="A66" t="inlineStr">
        <is>
          <t>Cuota fija: tramo 'más de N años' (alto)</t>
        </is>
      </c>
      <c r="B66" s="2" t="n">
        <v>12</v>
      </c>
      <c r="C66" t="inlineStr">
        <is>
          <t>confirmado (cuadro resumen de la ATV, https://atv.gva.es/es/vehiculos-faq, leído 31-10-2026)</t>
        </is>
      </c>
      <c r="D66" t="inlineStr">
        <is>
          <t>https://atv.gva.es/es/vehiculos-faq ; Ley 13/1997 consolidada https://www.boe.es/buscar/act.php?id=BOE-A-1998-8202</t>
        </is>
      </c>
    </row>
    <row r="67">
      <c r="A67" t="inlineStr">
        <is>
          <t>Cuota fija: tramo 'más de N años' (bajo)</t>
        </is>
      </c>
      <c r="B67" s="2" t="n">
        <v>5</v>
      </c>
      <c r="C67" t="inlineStr">
        <is>
          <t>confirmado (cuadro resumen de la ATV, https://atv.gva.es/es/vehiculos-faq, leído 31-10-2026)</t>
        </is>
      </c>
      <c r="D67" t="inlineStr">
        <is>
          <t>https://atv.gva.es/es/vehiculos-faq ; Ley 13/1997 consolidada https://www.boe.es/buscar/act.php?id=BOE-A-1998-8202</t>
        </is>
      </c>
    </row>
    <row r="68">
      <c r="A68" t="inlineStr">
        <is>
          <t>Vendedor profesional: sin ITP (IVA/REBU incluido); se suman sus gastos de gestión y la tasa DGT solo si esos gastos no incluyen la transferencia o no constan — PENDIENTE de cita oficial (práctica habitual; confirmar en la factura)</t>
        </is>
      </c>
    </row>
    <row r="69">
      <c r="A69" t="inlineStr">
        <is>
          <t>Nota: Ley 5/2025 de 30 de mayo modifica tipos de ITP; parece afectar a inmuebles. Efecto sobre vehículos PENDIENTE de verificar.</t>
        </is>
      </c>
    </row>
    <row r="71">
      <c r="A71" s="8" t="inlineStr">
        <is>
          <t>Tabla de cuotas fijas de ITP</t>
        </is>
      </c>
    </row>
    <row r="72">
      <c r="A72" s="7" t="inlineStr">
        <is>
          <t>Más de (años)</t>
        </is>
      </c>
      <c r="B72" s="7" t="inlineStr">
        <is>
          <t>cc desde</t>
        </is>
      </c>
      <c r="C72" s="7" t="inlineStr">
        <is>
          <t>cc hasta</t>
        </is>
      </c>
      <c r="D72" s="7" t="inlineStr">
        <is>
          <t>Cuota (€)</t>
        </is>
      </c>
      <c r="E72" s="7" t="inlineStr">
        <is>
          <t>Descripción</t>
        </is>
      </c>
      <c r="F72" s="7" t="inlineStr">
        <is>
          <t>Estado</t>
        </is>
      </c>
      <c r="G72" s="7" t="inlineStr">
        <is>
          <t>Fuente</t>
        </is>
      </c>
    </row>
    <row r="73">
      <c r="A73" s="2" t="n">
        <v>12</v>
      </c>
      <c r="B73" s="2" t="n">
        <v>0</v>
      </c>
      <c r="C73" s="2" t="n">
        <v>1500</v>
      </c>
      <c r="D73" s="2" t="n">
        <v>40</v>
      </c>
      <c r="E73" t="inlineStr">
        <is>
          <t>&gt;12 años, hasta 1.500 cc</t>
        </is>
      </c>
      <c r="F73" t="inlineStr">
        <is>
          <t>confirmado (cuadro resumen de la ATV, https://atv.gva.es/es/vehiculos-faq, leído 31-10-2026)</t>
        </is>
      </c>
      <c r="G73" t="inlineStr">
        <is>
          <t>https://atv.gva.es/es/vehiculos-faq ; Ley 13/1997 consolidada https://www.boe.es/buscar/act.php?id=BOE-A-1998-8202</t>
        </is>
      </c>
    </row>
    <row r="74">
      <c r="A74" s="2" t="n">
        <v>12</v>
      </c>
      <c r="B74" s="2" t="n">
        <v>1501</v>
      </c>
      <c r="C74" s="2" t="n">
        <v>2000</v>
      </c>
      <c r="D74" s="2" t="n">
        <v>60</v>
      </c>
      <c r="E74" t="inlineStr">
        <is>
          <t>&gt;12 años, 1.501-2.000 cc</t>
        </is>
      </c>
      <c r="F74" t="inlineStr">
        <is>
          <t>confirmado (cuadro resumen de la ATV, https://atv.gva.es/es/vehiculos-faq, leído 31-10-2026)</t>
        </is>
      </c>
      <c r="G74" t="inlineStr">
        <is>
          <t>https://atv.gva.es/es/vehiculos-faq ; Ley 13/1997 consolidada https://www.boe.es/buscar/act.php?id=BOE-A-1998-8202</t>
        </is>
      </c>
    </row>
    <row r="75">
      <c r="A75" s="2" t="n">
        <v>12</v>
      </c>
      <c r="B75" s="2" t="n">
        <v>2001</v>
      </c>
      <c r="C75" s="2" t="n">
        <v>99999</v>
      </c>
      <c r="D75" s="2" t="n">
        <v>140</v>
      </c>
      <c r="E75" t="inlineStr">
        <is>
          <t>&gt;12 años, más de 2.000 cc</t>
        </is>
      </c>
      <c r="F75" t="inlineStr">
        <is>
          <t>confirmado (cuadro resumen de la ATV, https://atv.gva.es/es/vehiculos-faq, leído 31-10-2026)</t>
        </is>
      </c>
      <c r="G75" t="inlineStr">
        <is>
          <t>https://atv.gva.es/es/vehiculos-faq ; Ley 13/1997 consolidada https://www.boe.es/buscar/act.php?id=BOE-A-1998-8202</t>
        </is>
      </c>
    </row>
    <row r="76">
      <c r="A76" s="2" t="n">
        <v>5</v>
      </c>
      <c r="B76" s="2" t="n">
        <v>0</v>
      </c>
      <c r="C76" s="2" t="n">
        <v>1500</v>
      </c>
      <c r="D76" s="2" t="n">
        <v>120</v>
      </c>
      <c r="E76" t="inlineStr">
        <is>
          <t>&gt;5 y &lt;=12 años, hasta 1.500 cc</t>
        </is>
      </c>
      <c r="F76" t="inlineStr">
        <is>
          <t>confirmado (cuadro resumen de la ATV, https://atv.gva.es/es/vehiculos-faq, leído 31-10-2026)</t>
        </is>
      </c>
      <c r="G76" t="inlineStr">
        <is>
          <t>https://atv.gva.es/es/vehiculos-faq ; Ley 13/1997 consolidada https://www.boe.es/buscar/act.php?id=BOE-A-1998-8202</t>
        </is>
      </c>
    </row>
    <row r="77">
      <c r="A77" s="2" t="n">
        <v>5</v>
      </c>
      <c r="B77" s="2" t="n">
        <v>1501</v>
      </c>
      <c r="C77" s="2" t="n">
        <v>2000</v>
      </c>
      <c r="D77" s="2" t="n">
        <v>180</v>
      </c>
      <c r="E77" t="inlineStr">
        <is>
          <t>&gt;5 y &lt;=12 años, 1.501-2.000 cc</t>
        </is>
      </c>
      <c r="F77" t="inlineStr">
        <is>
          <t>confirmado (cuadro resumen de la ATV, https://atv.gva.es/es/vehiculos-faq, leído 31-10-2026)</t>
        </is>
      </c>
      <c r="G77" t="inlineStr">
        <is>
          <t>https://atv.gva.es/es/vehiculos-faq ; Ley 13/1997 consolidada https://www.boe.es/buscar/act.php?id=BOE-A-1998-8202</t>
        </is>
      </c>
    </row>
    <row r="78">
      <c r="A78" s="2" t="n">
        <v>5</v>
      </c>
      <c r="B78" s="2" t="n">
        <v>2001</v>
      </c>
      <c r="C78" s="2" t="n">
        <v>99999</v>
      </c>
      <c r="D78" s="2" t="n">
        <v>280</v>
      </c>
      <c r="E78" t="inlineStr">
        <is>
          <t>&gt;5 y &lt;=12 años, más de 2.000 cc</t>
        </is>
      </c>
      <c r="F78" t="inlineStr">
        <is>
          <t>confirmado (cuadro resumen de la ATV, https://atv.gva.es/es/vehiculos-faq, leído 31-10-2026)</t>
        </is>
      </c>
      <c r="G78" t="inlineStr">
        <is>
          <t>https://atv.gva.es/es/vehiculos-faq ; Ley 13/1997 consolidada https://www.boe.es/buscar/act.php?id=BOE-A-1998-8202</t>
        </is>
      </c>
    </row>
    <row r="79">
      <c r="A79" t="inlineStr">
        <is>
          <t>cc hasta 99999 = sin límite superior. Cilindrada desconocida -&gt; se usa 99999 (tramo más caro).</t>
        </is>
      </c>
    </row>
    <row r="80">
      <c r="A80"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82">
      <c r="A82" s="6" t="inlineStr">
        <is>
          <t>4. Distintivo ambiental (DGT) y ZBE de València</t>
        </is>
      </c>
    </row>
    <row r="83">
      <c r="A83" t="inlineStr">
        <is>
          <t>Orden de fiabilidad: 1) fichero oficial de la DGT por matrícula; 2) etiqueta publicada en el anuncio; 3) regla por combustible y fecha de primera matriculación. Año frontera sin mes = 'dudosa' (la peor posible).</t>
        </is>
      </c>
    </row>
    <row r="84">
      <c r="A84" s="7" t="inlineStr">
        <is>
          <t>Criterio (fecha de primera matriculación, AAAAMM)</t>
        </is>
      </c>
      <c r="B84" s="7" t="inlineStr">
        <is>
          <t>Valor</t>
        </is>
      </c>
      <c r="C84" s="7" t="inlineStr">
        <is>
          <t>Estado</t>
        </is>
      </c>
      <c r="D84" s="7" t="inlineStr">
        <is>
          <t>Fuente</t>
        </is>
      </c>
    </row>
    <row r="85">
      <c r="A85" t="inlineStr">
        <is>
          <t>Gasolina: B desde (AAAAMM)</t>
        </is>
      </c>
      <c r="B85" s="2" t="n">
        <v>200101</v>
      </c>
      <c r="C85" t="inlineStr">
        <is>
          <t>confirmado</t>
        </is>
      </c>
      <c r="D85" t="inlineStr">
        <is>
          <t>https://www.dgt.es/nuestros-servicios/tu-vehiculo/tus-vehiculos/distintivo-ambiental/ (consultado 2026-10-31 17:20 UTC)</t>
        </is>
      </c>
    </row>
    <row r="86">
      <c r="A86" t="inlineStr">
        <is>
          <t>Gasolina: C desde (AAAAMM)</t>
        </is>
      </c>
      <c r="B86" s="2" t="n">
        <v>200601</v>
      </c>
      <c r="C86" t="inlineStr">
        <is>
          <t>confirmado</t>
        </is>
      </c>
      <c r="D86" t="inlineStr">
        <is>
          <t>https://www.dgt.es/nuestros-servicios/tu-vehiculo/tus-vehiculos/distintivo-ambiental/ (consultado 2026-10-31 17:20 UTC)</t>
        </is>
      </c>
    </row>
    <row r="87">
      <c r="A87" t="inlineStr">
        <is>
          <t>Diésel: B desde (AAAAMM)</t>
        </is>
      </c>
      <c r="B87" s="2" t="n">
        <v>200601</v>
      </c>
      <c r="C87" t="inlineStr">
        <is>
          <t>confirmado</t>
        </is>
      </c>
      <c r="D87" t="inlineStr">
        <is>
          <t>https://www.dgt.es/nuestros-servicios/tu-vehiculo/tus-vehiculos/distintivo-ambiental/ (consultado 2026-10-31 17:20 UTC)</t>
        </is>
      </c>
    </row>
    <row r="88">
      <c r="A88" t="inlineStr">
        <is>
          <t>Diésel: C desde (AAAAMM)</t>
        </is>
      </c>
      <c r="B88" s="2" t="n">
        <v>201509</v>
      </c>
      <c r="C88" t="inlineStr">
        <is>
          <t>confirmado</t>
        </is>
      </c>
      <c r="D88" t="inlineStr">
        <is>
          <t>https://www.dgt.es/nuestros-servicios/tu-vehiculo/tus-vehiculos/distintivo-ambiental/ (consultado 2026-10-31 17:20 UTC)</t>
        </is>
      </c>
    </row>
    <row r="89">
      <c r="A89" t="inlineStr">
        <is>
          <t>Etiqueta CERO (texto DGT)</t>
        </is>
      </c>
      <c r="B89" s="9" t="inlineStr">
        <is>
          <t>eléctricos de batería (BEV), eléctricos de autonomía extendida (REEV), eléctricos híbridos enchufables (PHEV) con una autonomía de 40 km o vehículos de pila de combustible</t>
        </is>
      </c>
      <c r="C89" t="inlineStr">
        <is>
          <t>confirmado</t>
        </is>
      </c>
      <c r="D89" t="inlineStr">
        <is>
          <t>https://www.dgt.es/nuestros-servicios/tu-vehiculo/tus-vehiculos/distintivo-ambiental/ (consultado 2026-10-31 17:20 UTC)</t>
        </is>
      </c>
    </row>
    <row r="90">
      <c r="A90" t="inlineStr">
        <is>
          <t>Etiqueta ECO (texto DGT)</t>
        </is>
      </c>
      <c r="B90" s="9" t="inlineStr">
        <is>
          <t>eléctricos enchufables con autonomía inferior a 40 km, híbridos no enchufables (HEV), vehículos propulsados por gas natural y gas (GNC y GNL) o gas licuado del petróleo (GLP)</t>
        </is>
      </c>
      <c r="C90" t="inlineStr">
        <is>
          <t>confirmado</t>
        </is>
      </c>
      <c r="D90" t="inlineStr">
        <is>
          <t>https://www.dgt.es/nuestros-servicios/tu-vehiculo/tus-vehiculos/distintivo-ambiental/ (consultado 2026-10-31 17:20 UTC)</t>
        </is>
      </c>
    </row>
    <row r="91">
      <c r="A91" t="inlineStr">
        <is>
          <t>Etiqueta C (texto DGT)</t>
        </is>
      </c>
      <c r="B91" s="9" t="inlineStr">
        <is>
          <t>turismos y furgonetas ligeras de gasolina matriculadas a partir de enero de 2006 y diésel a partir de septiembre de 2015</t>
        </is>
      </c>
      <c r="C91" t="inlineStr">
        <is>
          <t>confirmado</t>
        </is>
      </c>
      <c r="D91" t="inlineStr">
        <is>
          <t>https://www.dgt.es/nuestros-servicios/tu-vehiculo/tus-vehiculos/distintivo-ambiental/ (consultado 2026-10-31 17:20 UTC)</t>
        </is>
      </c>
    </row>
    <row r="92">
      <c r="A92" t="inlineStr">
        <is>
          <t>Etiqueta B (texto DGT)</t>
        </is>
      </c>
      <c r="B92" s="9" t="inlineStr">
        <is>
          <t>turismos y furgonetas ligeras de gasolina matriculadas desde el 1 de enero de 2001 y diésel a partir de 2006</t>
        </is>
      </c>
      <c r="C92" t="inlineStr">
        <is>
          <t>confirmado</t>
        </is>
      </c>
      <c r="D92" t="inlineStr">
        <is>
          <t>https://www.dgt.es/nuestros-servicios/tu-vehiculo/tus-vehiculos/distintivo-ambiental/ (consultado 2026-10-31 17:20 UTC)</t>
        </is>
      </c>
    </row>
    <row r="93">
      <c r="A93" t="inlineStr">
        <is>
          <t>Híbridos (HEV), GLP, GNC/GNL → ECO; eléctricos → CERO; enchufables sin autonomía conocida → ECO (conservador).</t>
        </is>
      </c>
    </row>
    <row r="95">
      <c r="A95" s="7" t="inlineStr">
        <is>
          <t>Combustible (año frontera)</t>
        </is>
      </c>
      <c r="B95" s="7" t="inlineStr">
        <is>
          <t>Año</t>
        </is>
      </c>
      <c r="C95" s="7" t="inlineStr">
        <is>
          <t>Estado</t>
        </is>
      </c>
      <c r="D95" s="7" t="inlineStr">
        <is>
          <t>Fuente</t>
        </is>
      </c>
    </row>
    <row r="96">
      <c r="A96" s="2" t="inlineStr">
        <is>
          <t>gasolina</t>
        </is>
      </c>
      <c r="B96" s="2" t="n">
        <v>2000</v>
      </c>
      <c r="C96" t="inlineStr">
        <is>
          <t>criterio (zbe.yaml)</t>
        </is>
      </c>
      <c r="D96" t="inlineStr">
        <is>
          <t>Sin mes de matriculación → etiqueta dudosa = la peor del par de años</t>
        </is>
      </c>
    </row>
    <row r="97">
      <c r="A97" s="2" t="inlineStr">
        <is>
          <t>gasolina</t>
        </is>
      </c>
      <c r="B97" s="2" t="n">
        <v>2001</v>
      </c>
      <c r="C97" t="inlineStr">
        <is>
          <t>criterio (zbe.yaml)</t>
        </is>
      </c>
      <c r="D97" t="inlineStr">
        <is>
          <t>Sin mes de matriculación → etiqueta dudosa = la peor del par de años</t>
        </is>
      </c>
    </row>
    <row r="98">
      <c r="A98" s="2" t="inlineStr">
        <is>
          <t>diesel</t>
        </is>
      </c>
      <c r="B98" s="2" t="n">
        <v>2005</v>
      </c>
      <c r="C98" t="inlineStr">
        <is>
          <t>criterio (zbe.yaml)</t>
        </is>
      </c>
      <c r="D98" t="inlineStr">
        <is>
          <t>Sin mes de matriculación → etiqueta dudosa = la peor del par de años</t>
        </is>
      </c>
    </row>
    <row r="99">
      <c r="A99" s="2" t="inlineStr">
        <is>
          <t>diesel</t>
        </is>
      </c>
      <c r="B99" s="2" t="n">
        <v>2006</v>
      </c>
      <c r="C99" t="inlineStr">
        <is>
          <t>criterio (zbe.yaml)</t>
        </is>
      </c>
      <c r="D99" t="inlineStr">
        <is>
          <t>Sin mes de matriculación → etiqueta dudosa = la peor del par de años</t>
        </is>
      </c>
    </row>
    <row r="100">
      <c r="A100" s="2" t="inlineStr">
        <is>
          <t>diesel</t>
        </is>
      </c>
      <c r="B100" s="2" t="n">
        <v>2015</v>
      </c>
      <c r="C100" t="inlineStr">
        <is>
          <t>criterio (zbe.yaml)</t>
        </is>
      </c>
      <c r="D100" t="inlineStr">
        <is>
          <t>Sin mes de matriculación → etiqueta dudosa = la peor del par de años</t>
        </is>
      </c>
    </row>
    <row r="102">
      <c r="A102" s="7" t="inlineStr">
        <is>
          <t>Código fichero DGT</t>
        </is>
      </c>
      <c r="B102" s="7" t="inlineStr">
        <is>
          <t>Etiqueta</t>
        </is>
      </c>
      <c r="C102" s="7" t="inlineStr">
        <is>
          <t>Estado</t>
        </is>
      </c>
      <c r="D102" s="7" t="inlineStr">
        <is>
          <t>Fuente</t>
        </is>
      </c>
    </row>
    <row r="103">
      <c r="A103" s="2" t="inlineStr">
        <is>
          <t>16TB</t>
        </is>
      </c>
      <c r="B103" s="2" t="inlineStr">
        <is>
          <t>B</t>
        </is>
      </c>
      <c r="C103" t="inlineStr">
        <is>
          <t>verificado (843 matrículas cruzadas)</t>
        </is>
      </c>
      <c r="D103" t="inlineStr">
        <is>
          <t>https://www.dgt.es/microdatos/salida/distintivoAmbiental/export_dist_ambiental.zip</t>
        </is>
      </c>
    </row>
    <row r="104">
      <c r="A104" s="2" t="inlineStr">
        <is>
          <t>16TC</t>
        </is>
      </c>
      <c r="B104" s="2" t="inlineStr">
        <is>
          <t>C</t>
        </is>
      </c>
      <c r="C104" t="inlineStr">
        <is>
          <t>verificado (843 matrículas cruzadas)</t>
        </is>
      </c>
      <c r="D104" t="inlineStr">
        <is>
          <t>https://www.dgt.es/microdatos/salida/distintivoAmbiental/export_dist_ambiental.zip</t>
        </is>
      </c>
    </row>
    <row r="105">
      <c r="A105" s="2" t="inlineStr">
        <is>
          <t>16TE</t>
        </is>
      </c>
      <c r="B105" s="2" t="inlineStr">
        <is>
          <t>ECO</t>
        </is>
      </c>
      <c r="C105" t="inlineStr">
        <is>
          <t>verificado (843 matrículas cruzadas)</t>
        </is>
      </c>
      <c r="D105" t="inlineStr">
        <is>
          <t>https://www.dgt.es/microdatos/salida/distintivoAmbiental/export_dist_ambiental.zip</t>
        </is>
      </c>
    </row>
    <row r="106">
      <c r="A106" s="2" t="inlineStr">
        <is>
          <t>16T0</t>
        </is>
      </c>
      <c r="B106" s="2" t="inlineStr">
        <is>
          <t>CERO</t>
        </is>
      </c>
      <c r="C106" t="inlineStr">
        <is>
          <t>verificado (843 matrículas cruzadas)</t>
        </is>
      </c>
      <c r="D106" t="inlineStr">
        <is>
          <t>https://www.dgt.es/microdatos/salida/distintivoAmbiental/export_dist_ambiental.zip</t>
        </is>
      </c>
    </row>
    <row r="107">
      <c r="A107" s="2" t="inlineStr">
        <is>
          <t>16MB</t>
        </is>
      </c>
      <c r="B107" s="2" t="inlineStr">
        <is>
          <t>B</t>
        </is>
      </c>
      <c r="C107" t="inlineStr">
        <is>
          <t>verificado (843 matrículas cruzadas)</t>
        </is>
      </c>
      <c r="D107" t="inlineStr">
        <is>
          <t>https://www.dgt.es/microdatos/salida/distintivoAmbiental/export_dist_ambiental.zip</t>
        </is>
      </c>
    </row>
    <row r="108">
      <c r="A108" s="2" t="inlineStr">
        <is>
          <t>16MC</t>
        </is>
      </c>
      <c r="B108" s="2" t="inlineStr">
        <is>
          <t>C</t>
        </is>
      </c>
      <c r="C108" t="inlineStr">
        <is>
          <t>verificado (843 matrículas cruzadas)</t>
        </is>
      </c>
      <c r="D108" t="inlineStr">
        <is>
          <t>https://www.dgt.es/microdatos/salida/distintivoAmbiental/export_dist_ambiental.zip</t>
        </is>
      </c>
    </row>
    <row r="109">
      <c r="A109" s="2" t="inlineStr">
        <is>
          <t>16ME</t>
        </is>
      </c>
      <c r="B109" s="2" t="inlineStr">
        <is>
          <t>ECO</t>
        </is>
      </c>
      <c r="C109" t="inlineStr">
        <is>
          <t>verificado (843 matrículas cruzadas)</t>
        </is>
      </c>
      <c r="D109" t="inlineStr">
        <is>
          <t>https://www.dgt.es/microdatos/salida/distintivoAmbiental/export_dist_ambiental.zip</t>
        </is>
      </c>
    </row>
    <row r="110">
      <c r="A110" s="2" t="inlineStr">
        <is>
          <t>16M0</t>
        </is>
      </c>
      <c r="B110" s="2" t="inlineStr">
        <is>
          <t>CERO</t>
        </is>
      </c>
      <c r="C110" t="inlineStr">
        <is>
          <t>verificado (843 matrículas cruzadas)</t>
        </is>
      </c>
      <c r="D110" t="inlineStr">
        <is>
          <t>https://www.dgt.es/microdatos/salida/distintivoAmbiental/export_dist_ambiental.zip</t>
        </is>
      </c>
    </row>
    <row r="111">
      <c r="A111" s="2" t="inlineStr">
        <is>
          <t>SIN DISTINTIVO</t>
        </is>
      </c>
      <c r="B111" s="2" t="inlineStr">
        <is>
          <t>A</t>
        </is>
      </c>
      <c r="C111" t="inlineStr">
        <is>
          <t>verificado (843 matrículas cruzadas)</t>
        </is>
      </c>
      <c r="D111" t="inlineStr">
        <is>
          <t>https://www.dgt.es/microdatos/salida/distintivoAmbiental/export_dist_ambiental.zip</t>
        </is>
      </c>
    </row>
    <row r="112">
      <c r="A112"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14">
      <c r="A114" s="7" t="inlineStr">
        <is>
          <t>ZBE València: desde</t>
        </is>
      </c>
      <c r="B114" s="7" t="inlineStr">
        <is>
          <t>Hasta</t>
        </is>
      </c>
      <c r="C114" s="7" t="inlineStr">
        <is>
          <t>Restringidos</t>
        </is>
      </c>
      <c r="D114" s="7" t="inlineStr">
        <is>
          <t>Estado / fuente</t>
        </is>
      </c>
    </row>
    <row r="115">
      <c r="A115" s="2" t="inlineStr">
        <is>
          <t>2025-12-01</t>
        </is>
      </c>
      <c r="B115" s="2" t="inlineStr">
        <is>
          <t>2026-12-31</t>
        </is>
      </c>
      <c r="C115" s="2" t="inlineStr">
        <is>
          <t>A matriculados fuera de la provincia de València</t>
        </is>
      </c>
      <c r="D115" t="inlineStr">
        <is>
          <t>calendario PREVISTO, no definitivo (ordenanza pendiente de aprobación definitiva) — https://www.valencia.es/cas/actualidad/-/content/val%C3%A8ncia-aprueba-la-ordenanza-de-zona-de-bajas-emisiones (nota municipal 21-10-2025: calendario) (consultado 2026-10-31)</t>
        </is>
      </c>
    </row>
    <row r="116">
      <c r="A116" s="2" t="inlineStr">
        <is>
          <t>2027-01-01</t>
        </is>
      </c>
      <c r="B116" s="2" t="inlineStr">
        <is>
          <t>2027-12-31</t>
        </is>
      </c>
      <c r="C116" s="2" t="inlineStr">
        <is>
          <t>A matriculados fuera del municipio de València (incluida la provincia)</t>
        </is>
      </c>
      <c r="D116" t="inlineStr">
        <is>
          <t>calendario PREVISTO, no definitivo (ordenanza pendiente de aprobación definitiva) — https://www.valencia.es/cas/actualidad/-/content/val%C3%A8ncia-aprueba-la-ordenanza-de-zona-de-bajas-emisiones (nota municipal 21-10-2025: calendario) (consultado 2026-10-31)</t>
        </is>
      </c>
    </row>
    <row r="117">
      <c r="A117" s="2" t="inlineStr">
        <is>
          <t>2028-01-01</t>
        </is>
      </c>
      <c r="B117" s="2" t="inlineStr">
        <is>
          <t>—</t>
        </is>
      </c>
      <c r="C117" s="2" t="inlineStr">
        <is>
          <t>todos los A, incluidos los de vecinos de València</t>
        </is>
      </c>
      <c r="D117" t="inlineStr">
        <is>
          <t>calendario PREVISTO, no definitivo (ordenanza pendiente de aprobación definitiva) — https://www.valencia.es/cas/actualidad/-/content/val%C3%A8ncia-aprueba-la-ordenanza-de-zona-de-bajas-emisiones (nota municipal 21-10-2025: calendario) (consultado 2026-10-31)</t>
        </is>
      </c>
    </row>
    <row r="118">
      <c r="A118"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19">
      <c r="A119" t="inlineStr">
        <is>
          <t>Etiqueta B: Sin restricciones en la ordenanza (ni prevista con fecha). Que vaya a ser la siguiente es una expectativa razonable (Ley 7/2021 y otras ZBE), pero NO consta en ninguna fuente oficial de València: no se usa como dato.</t>
        </is>
      </c>
    </row>
    <row r="121">
      <c r="A121" s="7" t="inlineStr">
        <is>
          <t>Etiqueta (criterio 'Etiqueta y ZBE')</t>
        </is>
      </c>
      <c r="B121" s="7" t="inlineStr">
        <is>
          <t>Puntos</t>
        </is>
      </c>
      <c r="C121" s="7" t="inlineStr">
        <is>
          <t>Estado</t>
        </is>
      </c>
      <c r="D121" s="7" t="inlineStr">
        <is>
          <t>Fuente</t>
        </is>
      </c>
    </row>
    <row r="122">
      <c r="A122" s="2" t="inlineStr">
        <is>
          <t>B</t>
        </is>
      </c>
      <c r="B122" s="2" t="n">
        <v>40</v>
      </c>
      <c r="C122" t="inlineStr">
        <is>
          <t>criterio (config.yaml)</t>
        </is>
      </c>
      <c r="D122" t="inlineStr">
        <is>
          <t>config.yaml → scoring.etiqueta.puntos (B base, C +, ECO/CERO ++)</t>
        </is>
      </c>
    </row>
    <row r="123">
      <c r="A123" s="2" t="inlineStr">
        <is>
          <t>C</t>
        </is>
      </c>
      <c r="B123" s="2" t="n">
        <v>70</v>
      </c>
      <c r="C123" t="inlineStr">
        <is>
          <t>criterio (config.yaml)</t>
        </is>
      </c>
      <c r="D123" t="inlineStr">
        <is>
          <t>config.yaml → scoring.etiqueta.puntos (B base, C +, ECO/CERO ++)</t>
        </is>
      </c>
    </row>
    <row r="124">
      <c r="A124" s="2" t="inlineStr">
        <is>
          <t>ECO</t>
        </is>
      </c>
      <c r="B124" s="2" t="n">
        <v>100</v>
      </c>
      <c r="C124" t="inlineStr">
        <is>
          <t>criterio (config.yaml)</t>
        </is>
      </c>
      <c r="D124" t="inlineStr">
        <is>
          <t>config.yaml → scoring.etiqueta.puntos (B base, C +, ECO/CERO ++)</t>
        </is>
      </c>
    </row>
    <row r="125">
      <c r="A125" s="2" t="inlineStr">
        <is>
          <t>CERO</t>
        </is>
      </c>
      <c r="B125" s="2" t="n">
        <v>100</v>
      </c>
      <c r="C125" t="inlineStr">
        <is>
          <t>criterio (config.yaml)</t>
        </is>
      </c>
      <c r="D125" t="inlineStr">
        <is>
          <t>config.yaml → scoring.etiqueta.puntos (B base, C +, ECO/CERO ++)</t>
        </is>
      </c>
    </row>
    <row r="126">
      <c r="A126" s="2" t="inlineStr">
        <is>
          <t>A</t>
        </is>
      </c>
      <c r="B126" s="2" t="n">
        <v>0</v>
      </c>
      <c r="C126" t="inlineStr">
        <is>
          <t>criterio (config.yaml)</t>
        </is>
      </c>
      <c r="D126" t="inlineStr">
        <is>
          <t>config.yaml → scoring.etiqueta.puntos (B base, C +, ECO/CERO ++)</t>
        </is>
      </c>
    </row>
    <row r="127">
      <c r="A127" t="inlineStr">
        <is>
          <t>Penalización si la etiqueta es dudosa (puntos)</t>
        </is>
      </c>
      <c r="B127" s="2" t="n">
        <v>15</v>
      </c>
      <c r="C127" t="inlineStr">
        <is>
          <t>criterio (config.yaml)</t>
        </is>
      </c>
      <c r="D127" t="inlineStr">
        <is>
          <t>config.yaml</t>
        </is>
      </c>
    </row>
    <row r="128">
      <c r="A128" t="inlineStr">
        <is>
          <t>Penalización si la etiqueta sale solo de la regla (puntos)</t>
        </is>
      </c>
      <c r="B128" s="2" t="n">
        <v>5</v>
      </c>
      <c r="C128" t="inlineStr">
        <is>
          <t>criterio (config.yaml)</t>
        </is>
      </c>
      <c r="D128" t="inlineStr">
        <is>
          <t>config.yaml</t>
        </is>
      </c>
    </row>
    <row r="130">
      <c r="A130" s="7" t="inlineStr">
        <is>
          <t>Carrocería admitida con penalización</t>
        </is>
      </c>
      <c r="B130" s="7" t="inlineStr">
        <is>
          <t>Puntos restados a la PUNTUACIÓN</t>
        </is>
      </c>
      <c r="C130" s="7" t="inlineStr">
        <is>
          <t>Estado</t>
        </is>
      </c>
      <c r="D130" s="7" t="inlineStr">
        <is>
          <t>Fuente</t>
        </is>
      </c>
    </row>
    <row r="131">
      <c r="A131" s="2" t="inlineStr">
        <is>
          <t>berlina</t>
        </is>
      </c>
      <c r="B131" s="2" t="n">
        <v>4</v>
      </c>
      <c r="C131" t="inlineStr">
        <is>
          <t>criterio (config.yaml)</t>
        </is>
      </c>
      <c r="D131" t="inlineStr">
        <is>
          <t>config.yaml → scoring.penalizaciones.carroceria</t>
        </is>
      </c>
    </row>
    <row r="132">
      <c r="A132" s="2" t="inlineStr">
        <is>
          <t>familiar</t>
        </is>
      </c>
      <c r="B132" s="2" t="n">
        <v>3</v>
      </c>
      <c r="C132" t="inlineStr">
        <is>
          <t>criterio (config.yaml)</t>
        </is>
      </c>
      <c r="D132" t="inlineStr">
        <is>
          <t>config.yaml → scoring.penalizaciones.carroceria</t>
        </is>
      </c>
    </row>
    <row r="133">
      <c r="A133" s="2" t="inlineStr">
        <is>
          <t>monovolumen_pequeno</t>
        </is>
      </c>
      <c r="B133" s="2" t="n">
        <v>6</v>
      </c>
      <c r="C133" t="inlineStr">
        <is>
          <t>criterio (config.yaml)</t>
        </is>
      </c>
      <c r="D133" t="inlineStr">
        <is>
          <t>config.yaml → scoring.penalizaciones.carroceria</t>
        </is>
      </c>
    </row>
    <row r="134">
      <c r="A134" t="inlineStr">
        <is>
          <t>Diésel sin fuente de fiabilidad del motor (Mot. con fuente = 0): la fiabilidad del modelo se limita a NEUTRO (tratamiento de dato pendiente); además se aplica el ajuste por combustible (DPF).</t>
        </is>
      </c>
    </row>
    <row r="135">
      <c r="A135" t="inlineStr">
        <is>
          <t>Consumo (l/100 km): PENDIENTE de fuente -&gt; se puntúa con NEUTRO.</t>
        </is>
      </c>
    </row>
    <row r="137">
      <c r="A137" s="8" t="inlineStr">
        <is>
          <t>Seguro estimado (€/año) — Terceros ampliado, conductor de 29 años, Mislata (46920), sin siniestros, coche en la calle, valor &lt; 5.000 €</t>
        </is>
      </c>
    </row>
    <row r="138">
      <c r="A138" s="7" t="inlineStr">
        <is>
          <t>Segmento</t>
        </is>
      </c>
      <c r="B138" s="7" t="inlineStr">
        <is>
          <t>Mínimo</t>
        </is>
      </c>
      <c r="C138" s="7" t="inlineStr">
        <is>
          <t>Estimación central</t>
        </is>
      </c>
      <c r="D138" s="7" t="inlineStr">
        <is>
          <t>Máximo</t>
        </is>
      </c>
      <c r="E138" s="7" t="inlineStr">
        <is>
          <t>Estado</t>
        </is>
      </c>
      <c r="F138" s="7" t="inlineStr">
        <is>
          <t>Fuentes</t>
        </is>
      </c>
    </row>
    <row r="139">
      <c r="A139" s="2" t="inlineStr">
        <is>
          <t>utilitario</t>
        </is>
      </c>
      <c r="B139" s="2" t="n">
        <v>170</v>
      </c>
      <c r="C139" s="2" t="n">
        <v>300</v>
      </c>
      <c r="D139" s="2" t="n">
        <v>420</v>
      </c>
      <c r="E139" t="inlineStr">
        <is>
          <t>aproximado (estimación por segmento; no se han pedido presupuestos con datos personales)</t>
        </is>
      </c>
      <c r="F139"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40">
      <c r="A140" s="2" t="inlineStr">
        <is>
          <t>compacto</t>
        </is>
      </c>
      <c r="B140" s="2" t="n">
        <v>190</v>
      </c>
      <c r="C140" s="2" t="n">
        <v>340</v>
      </c>
      <c r="D140" s="2" t="n">
        <v>480</v>
      </c>
      <c r="E140" t="inlineStr">
        <is>
          <t>aproximado (estimación por segmento; no se han pedido presupuestos con datos personales)</t>
        </is>
      </c>
      <c r="F140"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41">
      <c r="A141"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142">
      <c r="A142" t="inlineStr">
        <is>
          <t>Seguro: referencia para 100 puntos (mínimo de la tabla)</t>
        </is>
      </c>
      <c r="B142" s="4">
        <f>MIN(B139:B140)</f>
        <v/>
      </c>
      <c r="C142" t="inlineStr">
        <is>
          <t>calculado</t>
        </is>
      </c>
      <c r="D142" t="inlineStr"/>
    </row>
    <row r="143">
      <c r="A143" t="inlineStr">
        <is>
          <t>Seguro: referencia para 0 puntos (máximo de la tabla)</t>
        </is>
      </c>
      <c r="B143" s="4">
        <f>MAX(D139:D140)</f>
        <v/>
      </c>
      <c r="C143" t="inlineStr">
        <is>
          <t>calculado</t>
        </is>
      </c>
      <c r="D143" t="inlineStr"/>
    </row>
    <row r="145">
      <c r="A145" s="6" t="inlineStr">
        <is>
          <t>5. Fiabilidad: medias TÜV por franja de edad</t>
        </is>
      </c>
    </row>
    <row r="146">
      <c r="A146" s="7" t="inlineStr">
        <is>
          <t>Franja</t>
        </is>
      </c>
      <c r="B146" s="7" t="inlineStr">
        <is>
          <t>Mängelquote media (%)</t>
        </is>
      </c>
      <c r="C146" s="7" t="inlineStr">
        <is>
          <t>Estado</t>
        </is>
      </c>
      <c r="D146" s="7" t="inlineStr">
        <is>
          <t>Fuente</t>
        </is>
      </c>
    </row>
    <row r="147">
      <c r="A147" s="2" t="inlineStr">
        <is>
          <t>10-11</t>
        </is>
      </c>
      <c r="B147" s="2" t="n">
        <v>22.9</v>
      </c>
      <c r="C147" t="inlineStr">
        <is>
          <t>probable</t>
        </is>
      </c>
      <c r="D147" t="inlineStr">
        <is>
          <t>https://www.tuev-verband.de/presse/publikationen/reporte/tuev-report-autobild</t>
        </is>
      </c>
    </row>
    <row r="148">
      <c r="A148" s="2" t="inlineStr">
        <is>
          <t>12-13</t>
        </is>
      </c>
      <c r="B148" s="2" t="n">
        <v>28.4</v>
      </c>
      <c r="C148" t="inlineStr">
        <is>
          <t>probable</t>
        </is>
      </c>
      <c r="D148" t="inlineStr">
        <is>
          <t>https://www.tuev-verband.de/presse/publikationen/reporte/tuev-report-autobild</t>
        </is>
      </c>
    </row>
    <row r="150">
      <c r="A150" s="6" t="inlineStr">
        <is>
          <t>6. Fiabilidad: índice OCU 2026 por marca</t>
        </is>
      </c>
    </row>
    <row r="151">
      <c r="A151" s="7" t="inlineStr">
        <is>
          <t>Marca</t>
        </is>
      </c>
      <c r="B151" s="7" t="inlineStr">
        <is>
          <t>Índice OCU (0-100)</t>
        </is>
      </c>
      <c r="C151" s="7" t="inlineStr">
        <is>
          <t>Estado</t>
        </is>
      </c>
      <c r="D151" s="7" t="inlineStr">
        <is>
          <t>Fuente</t>
        </is>
      </c>
    </row>
    <row r="152">
      <c r="A152" s="2" t="inlineStr">
        <is>
          <t>Lexus</t>
        </is>
      </c>
      <c r="B152" s="2" t="n">
        <v>93</v>
      </c>
      <c r="C152" t="inlineStr">
        <is>
          <t>probable</t>
        </is>
      </c>
      <c r="D152" t="inlineStr">
        <is>
          <t>https://www.ocu.org/organizacion/prensa/notas-de-prensa/2026/fiabcoches020326 ; https://es.motor1.com/news/789821/ocu-fiabilidad-2026-japoneses-tesla/</t>
        </is>
      </c>
    </row>
    <row r="153">
      <c r="A153" s="2" t="inlineStr">
        <is>
          <t>Subaru</t>
        </is>
      </c>
      <c r="B153" s="2" t="n">
        <v>91</v>
      </c>
      <c r="C153" t="inlineStr">
        <is>
          <t>probable</t>
        </is>
      </c>
      <c r="D153" t="inlineStr">
        <is>
          <t>https://www.ocu.org/organizacion/prensa/notas-de-prensa/2026/fiabcoches020326 ; https://es.motor1.com/news/789821/ocu-fiabilidad-2026-japoneses-tesla/</t>
        </is>
      </c>
    </row>
    <row r="154">
      <c r="A154" s="2" t="inlineStr">
        <is>
          <t>Toyota</t>
        </is>
      </c>
      <c r="B154" s="2" t="n">
        <v>91</v>
      </c>
      <c r="C154" t="inlineStr">
        <is>
          <t>probable</t>
        </is>
      </c>
      <c r="D154" t="inlineStr">
        <is>
          <t>https://www.ocu.org/organizacion/prensa/notas-de-prensa/2026/fiabcoches020326 ; https://es.motor1.com/news/789821/ocu-fiabilidad-2026-japoneses-tesla/</t>
        </is>
      </c>
    </row>
    <row r="155">
      <c r="A155" s="2" t="inlineStr">
        <is>
          <t>Suzuki</t>
        </is>
      </c>
      <c r="B155" s="2" t="n">
        <v>91</v>
      </c>
      <c r="C155" t="inlineStr">
        <is>
          <t>probable</t>
        </is>
      </c>
      <c r="D155" t="inlineStr">
        <is>
          <t>https://www.ocu.org/organizacion/prensa/notas-de-prensa/2026/fiabcoches020326 ; https://es.motor1.com/news/789821/ocu-fiabilidad-2026-japoneses-tesla/</t>
        </is>
      </c>
    </row>
    <row r="157">
      <c r="A157" s="6" t="inlineStr">
        <is>
          <t>6b. Fiabilidad: ADAC Pannenstatistik 2025 — averías por 1.000 vehículos, matriculación 2015</t>
        </is>
      </c>
    </row>
    <row r="158">
      <c r="A158" s="7" t="inlineStr">
        <is>
          <t>Fila ADAC</t>
        </is>
      </c>
      <c r="B158" s="7" t="inlineStr">
        <is>
          <t>Pannenkennziffer EZ 2015</t>
        </is>
      </c>
      <c r="C158" s="7" t="inlineStr">
        <is>
          <t>Estado</t>
        </is>
      </c>
      <c r="D158" s="7" t="inlineStr">
        <is>
          <t>Fuente</t>
        </is>
      </c>
    </row>
    <row r="159">
      <c r="A159" s="2" t="inlineStr">
        <is>
          <t>Audi A1</t>
        </is>
      </c>
      <c r="B159" s="2" t="n">
        <v>6</v>
      </c>
      <c r="C159" t="inlineStr">
        <is>
          <t>confirmado (PDF original descargado el 31-10-2026; extraído con tools/adac_extract.py, último valor de cada fila; C3/DS3 y Mégane revisados a mano)</t>
        </is>
      </c>
      <c r="D159" t="inlineStr">
        <is>
          <t>https://assets.adac.de/image/upload/v1744279730/ADAC-eV/KOR/Text/PDF/Pannenstatistik_2025_final_nrmvls.pdf</t>
        </is>
      </c>
    </row>
    <row r="160">
      <c r="A160" s="2" t="inlineStr">
        <is>
          <t>Audi A4</t>
        </is>
      </c>
      <c r="B160" s="2" t="n">
        <v>7.6</v>
      </c>
      <c r="C160" t="inlineStr"/>
      <c r="D160" t="inlineStr"/>
    </row>
    <row r="161">
      <c r="A161" s="2" t="inlineStr">
        <is>
          <t>Audi A5</t>
        </is>
      </c>
      <c r="B161" s="2" t="n">
        <v>11.1</v>
      </c>
      <c r="C161" t="inlineStr"/>
      <c r="D161" t="inlineStr"/>
    </row>
    <row r="162">
      <c r="A162" s="2" t="inlineStr">
        <is>
          <t>Audi Q5</t>
        </is>
      </c>
      <c r="B162" s="2" t="n">
        <v>13.8</v>
      </c>
      <c r="C162" t="inlineStr"/>
      <c r="D162" t="inlineStr"/>
    </row>
    <row r="163">
      <c r="A163" s="2" t="inlineStr">
        <is>
          <t>BMW 3er-Reihe</t>
        </is>
      </c>
      <c r="B163" s="2" t="n">
        <v>9.1</v>
      </c>
      <c r="C163" t="inlineStr"/>
      <c r="D163" t="inlineStr"/>
    </row>
    <row r="164">
      <c r="A164" s="2" t="inlineStr">
        <is>
          <t>BMW 4er-Reihe</t>
        </is>
      </c>
      <c r="B164" s="2" t="n">
        <v>7.5</v>
      </c>
      <c r="C164" t="inlineStr"/>
      <c r="D164" t="inlineStr"/>
    </row>
    <row r="165">
      <c r="A165" s="2" t="inlineStr">
        <is>
          <t>BMW 5er-Reihe</t>
        </is>
      </c>
      <c r="B165" s="2" t="n">
        <v>10.3</v>
      </c>
      <c r="C165" t="inlineStr"/>
      <c r="D165" t="inlineStr"/>
    </row>
    <row r="166">
      <c r="A166" s="2" t="inlineStr">
        <is>
          <t>BMW X1</t>
        </is>
      </c>
      <c r="B166" s="2" t="n">
        <v>14.2</v>
      </c>
      <c r="C166" t="inlineStr"/>
      <c r="D166" t="inlineStr"/>
    </row>
    <row r="167">
      <c r="A167" s="2" t="inlineStr">
        <is>
          <t>BMW X3</t>
        </is>
      </c>
      <c r="B167" s="2" t="n">
        <v>4.2</v>
      </c>
      <c r="C167" t="inlineStr"/>
      <c r="D167" t="inlineStr"/>
    </row>
    <row r="168">
      <c r="A168" s="2" t="inlineStr">
        <is>
          <t>BMW X5</t>
        </is>
      </c>
      <c r="B168" s="2" t="n">
        <v>14.1</v>
      </c>
      <c r="C168" t="inlineStr"/>
      <c r="D168" t="inlineStr"/>
    </row>
    <row r="169">
      <c r="A169" s="2" t="inlineStr">
        <is>
          <t>Citroen Berlingo, Fiat Doblò, Peugeot Partner/Rifter</t>
        </is>
      </c>
      <c r="B169" s="2" t="n">
        <v>19.5</v>
      </c>
      <c r="C169" t="inlineStr"/>
      <c r="D169" t="inlineStr"/>
    </row>
    <row r="170">
      <c r="A170" s="2" t="inlineStr">
        <is>
          <t>Citroen C3/DS 3</t>
        </is>
      </c>
      <c r="B170" s="2" t="n">
        <v>23.7</v>
      </c>
      <c r="C170" t="inlineStr"/>
      <c r="D170" t="inlineStr"/>
    </row>
    <row r="171">
      <c r="A171" s="2" t="inlineStr">
        <is>
          <t>DS Automobiles DS3, Citroen C3/DS 3</t>
        </is>
      </c>
      <c r="B171" s="2" t="n">
        <v>23.7</v>
      </c>
      <c r="C171" t="inlineStr"/>
      <c r="D171" t="inlineStr"/>
    </row>
    <row r="172">
      <c r="A172" s="2" t="inlineStr">
        <is>
          <t>Dacia Dokker</t>
        </is>
      </c>
      <c r="B172" s="2" t="n">
        <v>7.5</v>
      </c>
      <c r="C172" t="inlineStr"/>
      <c r="D172" t="inlineStr"/>
    </row>
    <row r="173">
      <c r="A173" s="2" t="inlineStr">
        <is>
          <t>Dacia Duster</t>
        </is>
      </c>
      <c r="B173" s="2" t="n">
        <v>22.9</v>
      </c>
      <c r="C173" t="inlineStr"/>
      <c r="D173" t="inlineStr"/>
    </row>
    <row r="174">
      <c r="A174" s="2" t="inlineStr">
        <is>
          <t>Dacia Logan</t>
        </is>
      </c>
      <c r="B174" s="2" t="n">
        <v>23.1</v>
      </c>
      <c r="C174" t="inlineStr"/>
      <c r="D174" t="inlineStr"/>
    </row>
    <row r="175">
      <c r="A175" s="2" t="inlineStr">
        <is>
          <t>Dacia Sandero</t>
        </is>
      </c>
      <c r="B175" s="2" t="n">
        <v>14.1</v>
      </c>
      <c r="C175" t="inlineStr"/>
      <c r="D175" t="inlineStr"/>
    </row>
    <row r="176">
      <c r="A176" s="2" t="inlineStr">
        <is>
          <t>Fiat 500</t>
        </is>
      </c>
      <c r="B176" s="2" t="n">
        <v>23.6</v>
      </c>
      <c r="C176" t="inlineStr"/>
      <c r="D176" t="inlineStr"/>
    </row>
    <row r="177">
      <c r="A177" s="2" t="inlineStr">
        <is>
          <t>Fiat Ducato</t>
        </is>
      </c>
      <c r="B177" s="2" t="n">
        <v>45.6</v>
      </c>
      <c r="C177" t="inlineStr"/>
      <c r="D177" t="inlineStr"/>
    </row>
    <row r="178">
      <c r="A178" s="2" t="inlineStr">
        <is>
          <t>Fiat Panda</t>
        </is>
      </c>
      <c r="B178" s="2" t="n">
        <v>16.5</v>
      </c>
      <c r="C178" t="inlineStr"/>
      <c r="D178" t="inlineStr"/>
    </row>
    <row r="179">
      <c r="A179" s="2" t="inlineStr">
        <is>
          <t>Ford B-MAX</t>
        </is>
      </c>
      <c r="B179" s="2" t="n">
        <v>17.7</v>
      </c>
      <c r="C179" t="inlineStr"/>
      <c r="D179" t="inlineStr"/>
    </row>
    <row r="180">
      <c r="A180" s="2" t="inlineStr">
        <is>
          <t>Ford C-MAX</t>
        </is>
      </c>
      <c r="B180" s="2" t="n">
        <v>25</v>
      </c>
      <c r="C180" t="inlineStr"/>
      <c r="D180" t="inlineStr"/>
    </row>
    <row r="181">
      <c r="A181" s="2" t="inlineStr">
        <is>
          <t>Ford Fiesta (Courier)</t>
        </is>
      </c>
      <c r="B181" s="2" t="n">
        <v>20.4</v>
      </c>
      <c r="C181" t="inlineStr"/>
      <c r="D181" t="inlineStr"/>
    </row>
    <row r="182">
      <c r="A182" s="2" t="inlineStr">
        <is>
          <t>Ford Focus</t>
        </is>
      </c>
      <c r="B182" s="2" t="n">
        <v>25.2</v>
      </c>
      <c r="C182" t="inlineStr"/>
      <c r="D182" t="inlineStr"/>
    </row>
    <row r="183">
      <c r="A183" s="2" t="inlineStr">
        <is>
          <t>Ford Kuga</t>
        </is>
      </c>
      <c r="B183" s="2" t="n">
        <v>23.6</v>
      </c>
      <c r="C183" t="inlineStr"/>
      <c r="D183" t="inlineStr"/>
    </row>
    <row r="184">
      <c r="A184" s="2" t="inlineStr">
        <is>
          <t>Ford Ranger</t>
        </is>
      </c>
      <c r="B184" s="2" t="n">
        <v>16.7</v>
      </c>
      <c r="C184" t="inlineStr"/>
      <c r="D184" t="inlineStr"/>
    </row>
    <row r="185">
      <c r="A185" s="2" t="inlineStr">
        <is>
          <t>Ford Tourneo/Transit Connect</t>
        </is>
      </c>
      <c r="B185" s="2" t="n">
        <v>23.5</v>
      </c>
      <c r="C185" t="inlineStr"/>
      <c r="D185" t="inlineStr"/>
    </row>
    <row r="186">
      <c r="A186" s="2" t="inlineStr">
        <is>
          <t>Ford Tourneo/Transit Custom</t>
        </is>
      </c>
      <c r="B186" s="2" t="n">
        <v>18.6</v>
      </c>
      <c r="C186" t="inlineStr"/>
      <c r="D186" t="inlineStr"/>
    </row>
    <row r="187">
      <c r="A187" s="2" t="inlineStr">
        <is>
          <t>Hyundai Tucson</t>
        </is>
      </c>
      <c r="B187" s="2" t="n">
        <v>18.2</v>
      </c>
      <c r="C187" t="inlineStr"/>
      <c r="D187" t="inlineStr"/>
    </row>
    <row r="188">
      <c r="A188" s="2" t="inlineStr">
        <is>
          <t>Hyundai i10</t>
        </is>
      </c>
      <c r="B188" s="2" t="n">
        <v>18.6</v>
      </c>
      <c r="C188" t="inlineStr"/>
      <c r="D188" t="inlineStr"/>
    </row>
    <row r="189">
      <c r="A189" s="2" t="inlineStr">
        <is>
          <t>Hyundai i20</t>
        </is>
      </c>
      <c r="B189" s="2" t="n">
        <v>21.1</v>
      </c>
      <c r="C189" t="inlineStr"/>
      <c r="D189" t="inlineStr"/>
    </row>
    <row r="190">
      <c r="A190" s="2" t="inlineStr">
        <is>
          <t>Hyundai i30</t>
        </is>
      </c>
      <c r="B190" s="2" t="n">
        <v>16.8</v>
      </c>
      <c r="C190" t="inlineStr"/>
      <c r="D190" t="inlineStr"/>
    </row>
    <row r="191">
      <c r="A191" s="2" t="inlineStr">
        <is>
          <t>Hyundai ix20</t>
        </is>
      </c>
      <c r="B191" s="2" t="n">
        <v>21.1</v>
      </c>
      <c r="C191" t="inlineStr"/>
      <c r="D191" t="inlineStr"/>
    </row>
    <row r="192">
      <c r="A192" s="2" t="inlineStr">
        <is>
          <t>KIA Ceed/XCeed</t>
        </is>
      </c>
      <c r="B192" s="2" t="n">
        <v>15.4</v>
      </c>
      <c r="C192" t="inlineStr"/>
      <c r="D192" t="inlineStr"/>
    </row>
    <row r="193">
      <c r="A193" s="2" t="inlineStr">
        <is>
          <t>Kia Picanto</t>
        </is>
      </c>
      <c r="B193" s="2" t="n">
        <v>24.4</v>
      </c>
      <c r="C193" t="inlineStr"/>
      <c r="D193" t="inlineStr"/>
    </row>
    <row r="194">
      <c r="A194" s="2" t="inlineStr">
        <is>
          <t>Kia Sportage</t>
        </is>
      </c>
      <c r="B194" s="2" t="n">
        <v>19.7</v>
      </c>
      <c r="C194" t="inlineStr"/>
      <c r="D194" t="inlineStr"/>
    </row>
    <row r="195">
      <c r="A195" s="2" t="inlineStr">
        <is>
          <t>MINI MINI</t>
        </is>
      </c>
      <c r="B195" s="2" t="n">
        <v>11.6</v>
      </c>
      <c r="C195" t="inlineStr"/>
      <c r="D195" t="inlineStr"/>
    </row>
    <row r="196">
      <c r="A196" s="2" t="inlineStr">
        <is>
          <t>Mazda 2</t>
        </is>
      </c>
      <c r="B196" s="2" t="n">
        <v>6.6</v>
      </c>
      <c r="C196" t="inlineStr"/>
      <c r="D196" t="inlineStr"/>
    </row>
    <row r="197">
      <c r="A197" s="2" t="inlineStr">
        <is>
          <t>Mazda 3</t>
        </is>
      </c>
      <c r="B197" s="2" t="n">
        <v>12.3</v>
      </c>
      <c r="C197" t="inlineStr"/>
      <c r="D197" t="inlineStr"/>
    </row>
    <row r="198">
      <c r="A198" s="2" t="inlineStr">
        <is>
          <t>Mazda CX-3</t>
        </is>
      </c>
      <c r="B198" s="2" t="n">
        <v>9.1</v>
      </c>
      <c r="C198" t="inlineStr"/>
      <c r="D198" t="inlineStr"/>
    </row>
    <row r="199">
      <c r="A199" s="2" t="inlineStr">
        <is>
          <t>Mazda CX-5</t>
        </is>
      </c>
      <c r="B199" s="2" t="n">
        <v>15.1</v>
      </c>
      <c r="C199" t="inlineStr"/>
      <c r="D199" t="inlineStr"/>
    </row>
    <row r="200">
      <c r="A200" s="2" t="inlineStr">
        <is>
          <t>Mercedes-Benz A-Klasse</t>
        </is>
      </c>
      <c r="B200" s="2" t="n">
        <v>13.9</v>
      </c>
      <c r="C200" t="inlineStr"/>
      <c r="D200" t="inlineStr"/>
    </row>
    <row r="201">
      <c r="A201" s="2" t="inlineStr">
        <is>
          <t>Mercedes-Benz B-Klasse</t>
        </is>
      </c>
      <c r="B201" s="2" t="n">
        <v>12.8</v>
      </c>
      <c r="C201" t="inlineStr"/>
      <c r="D201" t="inlineStr"/>
    </row>
    <row r="202">
      <c r="A202" s="2" t="inlineStr">
        <is>
          <t>Mercedes-Benz C-Klasse</t>
        </is>
      </c>
      <c r="B202" s="2" t="n">
        <v>11.4</v>
      </c>
      <c r="C202" t="inlineStr"/>
      <c r="D202" t="inlineStr"/>
    </row>
    <row r="203">
      <c r="A203" s="2" t="inlineStr">
        <is>
          <t>Mercedes-Benz CLA</t>
        </is>
      </c>
      <c r="B203" s="2" t="n">
        <v>19.3</v>
      </c>
      <c r="C203" t="inlineStr"/>
      <c r="D203" t="inlineStr"/>
    </row>
    <row r="204">
      <c r="A204" s="2" t="inlineStr">
        <is>
          <t>Mercedes-Benz Citan</t>
        </is>
      </c>
      <c r="B204" s="2" t="n">
        <v>21.9</v>
      </c>
      <c r="C204" t="inlineStr"/>
      <c r="D204" t="inlineStr"/>
    </row>
    <row r="205">
      <c r="A205" s="2" t="inlineStr">
        <is>
          <t>Mercedes-Benz E-Klasse</t>
        </is>
      </c>
      <c r="B205" s="2" t="n">
        <v>19.5</v>
      </c>
      <c r="C205" t="inlineStr"/>
      <c r="D205" t="inlineStr"/>
    </row>
    <row r="206">
      <c r="A206" s="2" t="inlineStr">
        <is>
          <t>Mercedes-Benz GLA</t>
        </is>
      </c>
      <c r="B206" s="2" t="n">
        <v>10.7</v>
      </c>
      <c r="C206" t="inlineStr"/>
      <c r="D206" t="inlineStr"/>
    </row>
    <row r="207">
      <c r="A207" s="2" t="inlineStr">
        <is>
          <t>Mercedes-Benz GLE</t>
        </is>
      </c>
      <c r="B207" s="2" t="n">
        <v>13</v>
      </c>
      <c r="C207" t="inlineStr"/>
      <c r="D207" t="inlineStr"/>
    </row>
    <row r="208">
      <c r="A208" s="2" t="inlineStr">
        <is>
          <t>Mitsubishi ASX</t>
        </is>
      </c>
      <c r="B208" s="2" t="n">
        <v>8.800000000000001</v>
      </c>
      <c r="C208" t="inlineStr"/>
      <c r="D208" t="inlineStr"/>
    </row>
    <row r="209">
      <c r="A209" s="2" t="inlineStr">
        <is>
          <t>Mitsubishi Space Star</t>
        </is>
      </c>
      <c r="B209" s="2" t="n">
        <v>25.9</v>
      </c>
      <c r="C209" t="inlineStr"/>
      <c r="D209" t="inlineStr"/>
    </row>
    <row r="210">
      <c r="A210" s="2" t="inlineStr">
        <is>
          <t>Nissan Micra</t>
        </is>
      </c>
      <c r="B210" s="2" t="n">
        <v>18.4</v>
      </c>
      <c r="C210" t="inlineStr"/>
      <c r="D210" t="inlineStr"/>
    </row>
    <row r="211">
      <c r="A211" s="2" t="inlineStr">
        <is>
          <t>Nissan Qashqai</t>
        </is>
      </c>
      <c r="B211" s="2" t="n">
        <v>24.9</v>
      </c>
      <c r="C211" t="inlineStr"/>
      <c r="D211" t="inlineStr"/>
    </row>
    <row r="212">
      <c r="A212" s="2" t="inlineStr">
        <is>
          <t>Opel ADAM</t>
        </is>
      </c>
      <c r="B212" s="2" t="n">
        <v>21</v>
      </c>
      <c r="C212" t="inlineStr"/>
      <c r="D212" t="inlineStr"/>
    </row>
    <row r="213">
      <c r="A213" s="2" t="inlineStr">
        <is>
          <t>Opel Astra</t>
        </is>
      </c>
      <c r="B213" s="2" t="n">
        <v>22.2</v>
      </c>
      <c r="C213" t="inlineStr"/>
      <c r="D213" t="inlineStr"/>
    </row>
    <row r="214">
      <c r="A214" s="2" t="inlineStr">
        <is>
          <t>Opel Corsa</t>
        </is>
      </c>
      <c r="B214" s="2" t="n">
        <v>20.2</v>
      </c>
      <c r="C214" t="inlineStr"/>
      <c r="D214" t="inlineStr"/>
    </row>
    <row r="215">
      <c r="A215" s="2" t="inlineStr">
        <is>
          <t>Opel KARL</t>
        </is>
      </c>
      <c r="B215" s="2" t="n">
        <v>20.4</v>
      </c>
      <c r="C215" t="inlineStr"/>
      <c r="D215" t="inlineStr"/>
    </row>
    <row r="216">
      <c r="A216" s="2" t="inlineStr">
        <is>
          <t>Opel Meriva</t>
        </is>
      </c>
      <c r="B216" s="2" t="n">
        <v>26.2</v>
      </c>
      <c r="C216" t="inlineStr"/>
      <c r="D216" t="inlineStr"/>
    </row>
    <row r="217">
      <c r="A217" s="2" t="inlineStr">
        <is>
          <t>Opel Mokka</t>
        </is>
      </c>
      <c r="B217" s="2" t="n">
        <v>20.4</v>
      </c>
      <c r="C217" t="inlineStr"/>
      <c r="D217" t="inlineStr"/>
    </row>
    <row r="218">
      <c r="A218" s="2" t="inlineStr">
        <is>
          <t>Opel Zafira</t>
        </is>
      </c>
      <c r="B218" s="2" t="n">
        <v>30.2</v>
      </c>
      <c r="C218" t="inlineStr"/>
      <c r="D218" t="inlineStr"/>
    </row>
    <row r="219">
      <c r="A219" s="2" t="inlineStr">
        <is>
          <t>Peugeot 2008</t>
        </is>
      </c>
      <c r="B219" s="2" t="n">
        <v>13.4</v>
      </c>
      <c r="C219" t="inlineStr"/>
      <c r="D219" t="inlineStr"/>
    </row>
    <row r="220">
      <c r="A220" s="2" t="inlineStr">
        <is>
          <t>Peugeot 208</t>
        </is>
      </c>
      <c r="B220" s="2" t="n">
        <v>20.4</v>
      </c>
      <c r="C220" t="inlineStr"/>
      <c r="D220" t="inlineStr"/>
    </row>
    <row r="221">
      <c r="A221" s="2" t="inlineStr">
        <is>
          <t>Peugeot 308</t>
        </is>
      </c>
      <c r="B221" s="2" t="n">
        <v>25.6</v>
      </c>
      <c r="C221" t="inlineStr"/>
      <c r="D221" t="inlineStr"/>
    </row>
    <row r="222">
      <c r="A222" s="2" t="inlineStr">
        <is>
          <t>Renault Clio/Captur</t>
        </is>
      </c>
      <c r="B222" s="2" t="n">
        <v>26</v>
      </c>
      <c r="C222" t="inlineStr"/>
      <c r="D222" t="inlineStr"/>
    </row>
    <row r="223">
      <c r="A223" s="2" t="inlineStr">
        <is>
          <t>Renault Kangoo/Rapid</t>
        </is>
      </c>
      <c r="B223" s="2" t="n">
        <v>26.8</v>
      </c>
      <c r="C223" t="inlineStr"/>
      <c r="D223" t="inlineStr"/>
    </row>
    <row r="224">
      <c r="A224" s="2" t="inlineStr">
        <is>
          <t>Renault Master</t>
        </is>
      </c>
      <c r="B224" s="2" t="n">
        <v>19.5</v>
      </c>
      <c r="C224" t="inlineStr"/>
      <c r="D224" t="inlineStr"/>
    </row>
    <row r="225">
      <c r="A225" s="2" t="inlineStr">
        <is>
          <t>Renault Mégane</t>
        </is>
      </c>
      <c r="B225" s="2" t="n">
        <v>28.1</v>
      </c>
      <c r="C225" t="inlineStr"/>
      <c r="D225" t="inlineStr"/>
    </row>
    <row r="226">
      <c r="A226" s="2" t="inlineStr">
        <is>
          <t>Renault Scénic</t>
        </is>
      </c>
      <c r="B226" s="2" t="n">
        <v>29.1</v>
      </c>
      <c r="C226" t="inlineStr"/>
      <c r="D226" t="inlineStr"/>
    </row>
    <row r="227">
      <c r="A227" s="2" t="inlineStr">
        <is>
          <t>Renault Twingo</t>
        </is>
      </c>
      <c r="B227" s="2" t="n">
        <v>20.7</v>
      </c>
      <c r="C227" t="inlineStr"/>
      <c r="D227" t="inlineStr"/>
    </row>
    <row r="228">
      <c r="A228" s="2" t="inlineStr">
        <is>
          <t>SEAT Ibiza</t>
        </is>
      </c>
      <c r="B228" s="2" t="n">
        <v>16.8</v>
      </c>
      <c r="C228" t="inlineStr"/>
      <c r="D228" t="inlineStr"/>
    </row>
    <row r="229">
      <c r="A229" s="2" t="inlineStr">
        <is>
          <t>SEAT Leon</t>
        </is>
      </c>
      <c r="B229" s="2" t="n">
        <v>10</v>
      </c>
      <c r="C229" t="inlineStr"/>
      <c r="D229" t="inlineStr"/>
    </row>
    <row r="230">
      <c r="A230" s="2" t="inlineStr">
        <is>
          <t>Skoda Fabia</t>
        </is>
      </c>
      <c r="B230" s="2" t="n">
        <v>12.8</v>
      </c>
      <c r="C230" t="inlineStr"/>
      <c r="D230" t="inlineStr"/>
    </row>
    <row r="231">
      <c r="A231" s="2" t="inlineStr">
        <is>
          <t>Skoda Octavia</t>
        </is>
      </c>
      <c r="B231" s="2" t="n">
        <v>10.4</v>
      </c>
      <c r="C231" t="inlineStr"/>
      <c r="D231" t="inlineStr"/>
    </row>
    <row r="232">
      <c r="A232" s="2" t="inlineStr">
        <is>
          <t>Skoda Rapid</t>
        </is>
      </c>
      <c r="B232" s="2" t="n">
        <v>15.1</v>
      </c>
      <c r="C232" t="inlineStr"/>
      <c r="D232" t="inlineStr"/>
    </row>
    <row r="233">
      <c r="A233" s="2" t="inlineStr">
        <is>
          <t>Skoda Yeti</t>
        </is>
      </c>
      <c r="B233" s="2" t="n">
        <v>14</v>
      </c>
      <c r="C233" t="inlineStr"/>
      <c r="D233" t="inlineStr"/>
    </row>
    <row r="234">
      <c r="A234" s="2" t="inlineStr">
        <is>
          <t>Suzuki Swift</t>
        </is>
      </c>
      <c r="B234" s="2" t="n">
        <v>12</v>
      </c>
      <c r="C234" t="inlineStr"/>
      <c r="D234" t="inlineStr"/>
    </row>
    <row r="235">
      <c r="A235" s="2" t="inlineStr">
        <is>
          <t>Toyota Auris</t>
        </is>
      </c>
      <c r="B235" s="2" t="n">
        <v>19.3</v>
      </c>
      <c r="C235" t="inlineStr"/>
      <c r="D235" t="inlineStr"/>
    </row>
    <row r="236">
      <c r="A236" s="2" t="inlineStr">
        <is>
          <t>Toyota Aygo</t>
        </is>
      </c>
      <c r="B236" s="2" t="n">
        <v>12</v>
      </c>
      <c r="C236" t="inlineStr"/>
      <c r="D236" t="inlineStr"/>
    </row>
    <row r="237">
      <c r="A237" s="2" t="inlineStr">
        <is>
          <t>Toyota Yaris</t>
        </is>
      </c>
      <c r="B237" s="2" t="n">
        <v>22.8</v>
      </c>
      <c r="C237" t="inlineStr"/>
      <c r="D237" t="inlineStr"/>
    </row>
    <row r="238">
      <c r="A238" s="2" t="inlineStr">
        <is>
          <t>VW Beetle</t>
        </is>
      </c>
      <c r="B238" s="2" t="n">
        <v>11.8</v>
      </c>
      <c r="C238" t="inlineStr"/>
      <c r="D238" t="inlineStr"/>
    </row>
    <row r="239">
      <c r="A239" s="2" t="inlineStr">
        <is>
          <t>VW Golf</t>
        </is>
      </c>
      <c r="B239" s="2" t="n">
        <v>10.5</v>
      </c>
      <c r="C239" t="inlineStr"/>
      <c r="D239" t="inlineStr"/>
    </row>
    <row r="240">
      <c r="A240" s="2" t="inlineStr">
        <is>
          <t>VW Nutzfahrzeuge Caddy</t>
        </is>
      </c>
      <c r="B240" s="2" t="n">
        <v>16.4</v>
      </c>
      <c r="C240" t="inlineStr"/>
      <c r="D240" t="inlineStr"/>
    </row>
    <row r="241">
      <c r="A241" s="2" t="inlineStr">
        <is>
          <t>VW Polo</t>
        </is>
      </c>
      <c r="B241" s="2" t="n">
        <v>14.9</v>
      </c>
      <c r="C241" t="inlineStr"/>
      <c r="D241" t="inlineStr"/>
    </row>
    <row r="242">
      <c r="A242" s="2" t="inlineStr">
        <is>
          <t>VW Tiguan</t>
        </is>
      </c>
      <c r="B242" s="2" t="n">
        <v>11.4</v>
      </c>
      <c r="C242" t="inlineStr"/>
      <c r="D242" t="inlineStr"/>
    </row>
    <row r="243">
      <c r="A243" s="2" t="inlineStr">
        <is>
          <t>VW Touran</t>
        </is>
      </c>
      <c r="B243" s="2" t="n">
        <v>20.3</v>
      </c>
      <c r="C243" t="inlineStr"/>
      <c r="D243" t="inlineStr"/>
    </row>
    <row r="244">
      <c r="A244" s="2" t="inlineStr">
        <is>
          <t>smart forfour</t>
        </is>
      </c>
      <c r="B244" s="2" t="n">
        <v>27.5</v>
      </c>
      <c r="C244" t="inlineStr"/>
      <c r="D244" t="inlineStr"/>
    </row>
    <row r="245">
      <c r="A245" s="2" t="inlineStr">
        <is>
          <t>smart fortwo</t>
        </is>
      </c>
      <c r="B245" s="2" t="n">
        <v>21</v>
      </c>
      <c r="C245" t="inlineStr"/>
      <c r="D245" t="inlineStr"/>
    </row>
    <row r="246">
      <c r="A246" t="inlineStr">
        <is>
          <t>ADAC: mediana de la tabla (referencia 50 puntos)</t>
        </is>
      </c>
      <c r="B246" s="4">
        <f>MEDIAN(B159:B245)</f>
        <v/>
      </c>
      <c r="C246" t="inlineStr">
        <is>
          <t>calculado</t>
        </is>
      </c>
      <c r="D246" t="inlineStr">
        <is>
          <t>punt_ADAC = 50 + 100·(mediana − PKZ)/mediana, acotado 0-100; mediana de todas las filas de la tabla</t>
        </is>
      </c>
    </row>
    <row r="248">
      <c r="A248" s="6" t="inlineStr">
        <is>
          <t>7. Fiabilidad por modelo (punt. TÜV = 50 + 100·(media − MQ)/media; punt. ADAC = 50 + 100·(ref − PKZ)/ref; punt. modelo = media de TÜV, ADAC y OCU marca)</t>
        </is>
      </c>
    </row>
    <row r="249">
      <c r="A249" s="7" t="inlineStr">
        <is>
          <t>Modelo</t>
        </is>
      </c>
      <c r="B249" s="7" t="inlineStr">
        <is>
          <t>Marca</t>
        </is>
      </c>
      <c r="C249" s="7" t="inlineStr">
        <is>
          <t>TÜV Mängelquote (%)</t>
        </is>
      </c>
      <c r="D249" s="7" t="inlineStr">
        <is>
          <t>Franja</t>
        </is>
      </c>
      <c r="E249" s="7" t="inlineStr">
        <is>
          <t>Media franja (%)</t>
        </is>
      </c>
      <c r="F249" s="7" t="inlineStr">
        <is>
          <t>Punt. TÜV</t>
        </is>
      </c>
      <c r="G249" s="7" t="inlineStr">
        <is>
          <t>Fila ADAC</t>
        </is>
      </c>
      <c r="H249" s="7" t="inlineStr">
        <is>
          <t>ADAC PKZ 2015</t>
        </is>
      </c>
      <c r="I249" s="7" t="inlineStr">
        <is>
          <t>Punt. ADAC</t>
        </is>
      </c>
      <c r="J249" s="7" t="inlineStr">
        <is>
          <t>Punt. OCU marca</t>
        </is>
      </c>
      <c r="K249" s="7" t="inlineStr">
        <is>
          <t>Punt. modelo</t>
        </is>
      </c>
      <c r="L249" s="7" t="inlineStr">
        <is>
          <t>Pendiente</t>
        </is>
      </c>
      <c r="M249" s="7" t="inlineStr">
        <is>
          <t>Estado</t>
        </is>
      </c>
      <c r="N249" s="7" t="inlineStr">
        <is>
          <t>Fuente</t>
        </is>
      </c>
      <c r="O249" s="7" t="inlineStr">
        <is>
          <t>Gemelo de plataforma</t>
        </is>
      </c>
      <c r="P249" s="7" t="inlineStr">
        <is>
          <t>Punt. efectiva</t>
        </is>
      </c>
      <c r="Q249" s="7" t="inlineStr">
        <is>
          <t>Por plataforma</t>
        </is>
      </c>
    </row>
    <row r="250">
      <c r="A250" s="2" t="inlineStr">
        <is>
          <t>Renault Clio</t>
        </is>
      </c>
      <c r="B250" s="2" t="inlineStr">
        <is>
          <t>Renault</t>
        </is>
      </c>
      <c r="C250" s="2" t="n">
        <v>40.4</v>
      </c>
      <c r="D250" s="2" t="inlineStr">
        <is>
          <t>12-13</t>
        </is>
      </c>
      <c r="E250" s="4">
        <f>VLOOKUP(D250,TUV_MEDIAS,2,0)</f>
        <v/>
      </c>
      <c r="F250" s="4">
        <f>IF(C250="","",MAX(0,MIN(100,50+100*(E250-C250)/E250)))</f>
        <v/>
      </c>
      <c r="G250" s="2" t="inlineStr">
        <is>
          <t>Renault Clio/Captur</t>
        </is>
      </c>
      <c r="H250" s="4">
        <f>IF(G250="","",IFERROR(VLOOKUP(G250,ADAC_TBL,2,0),""))</f>
        <v/>
      </c>
      <c r="I250" s="4">
        <f>IF(H250="","",MAX(0,MIN(100,50+100*(ADAC_REF-H250)/ADAC_REF)))</f>
        <v/>
      </c>
      <c r="J250" s="4">
        <f>IFERROR(VLOOKUP(B250,OCU_TBL,2,0),"")</f>
        <v/>
      </c>
      <c r="K250" s="4">
        <f>IF(COUNT(F250,I250,J250)=0,NEUTRO,AVERAGE(F250,I250,J250))</f>
        <v/>
      </c>
      <c r="L250" s="4">
        <f>IF(COUNT(F250,I250,J250)=0,"PENDIENTE","")</f>
        <v/>
      </c>
      <c r="M250" t="inlineStr">
        <is>
          <t>probable</t>
        </is>
      </c>
      <c r="N250" t="inlineStr">
        <is>
          <t>TÜV Report 2026 vía https://www.autobild.de/artikel/tuev-report-2026-gewinner-verlierer-28424531.html (peor de su franja)</t>
        </is>
      </c>
      <c r="P250" s="4">
        <f>IF(AND(L250="PENDIENTE",O250&lt;&gt;""),IFERROR(IF(VLOOKUP(O250,$A$250:$L$291,12,0)="",VLOOKUP(O250,$A$250:$L$291,11,0),K250),K250),K250)</f>
        <v/>
      </c>
      <c r="Q250" s="4">
        <f>IF(AND(L250="PENDIENTE",O250&lt;&gt;""),IFERROR(IF(VLOOKUP(O250,$A$250:$L$291,12,0)="","sí","no"),"no"),"no")</f>
        <v/>
      </c>
    </row>
    <row r="251">
      <c r="A251" s="2" t="inlineStr">
        <is>
          <t>Dacia Sandero</t>
        </is>
      </c>
      <c r="B251" s="2" t="inlineStr">
        <is>
          <t>Dacia</t>
        </is>
      </c>
      <c r="C251" s="2" t="n">
        <v>31.5</v>
      </c>
      <c r="D251" s="2" t="inlineStr">
        <is>
          <t>10-11</t>
        </is>
      </c>
      <c r="E251" s="4">
        <f>VLOOKUP(D251,TUV_MEDIAS,2,0)</f>
        <v/>
      </c>
      <c r="F251" s="4">
        <f>IF(C251="","",MAX(0,MIN(100,50+100*(E251-C251)/E251)))</f>
        <v/>
      </c>
      <c r="G251" s="2" t="inlineStr">
        <is>
          <t>Dacia Sandero</t>
        </is>
      </c>
      <c r="H251" s="4">
        <f>IF(G251="","",IFERROR(VLOOKUP(G251,ADAC_TBL,2,0),""))</f>
        <v/>
      </c>
      <c r="I251" s="4">
        <f>IF(H251="","",MAX(0,MIN(100,50+100*(ADAC_REF-H251)/ADAC_REF)))</f>
        <v/>
      </c>
      <c r="J251" s="4">
        <f>IFERROR(VLOOKUP(B251,OCU_TBL,2,0),"")</f>
        <v/>
      </c>
      <c r="K251" s="4">
        <f>IF(COUNT(F251,I251,J251)=0,NEUTRO,AVERAGE(F251,I251,J251))</f>
        <v/>
      </c>
      <c r="L251" s="4">
        <f>IF(COUNT(F251,I251,J251)=0,"PENDIENTE","")</f>
        <v/>
      </c>
      <c r="M251" t="inlineStr">
        <is>
          <t>probable (edición no fechada en el resumen)</t>
        </is>
      </c>
      <c r="N251" t="inlineStr">
        <is>
          <t>https://www.tuev-verband.de/presse/publikationen/reporte/tuev-report-autobild</t>
        </is>
      </c>
      <c r="P251" s="4">
        <f>IF(AND(L251="PENDIENTE",O251&lt;&gt;""),IFERROR(IF(VLOOKUP(O251,$A$250:$L$291,12,0)="",VLOOKUP(O251,$A$250:$L$291,11,0),K251),K251),K251)</f>
        <v/>
      </c>
      <c r="Q251" s="4">
        <f>IF(AND(L251="PENDIENTE",O251&lt;&gt;""),IFERROR(IF(VLOOKUP(O251,$A$250:$L$291,12,0)="","sí","no"),"no"),"no")</f>
        <v/>
      </c>
    </row>
    <row r="252">
      <c r="A252" s="2" t="inlineStr">
        <is>
          <t>Renault Mégane</t>
        </is>
      </c>
      <c r="B252" s="2" t="inlineStr">
        <is>
          <t>Renault</t>
        </is>
      </c>
      <c r="C252" s="2" t="n">
        <v>31.7</v>
      </c>
      <c r="D252" s="2" t="inlineStr">
        <is>
          <t>10-11</t>
        </is>
      </c>
      <c r="E252" s="4">
        <f>VLOOKUP(D252,TUV_MEDIAS,2,0)</f>
        <v/>
      </c>
      <c r="F252" s="4">
        <f>IF(C252="","",MAX(0,MIN(100,50+100*(E252-C252)/E252)))</f>
        <v/>
      </c>
      <c r="G252" s="2" t="inlineStr">
        <is>
          <t>Renault Mégane</t>
        </is>
      </c>
      <c r="H252" s="4">
        <f>IF(G252="","",IFERROR(VLOOKUP(G252,ADAC_TBL,2,0),""))</f>
        <v/>
      </c>
      <c r="I252" s="4">
        <f>IF(H252="","",MAX(0,MIN(100,50+100*(ADAC_REF-H252)/ADAC_REF)))</f>
        <v/>
      </c>
      <c r="J252" s="4">
        <f>IFERROR(VLOOKUP(B252,OCU_TBL,2,0),"")</f>
        <v/>
      </c>
      <c r="K252" s="4">
        <f>IF(COUNT(F252,I252,J252)=0,NEUTRO,AVERAGE(F252,I252,J252))</f>
        <v/>
      </c>
      <c r="L252" s="4">
        <f>IF(COUNT(F252,I252,J252)=0,"PENDIENTE","")</f>
        <v/>
      </c>
      <c r="M252" t="inlineStr">
        <is>
          <t>probable (edición no fechada en el resumen)</t>
        </is>
      </c>
      <c r="N252" t="inlineStr">
        <is>
          <t>https://www.tuev-verband.de/presse/publikationen/reporte/tuev-report-autobild</t>
        </is>
      </c>
      <c r="P252" s="4">
        <f>IF(AND(L252="PENDIENTE",O252&lt;&gt;""),IFERROR(IF(VLOOKUP(O252,$A$250:$L$291,12,0)="",VLOOKUP(O252,$A$250:$L$291,11,0),K252),K252),K252)</f>
        <v/>
      </c>
      <c r="Q252" s="4">
        <f>IF(AND(L252="PENDIENTE",O252&lt;&gt;""),IFERROR(IF(VLOOKUP(O252,$A$250:$L$291,12,0)="","sí","no"),"no"),"no")</f>
        <v/>
      </c>
    </row>
    <row r="253">
      <c r="A253" s="2" t="inlineStr">
        <is>
          <t>Ford Focus</t>
        </is>
      </c>
      <c r="B253" s="2" t="inlineStr">
        <is>
          <t>Ford</t>
        </is>
      </c>
      <c r="C253" s="2" t="n">
        <v>34.8</v>
      </c>
      <c r="D253" s="2" t="inlineStr">
        <is>
          <t>12-13</t>
        </is>
      </c>
      <c r="E253" s="2" t="n">
        <v>28.1</v>
      </c>
      <c r="F253" s="4">
        <f>IF(C253="","",MAX(0,MIN(100,50+100*(E253-C253)/E253)))</f>
        <v/>
      </c>
      <c r="G253" s="2" t="inlineStr">
        <is>
          <t>Ford Focus</t>
        </is>
      </c>
      <c r="H253" s="4">
        <f>IF(G253="","",IFERROR(VLOOKUP(G253,ADAC_TBL,2,0),""))</f>
        <v/>
      </c>
      <c r="I253" s="4">
        <f>IF(H253="","",MAX(0,MIN(100,50+100*(ADAC_REF-H253)/ADAC_REF)))</f>
        <v/>
      </c>
      <c r="J253" s="4">
        <f>IFERROR(VLOOKUP(B253,OCU_TBL,2,0),"")</f>
        <v/>
      </c>
      <c r="K253" s="4">
        <f>IF(COUNT(F253,I253,J253)=0,NEUTRO,AVERAGE(F253,I253,J253))</f>
        <v/>
      </c>
      <c r="L253" s="4">
        <f>IF(COUNT(F253,I253,J253)=0,"PENDIENTE","")</f>
        <v/>
      </c>
      <c r="M253" t="inlineStr">
        <is>
          <t>probable (TÜV 2025; media de franja 28,1 % en esa edición)</t>
        </is>
      </c>
      <c r="N253" t="inlineStr">
        <is>
          <t>https://www.t-online.de/mobilitaet/aktuelles/id_100543260/tuev-report-das-sind-die-schlechtesten-kompakten-gebrauchten.html</t>
        </is>
      </c>
      <c r="P253" s="4">
        <f>IF(AND(L253="PENDIENTE",O253&lt;&gt;""),IFERROR(IF(VLOOKUP(O253,$A$250:$L$291,12,0)="",VLOOKUP(O253,$A$250:$L$291,11,0),K253),K253),K253)</f>
        <v/>
      </c>
      <c r="Q253" s="4">
        <f>IF(AND(L253="PENDIENTE",O253&lt;&gt;""),IFERROR(IF(VLOOKUP(O253,$A$250:$L$291,12,0)="","sí","no"),"no"),"no")</f>
        <v/>
      </c>
    </row>
    <row r="254">
      <c r="A254" s="2" t="inlineStr">
        <is>
          <t>Volkswagen Golf</t>
        </is>
      </c>
      <c r="B254" s="2" t="inlineStr">
        <is>
          <t>Volkswagen</t>
        </is>
      </c>
      <c r="C254" s="2" t="n">
        <v>17.4</v>
      </c>
      <c r="D254" s="2" t="inlineStr">
        <is>
          <t>10-11</t>
        </is>
      </c>
      <c r="E254" s="4">
        <f>VLOOKUP(D254,TUV_MEDIAS,2,0)</f>
        <v/>
      </c>
      <c r="F254" s="4">
        <f>IF(C254="","",MAX(0,MIN(100,50+100*(E254-C254)/E254)))</f>
        <v/>
      </c>
      <c r="G254" s="2" t="inlineStr">
        <is>
          <t>VW Golf</t>
        </is>
      </c>
      <c r="H254" s="4">
        <f>IF(G254="","",IFERROR(VLOOKUP(G254,ADAC_TBL,2,0),""))</f>
        <v/>
      </c>
      <c r="I254" s="4">
        <f>IF(H254="","",MAX(0,MIN(100,50+100*(ADAC_REF-H254)/ADAC_REF)))</f>
        <v/>
      </c>
      <c r="J254" s="4">
        <f>IFERROR(VLOOKUP(B254,OCU_TBL,2,0),"")</f>
        <v/>
      </c>
      <c r="K254" s="4">
        <f>IF(COUNT(F254,I254,J254)=0,NEUTRO,AVERAGE(F254,I254,J254))</f>
        <v/>
      </c>
      <c r="L254" s="4">
        <f>IF(COUNT(F254,I254,J254)=0,"PENDIENTE","")</f>
        <v/>
      </c>
      <c r="M254" t="inlineStr">
        <is>
          <t>probable (el resumen lo marcó dudoso)</t>
        </is>
      </c>
      <c r="N254" t="inlineStr">
        <is>
          <t>https://www.tuvsud.com/de-de/publikationen/tuev-report/maengelzwerge-und-fehlerriesen</t>
        </is>
      </c>
      <c r="P254" s="4">
        <f>IF(AND(L254="PENDIENTE",O254&lt;&gt;""),IFERROR(IF(VLOOKUP(O254,$A$250:$L$291,12,0)="",VLOOKUP(O254,$A$250:$L$291,11,0),K254),K254),K254)</f>
        <v/>
      </c>
      <c r="Q254" s="4">
        <f>IF(AND(L254="PENDIENTE",O254&lt;&gt;""),IFERROR(IF(VLOOKUP(O254,$A$250:$L$291,12,0)="","sí","no"),"no"),"no")</f>
        <v/>
      </c>
    </row>
    <row r="255">
      <c r="A255" s="2" t="inlineStr">
        <is>
          <t>Mazda 3</t>
        </is>
      </c>
      <c r="B255" s="2" t="inlineStr">
        <is>
          <t>Mazda</t>
        </is>
      </c>
      <c r="C255" s="2" t="n">
        <v>20.9</v>
      </c>
      <c r="D255" s="2" t="inlineStr">
        <is>
          <t>12-13</t>
        </is>
      </c>
      <c r="E255" s="4">
        <f>VLOOKUP(D255,TUV_MEDIAS,2,0)</f>
        <v/>
      </c>
      <c r="F255" s="4">
        <f>IF(C255="","",MAX(0,MIN(100,50+100*(E255-C255)/E255)))</f>
        <v/>
      </c>
      <c r="G255" s="2" t="inlineStr">
        <is>
          <t>Mazda 3</t>
        </is>
      </c>
      <c r="H255" s="4">
        <f>IF(G255="","",IFERROR(VLOOKUP(G255,ADAC_TBL,2,0),""))</f>
        <v/>
      </c>
      <c r="I255" s="4">
        <f>IF(H255="","",MAX(0,MIN(100,50+100*(ADAC_REF-H255)/ADAC_REF)))</f>
        <v/>
      </c>
      <c r="J255" s="4">
        <f>IFERROR(VLOOKUP(B255,OCU_TBL,2,0),"")</f>
        <v/>
      </c>
      <c r="K255" s="4">
        <f>IF(COUNT(F255,I255,J255)=0,NEUTRO,AVERAGE(F255,I255,J255))</f>
        <v/>
      </c>
      <c r="L255" s="4">
        <f>IF(COUNT(F255,I255,J255)=0,"PENDIENTE","")</f>
        <v/>
      </c>
      <c r="M255" t="inlineStr">
        <is>
          <t>probable (sin verificar)</t>
        </is>
      </c>
      <c r="N255" t="inlineStr">
        <is>
          <t>https://www.tuvsud.com/de-de/publikationen/tuev-report/maengelzwerge-und-fehlerriesen</t>
        </is>
      </c>
      <c r="P255" s="4">
        <f>IF(AND(L255="PENDIENTE",O255&lt;&gt;""),IFERROR(IF(VLOOKUP(O255,$A$250:$L$291,12,0)="",VLOOKUP(O255,$A$250:$L$291,11,0),K255),K255),K255)</f>
        <v/>
      </c>
      <c r="Q255" s="4">
        <f>IF(AND(L255="PENDIENTE",O255&lt;&gt;""),IFERROR(IF(VLOOKUP(O255,$A$250:$L$291,12,0)="","sí","no"),"no"),"no")</f>
        <v/>
      </c>
    </row>
    <row r="256">
      <c r="A256" s="2" t="inlineStr">
        <is>
          <t>Mitsubishi Space Star</t>
        </is>
      </c>
      <c r="B256" s="2" t="inlineStr">
        <is>
          <t>Mitsubishi</t>
        </is>
      </c>
      <c r="F256" s="4">
        <f>IF(C256="","",MAX(0,MIN(100,50+100*(E256-C256)/E256)))</f>
        <v/>
      </c>
      <c r="G256" s="2" t="inlineStr">
        <is>
          <t>Mitsubishi Space Star</t>
        </is>
      </c>
      <c r="H256" s="4">
        <f>IF(G256="","",IFERROR(VLOOKUP(G256,ADAC_TBL,2,0),""))</f>
        <v/>
      </c>
      <c r="I256" s="4">
        <f>IF(H256="","",MAX(0,MIN(100,50+100*(ADAC_REF-H256)/ADAC_REF)))</f>
        <v/>
      </c>
      <c r="J256" s="4">
        <f>IFERROR(VLOOKUP(B256,OCU_TBL,2,0),"")</f>
        <v/>
      </c>
      <c r="K256" s="4">
        <f>IF(COUNT(F256,I256,J256)=0,NEUTRO,AVERAGE(F256,I256,J256))</f>
        <v/>
      </c>
      <c r="L256" s="4">
        <f>IF(COUNT(F256,I256,J256)=0,"PENDIENTE","")</f>
        <v/>
      </c>
      <c r="M256" t="inlineStr">
        <is>
          <t>solo ADAC</t>
        </is>
      </c>
      <c r="N256" t="inlineStr"/>
      <c r="P256" s="4">
        <f>IF(AND(L256="PENDIENTE",O256&lt;&gt;""),IFERROR(IF(VLOOKUP(O256,$A$250:$L$291,12,0)="",VLOOKUP(O256,$A$250:$L$291,11,0),K256),K256),K256)</f>
        <v/>
      </c>
      <c r="Q256" s="4">
        <f>IF(AND(L256="PENDIENTE",O256&lt;&gt;""),IFERROR(IF(VLOOKUP(O256,$A$250:$L$291,12,0)="","sí","no"),"no"),"no")</f>
        <v/>
      </c>
    </row>
    <row r="257">
      <c r="A257" s="2" t="inlineStr">
        <is>
          <t>Toyota Aygo</t>
        </is>
      </c>
      <c r="B257" s="2" t="inlineStr">
        <is>
          <t>Toyota</t>
        </is>
      </c>
      <c r="F257" s="4">
        <f>IF(C257="","",MAX(0,MIN(100,50+100*(E257-C257)/E257)))</f>
        <v/>
      </c>
      <c r="G257" s="2" t="inlineStr">
        <is>
          <t>Toyota Aygo</t>
        </is>
      </c>
      <c r="H257" s="4">
        <f>IF(G257="","",IFERROR(VLOOKUP(G257,ADAC_TBL,2,0),""))</f>
        <v/>
      </c>
      <c r="I257" s="4">
        <f>IF(H257="","",MAX(0,MIN(100,50+100*(ADAC_REF-H257)/ADAC_REF)))</f>
        <v/>
      </c>
      <c r="J257" s="4">
        <f>IFERROR(VLOOKUP(B257,OCU_TBL,2,0),"")</f>
        <v/>
      </c>
      <c r="K257" s="4">
        <f>IF(COUNT(F257,I257,J257)=0,NEUTRO,AVERAGE(F257,I257,J257))</f>
        <v/>
      </c>
      <c r="L257" s="4">
        <f>IF(COUNT(F257,I257,J257)=0,"PENDIENTE","")</f>
        <v/>
      </c>
      <c r="M257" t="inlineStr">
        <is>
          <t>solo ADAC</t>
        </is>
      </c>
      <c r="N257" t="inlineStr"/>
      <c r="P257" s="4">
        <f>IF(AND(L257="PENDIENTE",O257&lt;&gt;""),IFERROR(IF(VLOOKUP(O257,$A$250:$L$291,12,0)="",VLOOKUP(O257,$A$250:$L$291,11,0),K257),K257),K257)</f>
        <v/>
      </c>
      <c r="Q257" s="4">
        <f>IF(AND(L257="PENDIENTE",O257&lt;&gt;""),IFERROR(IF(VLOOKUP(O257,$A$250:$L$291,12,0)="","sí","no"),"no"),"no")</f>
        <v/>
      </c>
    </row>
    <row r="258">
      <c r="A258" s="2" t="inlineStr">
        <is>
          <t>Fiat Panda</t>
        </is>
      </c>
      <c r="B258" s="2" t="inlineStr">
        <is>
          <t>Fiat</t>
        </is>
      </c>
      <c r="F258" s="4">
        <f>IF(C258="","",MAX(0,MIN(100,50+100*(E258-C258)/E258)))</f>
        <v/>
      </c>
      <c r="G258" s="2" t="inlineStr">
        <is>
          <t>Fiat Panda</t>
        </is>
      </c>
      <c r="H258" s="4">
        <f>IF(G258="","",IFERROR(VLOOKUP(G258,ADAC_TBL,2,0),""))</f>
        <v/>
      </c>
      <c r="I258" s="4">
        <f>IF(H258="","",MAX(0,MIN(100,50+100*(ADAC_REF-H258)/ADAC_REF)))</f>
        <v/>
      </c>
      <c r="J258" s="4">
        <f>IFERROR(VLOOKUP(B258,OCU_TBL,2,0),"")</f>
        <v/>
      </c>
      <c r="K258" s="4">
        <f>IF(COUNT(F258,I258,J258)=0,NEUTRO,AVERAGE(F258,I258,J258))</f>
        <v/>
      </c>
      <c r="L258" s="4">
        <f>IF(COUNT(F258,I258,J258)=0,"PENDIENTE","")</f>
        <v/>
      </c>
      <c r="M258" t="inlineStr">
        <is>
          <t>solo ADAC</t>
        </is>
      </c>
      <c r="N258" t="inlineStr"/>
      <c r="P258" s="4">
        <f>IF(AND(L258="PENDIENTE",O258&lt;&gt;""),IFERROR(IF(VLOOKUP(O258,$A$250:$L$291,12,0)="",VLOOKUP(O258,$A$250:$L$291,11,0),K258),K258),K258)</f>
        <v/>
      </c>
      <c r="Q258" s="4">
        <f>IF(AND(L258="PENDIENTE",O258&lt;&gt;""),IFERROR(IF(VLOOKUP(O258,$A$250:$L$291,12,0)="","sí","no"),"no"),"no")</f>
        <v/>
      </c>
    </row>
    <row r="259">
      <c r="A259" s="2" t="inlineStr">
        <is>
          <t>Dacia Logan</t>
        </is>
      </c>
      <c r="B259" s="2" t="inlineStr">
        <is>
          <t>Dacia</t>
        </is>
      </c>
      <c r="F259" s="4">
        <f>IF(C259="","",MAX(0,MIN(100,50+100*(E259-C259)/E259)))</f>
        <v/>
      </c>
      <c r="G259" s="2" t="inlineStr">
        <is>
          <t>Dacia Logan</t>
        </is>
      </c>
      <c r="H259" s="4">
        <f>IF(G259="","",IFERROR(VLOOKUP(G259,ADAC_TBL,2,0),""))</f>
        <v/>
      </c>
      <c r="I259" s="4">
        <f>IF(H259="","",MAX(0,MIN(100,50+100*(ADAC_REF-H259)/ADAC_REF)))</f>
        <v/>
      </c>
      <c r="J259" s="4">
        <f>IFERROR(VLOOKUP(B259,OCU_TBL,2,0),"")</f>
        <v/>
      </c>
      <c r="K259" s="4">
        <f>IF(COUNT(F259,I259,J259)=0,NEUTRO,AVERAGE(F259,I259,J259))</f>
        <v/>
      </c>
      <c r="L259" s="4">
        <f>IF(COUNT(F259,I259,J259)=0,"PENDIENTE","")</f>
        <v/>
      </c>
      <c r="M259" t="inlineStr">
        <is>
          <t>solo ADAC</t>
        </is>
      </c>
      <c r="N259" t="inlineStr"/>
      <c r="P259" s="4">
        <f>IF(AND(L259="PENDIENTE",O259&lt;&gt;""),IFERROR(IF(VLOOKUP(O259,$A$250:$L$291,12,0)="",VLOOKUP(O259,$A$250:$L$291,11,0),K259),K259),K259)</f>
        <v/>
      </c>
      <c r="Q259" s="4">
        <f>IF(AND(L259="PENDIENTE",O259&lt;&gt;""),IFERROR(IF(VLOOKUP(O259,$A$250:$L$291,12,0)="","sí","no"),"no"),"no")</f>
        <v/>
      </c>
    </row>
    <row r="260">
      <c r="A260" s="2" t="inlineStr">
        <is>
          <t>Toyota Yaris</t>
        </is>
      </c>
      <c r="B260" s="2" t="inlineStr">
        <is>
          <t>Toyota</t>
        </is>
      </c>
      <c r="F260" s="4">
        <f>IF(C260="","",MAX(0,MIN(100,50+100*(E260-C260)/E260)))</f>
        <v/>
      </c>
      <c r="G260" s="2" t="inlineStr">
        <is>
          <t>Toyota Yaris</t>
        </is>
      </c>
      <c r="H260" s="4">
        <f>IF(G260="","",IFERROR(VLOOKUP(G260,ADAC_TBL,2,0),""))</f>
        <v/>
      </c>
      <c r="I260" s="4">
        <f>IF(H260="","",MAX(0,MIN(100,50+100*(ADAC_REF-H260)/ADAC_REF)))</f>
        <v/>
      </c>
      <c r="J260" s="4">
        <f>IFERROR(VLOOKUP(B260,OCU_TBL,2,0),"")</f>
        <v/>
      </c>
      <c r="K260" s="4">
        <f>IF(COUNT(F260,I260,J260)=0,NEUTRO,AVERAGE(F260,I260,J260))</f>
        <v/>
      </c>
      <c r="L260" s="4">
        <f>IF(COUNT(F260,I260,J260)=0,"PENDIENTE","")</f>
        <v/>
      </c>
      <c r="M260" t="inlineStr">
        <is>
          <t>PENDIENTE</t>
        </is>
      </c>
      <c r="N260" t="inlineStr"/>
      <c r="P260" s="4">
        <f>IF(AND(L260="PENDIENTE",O260&lt;&gt;""),IFERROR(IF(VLOOKUP(O260,$A$250:$L$291,12,0)="",VLOOKUP(O260,$A$250:$L$291,11,0),K260),K260),K260)</f>
        <v/>
      </c>
      <c r="Q260" s="4">
        <f>IF(AND(L260="PENDIENTE",O260&lt;&gt;""),IFERROR(IF(VLOOKUP(O260,$A$250:$L$291,12,0)="","sí","no"),"no"),"no")</f>
        <v/>
      </c>
    </row>
    <row r="261">
      <c r="A261" s="2" t="inlineStr">
        <is>
          <t>Toyota Auris</t>
        </is>
      </c>
      <c r="B261" s="2" t="inlineStr">
        <is>
          <t>Toyota</t>
        </is>
      </c>
      <c r="F261" s="4">
        <f>IF(C261="","",MAX(0,MIN(100,50+100*(E261-C261)/E261)))</f>
        <v/>
      </c>
      <c r="G261" s="2" t="inlineStr">
        <is>
          <t>Toyota Auris</t>
        </is>
      </c>
      <c r="H261" s="4">
        <f>IF(G261="","",IFERROR(VLOOKUP(G261,ADAC_TBL,2,0),""))</f>
        <v/>
      </c>
      <c r="I261" s="4">
        <f>IF(H261="","",MAX(0,MIN(100,50+100*(ADAC_REF-H261)/ADAC_REF)))</f>
        <v/>
      </c>
      <c r="J261" s="4">
        <f>IFERROR(VLOOKUP(B261,OCU_TBL,2,0),"")</f>
        <v/>
      </c>
      <c r="K261" s="4">
        <f>IF(COUNT(F261,I261,J261)=0,NEUTRO,AVERAGE(F261,I261,J261))</f>
        <v/>
      </c>
      <c r="L261" s="4">
        <f>IF(COUNT(F261,I261,J261)=0,"PENDIENTE","")</f>
        <v/>
      </c>
      <c r="M261" t="inlineStr">
        <is>
          <t>PENDIENTE</t>
        </is>
      </c>
      <c r="N261" t="inlineStr"/>
      <c r="P261" s="4">
        <f>IF(AND(L261="PENDIENTE",O261&lt;&gt;""),IFERROR(IF(VLOOKUP(O261,$A$250:$L$291,12,0)="",VLOOKUP(O261,$A$250:$L$291,11,0),K261),K261),K261)</f>
        <v/>
      </c>
      <c r="Q261" s="4">
        <f>IF(AND(L261="PENDIENTE",O261&lt;&gt;""),IFERROR(IF(VLOOKUP(O261,$A$250:$L$291,12,0)="","sí","no"),"no"),"no")</f>
        <v/>
      </c>
    </row>
    <row r="262">
      <c r="A262" s="2" t="inlineStr">
        <is>
          <t>Toyota Corolla</t>
        </is>
      </c>
      <c r="B262" s="2" t="inlineStr">
        <is>
          <t>Toyota</t>
        </is>
      </c>
      <c r="F262" s="4">
        <f>IF(C262="","",MAX(0,MIN(100,50+100*(E262-C262)/E262)))</f>
        <v/>
      </c>
      <c r="H262" s="4">
        <f>IF(G262="","",IFERROR(VLOOKUP(G262,ADAC_TBL,2,0),""))</f>
        <v/>
      </c>
      <c r="I262" s="4">
        <f>IF(H262="","",MAX(0,MIN(100,50+100*(ADAC_REF-H262)/ADAC_REF)))</f>
        <v/>
      </c>
      <c r="J262" s="4">
        <f>IFERROR(VLOOKUP(B262,OCU_TBL,2,0),"")</f>
        <v/>
      </c>
      <c r="K262" s="4">
        <f>IF(COUNT(F262,I262,J262)=0,NEUTRO,AVERAGE(F262,I262,J262))</f>
        <v/>
      </c>
      <c r="L262" s="4">
        <f>IF(COUNT(F262,I262,J262)=0,"PENDIENTE","")</f>
        <v/>
      </c>
      <c r="M262" t="inlineStr">
        <is>
          <t>PENDIENTE</t>
        </is>
      </c>
      <c r="N262" t="inlineStr"/>
      <c r="P262" s="4">
        <f>IF(AND(L262="PENDIENTE",O262&lt;&gt;""),IFERROR(IF(VLOOKUP(O262,$A$250:$L$291,12,0)="",VLOOKUP(O262,$A$250:$L$291,11,0),K262),K262),K262)</f>
        <v/>
      </c>
      <c r="Q262" s="4">
        <f>IF(AND(L262="PENDIENTE",O262&lt;&gt;""),IFERROR(IF(VLOOKUP(O262,$A$250:$L$291,12,0)="","sí","no"),"no"),"no")</f>
        <v/>
      </c>
    </row>
    <row r="263">
      <c r="A263" s="2" t="inlineStr">
        <is>
          <t>Honda Jazz</t>
        </is>
      </c>
      <c r="B263" s="2" t="inlineStr">
        <is>
          <t>Honda</t>
        </is>
      </c>
      <c r="F263" s="4">
        <f>IF(C263="","",MAX(0,MIN(100,50+100*(E263-C263)/E263)))</f>
        <v/>
      </c>
      <c r="H263" s="4">
        <f>IF(G263="","",IFERROR(VLOOKUP(G263,ADAC_TBL,2,0),""))</f>
        <v/>
      </c>
      <c r="I263" s="4">
        <f>IF(H263="","",MAX(0,MIN(100,50+100*(ADAC_REF-H263)/ADAC_REF)))</f>
        <v/>
      </c>
      <c r="J263" s="4">
        <f>IFERROR(VLOOKUP(B263,OCU_TBL,2,0),"")</f>
        <v/>
      </c>
      <c r="K263" s="4">
        <f>IF(COUNT(F263,I263,J263)=0,NEUTRO,AVERAGE(F263,I263,J263))</f>
        <v/>
      </c>
      <c r="L263" s="4">
        <f>IF(COUNT(F263,I263,J263)=0,"PENDIENTE","")</f>
        <v/>
      </c>
      <c r="M263" t="inlineStr">
        <is>
          <t>PENDIENTE</t>
        </is>
      </c>
      <c r="N263" t="inlineStr"/>
      <c r="P263" s="4">
        <f>IF(AND(L263="PENDIENTE",O263&lt;&gt;""),IFERROR(IF(VLOOKUP(O263,$A$250:$L$291,12,0)="",VLOOKUP(O263,$A$250:$L$291,11,0),K263),K263),K263)</f>
        <v/>
      </c>
      <c r="Q263" s="4">
        <f>IF(AND(L263="PENDIENTE",O263&lt;&gt;""),IFERROR(IF(VLOOKUP(O263,$A$250:$L$291,12,0)="","sí","no"),"no"),"no")</f>
        <v/>
      </c>
    </row>
    <row r="264">
      <c r="A264" s="2" t="inlineStr">
        <is>
          <t>Honda Civic</t>
        </is>
      </c>
      <c r="B264" s="2" t="inlineStr">
        <is>
          <t>Honda</t>
        </is>
      </c>
      <c r="F264" s="4">
        <f>IF(C264="","",MAX(0,MIN(100,50+100*(E264-C264)/E264)))</f>
        <v/>
      </c>
      <c r="H264" s="4">
        <f>IF(G264="","",IFERROR(VLOOKUP(G264,ADAC_TBL,2,0),""))</f>
        <v/>
      </c>
      <c r="I264" s="4">
        <f>IF(H264="","",MAX(0,MIN(100,50+100*(ADAC_REF-H264)/ADAC_REF)))</f>
        <v/>
      </c>
      <c r="J264" s="4">
        <f>IFERROR(VLOOKUP(B264,OCU_TBL,2,0),"")</f>
        <v/>
      </c>
      <c r="K264" s="4">
        <f>IF(COUNT(F264,I264,J264)=0,NEUTRO,AVERAGE(F264,I264,J264))</f>
        <v/>
      </c>
      <c r="L264" s="4">
        <f>IF(COUNT(F264,I264,J264)=0,"PENDIENTE","")</f>
        <v/>
      </c>
      <c r="M264" t="inlineStr">
        <is>
          <t>PENDIENTE</t>
        </is>
      </c>
      <c r="N264" t="inlineStr"/>
      <c r="P264" s="4">
        <f>IF(AND(L264="PENDIENTE",O264&lt;&gt;""),IFERROR(IF(VLOOKUP(O264,$A$250:$L$291,12,0)="",VLOOKUP(O264,$A$250:$L$291,11,0),K264),K264),K264)</f>
        <v/>
      </c>
      <c r="Q264" s="4">
        <f>IF(AND(L264="PENDIENTE",O264&lt;&gt;""),IFERROR(IF(VLOOKUP(O264,$A$250:$L$291,12,0)="","sí","no"),"no"),"no")</f>
        <v/>
      </c>
    </row>
    <row r="265">
      <c r="A265" s="2" t="inlineStr">
        <is>
          <t>Mazda 2</t>
        </is>
      </c>
      <c r="B265" s="2" t="inlineStr">
        <is>
          <t>Mazda</t>
        </is>
      </c>
      <c r="F265" s="4">
        <f>IF(C265="","",MAX(0,MIN(100,50+100*(E265-C265)/E265)))</f>
        <v/>
      </c>
      <c r="G265" s="2" t="inlineStr">
        <is>
          <t>Mazda 2</t>
        </is>
      </c>
      <c r="H265" s="4">
        <f>IF(G265="","",IFERROR(VLOOKUP(G265,ADAC_TBL,2,0),""))</f>
        <v/>
      </c>
      <c r="I265" s="4">
        <f>IF(H265="","",MAX(0,MIN(100,50+100*(ADAC_REF-H265)/ADAC_REF)))</f>
        <v/>
      </c>
      <c r="J265" s="4">
        <f>IFERROR(VLOOKUP(B265,OCU_TBL,2,0),"")</f>
        <v/>
      </c>
      <c r="K265" s="4">
        <f>IF(COUNT(F265,I265,J265)=0,NEUTRO,AVERAGE(F265,I265,J265))</f>
        <v/>
      </c>
      <c r="L265" s="4">
        <f>IF(COUNT(F265,I265,J265)=0,"PENDIENTE","")</f>
        <v/>
      </c>
      <c r="M265" t="inlineStr">
        <is>
          <t>PENDIENTE (TÜV 2026 solo da franjas jóvenes: 2,9 % a 2-3 años; ADAC 2026 lo pone entre los mejores Kleinwagen 2016-2023)</t>
        </is>
      </c>
      <c r="N265" t="inlineStr"/>
      <c r="P265" s="4">
        <f>IF(AND(L265="PENDIENTE",O265&lt;&gt;""),IFERROR(IF(VLOOKUP(O265,$A$250:$L$291,12,0)="",VLOOKUP(O265,$A$250:$L$291,11,0),K265),K265),K265)</f>
        <v/>
      </c>
      <c r="Q265" s="4">
        <f>IF(AND(L265="PENDIENTE",O265&lt;&gt;""),IFERROR(IF(VLOOKUP(O265,$A$250:$L$291,12,0)="","sí","no"),"no"),"no")</f>
        <v/>
      </c>
    </row>
    <row r="266">
      <c r="A266" s="2" t="inlineStr">
        <is>
          <t>Kia Rio</t>
        </is>
      </c>
      <c r="B266" s="2" t="inlineStr">
        <is>
          <t>Kia</t>
        </is>
      </c>
      <c r="F266" s="4">
        <f>IF(C266="","",MAX(0,MIN(100,50+100*(E266-C266)/E266)))</f>
        <v/>
      </c>
      <c r="H266" s="4">
        <f>IF(G266="","",IFERROR(VLOOKUP(G266,ADAC_TBL,2,0),""))</f>
        <v/>
      </c>
      <c r="I266" s="4">
        <f>IF(H266="","",MAX(0,MIN(100,50+100*(ADAC_REF-H266)/ADAC_REF)))</f>
        <v/>
      </c>
      <c r="J266" s="4">
        <f>IFERROR(VLOOKUP(B266,OCU_TBL,2,0),"")</f>
        <v/>
      </c>
      <c r="K266" s="4">
        <f>IF(COUNT(F266,I266,J266)=0,NEUTRO,AVERAGE(F266,I266,J266))</f>
        <v/>
      </c>
      <c r="L266" s="4">
        <f>IF(COUNT(F266,I266,J266)=0,"PENDIENTE","")</f>
        <v/>
      </c>
      <c r="M266" t="inlineStr">
        <is>
          <t>PENDIENTE</t>
        </is>
      </c>
      <c r="N266" t="inlineStr"/>
      <c r="P266" s="4">
        <f>IF(AND(L266="PENDIENTE",O266&lt;&gt;""),IFERROR(IF(VLOOKUP(O266,$A$250:$L$291,12,0)="",VLOOKUP(O266,$A$250:$L$291,11,0),K266),K266),K266)</f>
        <v/>
      </c>
      <c r="Q266" s="4">
        <f>IF(AND(L266="PENDIENTE",O266&lt;&gt;""),IFERROR(IF(VLOOKUP(O266,$A$250:$L$291,12,0)="","sí","no"),"no"),"no")</f>
        <v/>
      </c>
    </row>
    <row r="267">
      <c r="A267" s="2" t="inlineStr">
        <is>
          <t>Kia Ceed</t>
        </is>
      </c>
      <c r="B267" s="2" t="inlineStr">
        <is>
          <t>Kia</t>
        </is>
      </c>
      <c r="F267" s="4">
        <f>IF(C267="","",MAX(0,MIN(100,50+100*(E267-C267)/E267)))</f>
        <v/>
      </c>
      <c r="G267" s="2" t="inlineStr">
        <is>
          <t>KIA Ceed/XCeed</t>
        </is>
      </c>
      <c r="H267" s="4">
        <f>IF(G267="","",IFERROR(VLOOKUP(G267,ADAC_TBL,2,0),""))</f>
        <v/>
      </c>
      <c r="I267" s="4">
        <f>IF(H267="","",MAX(0,MIN(100,50+100*(ADAC_REF-H267)/ADAC_REF)))</f>
        <v/>
      </c>
      <c r="J267" s="4">
        <f>IFERROR(VLOOKUP(B267,OCU_TBL,2,0),"")</f>
        <v/>
      </c>
      <c r="K267" s="4">
        <f>IF(COUNT(F267,I267,J267)=0,NEUTRO,AVERAGE(F267,I267,J267))</f>
        <v/>
      </c>
      <c r="L267" s="4">
        <f>IF(COUNT(F267,I267,J267)=0,"PENDIENTE","")</f>
        <v/>
      </c>
      <c r="M267" t="inlineStr">
        <is>
          <t>PENDIENTE</t>
        </is>
      </c>
      <c r="N267" t="inlineStr"/>
      <c r="P267" s="4">
        <f>IF(AND(L267="PENDIENTE",O267&lt;&gt;""),IFERROR(IF(VLOOKUP(O267,$A$250:$L$291,12,0)="",VLOOKUP(O267,$A$250:$L$291,11,0),K267),K267),K267)</f>
        <v/>
      </c>
      <c r="Q267" s="4">
        <f>IF(AND(L267="PENDIENTE",O267&lt;&gt;""),IFERROR(IF(VLOOKUP(O267,$A$250:$L$291,12,0)="","sí","no"),"no"),"no")</f>
        <v/>
      </c>
    </row>
    <row r="268">
      <c r="A268" s="2" t="inlineStr">
        <is>
          <t>Kia Picanto</t>
        </is>
      </c>
      <c r="B268" s="2" t="inlineStr">
        <is>
          <t>Kia</t>
        </is>
      </c>
      <c r="F268" s="4">
        <f>IF(C268="","",MAX(0,MIN(100,50+100*(E268-C268)/E268)))</f>
        <v/>
      </c>
      <c r="G268" s="2" t="inlineStr">
        <is>
          <t>Kia Picanto</t>
        </is>
      </c>
      <c r="H268" s="4">
        <f>IF(G268="","",IFERROR(VLOOKUP(G268,ADAC_TBL,2,0),""))</f>
        <v/>
      </c>
      <c r="I268" s="4">
        <f>IF(H268="","",MAX(0,MIN(100,50+100*(ADAC_REF-H268)/ADAC_REF)))</f>
        <v/>
      </c>
      <c r="J268" s="4">
        <f>IFERROR(VLOOKUP(B268,OCU_TBL,2,0),"")</f>
        <v/>
      </c>
      <c r="K268" s="4">
        <f>IF(COUNT(F268,I268,J268)=0,NEUTRO,AVERAGE(F268,I268,J268))</f>
        <v/>
      </c>
      <c r="L268" s="4">
        <f>IF(COUNT(F268,I268,J268)=0,"PENDIENTE","")</f>
        <v/>
      </c>
      <c r="M268" t="inlineStr">
        <is>
          <t>PENDIENTE</t>
        </is>
      </c>
      <c r="N268" t="inlineStr"/>
      <c r="P268" s="4">
        <f>IF(AND(L268="PENDIENTE",O268&lt;&gt;""),IFERROR(IF(VLOOKUP(O268,$A$250:$L$291,12,0)="",VLOOKUP(O268,$A$250:$L$291,11,0),K268),K268),K268)</f>
        <v/>
      </c>
      <c r="Q268" s="4">
        <f>IF(AND(L268="PENDIENTE",O268&lt;&gt;""),IFERROR(IF(VLOOKUP(O268,$A$250:$L$291,12,0)="","sí","no"),"no"),"no")</f>
        <v/>
      </c>
    </row>
    <row r="269">
      <c r="A269" s="2" t="inlineStr">
        <is>
          <t>Hyundai i10</t>
        </is>
      </c>
      <c r="B269" s="2" t="inlineStr">
        <is>
          <t>Hyundai</t>
        </is>
      </c>
      <c r="F269" s="4">
        <f>IF(C269="","",MAX(0,MIN(100,50+100*(E269-C269)/E269)))</f>
        <v/>
      </c>
      <c r="G269" s="2" t="inlineStr">
        <is>
          <t>Hyundai i10</t>
        </is>
      </c>
      <c r="H269" s="4">
        <f>IF(G269="","",IFERROR(VLOOKUP(G269,ADAC_TBL,2,0),""))</f>
        <v/>
      </c>
      <c r="I269" s="4">
        <f>IF(H269="","",MAX(0,MIN(100,50+100*(ADAC_REF-H269)/ADAC_REF)))</f>
        <v/>
      </c>
      <c r="J269" s="4">
        <f>IFERROR(VLOOKUP(B269,OCU_TBL,2,0),"")</f>
        <v/>
      </c>
      <c r="K269" s="4">
        <f>IF(COUNT(F269,I269,J269)=0,NEUTRO,AVERAGE(F269,I269,J269))</f>
        <v/>
      </c>
      <c r="L269" s="4">
        <f>IF(COUNT(F269,I269,J269)=0,"PENDIENTE","")</f>
        <v/>
      </c>
      <c r="M269" t="inlineStr">
        <is>
          <t>PENDIENTE</t>
        </is>
      </c>
      <c r="N269" t="inlineStr"/>
      <c r="P269" s="4">
        <f>IF(AND(L269="PENDIENTE",O269&lt;&gt;""),IFERROR(IF(VLOOKUP(O269,$A$250:$L$291,12,0)="",VLOOKUP(O269,$A$250:$L$291,11,0),K269),K269),K269)</f>
        <v/>
      </c>
      <c r="Q269" s="4">
        <f>IF(AND(L269="PENDIENTE",O269&lt;&gt;""),IFERROR(IF(VLOOKUP(O269,$A$250:$L$291,12,0)="","sí","no"),"no"),"no")</f>
        <v/>
      </c>
    </row>
    <row r="270">
      <c r="A270" s="2" t="inlineStr">
        <is>
          <t>Hyundai i20</t>
        </is>
      </c>
      <c r="B270" s="2" t="inlineStr">
        <is>
          <t>Hyundai</t>
        </is>
      </c>
      <c r="F270" s="4">
        <f>IF(C270="","",MAX(0,MIN(100,50+100*(E270-C270)/E270)))</f>
        <v/>
      </c>
      <c r="G270" s="2" t="inlineStr">
        <is>
          <t>Hyundai i20</t>
        </is>
      </c>
      <c r="H270" s="4">
        <f>IF(G270="","",IFERROR(VLOOKUP(G270,ADAC_TBL,2,0),""))</f>
        <v/>
      </c>
      <c r="I270" s="4">
        <f>IF(H270="","",MAX(0,MIN(100,50+100*(ADAC_REF-H270)/ADAC_REF)))</f>
        <v/>
      </c>
      <c r="J270" s="4">
        <f>IFERROR(VLOOKUP(B270,OCU_TBL,2,0),"")</f>
        <v/>
      </c>
      <c r="K270" s="4">
        <f>IF(COUNT(F270,I270,J270)=0,NEUTRO,AVERAGE(F270,I270,J270))</f>
        <v/>
      </c>
      <c r="L270" s="4">
        <f>IF(COUNT(F270,I270,J270)=0,"PENDIENTE","")</f>
        <v/>
      </c>
      <c r="M270" t="inlineStr">
        <is>
          <t>PENDIENTE</t>
        </is>
      </c>
      <c r="N270" t="inlineStr"/>
      <c r="P270" s="4">
        <f>IF(AND(L270="PENDIENTE",O270&lt;&gt;""),IFERROR(IF(VLOOKUP(O270,$A$250:$L$291,12,0)="",VLOOKUP(O270,$A$250:$L$291,11,0),K270),K270),K270)</f>
        <v/>
      </c>
      <c r="Q270" s="4">
        <f>IF(AND(L270="PENDIENTE",O270&lt;&gt;""),IFERROR(IF(VLOOKUP(O270,$A$250:$L$291,12,0)="","sí","no"),"no"),"no")</f>
        <v/>
      </c>
    </row>
    <row r="271">
      <c r="A271" s="2" t="inlineStr">
        <is>
          <t>Hyundai i30</t>
        </is>
      </c>
      <c r="B271" s="2" t="inlineStr">
        <is>
          <t>Hyundai</t>
        </is>
      </c>
      <c r="F271" s="4">
        <f>IF(C271="","",MAX(0,MIN(100,50+100*(E271-C271)/E271)))</f>
        <v/>
      </c>
      <c r="G271" s="2" t="inlineStr">
        <is>
          <t>Hyundai i30</t>
        </is>
      </c>
      <c r="H271" s="4">
        <f>IF(G271="","",IFERROR(VLOOKUP(G271,ADAC_TBL,2,0),""))</f>
        <v/>
      </c>
      <c r="I271" s="4">
        <f>IF(H271="","",MAX(0,MIN(100,50+100*(ADAC_REF-H271)/ADAC_REF)))</f>
        <v/>
      </c>
      <c r="J271" s="4">
        <f>IFERROR(VLOOKUP(B271,OCU_TBL,2,0),"")</f>
        <v/>
      </c>
      <c r="K271" s="4">
        <f>IF(COUNT(F271,I271,J271)=0,NEUTRO,AVERAGE(F271,I271,J271))</f>
        <v/>
      </c>
      <c r="L271" s="4">
        <f>IF(COUNT(F271,I271,J271)=0,"PENDIENTE","")</f>
        <v/>
      </c>
      <c r="M271" t="inlineStr">
        <is>
          <t>PENDIENTE</t>
        </is>
      </c>
      <c r="N271" t="inlineStr"/>
      <c r="P271" s="4">
        <f>IF(AND(L271="PENDIENTE",O271&lt;&gt;""),IFERROR(IF(VLOOKUP(O271,$A$250:$L$291,12,0)="",VLOOKUP(O271,$A$250:$L$291,11,0),K271),K271),K271)</f>
        <v/>
      </c>
      <c r="Q271" s="4">
        <f>IF(AND(L271="PENDIENTE",O271&lt;&gt;""),IFERROR(IF(VLOOKUP(O271,$A$250:$L$291,12,0)="","sí","no"),"no"),"no")</f>
        <v/>
      </c>
    </row>
    <row r="272">
      <c r="A272" s="2" t="inlineStr">
        <is>
          <t>Skoda Fabia</t>
        </is>
      </c>
      <c r="B272" s="2" t="inlineStr">
        <is>
          <t>Skoda</t>
        </is>
      </c>
      <c r="F272" s="4">
        <f>IF(C272="","",MAX(0,MIN(100,50+100*(E272-C272)/E272)))</f>
        <v/>
      </c>
      <c r="G272" s="2" t="inlineStr">
        <is>
          <t>Skoda Fabia</t>
        </is>
      </c>
      <c r="H272" s="4">
        <f>IF(G272="","",IFERROR(VLOOKUP(G272,ADAC_TBL,2,0),""))</f>
        <v/>
      </c>
      <c r="I272" s="4">
        <f>IF(H272="","",MAX(0,MIN(100,50+100*(ADAC_REF-H272)/ADAC_REF)))</f>
        <v/>
      </c>
      <c r="J272" s="4">
        <f>IFERROR(VLOOKUP(B272,OCU_TBL,2,0),"")</f>
        <v/>
      </c>
      <c r="K272" s="4">
        <f>IF(COUNT(F272,I272,J272)=0,NEUTRO,AVERAGE(F272,I272,J272))</f>
        <v/>
      </c>
      <c r="L272" s="4">
        <f>IF(COUNT(F272,I272,J272)=0,"PENDIENTE","")</f>
        <v/>
      </c>
      <c r="M272" t="inlineStr">
        <is>
          <t>PENDIENTE (ADAC 2026 entre los mejores Kleinwagen 2016-2023, sin cifra)</t>
        </is>
      </c>
      <c r="N272" t="inlineStr"/>
      <c r="P272" s="4">
        <f>IF(AND(L272="PENDIENTE",O272&lt;&gt;""),IFERROR(IF(VLOOKUP(O272,$A$250:$L$291,12,0)="",VLOOKUP(O272,$A$250:$L$291,11,0),K272),K272),K272)</f>
        <v/>
      </c>
      <c r="Q272" s="4">
        <f>IF(AND(L272="PENDIENTE",O272&lt;&gt;""),IFERROR(IF(VLOOKUP(O272,$A$250:$L$291,12,0)="","sí","no"),"no"),"no")</f>
        <v/>
      </c>
    </row>
    <row r="273">
      <c r="A273" s="2" t="inlineStr">
        <is>
          <t>Skoda Octavia</t>
        </is>
      </c>
      <c r="B273" s="2" t="inlineStr">
        <is>
          <t>Skoda</t>
        </is>
      </c>
      <c r="F273" s="4">
        <f>IF(C273="","",MAX(0,MIN(100,50+100*(E273-C273)/E273)))</f>
        <v/>
      </c>
      <c r="G273" s="2" t="inlineStr">
        <is>
          <t>Skoda Octavia</t>
        </is>
      </c>
      <c r="H273" s="4">
        <f>IF(G273="","",IFERROR(VLOOKUP(G273,ADAC_TBL,2,0),""))</f>
        <v/>
      </c>
      <c r="I273" s="4">
        <f>IF(H273="","",MAX(0,MIN(100,50+100*(ADAC_REF-H273)/ADAC_REF)))</f>
        <v/>
      </c>
      <c r="J273" s="4">
        <f>IFERROR(VLOOKUP(B273,OCU_TBL,2,0),"")</f>
        <v/>
      </c>
      <c r="K273" s="4">
        <f>IF(COUNT(F273,I273,J273)=0,NEUTRO,AVERAGE(F273,I273,J273))</f>
        <v/>
      </c>
      <c r="L273" s="4">
        <f>IF(COUNT(F273,I273,J273)=0,"PENDIENTE","")</f>
        <v/>
      </c>
      <c r="M273" t="inlineStr">
        <is>
          <t>PENDIENTE</t>
        </is>
      </c>
      <c r="N273" t="inlineStr"/>
      <c r="P273" s="4">
        <f>IF(AND(L273="PENDIENTE",O273&lt;&gt;""),IFERROR(IF(VLOOKUP(O273,$A$250:$L$291,12,0)="",VLOOKUP(O273,$A$250:$L$291,11,0),K273),K273),K273)</f>
        <v/>
      </c>
      <c r="Q273" s="4">
        <f>IF(AND(L273="PENDIENTE",O273&lt;&gt;""),IFERROR(IF(VLOOKUP(O273,$A$250:$L$291,12,0)="","sí","no"),"no"),"no")</f>
        <v/>
      </c>
    </row>
    <row r="274">
      <c r="A274" s="2" t="inlineStr">
        <is>
          <t>Seat Ibiza</t>
        </is>
      </c>
      <c r="B274" s="2" t="inlineStr">
        <is>
          <t>Seat</t>
        </is>
      </c>
      <c r="F274" s="4">
        <f>IF(C274="","",MAX(0,MIN(100,50+100*(E274-C274)/E274)))</f>
        <v/>
      </c>
      <c r="G274" s="2" t="inlineStr">
        <is>
          <t>SEAT Ibiza</t>
        </is>
      </c>
      <c r="H274" s="4">
        <f>IF(G274="","",IFERROR(VLOOKUP(G274,ADAC_TBL,2,0),""))</f>
        <v/>
      </c>
      <c r="I274" s="4">
        <f>IF(H274="","",MAX(0,MIN(100,50+100*(ADAC_REF-H274)/ADAC_REF)))</f>
        <v/>
      </c>
      <c r="J274" s="4">
        <f>IFERROR(VLOOKUP(B274,OCU_TBL,2,0),"")</f>
        <v/>
      </c>
      <c r="K274" s="4">
        <f>IF(COUNT(F274,I274,J274)=0,NEUTRO,AVERAGE(F274,I274,J274))</f>
        <v/>
      </c>
      <c r="L274" s="4">
        <f>IF(COUNT(F274,I274,J274)=0,"PENDIENTE","")</f>
        <v/>
      </c>
      <c r="M274" t="inlineStr">
        <is>
          <t>PENDIENTE (ADAC 2026 entre los mejores Kleinwagen 2016-2023, sin cifra)</t>
        </is>
      </c>
      <c r="N274" t="inlineStr"/>
      <c r="P274" s="4">
        <f>IF(AND(L274="PENDIENTE",O274&lt;&gt;""),IFERROR(IF(VLOOKUP(O274,$A$250:$L$291,12,0)="",VLOOKUP(O274,$A$250:$L$291,11,0),K274),K274),K274)</f>
        <v/>
      </c>
      <c r="Q274" s="4">
        <f>IF(AND(L274="PENDIENTE",O274&lt;&gt;""),IFERROR(IF(VLOOKUP(O274,$A$250:$L$291,12,0)="","sí","no"),"no"),"no")</f>
        <v/>
      </c>
    </row>
    <row r="275">
      <c r="A275" s="2" t="inlineStr">
        <is>
          <t>Seat León</t>
        </is>
      </c>
      <c r="B275" s="2" t="inlineStr">
        <is>
          <t>Seat</t>
        </is>
      </c>
      <c r="F275" s="4">
        <f>IF(C275="","",MAX(0,MIN(100,50+100*(E275-C275)/E275)))</f>
        <v/>
      </c>
      <c r="G275" s="2" t="inlineStr">
        <is>
          <t>SEAT Leon</t>
        </is>
      </c>
      <c r="H275" s="4">
        <f>IF(G275="","",IFERROR(VLOOKUP(G275,ADAC_TBL,2,0),""))</f>
        <v/>
      </c>
      <c r="I275" s="4">
        <f>IF(H275="","",MAX(0,MIN(100,50+100*(ADAC_REF-H275)/ADAC_REF)))</f>
        <v/>
      </c>
      <c r="J275" s="4">
        <f>IFERROR(VLOOKUP(B275,OCU_TBL,2,0),"")</f>
        <v/>
      </c>
      <c r="K275" s="4">
        <f>IF(COUNT(F275,I275,J275)=0,NEUTRO,AVERAGE(F275,I275,J275))</f>
        <v/>
      </c>
      <c r="L275" s="4">
        <f>IF(COUNT(F275,I275,J275)=0,"PENDIENTE","")</f>
        <v/>
      </c>
      <c r="M275" t="inlineStr">
        <is>
          <t>PENDIENTE</t>
        </is>
      </c>
      <c r="N275" t="inlineStr"/>
      <c r="P275" s="4">
        <f>IF(AND(L275="PENDIENTE",O275&lt;&gt;""),IFERROR(IF(VLOOKUP(O275,$A$250:$L$291,12,0)="",VLOOKUP(O275,$A$250:$L$291,11,0),K275),K275),K275)</f>
        <v/>
      </c>
      <c r="Q275" s="4">
        <f>IF(AND(L275="PENDIENTE",O275&lt;&gt;""),IFERROR(IF(VLOOKUP(O275,$A$250:$L$291,12,0)="","sí","no"),"no"),"no")</f>
        <v/>
      </c>
    </row>
    <row r="276">
      <c r="A276" s="2" t="inlineStr">
        <is>
          <t>Volkswagen Polo</t>
        </is>
      </c>
      <c r="B276" s="2" t="inlineStr">
        <is>
          <t>Volkswagen</t>
        </is>
      </c>
      <c r="F276" s="4">
        <f>IF(C276="","",MAX(0,MIN(100,50+100*(E276-C276)/E276)))</f>
        <v/>
      </c>
      <c r="G276" s="2" t="inlineStr">
        <is>
          <t>VW Polo</t>
        </is>
      </c>
      <c r="H276" s="4">
        <f>IF(G276="","",IFERROR(VLOOKUP(G276,ADAC_TBL,2,0),""))</f>
        <v/>
      </c>
      <c r="I276" s="4">
        <f>IF(H276="","",MAX(0,MIN(100,50+100*(ADAC_REF-H276)/ADAC_REF)))</f>
        <v/>
      </c>
      <c r="J276" s="4">
        <f>IFERROR(VLOOKUP(B276,OCU_TBL,2,0),"")</f>
        <v/>
      </c>
      <c r="K276" s="4">
        <f>IF(COUNT(F276,I276,J276)=0,NEUTRO,AVERAGE(F276,I276,J276))</f>
        <v/>
      </c>
      <c r="L276" s="4">
        <f>IF(COUNT(F276,I276,J276)=0,"PENDIENTE","")</f>
        <v/>
      </c>
      <c r="M276" t="inlineStr">
        <is>
          <t>PENDIENTE (ADAC 2026 entre los mejores Kleinwagen 2016-2023, sin cifra)</t>
        </is>
      </c>
      <c r="N276" t="inlineStr"/>
      <c r="P276" s="4">
        <f>IF(AND(L276="PENDIENTE",O276&lt;&gt;""),IFERROR(IF(VLOOKUP(O276,$A$250:$L$291,12,0)="",VLOOKUP(O276,$A$250:$L$291,11,0),K276),K276),K276)</f>
        <v/>
      </c>
      <c r="Q276" s="4">
        <f>IF(AND(L276="PENDIENTE",O276&lt;&gt;""),IFERROR(IF(VLOOKUP(O276,$A$250:$L$291,12,0)="","sí","no"),"no"),"no")</f>
        <v/>
      </c>
    </row>
    <row r="277">
      <c r="A277" s="2" t="inlineStr">
        <is>
          <t>Opel Corsa</t>
        </is>
      </c>
      <c r="B277" s="2" t="inlineStr">
        <is>
          <t>Opel</t>
        </is>
      </c>
      <c r="F277" s="4">
        <f>IF(C277="","",MAX(0,MIN(100,50+100*(E277-C277)/E277)))</f>
        <v/>
      </c>
      <c r="G277" s="2" t="inlineStr">
        <is>
          <t>Opel Corsa</t>
        </is>
      </c>
      <c r="H277" s="4">
        <f>IF(G277="","",IFERROR(VLOOKUP(G277,ADAC_TBL,2,0),""))</f>
        <v/>
      </c>
      <c r="I277" s="4">
        <f>IF(H277="","",MAX(0,MIN(100,50+100*(ADAC_REF-H277)/ADAC_REF)))</f>
        <v/>
      </c>
      <c r="J277" s="4">
        <f>IFERROR(VLOOKUP(B277,OCU_TBL,2,0),"")</f>
        <v/>
      </c>
      <c r="K277" s="4">
        <f>IF(COUNT(F277,I277,J277)=0,NEUTRO,AVERAGE(F277,I277,J277))</f>
        <v/>
      </c>
      <c r="L277" s="4">
        <f>IF(COUNT(F277,I277,J277)=0,"PENDIENTE","")</f>
        <v/>
      </c>
      <c r="M277" t="inlineStr">
        <is>
          <t>PENDIENTE</t>
        </is>
      </c>
      <c r="N277" t="inlineStr"/>
      <c r="P277" s="4">
        <f>IF(AND(L277="PENDIENTE",O277&lt;&gt;""),IFERROR(IF(VLOOKUP(O277,$A$250:$L$291,12,0)="",VLOOKUP(O277,$A$250:$L$291,11,0),K277),K277),K277)</f>
        <v/>
      </c>
      <c r="Q277" s="4">
        <f>IF(AND(L277="PENDIENTE",O277&lt;&gt;""),IFERROR(IF(VLOOKUP(O277,$A$250:$L$291,12,0)="","sí","no"),"no"),"no")</f>
        <v/>
      </c>
    </row>
    <row r="278">
      <c r="A278" s="2" t="inlineStr">
        <is>
          <t>Opel Astra</t>
        </is>
      </c>
      <c r="B278" s="2" t="inlineStr">
        <is>
          <t>Opel</t>
        </is>
      </c>
      <c r="F278" s="4">
        <f>IF(C278="","",MAX(0,MIN(100,50+100*(E278-C278)/E278)))</f>
        <v/>
      </c>
      <c r="G278" s="2" t="inlineStr">
        <is>
          <t>Opel Astra</t>
        </is>
      </c>
      <c r="H278" s="4">
        <f>IF(G278="","",IFERROR(VLOOKUP(G278,ADAC_TBL,2,0),""))</f>
        <v/>
      </c>
      <c r="I278" s="4">
        <f>IF(H278="","",MAX(0,MIN(100,50+100*(ADAC_REF-H278)/ADAC_REF)))</f>
        <v/>
      </c>
      <c r="J278" s="4">
        <f>IFERROR(VLOOKUP(B278,OCU_TBL,2,0),"")</f>
        <v/>
      </c>
      <c r="K278" s="4">
        <f>IF(COUNT(F278,I278,J278)=0,NEUTRO,AVERAGE(F278,I278,J278))</f>
        <v/>
      </c>
      <c r="L278" s="4">
        <f>IF(COUNT(F278,I278,J278)=0,"PENDIENTE","")</f>
        <v/>
      </c>
      <c r="M278" t="inlineStr">
        <is>
          <t>PENDIENTE</t>
        </is>
      </c>
      <c r="N278" t="inlineStr"/>
      <c r="P278" s="4">
        <f>IF(AND(L278="PENDIENTE",O278&lt;&gt;""),IFERROR(IF(VLOOKUP(O278,$A$250:$L$291,12,0)="",VLOOKUP(O278,$A$250:$L$291,11,0),K278),K278),K278)</f>
        <v/>
      </c>
      <c r="Q278" s="4">
        <f>IF(AND(L278="PENDIENTE",O278&lt;&gt;""),IFERROR(IF(VLOOKUP(O278,$A$250:$L$291,12,0)="","sí","no"),"no"),"no")</f>
        <v/>
      </c>
    </row>
    <row r="279">
      <c r="A279" s="2" t="inlineStr">
        <is>
          <t>Peugeot 107</t>
        </is>
      </c>
      <c r="B279" s="2" t="inlineStr">
        <is>
          <t>Peugeot</t>
        </is>
      </c>
      <c r="F279" s="4">
        <f>IF(C279="","",MAX(0,MIN(100,50+100*(E279-C279)/E279)))</f>
        <v/>
      </c>
      <c r="H279" s="4">
        <f>IF(G279="","",IFERROR(VLOOKUP(G279,ADAC_TBL,2,0),""))</f>
        <v/>
      </c>
      <c r="I279" s="4">
        <f>IF(H279="","",MAX(0,MIN(100,50+100*(ADAC_REF-H279)/ADAC_REF)))</f>
        <v/>
      </c>
      <c r="J279" s="4">
        <f>IFERROR(VLOOKUP(B279,OCU_TBL,2,0),"")</f>
        <v/>
      </c>
      <c r="K279" s="4">
        <f>IF(COUNT(F279,I279,J279)=0,NEUTRO,AVERAGE(F279,I279,J279))</f>
        <v/>
      </c>
      <c r="L279" s="4">
        <f>IF(COUNT(F279,I279,J279)=0,"PENDIENTE","")</f>
        <v/>
      </c>
      <c r="M279" t="inlineStr">
        <is>
          <t>PENDIENTE</t>
        </is>
      </c>
      <c r="N279" t="inlineStr"/>
      <c r="O279" s="2" t="inlineStr">
        <is>
          <t>Toyota Aygo</t>
        </is>
      </c>
      <c r="P279" s="4">
        <f>IF(AND(L279="PENDIENTE",O279&lt;&gt;""),IFERROR(IF(VLOOKUP(O279,$A$250:$L$291,12,0)="",VLOOKUP(O279,$A$250:$L$291,11,0),K279),K279),K279)</f>
        <v/>
      </c>
      <c r="Q279" s="4">
        <f>IF(AND(L279="PENDIENTE",O279&lt;&gt;""),IFERROR(IF(VLOOKUP(O279,$A$250:$L$291,12,0)="","sí","no"),"no"),"no")</f>
        <v/>
      </c>
    </row>
    <row r="280">
      <c r="A280" s="2" t="inlineStr">
        <is>
          <t>Citroën C1</t>
        </is>
      </c>
      <c r="B280" s="2" t="inlineStr">
        <is>
          <t>Citroën</t>
        </is>
      </c>
      <c r="F280" s="4">
        <f>IF(C280="","",MAX(0,MIN(100,50+100*(E280-C280)/E280)))</f>
        <v/>
      </c>
      <c r="H280" s="4">
        <f>IF(G280="","",IFERROR(VLOOKUP(G280,ADAC_TBL,2,0),""))</f>
        <v/>
      </c>
      <c r="I280" s="4">
        <f>IF(H280="","",MAX(0,MIN(100,50+100*(ADAC_REF-H280)/ADAC_REF)))</f>
        <v/>
      </c>
      <c r="J280" s="4">
        <f>IFERROR(VLOOKUP(B280,OCU_TBL,2,0),"")</f>
        <v/>
      </c>
      <c r="K280" s="4">
        <f>IF(COUNT(F280,I280,J280)=0,NEUTRO,AVERAGE(F280,I280,J280))</f>
        <v/>
      </c>
      <c r="L280" s="4">
        <f>IF(COUNT(F280,I280,J280)=0,"PENDIENTE","")</f>
        <v/>
      </c>
      <c r="M280" t="inlineStr">
        <is>
          <t>PENDIENTE</t>
        </is>
      </c>
      <c r="N280" t="inlineStr"/>
      <c r="O280" s="2" t="inlineStr">
        <is>
          <t>Toyota Aygo</t>
        </is>
      </c>
      <c r="P280" s="4">
        <f>IF(AND(L280="PENDIENTE",O280&lt;&gt;""),IFERROR(IF(VLOOKUP(O280,$A$250:$L$291,12,0)="",VLOOKUP(O280,$A$250:$L$291,11,0),K280),K280),K280)</f>
        <v/>
      </c>
      <c r="Q280" s="4">
        <f>IF(AND(L280="PENDIENTE",O280&lt;&gt;""),IFERROR(IF(VLOOKUP(O280,$A$250:$L$291,12,0)="","sí","no"),"no"),"no")</f>
        <v/>
      </c>
    </row>
    <row r="281">
      <c r="A281" s="2" t="inlineStr">
        <is>
          <t>Seat Córdoba</t>
        </is>
      </c>
      <c r="B281" s="2" t="inlineStr">
        <is>
          <t>Seat</t>
        </is>
      </c>
      <c r="F281" s="4">
        <f>IF(C281="","",MAX(0,MIN(100,50+100*(E281-C281)/E281)))</f>
        <v/>
      </c>
      <c r="H281" s="4">
        <f>IF(G281="","",IFERROR(VLOOKUP(G281,ADAC_TBL,2,0),""))</f>
        <v/>
      </c>
      <c r="I281" s="4">
        <f>IF(H281="","",MAX(0,MIN(100,50+100*(ADAC_REF-H281)/ADAC_REF)))</f>
        <v/>
      </c>
      <c r="J281" s="4">
        <f>IFERROR(VLOOKUP(B281,OCU_TBL,2,0),"")</f>
        <v/>
      </c>
      <c r="K281" s="4">
        <f>IF(COUNT(F281,I281,J281)=0,NEUTRO,AVERAGE(F281,I281,J281))</f>
        <v/>
      </c>
      <c r="L281" s="4">
        <f>IF(COUNT(F281,I281,J281)=0,"PENDIENTE","")</f>
        <v/>
      </c>
      <c r="M281" t="inlineStr">
        <is>
          <t>PENDIENTE</t>
        </is>
      </c>
      <c r="N281" t="inlineStr"/>
      <c r="O281" s="2" t="inlineStr">
        <is>
          <t>Seat Ibiza</t>
        </is>
      </c>
      <c r="P281" s="4">
        <f>IF(AND(L281="PENDIENTE",O281&lt;&gt;""),IFERROR(IF(VLOOKUP(O281,$A$250:$L$291,12,0)="",VLOOKUP(O281,$A$250:$L$291,11,0),K281),K281),K281)</f>
        <v/>
      </c>
      <c r="Q281" s="4">
        <f>IF(AND(L281="PENDIENTE",O281&lt;&gt;""),IFERROR(IF(VLOOKUP(O281,$A$250:$L$291,12,0)="","sí","no"),"no"),"no")</f>
        <v/>
      </c>
    </row>
    <row r="282">
      <c r="A282" s="2" t="inlineStr">
        <is>
          <t>Peugeot 208</t>
        </is>
      </c>
      <c r="B282" s="2" t="inlineStr">
        <is>
          <t>Peugeot</t>
        </is>
      </c>
      <c r="F282" s="4">
        <f>IF(C282="","",MAX(0,MIN(100,50+100*(E282-C282)/E282)))</f>
        <v/>
      </c>
      <c r="G282" s="2" t="inlineStr">
        <is>
          <t>Peugeot 208</t>
        </is>
      </c>
      <c r="H282" s="4">
        <f>IF(G282="","",IFERROR(VLOOKUP(G282,ADAC_TBL,2,0),""))</f>
        <v/>
      </c>
      <c r="I282" s="4">
        <f>IF(H282="","",MAX(0,MIN(100,50+100*(ADAC_REF-H282)/ADAC_REF)))</f>
        <v/>
      </c>
      <c r="J282" s="4">
        <f>IFERROR(VLOOKUP(B282,OCU_TBL,2,0),"")</f>
        <v/>
      </c>
      <c r="K282" s="4">
        <f>IF(COUNT(F282,I282,J282)=0,NEUTRO,AVERAGE(F282,I282,J282))</f>
        <v/>
      </c>
      <c r="L282" s="4">
        <f>IF(COUNT(F282,I282,J282)=0,"PENDIENTE","")</f>
        <v/>
      </c>
      <c r="M282" t="inlineStr">
        <is>
          <t>PENDIENTE</t>
        </is>
      </c>
      <c r="N282" t="inlineStr"/>
      <c r="P282" s="4">
        <f>IF(AND(L282="PENDIENTE",O282&lt;&gt;""),IFERROR(IF(VLOOKUP(O282,$A$250:$L$291,12,0)="",VLOOKUP(O282,$A$250:$L$291,11,0),K282),K282),K282)</f>
        <v/>
      </c>
      <c r="Q282" s="4">
        <f>IF(AND(L282="PENDIENTE",O282&lt;&gt;""),IFERROR(IF(VLOOKUP(O282,$A$250:$L$291,12,0)="","sí","no"),"no"),"no")</f>
        <v/>
      </c>
    </row>
    <row r="283">
      <c r="A283" s="2" t="inlineStr">
        <is>
          <t>Peugeot 308</t>
        </is>
      </c>
      <c r="B283" s="2" t="inlineStr">
        <is>
          <t>Peugeot</t>
        </is>
      </c>
      <c r="F283" s="4">
        <f>IF(C283="","",MAX(0,MIN(100,50+100*(E283-C283)/E283)))</f>
        <v/>
      </c>
      <c r="G283" s="2" t="inlineStr">
        <is>
          <t>Peugeot 308</t>
        </is>
      </c>
      <c r="H283" s="4">
        <f>IF(G283="","",IFERROR(VLOOKUP(G283,ADAC_TBL,2,0),""))</f>
        <v/>
      </c>
      <c r="I283" s="4">
        <f>IF(H283="","",MAX(0,MIN(100,50+100*(ADAC_REF-H283)/ADAC_REF)))</f>
        <v/>
      </c>
      <c r="J283" s="4">
        <f>IFERROR(VLOOKUP(B283,OCU_TBL,2,0),"")</f>
        <v/>
      </c>
      <c r="K283" s="4">
        <f>IF(COUNT(F283,I283,J283)=0,NEUTRO,AVERAGE(F283,I283,J283))</f>
        <v/>
      </c>
      <c r="L283" s="4">
        <f>IF(COUNT(F283,I283,J283)=0,"PENDIENTE","")</f>
        <v/>
      </c>
      <c r="M283" t="inlineStr">
        <is>
          <t>PENDIENTE</t>
        </is>
      </c>
      <c r="N283" t="inlineStr"/>
      <c r="P283" s="4">
        <f>IF(AND(L283="PENDIENTE",O283&lt;&gt;""),IFERROR(IF(VLOOKUP(O283,$A$250:$L$291,12,0)="",VLOOKUP(O283,$A$250:$L$291,11,0),K283),K283),K283)</f>
        <v/>
      </c>
      <c r="Q283" s="4">
        <f>IF(AND(L283="PENDIENTE",O283&lt;&gt;""),IFERROR(IF(VLOOKUP(O283,$A$250:$L$291,12,0)="","sí","no"),"no"),"no")</f>
        <v/>
      </c>
    </row>
    <row r="284">
      <c r="A284" s="2" t="inlineStr">
        <is>
          <t>Citroën C3</t>
        </is>
      </c>
      <c r="B284" s="2" t="inlineStr">
        <is>
          <t>Citroën</t>
        </is>
      </c>
      <c r="F284" s="4">
        <f>IF(C284="","",MAX(0,MIN(100,50+100*(E284-C284)/E284)))</f>
        <v/>
      </c>
      <c r="G284" s="2" t="inlineStr">
        <is>
          <t>Citroen C3/DS 3</t>
        </is>
      </c>
      <c r="H284" s="4">
        <f>IF(G284="","",IFERROR(VLOOKUP(G284,ADAC_TBL,2,0),""))</f>
        <v/>
      </c>
      <c r="I284" s="4">
        <f>IF(H284="","",MAX(0,MIN(100,50+100*(ADAC_REF-H284)/ADAC_REF)))</f>
        <v/>
      </c>
      <c r="J284" s="4">
        <f>IFERROR(VLOOKUP(B284,OCU_TBL,2,0),"")</f>
        <v/>
      </c>
      <c r="K284" s="4">
        <f>IF(COUNT(F284,I284,J284)=0,NEUTRO,AVERAGE(F284,I284,J284))</f>
        <v/>
      </c>
      <c r="L284" s="4">
        <f>IF(COUNT(F284,I284,J284)=0,"PENDIENTE","")</f>
        <v/>
      </c>
      <c r="M284" t="inlineStr">
        <is>
          <t>PENDIENTE</t>
        </is>
      </c>
      <c r="N284" t="inlineStr"/>
      <c r="P284" s="4">
        <f>IF(AND(L284="PENDIENTE",O284&lt;&gt;""),IFERROR(IF(VLOOKUP(O284,$A$250:$L$291,12,0)="",VLOOKUP(O284,$A$250:$L$291,11,0),K284),K284),K284)</f>
        <v/>
      </c>
      <c r="Q284" s="4">
        <f>IF(AND(L284="PENDIENTE",O284&lt;&gt;""),IFERROR(IF(VLOOKUP(O284,$A$250:$L$291,12,0)="","sí","no"),"no"),"no")</f>
        <v/>
      </c>
    </row>
    <row r="285">
      <c r="A285" s="2" t="inlineStr">
        <is>
          <t>Citroën C4</t>
        </is>
      </c>
      <c r="B285" s="2" t="inlineStr">
        <is>
          <t>Citroën</t>
        </is>
      </c>
      <c r="F285" s="4">
        <f>IF(C285="","",MAX(0,MIN(100,50+100*(E285-C285)/E285)))</f>
        <v/>
      </c>
      <c r="H285" s="4">
        <f>IF(G285="","",IFERROR(VLOOKUP(G285,ADAC_TBL,2,0),""))</f>
        <v/>
      </c>
      <c r="I285" s="4">
        <f>IF(H285="","",MAX(0,MIN(100,50+100*(ADAC_REF-H285)/ADAC_REF)))</f>
        <v/>
      </c>
      <c r="J285" s="4">
        <f>IFERROR(VLOOKUP(B285,OCU_TBL,2,0),"")</f>
        <v/>
      </c>
      <c r="K285" s="4">
        <f>IF(COUNT(F285,I285,J285)=0,NEUTRO,AVERAGE(F285,I285,J285))</f>
        <v/>
      </c>
      <c r="L285" s="4">
        <f>IF(COUNT(F285,I285,J285)=0,"PENDIENTE","")</f>
        <v/>
      </c>
      <c r="M285" t="inlineStr">
        <is>
          <t>PENDIENTE</t>
        </is>
      </c>
      <c r="N285" t="inlineStr"/>
      <c r="P285" s="4">
        <f>IF(AND(L285="PENDIENTE",O285&lt;&gt;""),IFERROR(IF(VLOOKUP(O285,$A$250:$L$291,12,0)="",VLOOKUP(O285,$A$250:$L$291,11,0),K285),K285),K285)</f>
        <v/>
      </c>
      <c r="Q285" s="4">
        <f>IF(AND(L285="PENDIENTE",O285&lt;&gt;""),IFERROR(IF(VLOOKUP(O285,$A$250:$L$291,12,0)="","sí","no"),"no"),"no")</f>
        <v/>
      </c>
    </row>
    <row r="286">
      <c r="A286" s="2" t="inlineStr">
        <is>
          <t>Ford Fiesta</t>
        </is>
      </c>
      <c r="B286" s="2" t="inlineStr">
        <is>
          <t>Ford</t>
        </is>
      </c>
      <c r="F286" s="4">
        <f>IF(C286="","",MAX(0,MIN(100,50+100*(E286-C286)/E286)))</f>
        <v/>
      </c>
      <c r="G286" s="2" t="inlineStr">
        <is>
          <t>Ford Fiesta (Courier)</t>
        </is>
      </c>
      <c r="H286" s="4">
        <f>IF(G286="","",IFERROR(VLOOKUP(G286,ADAC_TBL,2,0),""))</f>
        <v/>
      </c>
      <c r="I286" s="4">
        <f>IF(H286="","",MAX(0,MIN(100,50+100*(ADAC_REF-H286)/ADAC_REF)))</f>
        <v/>
      </c>
      <c r="J286" s="4">
        <f>IFERROR(VLOOKUP(B286,OCU_TBL,2,0),"")</f>
        <v/>
      </c>
      <c r="K286" s="4">
        <f>IF(COUNT(F286,I286,J286)=0,NEUTRO,AVERAGE(F286,I286,J286))</f>
        <v/>
      </c>
      <c r="L286" s="4">
        <f>IF(COUNT(F286,I286,J286)=0,"PENDIENTE","")</f>
        <v/>
      </c>
      <c r="M286" t="inlineStr">
        <is>
          <t>PENDIENTE</t>
        </is>
      </c>
      <c r="N286" t="inlineStr"/>
      <c r="P286" s="4">
        <f>IF(AND(L286="PENDIENTE",O286&lt;&gt;""),IFERROR(IF(VLOOKUP(O286,$A$250:$L$291,12,0)="",VLOOKUP(O286,$A$250:$L$291,11,0),K286),K286),K286)</f>
        <v/>
      </c>
      <c r="Q286" s="4">
        <f>IF(AND(L286="PENDIENTE",O286&lt;&gt;""),IFERROR(IF(VLOOKUP(O286,$A$250:$L$291,12,0)="","sí","no"),"no"),"no")</f>
        <v/>
      </c>
    </row>
    <row r="287">
      <c r="A287" s="2" t="inlineStr">
        <is>
          <t>Fiat Punto</t>
        </is>
      </c>
      <c r="B287" s="2" t="inlineStr">
        <is>
          <t>Fiat</t>
        </is>
      </c>
      <c r="F287" s="4">
        <f>IF(C287="","",MAX(0,MIN(100,50+100*(E287-C287)/E287)))</f>
        <v/>
      </c>
      <c r="H287" s="4">
        <f>IF(G287="","",IFERROR(VLOOKUP(G287,ADAC_TBL,2,0),""))</f>
        <v/>
      </c>
      <c r="I287" s="4">
        <f>IF(H287="","",MAX(0,MIN(100,50+100*(ADAC_REF-H287)/ADAC_REF)))</f>
        <v/>
      </c>
      <c r="J287" s="4">
        <f>IFERROR(VLOOKUP(B287,OCU_TBL,2,0),"")</f>
        <v/>
      </c>
      <c r="K287" s="4">
        <f>IF(COUNT(F287,I287,J287)=0,NEUTRO,AVERAGE(F287,I287,J287))</f>
        <v/>
      </c>
      <c r="L287" s="4">
        <f>IF(COUNT(F287,I287,J287)=0,"PENDIENTE","")</f>
        <v/>
      </c>
      <c r="M287" t="inlineStr">
        <is>
          <t>PENDIENTE</t>
        </is>
      </c>
      <c r="N287" t="inlineStr"/>
      <c r="P287" s="4">
        <f>IF(AND(L287="PENDIENTE",O287&lt;&gt;""),IFERROR(IF(VLOOKUP(O287,$A$250:$L$291,12,0)="",VLOOKUP(O287,$A$250:$L$291,11,0),K287),K287),K287)</f>
        <v/>
      </c>
      <c r="Q287" s="4">
        <f>IF(AND(L287="PENDIENTE",O287&lt;&gt;""),IFERROR(IF(VLOOKUP(O287,$A$250:$L$291,12,0)="","sí","no"),"no"),"no")</f>
        <v/>
      </c>
    </row>
    <row r="288">
      <c r="A288" s="2" t="inlineStr">
        <is>
          <t>Fiat 500</t>
        </is>
      </c>
      <c r="B288" s="2" t="inlineStr">
        <is>
          <t>Fiat</t>
        </is>
      </c>
      <c r="F288" s="4">
        <f>IF(C288="","",MAX(0,MIN(100,50+100*(E288-C288)/E288)))</f>
        <v/>
      </c>
      <c r="G288" s="2" t="inlineStr">
        <is>
          <t>Fiat 500</t>
        </is>
      </c>
      <c r="H288" s="4">
        <f>IF(G288="","",IFERROR(VLOOKUP(G288,ADAC_TBL,2,0),""))</f>
        <v/>
      </c>
      <c r="I288" s="4">
        <f>IF(H288="","",MAX(0,MIN(100,50+100*(ADAC_REF-H288)/ADAC_REF)))</f>
        <v/>
      </c>
      <c r="J288" s="4">
        <f>IFERROR(VLOOKUP(B288,OCU_TBL,2,0),"")</f>
        <v/>
      </c>
      <c r="K288" s="4">
        <f>IF(COUNT(F288,I288,J288)=0,NEUTRO,AVERAGE(F288,I288,J288))</f>
        <v/>
      </c>
      <c r="L288" s="4">
        <f>IF(COUNT(F288,I288,J288)=0,"PENDIENTE","")</f>
        <v/>
      </c>
      <c r="M288" t="inlineStr">
        <is>
          <t>PENDIENTE</t>
        </is>
      </c>
      <c r="N288" t="inlineStr"/>
      <c r="P288" s="4">
        <f>IF(AND(L288="PENDIENTE",O288&lt;&gt;""),IFERROR(IF(VLOOKUP(O288,$A$250:$L$291,12,0)="",VLOOKUP(O288,$A$250:$L$291,11,0),K288),K288),K288)</f>
        <v/>
      </c>
      <c r="Q288" s="4">
        <f>IF(AND(L288="PENDIENTE",O288&lt;&gt;""),IFERROR(IF(VLOOKUP(O288,$A$250:$L$291,12,0)="","sí","no"),"no"),"no")</f>
        <v/>
      </c>
    </row>
    <row r="289">
      <c r="A289" s="2" t="inlineStr">
        <is>
          <t>Nissan Micra</t>
        </is>
      </c>
      <c r="B289" s="2" t="inlineStr">
        <is>
          <t>Nissan</t>
        </is>
      </c>
      <c r="F289" s="4">
        <f>IF(C289="","",MAX(0,MIN(100,50+100*(E289-C289)/E289)))</f>
        <v/>
      </c>
      <c r="G289" s="2" t="inlineStr">
        <is>
          <t>Nissan Micra</t>
        </is>
      </c>
      <c r="H289" s="4">
        <f>IF(G289="","",IFERROR(VLOOKUP(G289,ADAC_TBL,2,0),""))</f>
        <v/>
      </c>
      <c r="I289" s="4">
        <f>IF(H289="","",MAX(0,MIN(100,50+100*(ADAC_REF-H289)/ADAC_REF)))</f>
        <v/>
      </c>
      <c r="J289" s="4">
        <f>IFERROR(VLOOKUP(B289,OCU_TBL,2,0),"")</f>
        <v/>
      </c>
      <c r="K289" s="4">
        <f>IF(COUNT(F289,I289,J289)=0,NEUTRO,AVERAGE(F289,I289,J289))</f>
        <v/>
      </c>
      <c r="L289" s="4">
        <f>IF(COUNT(F289,I289,J289)=0,"PENDIENTE","")</f>
        <v/>
      </c>
      <c r="M289" t="inlineStr">
        <is>
          <t>PENDIENTE</t>
        </is>
      </c>
      <c r="N289" t="inlineStr"/>
      <c r="P289" s="4">
        <f>IF(AND(L289="PENDIENTE",O289&lt;&gt;""),IFERROR(IF(VLOOKUP(O289,$A$250:$L$291,12,0)="",VLOOKUP(O289,$A$250:$L$291,11,0),K289),K289),K289)</f>
        <v/>
      </c>
      <c r="Q289" s="4">
        <f>IF(AND(L289="PENDIENTE",O289&lt;&gt;""),IFERROR(IF(VLOOKUP(O289,$A$250:$L$291,12,0)="","sí","no"),"no"),"no")</f>
        <v/>
      </c>
    </row>
    <row r="290">
      <c r="A290" s="2" t="inlineStr">
        <is>
          <t>Suzuki Swift</t>
        </is>
      </c>
      <c r="B290" s="2" t="inlineStr">
        <is>
          <t>Suzuki</t>
        </is>
      </c>
      <c r="F290" s="4">
        <f>IF(C290="","",MAX(0,MIN(100,50+100*(E290-C290)/E290)))</f>
        <v/>
      </c>
      <c r="G290" s="2" t="inlineStr">
        <is>
          <t>Suzuki Swift</t>
        </is>
      </c>
      <c r="H290" s="4">
        <f>IF(G290="","",IFERROR(VLOOKUP(G290,ADAC_TBL,2,0),""))</f>
        <v/>
      </c>
      <c r="I290" s="4">
        <f>IF(H290="","",MAX(0,MIN(100,50+100*(ADAC_REF-H290)/ADAC_REF)))</f>
        <v/>
      </c>
      <c r="J290" s="4">
        <f>IFERROR(VLOOKUP(B290,OCU_TBL,2,0),"")</f>
        <v/>
      </c>
      <c r="K290" s="4">
        <f>IF(COUNT(F290,I290,J290)=0,NEUTRO,AVERAGE(F290,I290,J290))</f>
        <v/>
      </c>
      <c r="L290" s="4">
        <f>IF(COUNT(F290,I290,J290)=0,"PENDIENTE","")</f>
        <v/>
      </c>
      <c r="M290" t="inlineStr">
        <is>
          <t>PENDIENTE (ADAC 2026 entre los mejores Kleinwagen 2016-2023, sin cifra)</t>
        </is>
      </c>
      <c r="N290" t="inlineStr"/>
      <c r="P290" s="4">
        <f>IF(AND(L290="PENDIENTE",O290&lt;&gt;""),IFERROR(IF(VLOOKUP(O290,$A$250:$L$291,12,0)="",VLOOKUP(O290,$A$250:$L$291,11,0),K290),K290),K290)</f>
        <v/>
      </c>
      <c r="Q290" s="4">
        <f>IF(AND(L290="PENDIENTE",O290&lt;&gt;""),IFERROR(IF(VLOOKUP(O290,$A$250:$L$291,12,0)="","sí","no"),"no"),"no")</f>
        <v/>
      </c>
    </row>
    <row r="291">
      <c r="A291" s="2" t="inlineStr">
        <is>
          <t>Mitsubishi Colt</t>
        </is>
      </c>
      <c r="B291" s="2" t="inlineStr">
        <is>
          <t>Mitsubishi</t>
        </is>
      </c>
      <c r="F291" s="4">
        <f>IF(C291="","",MAX(0,MIN(100,50+100*(E291-C291)/E291)))</f>
        <v/>
      </c>
      <c r="H291" s="4">
        <f>IF(G291="","",IFERROR(VLOOKUP(G291,ADAC_TBL,2,0),""))</f>
        <v/>
      </c>
      <c r="I291" s="4">
        <f>IF(H291="","",MAX(0,MIN(100,50+100*(ADAC_REF-H291)/ADAC_REF)))</f>
        <v/>
      </c>
      <c r="J291" s="4">
        <f>IFERROR(VLOOKUP(B291,OCU_TBL,2,0),"")</f>
        <v/>
      </c>
      <c r="K291" s="4">
        <f>IF(COUNT(F291,I291,J291)=0,NEUTRO,AVERAGE(F291,I291,J291))</f>
        <v/>
      </c>
      <c r="L291" s="4">
        <f>IF(COUNT(F291,I291,J291)=0,"PENDIENTE","")</f>
        <v/>
      </c>
      <c r="M291" t="inlineStr">
        <is>
          <t>PENDIENTE</t>
        </is>
      </c>
      <c r="N291" t="inlineStr"/>
      <c r="P291" s="4">
        <f>IF(AND(L291="PENDIENTE",O291&lt;&gt;""),IFERROR(IF(VLOOKUP(O291,$A$250:$L$291,12,0)="",VLOOKUP(O291,$A$250:$L$291,11,0),K291),K291),K291)</f>
        <v/>
      </c>
      <c r="Q291" s="4">
        <f>IF(AND(L291="PENDIENTE",O291&lt;&gt;""),IFERROR(IF(VLOOKUP(O291,$A$250:$L$291,12,0)="","sí","no"),"no"),"no")</f>
        <v/>
      </c>
    </row>
    <row r="292">
      <c r="A292" t="inlineStr">
        <is>
          <t>Plataforma: Toyota Aygo, Peugeot 107, Citroën C1</t>
        </is>
      </c>
      <c r="B292" t="inlineStr">
        <is>
          <t>Proyecto B-Zero de Toyota y PSA: plataforma común, fabricados en TPCA Kolín desde 2005; mismo motor de gasolina 1.0 (1KR)</t>
        </is>
      </c>
      <c r="C292" t="inlineStr">
        <is>
          <t>confirmado</t>
        </is>
      </c>
      <c r="D292" t="inlineStr">
        <is>
          <t>Nota de prensa de Toyota, 01-12-2004: https://global.toyota/en/detail/221659 ("Developed on a common platform, all three cars will begin rolling off the line at the TPCA plant in Kolín")</t>
        </is>
      </c>
    </row>
    <row r="293">
      <c r="A293" t="inlineStr">
        <is>
          <t>Plataforma: Seat Ibiza, Seat Córdoba, Volkswagen Polo, Skoda Fabia</t>
        </is>
      </c>
      <c r="B293" t="inlineStr">
        <is>
          <t>Ibiza 6L (2002-2008), Córdoba 6L (2002-2009), Polo 9N (2001-2009) y Fabia I: plataforma PQ24 del grupo VW</t>
        </is>
      </c>
      <c r="C293" t="inlineStr">
        <is>
          <t>confirmado (Ibiza 6L-Polo 9N-Fabia); probable (Córdoba = Ibiza 6L berlina)</t>
        </is>
      </c>
      <c r="D293" t="inlineStr">
        <is>
          <t>Auto Bild, 'Gebrauchtwagen Seat Ibiza (ab 2002)': https://www.autobild.de/artikel/gebrauchtwagen-seat-ibiza-ab-2002--53502.html ("Teilt sich der Ibiza ... 6L ... seine Plattform mit dem Polo 9N und dem Skoda Fabia")</t>
        </is>
      </c>
    </row>
    <row r="295">
      <c r="A295" s="6" t="inlineStr">
        <is>
          <t>8. Ajustes por motor con problemas conocidos (el problema tiene fuente; la magnitud es criterio)</t>
        </is>
      </c>
    </row>
    <row r="296">
      <c r="A296" s="7" t="inlineStr">
        <is>
          <t>Marca</t>
        </is>
      </c>
      <c r="B296" s="7" t="inlineStr">
        <is>
          <t>Motor</t>
        </is>
      </c>
      <c r="C296" s="7" t="inlineStr">
        <is>
          <t>Año desde</t>
        </is>
      </c>
      <c r="D296" s="7" t="inlineStr">
        <is>
          <t>Año hasta</t>
        </is>
      </c>
      <c r="E296" s="7" t="inlineStr">
        <is>
          <t>Ajuste (puntos)</t>
        </is>
      </c>
      <c r="F296" s="7" t="inlineStr">
        <is>
          <t>Problema</t>
        </is>
      </c>
      <c r="G296" s="7" t="inlineStr">
        <is>
          <t>Qué revisar</t>
        </is>
      </c>
      <c r="H296" s="7" t="inlineStr">
        <is>
          <t>Estado</t>
        </is>
      </c>
      <c r="I296" s="7" t="inlineStr">
        <is>
          <t>Fuente</t>
        </is>
      </c>
    </row>
    <row r="297">
      <c r="A297" s="2" t="inlineStr">
        <is>
          <t>(todas)</t>
        </is>
      </c>
      <c r="B297" s="2" t="inlineStr">
        <is>
          <t>1.2 PureTech</t>
        </is>
      </c>
      <c r="C297" s="2" t="n">
        <v>2012</v>
      </c>
      <c r="D297" s="2" t="n">
        <v>2022</v>
      </c>
      <c r="E297" s="2" t="n">
        <v>-25</v>
      </c>
      <c r="F297" t="inlineStr">
        <is>
          <t>Correa de distribución húmeda que se degrada y consumo de aceite; Stellantis amplió garantía a 10 años/175.000 km con condiciones</t>
        </is>
      </c>
      <c r="G297" t="inlineStr">
        <is>
          <t>Factura de cambio de correa y del tamiz/bomba de aceite; nivel de aceite; testigo de presión; si entra en la ampliación de garantía Stellantis</t>
        </is>
      </c>
      <c r="H297" t="inlineStr">
        <is>
          <t>probable</t>
        </is>
      </c>
      <c r="I297" t="inlineStr">
        <is>
          <t>https://www.km77.com/revista/engendro-mecanico/stellantis-compensacion-afectados-puretech/ ; https://www.motorpasion.com/industria/stellantis-fin-responde-al-problema-motores-puretech-10-anos-garantia-retroactiva</t>
        </is>
      </c>
    </row>
    <row r="298">
      <c r="A298" s="2" t="inlineStr">
        <is>
          <t>(todas)</t>
        </is>
      </c>
      <c r="B298" s="2" t="inlineStr">
        <is>
          <t>1.0 PureTech</t>
        </is>
      </c>
      <c r="C298" s="2" t="n">
        <v>2012</v>
      </c>
      <c r="D298" s="2" t="n">
        <v>2022</v>
      </c>
      <c r="E298" s="2" t="n">
        <v>-25</v>
      </c>
      <c r="F298" t="inlineStr">
        <is>
          <t>Igual que 1.2 PureTech (familia EB)</t>
        </is>
      </c>
      <c r="G298" t="inlineStr">
        <is>
          <t>Igual que 1.2 PureTech</t>
        </is>
      </c>
      <c r="H298" t="inlineStr">
        <is>
          <t>probable</t>
        </is>
      </c>
      <c r="I298" t="inlineStr">
        <is>
          <t>https://www.km77.com/revista/engendro-mecanico/stellantis-compensacion-afectados-puretech/</t>
        </is>
      </c>
    </row>
    <row r="299">
      <c r="A299" s="2" t="inlineStr">
        <is>
          <t>(todas)</t>
        </is>
      </c>
      <c r="B299" s="2" t="inlineStr">
        <is>
          <t>1.2 VTi</t>
        </is>
      </c>
      <c r="C299" s="2" t="n">
        <v>2012</v>
      </c>
      <c r="D299" s="2" t="n">
        <v>2022</v>
      </c>
      <c r="E299" s="2" t="n">
        <v>-25</v>
      </c>
      <c r="F299" t="inlineStr">
        <is>
          <t>1.2 VTi atmosférico = PureTech EB2 (correa húmeda)</t>
        </is>
      </c>
      <c r="G299" t="inlineStr">
        <is>
          <t>Igual que 1.2 PureTech</t>
        </is>
      </c>
      <c r="H299" t="inlineStr">
        <is>
          <t>probable</t>
        </is>
      </c>
      <c r="I299" t="inlineStr">
        <is>
          <t>https://www.km77.com/revista/engendro-mecanico/stellantis-compensacion-afectados-puretech/</t>
        </is>
      </c>
    </row>
    <row r="300">
      <c r="A300" s="2" t="inlineStr">
        <is>
          <t>(todas)</t>
        </is>
      </c>
      <c r="B300" s="2" t="inlineStr">
        <is>
          <t>1.2 TSI</t>
        </is>
      </c>
      <c r="C300" s="2" t="n">
        <v>2008</v>
      </c>
      <c r="D300" s="2" t="n">
        <v>2012</v>
      </c>
      <c r="E300" s="2" t="n">
        <v>-20</v>
      </c>
      <c r="F300" t="inlineStr">
        <is>
          <t>EA111: cadena de distribución que se alarga y tensor que falla; puede saltar y romper el motor</t>
        </is>
      </c>
      <c r="G300" t="inlineStr">
        <is>
          <t>Ruido metálico en arranque en frío (primeros segundos); factura de cambio de cadena y tensor</t>
        </is>
      </c>
      <c r="H300" t="inlineStr">
        <is>
          <t>probable</t>
        </is>
      </c>
      <c r="I300" t="inlineStr">
        <is>
          <t>https://www.autobild.de/artikel/vw-steuerketten-kulanz-2892135.html</t>
        </is>
      </c>
    </row>
    <row r="301">
      <c r="A301" s="2" t="inlineStr">
        <is>
          <t>(todas)</t>
        </is>
      </c>
      <c r="B301" s="2" t="inlineStr">
        <is>
          <t>1.4 TSI</t>
        </is>
      </c>
      <c r="C301" s="2" t="n">
        <v>2008</v>
      </c>
      <c r="D301" s="2" t="n">
        <v>2012</v>
      </c>
      <c r="E301" s="2" t="n">
        <v>-20</v>
      </c>
      <c r="F301" t="inlineStr">
        <is>
          <t>EA111: cadena de distribución que se alarga y tensor que falla</t>
        </is>
      </c>
      <c r="G301" t="inlineStr">
        <is>
          <t>Ruido de cadena en frío; factura de cadena/tensor; consumo de aceite</t>
        </is>
      </c>
      <c r="H301" t="inlineStr">
        <is>
          <t>probable</t>
        </is>
      </c>
      <c r="I301" t="inlineStr">
        <is>
          <t>https://www.autobild.de/artikel/vw-steuerketten-kulanz-2892135.html</t>
        </is>
      </c>
    </row>
    <row r="302">
      <c r="A302" s="2" t="inlineStr">
        <is>
          <t>(todas)</t>
        </is>
      </c>
      <c r="B302" s="2" t="inlineStr">
        <is>
          <t>1.0 EcoBoost</t>
        </is>
      </c>
      <c r="C302" s="2" t="n">
        <v>2012</v>
      </c>
      <c r="D302" s="2" t="n">
        <v>2018</v>
      </c>
      <c r="E302" s="2" t="n">
        <v>-20</v>
      </c>
      <c r="F302" t="inlineStr">
        <is>
          <t>Correa bañada en aceite que se degrada; fallos de refrigeración y sobrecalentamiento (≈2012-2014)</t>
        </is>
      </c>
      <c r="G302" t="inlineStr">
        <is>
          <t>Fugas y nivel de refrigerante, manguitos, historial de sobrecalentamiento, factura de correa</t>
        </is>
      </c>
      <c r="H302" t="inlineStr">
        <is>
          <t>probable</t>
        </is>
      </c>
      <c r="I302" t="inlineStr">
        <is>
          <t>https://www.motor.es/noticias/ford-10-ecoboost-tricilindricos-correas-banadas-2026115650.html ; https://www.whatcar.com/news/ford-ecoboost-engine-recall-%E2%80%93-what-you-need-to-know/n17972</t>
        </is>
      </c>
    </row>
    <row r="303">
      <c r="A303" s="2" t="inlineStr">
        <is>
          <t>(todas)</t>
        </is>
      </c>
      <c r="B303" s="2" t="inlineStr">
        <is>
          <t>1.2 TCe</t>
        </is>
      </c>
      <c r="C303" s="2" t="n">
        <v>2012</v>
      </c>
      <c r="D303" s="2" t="n">
        <v>2016</v>
      </c>
      <c r="E303" s="2" t="n">
        <v>-20</v>
      </c>
      <c r="F303" t="inlineStr">
        <is>
          <t>H5Ft: consumo excesivo de aceite (fabricados 10/2012-07/2016); recalibración desde 06/2015</t>
        </is>
      </c>
      <c r="G303" t="inlineStr">
        <is>
          <t>Consumo de aceite, humo azul, si se le hizo la actualización de software/campaña</t>
        </is>
      </c>
      <c r="H303" t="inlineStr">
        <is>
          <t>probable</t>
        </is>
      </c>
      <c r="I303" t="inlineStr">
        <is>
          <t>https://questions.assemblee-nationale.fr/dyn/15/questions/QANR5L15QOSD963.pdf</t>
        </is>
      </c>
    </row>
    <row r="304">
      <c r="A304" s="2" t="inlineStr">
        <is>
          <t>Opel</t>
        </is>
      </c>
      <c r="B304" s="2" t="inlineStr">
        <is>
          <t>1.4 Turbo</t>
        </is>
      </c>
      <c r="C304" s="2" t="n">
        <v>2010</v>
      </c>
      <c r="D304" s="2" t="n">
        <v>2018</v>
      </c>
      <c r="E304" s="2" t="n">
        <v>-10</v>
      </c>
      <c r="F304" t="inlineStr">
        <is>
          <t>A14NET: pistones/segmentos (consumo de aceite, preencendido), ventilación del cárter, cadena. Fuentes secundarias</t>
        </is>
      </c>
      <c r="G304" t="inlineStr">
        <is>
          <t>Consumo de aceite, tirones, ruido de cadena</t>
        </is>
      </c>
      <c r="H304" t="inlineStr">
        <is>
          <t>probable (fuente secundaria)</t>
        </is>
      </c>
      <c r="I304" t="inlineStr">
        <is>
          <t>https://carwiki.de/opel-a14net-motor</t>
        </is>
      </c>
    </row>
    <row r="305">
      <c r="A305" s="2" t="inlineStr">
        <is>
          <t>(todas)</t>
        </is>
      </c>
      <c r="B305" s="2" t="inlineStr">
        <is>
          <t>1.6 THP</t>
        </is>
      </c>
      <c r="C305" s="2" t="n">
        <v>2007</v>
      </c>
      <c r="D305" s="2" t="n">
        <v>2018</v>
      </c>
      <c r="E305" s="2" t="n">
        <v>-10</v>
      </c>
      <c r="F305" t="inlineStr">
        <is>
          <t>Familia Prince EP6 turbo (PSA/BMW): estiramiento de la cadena de distribución, consumo de aceite y carbonilla en admisión. Solo fuentes secundarias</t>
        </is>
      </c>
      <c r="G305" t="inlineStr">
        <is>
          <t>Traqueteo de cadena en arranque en frío, consumo de aceite, facturas de cadena/tensor</t>
        </is>
      </c>
      <c r="H305" t="inlineStr">
        <is>
          <t>probable (fuente secundaria)</t>
        </is>
      </c>
      <c r="I305" t="inlineStr">
        <is>
          <t>https://autoscore.pro/engine/1.6-thp-ep6</t>
        </is>
      </c>
    </row>
    <row r="306">
      <c r="A306" s="2" t="inlineStr">
        <is>
          <t>(todas)</t>
        </is>
      </c>
      <c r="B306" s="2" t="inlineStr">
        <is>
          <t>1.6 VTi</t>
        </is>
      </c>
      <c r="C306" s="2" t="n">
        <v>2006</v>
      </c>
      <c r="D306" s="2" t="n">
        <v>2015</v>
      </c>
      <c r="E306" s="2" t="n">
        <v>-10</v>
      </c>
      <c r="F306" t="inlineStr">
        <is>
          <t>Familia Prince EP6 atmosférico (= MINI N12/N16): tensor y guías de la cadena de distribución; los boletines de MINI (SI M11 03 11) cubren también los atmosféricos producidos hasta 11-2011</t>
        </is>
      </c>
      <c r="G306" t="inlineStr">
        <is>
          <t>Ruido de cadena en arranque en frío (primeros segundos), consumo de aceite, factura de cadena/tensor</t>
        </is>
      </c>
      <c r="H306" t="inlineStr">
        <is>
          <t>probable (boletines de servicio MINI recogidos por australiancar.reviews)</t>
        </is>
      </c>
      <c r="I306" t="inlineStr">
        <is>
          <t>https://australiancar.reviews/recalls-faults-mini-r56-cooper-2007-13/</t>
        </is>
      </c>
    </row>
    <row r="307">
      <c r="A307" s="2" t="inlineStr">
        <is>
          <t>(todas)</t>
        </is>
      </c>
      <c r="B307" s="2" t="inlineStr">
        <is>
          <t>1.4 VTi</t>
        </is>
      </c>
      <c r="C307" s="2" t="n">
        <v>2006</v>
      </c>
      <c r="D307" s="2" t="n">
        <v>2015</v>
      </c>
      <c r="E307" s="2" t="n">
        <v>-10</v>
      </c>
      <c r="F307" t="inlineStr">
        <is>
          <t>PSA 1.4 VTi (EP3) = familia Prince (como el MINI 1.4 N12B14): tensor y guías de la cadena de distribución</t>
        </is>
      </c>
      <c r="G307" t="inlineStr">
        <is>
          <t>Ruido de cadena en arranque en frío, consumo de aceite, factura de cadena/tensor</t>
        </is>
      </c>
      <c r="H307" t="inlineStr">
        <is>
          <t>probable (boletines de servicio MINI de la familia Prince recogidos por australiancar.reviews)</t>
        </is>
      </c>
      <c r="I307" t="inlineStr">
        <is>
          <t>https://australiancar.reviews/recalls-faults-mini-r56-cooper-2007-13/</t>
        </is>
      </c>
    </row>
    <row r="308">
      <c r="A308" s="2" t="inlineStr">
        <is>
          <t>MINI</t>
        </is>
      </c>
      <c r="B308" s="2" t="inlineStr">
        <is>
          <t>(cualquiera)</t>
        </is>
      </c>
      <c r="C308" s="2" t="n">
        <v>2006</v>
      </c>
      <c r="D308" s="2" t="n">
        <v>2013</v>
      </c>
      <c r="E308" s="2" t="n">
        <v>-10</v>
      </c>
      <c r="F308" t="inlineStr">
        <is>
          <t>MINI R56 1.4/1.6 con motores Prince (N12/N16 atmosféricos, N14/N18 turbo): tensor de la cadena de distribución (boletines SI M11 02 07 y SI M11 03 11; producidos antes de 11-2011)</t>
        </is>
      </c>
      <c r="G308" t="inlineStr">
        <is>
          <t>Cascabeleo de cadena en frío, historial de cambio de tensor/cadena, consumo de aceite (N14)</t>
        </is>
      </c>
      <c r="H308" t="inlineStr">
        <is>
          <t>probable (boletines de servicio MINI recogidos por australiancar.reviews)</t>
        </is>
      </c>
      <c r="I308" t="inlineStr">
        <is>
          <t>https://australiancar.reviews/recalls-faults-mini-r56-cooper-2007-13/</t>
        </is>
      </c>
    </row>
    <row r="309">
      <c r="A309" s="2" t="inlineStr">
        <is>
          <t>(todas)</t>
        </is>
      </c>
      <c r="B309" s="2" t="inlineStr">
        <is>
          <t>1.6 HDi</t>
        </is>
      </c>
      <c r="C309" s="2" t="n">
        <v>2004</v>
      </c>
      <c r="D309" s="2" t="n">
        <v>2010</v>
      </c>
      <c r="E309" s="2" t="n">
        <v>-20</v>
      </c>
      <c r="F309" t="inlineStr">
        <is>
          <t>PSA DV6 16v (producido hasta 2010): fallos de inyectores, volante motor, turbo y embrague</t>
        </is>
      </c>
      <c r="G309" t="inlineStr">
        <is>
          <t>Humo y silbido de turbo, juntas de inyector (carbonilla), volante bimasa (vibración al ralentí), factura de turbo/embrague</t>
        </is>
      </c>
      <c r="H309" t="inlineStr">
        <is>
          <t>confirmado</t>
        </is>
      </c>
      <c r="I309" t="inlineStr">
        <is>
          <t>L'argus, 'Diesel : la liste des pannes récurrentes des moteurs HDi, dCi, TDI...' (28-10-2014): https://www.largus.fr/actualite-automobile/diesel-la-liste-des-pannes-recurrentes-5287380_p_2.html</t>
        </is>
      </c>
    </row>
    <row r="310">
      <c r="A310" s="2" t="inlineStr">
        <is>
          <t>(todas)</t>
        </is>
      </c>
      <c r="B310" s="2" t="inlineStr">
        <is>
          <t>1.6 HDi</t>
        </is>
      </c>
      <c r="C310" s="2" t="n">
        <v>2011</v>
      </c>
      <c r="D310" s="2" t="n">
        <v>2014</v>
      </c>
      <c r="E310" s="2" t="n">
        <v>-10</v>
      </c>
      <c r="F310" t="inlineStr">
        <is>
          <t>PSA DV6 8v: inyectores Continental con tirones hasta abril de 2014; la polea del cigüeñal desgasta la correa de distribución</t>
        </is>
      </c>
      <c r="G310" t="inlineStr">
        <is>
          <t>Tirones en aceleración, estado de la correa y de la polea del cigüeñal, factura de distribución</t>
        </is>
      </c>
      <c r="H310" t="inlineStr">
        <is>
          <t>confirmado</t>
        </is>
      </c>
      <c r="I310" t="inlineStr">
        <is>
          <t>L'argus, 'Diesel : la liste des pannes récurrentes des moteurs HDi, dCi, TDI...' (28-10-2014): https://www.largus.fr/actualite-automobile/diesel-la-liste-des-pannes-recurrentes-5287380_p_2.html</t>
        </is>
      </c>
    </row>
    <row r="311">
      <c r="A311" s="2" t="inlineStr">
        <is>
          <t>(todas)</t>
        </is>
      </c>
      <c r="B311" s="2" t="inlineStr">
        <is>
          <t>1.6 HDi</t>
        </is>
      </c>
      <c r="C311" s="2" t="n">
        <v>2015</v>
      </c>
      <c r="D311" s="2" t="n">
        <v>2020</v>
      </c>
      <c r="E311" s="2" t="n">
        <v>-5</v>
      </c>
      <c r="F311" t="inlineStr">
        <is>
          <t>1.6 BlueHDi: depósito de AdBlue defectuoso; Stellantis amplió la garantía de sustitución a 8 años (acuerdo OCU/BEUC)</t>
        </is>
      </c>
      <c r="G311" t="inlineStr">
        <is>
          <t>Testigo de AdBlue/anticontaminación; si se cambió el depósito, factura o si entra en la ampliación</t>
        </is>
      </c>
      <c r="H311" t="inlineStr">
        <is>
          <t>confirmado</t>
        </is>
      </c>
      <c r="I311" t="inlineStr">
        <is>
          <t>OCU, nota de prensa 27-12-2024: https://www.ocu.org/organizacion/prensa/notas-de-prensa/2024/adblue271224</t>
        </is>
      </c>
    </row>
    <row r="312">
      <c r="A312" s="2" t="inlineStr">
        <is>
          <t>(todas)</t>
        </is>
      </c>
      <c r="B312" s="2" t="inlineStr">
        <is>
          <t>1.6 TDCi</t>
        </is>
      </c>
      <c r="C312" s="2" t="n">
        <v>2004</v>
      </c>
      <c r="D312" s="2" t="n">
        <v>2010</v>
      </c>
      <c r="E312" s="2" t="n">
        <v>-20</v>
      </c>
      <c r="F312" t="inlineStr">
        <is>
          <t>Ford 1.6 TDCi = PSA DV6 16v: mismos fallos de inyectores, turbo y volante motor</t>
        </is>
      </c>
      <c r="G312" t="inlineStr">
        <is>
          <t>Igual que 1.6 HDi 16v</t>
        </is>
      </c>
      <c r="H312" t="inlineStr">
        <is>
          <t>probable (mismo motor que el 1.6 HDi; la fuente habla de PSA)</t>
        </is>
      </c>
      <c r="I312" t="inlineStr">
        <is>
          <t>L'argus, 'Diesel : la liste des pannes récurrentes des moteurs HDi, dCi, TDI...' (28-10-2014): https://www.largus.fr/actualite-automobile/diesel-la-liste-des-pannes-recurrentes-5287380_p_2.html</t>
        </is>
      </c>
    </row>
    <row r="313">
      <c r="A313" s="2" t="inlineStr">
        <is>
          <t>(todas)</t>
        </is>
      </c>
      <c r="B313" s="2" t="inlineStr">
        <is>
          <t>1.6 TDCi</t>
        </is>
      </c>
      <c r="C313" s="2" t="n">
        <v>2011</v>
      </c>
      <c r="D313" s="2" t="n">
        <v>2014</v>
      </c>
      <c r="E313" s="2" t="n">
        <v>-10</v>
      </c>
      <c r="F313" t="inlineStr">
        <is>
          <t>Ford 1.6 TDCi = PSA DV6 8v: inyectores y desgaste de la correa por la polea</t>
        </is>
      </c>
      <c r="G313" t="inlineStr">
        <is>
          <t>Igual que 1.6 HDi 8v</t>
        </is>
      </c>
      <c r="H313" t="inlineStr">
        <is>
          <t>probable (mismo motor)</t>
        </is>
      </c>
      <c r="I313" t="inlineStr">
        <is>
          <t>L'argus, 'Diesel : la liste des pannes récurrentes des moteurs HDi, dCi, TDI...' (28-10-2014): https://www.largus.fr/actualite-automobile/diesel-la-liste-des-pannes-recurrentes-5287380_p_2.html</t>
        </is>
      </c>
    </row>
    <row r="314">
      <c r="A314" s="2" t="inlineStr">
        <is>
          <t>(todas)</t>
        </is>
      </c>
      <c r="B314" s="2" t="inlineStr">
        <is>
          <t>1.4 HDi</t>
        </is>
      </c>
      <c r="C314" s="2" t="n">
        <v>2001</v>
      </c>
      <c r="D314" s="2" t="n">
        <v>2008</v>
      </c>
      <c r="E314" s="2" t="n">
        <v>-10</v>
      </c>
      <c r="F314" t="inlineStr">
        <is>
          <t>PSA DV4: fugas en inyectores (juntas hasta 01-04-2004, tubos rígidos hasta 31-01-2008)</t>
        </is>
      </c>
      <c r="G314" t="inlineStr">
        <is>
          <t>Olor a gasóleo, fugas en inyectores, arranque en caliente</t>
        </is>
      </c>
      <c r="H314" t="inlineStr">
        <is>
          <t>confirmado</t>
        </is>
      </c>
      <c r="I314" t="inlineStr">
        <is>
          <t>L'argus, 'Diesel : la liste des pannes récurrentes des moteurs HDi, dCi, TDI...' (28-10-2014): https://www.largus.fr/actualite-automobile/diesel-la-liste-des-pannes-recurrentes-5287380_p_2.html</t>
        </is>
      </c>
    </row>
    <row r="315">
      <c r="A315" s="2" t="inlineStr">
        <is>
          <t>(todas)</t>
        </is>
      </c>
      <c r="B315" s="2" t="inlineStr">
        <is>
          <t>1.4 HDi</t>
        </is>
      </c>
      <c r="C315" s="2" t="n">
        <v>2009</v>
      </c>
      <c r="D315" s="2" t="n">
        <v>2013</v>
      </c>
      <c r="E315" s="2" t="n">
        <v>-5</v>
      </c>
      <c r="F315" t="inlineStr">
        <is>
          <t>1.4 HDi 68 FAP Euro 5: riesgo de obstrucción del filtro de partículas hasta julio de 2013 (regeneración)</t>
        </is>
      </c>
      <c r="G315" t="inlineStr">
        <is>
          <t>Testigo de FAP, regeneraciones frecuentes</t>
        </is>
      </c>
      <c r="H315" t="inlineStr">
        <is>
          <t>confirmado</t>
        </is>
      </c>
      <c r="I315" t="inlineStr">
        <is>
          <t>L'argus, 'Diesel : la liste des pannes récurrentes des moteurs HDi, dCi, TDI...' (28-10-2014): https://www.largus.fr/actualite-automobile/diesel-la-liste-des-pannes-recurrentes-5287380_p_2.html</t>
        </is>
      </c>
    </row>
    <row r="316">
      <c r="A316" s="2" t="inlineStr">
        <is>
          <t>(todas)</t>
        </is>
      </c>
      <c r="B316" s="2" t="inlineStr">
        <is>
          <t>1.4 TDCi</t>
        </is>
      </c>
      <c r="C316" s="2" t="n">
        <v>2001</v>
      </c>
      <c r="D316" s="2" t="n">
        <v>2008</v>
      </c>
      <c r="E316" s="2" t="n">
        <v>-10</v>
      </c>
      <c r="F316" t="inlineStr">
        <is>
          <t>Ford 1.4 TDCi = PSA DV4: fugas en inyectores</t>
        </is>
      </c>
      <c r="G316" t="inlineStr">
        <is>
          <t>Igual que 1.4 HDi</t>
        </is>
      </c>
      <c r="H316" t="inlineStr">
        <is>
          <t>probable (mismo motor)</t>
        </is>
      </c>
      <c r="I316" t="inlineStr">
        <is>
          <t>L'argus, 'Diesel : la liste des pannes récurrentes des moteurs HDi, dCi, TDI...' (28-10-2014): https://www.largus.fr/actualite-automobile/diesel-la-liste-des-pannes-recurrentes-5287380_p_2.html</t>
        </is>
      </c>
    </row>
    <row r="317">
      <c r="A317" s="2" t="inlineStr">
        <is>
          <t>(todas)</t>
        </is>
      </c>
      <c r="B317" s="2" t="inlineStr">
        <is>
          <t>1.5 dCi</t>
        </is>
      </c>
      <c r="C317" s="2" t="n">
        <v>2001</v>
      </c>
      <c r="D317" s="2" t="n">
        <v>2007</v>
      </c>
      <c r="E317" s="2" t="n">
        <v>-25</v>
      </c>
      <c r="F317" t="inlineStr">
        <is>
          <t>Renault K9K: desgaste anormal de los cojinetes de biela que puede acabar en rotura del motor (afectó a cerca del 1 % hasta 2007)</t>
        </is>
      </c>
      <c r="G317" t="inlineStr">
        <is>
          <t>Ruido de bielas en caliente, presión de aceite, facturas de cambio de aceite cada 10-15.000 km; si se cambiaron cojinetes</t>
        </is>
      </c>
      <c r="H317" t="inlineStr">
        <is>
          <t>confirmado</t>
        </is>
      </c>
      <c r="I317" t="inlineStr">
        <is>
          <t>L'argus, 'Diesel : la liste des pannes récurrentes des moteurs HDi, dCi, TDI...' (28-10-2014): https://www.largus.fr/actualite-automobile/diesel-la-liste-des-pannes-recurrentes-5287380_p_3.html</t>
        </is>
      </c>
    </row>
    <row r="318">
      <c r="A318" s="2" t="inlineStr">
        <is>
          <t>(todas)</t>
        </is>
      </c>
      <c r="B318" s="2" t="inlineStr">
        <is>
          <t>1.5 dCi</t>
        </is>
      </c>
      <c r="C318" s="2" t="n">
        <v>2008</v>
      </c>
      <c r="D318" s="2" t="n">
        <v>2018</v>
      </c>
      <c r="E318" s="2" t="n">
        <v>0</v>
      </c>
      <c r="F318" t="inlineStr">
        <is>
          <t>La fuente sitúa el problema de los cojinetes hasta 2007; después no señala fallos graves específicos</t>
        </is>
      </c>
      <c r="G318" t="inlineStr">
        <is>
          <t>Historial de cambios de aceite, EGR y FAP en uso urbano</t>
        </is>
      </c>
      <c r="H318" t="inlineStr">
        <is>
          <t>probable</t>
        </is>
      </c>
      <c r="I318" t="inlineStr">
        <is>
          <t>L'argus, 'Diesel : la liste des pannes récurrentes des moteurs HDi, dCi, TDI...' (28-10-2014): https://www.largus.fr/actualite-automobile/diesel-la-liste-des-pannes-recurrentes-5287380_p_3.html</t>
        </is>
      </c>
    </row>
    <row r="319">
      <c r="A319" s="2" t="inlineStr">
        <is>
          <t>(todas)</t>
        </is>
      </c>
      <c r="B319" s="2" t="inlineStr">
        <is>
          <t>1.3 Multijet</t>
        </is>
      </c>
      <c r="C319" s="2" t="n">
        <v>2005</v>
      </c>
      <c r="D319" s="2" t="n">
        <v>2018</v>
      </c>
      <c r="E319" s="2" t="n">
        <v>-15</v>
      </c>
      <c r="F319" t="inlineStr">
        <is>
          <t>Fiat 1.3 JTD/Multijet (también Ford Ka, Suzuki Splash y Swift): riesgo de rotura del motor por dilución del aceite</t>
        </is>
      </c>
      <c r="G319" t="inlineStr">
        <is>
          <t>Nivel de aceite que SUBE (dilución por gasóleo), regeneraciones del FAP, cambios de aceite frecuentes</t>
        </is>
      </c>
      <c r="H319" t="inlineStr">
        <is>
          <t>confirmado</t>
        </is>
      </c>
      <c r="I319" t="inlineStr">
        <is>
          <t>L'argus, 'Diesel : la liste des pannes récurrentes des moteurs HDi, dCi, TDI...' (28-10-2014): https://www.largus.fr/actualite-automobile/diesel-la-liste-des-pannes-recurrentes-5287380_p_5.html</t>
        </is>
      </c>
    </row>
    <row r="320">
      <c r="A320" s="2" t="inlineStr">
        <is>
          <t>Ford</t>
        </is>
      </c>
      <c r="B320" s="2" t="inlineStr">
        <is>
          <t>1.3 TDCi</t>
        </is>
      </c>
      <c r="C320" s="2" t="n">
        <v>2008</v>
      </c>
      <c r="D320" s="2" t="n">
        <v>2016</v>
      </c>
      <c r="E320" s="2" t="n">
        <v>-15</v>
      </c>
      <c r="F320" t="inlineStr">
        <is>
          <t>Ford Ka 1.3 TDCi = Fiat 1.3 Multijet: riesgo de rotura por dilución del aceite</t>
        </is>
      </c>
      <c r="G320" t="inlineStr">
        <is>
          <t>Igual que 1.3 Multijet</t>
        </is>
      </c>
      <c r="H320" t="inlineStr">
        <is>
          <t>confirmado (la fuente cita el Ford Ka)</t>
        </is>
      </c>
      <c r="I320" t="inlineStr">
        <is>
          <t>L'argus (28-10-2014): https://www.largus.fr/actualite-automobile/diesel-la-liste-des-pannes-recurrentes-5287380_p_5.html</t>
        </is>
      </c>
    </row>
    <row r="321">
      <c r="A321" s="2" t="inlineStr">
        <is>
          <t>(todas)</t>
        </is>
      </c>
      <c r="B321" s="2" t="inlineStr">
        <is>
          <t>1.3 CDTi</t>
        </is>
      </c>
      <c r="C321" s="2" t="n">
        <v>2003</v>
      </c>
      <c r="D321" s="2" t="n">
        <v>2009</v>
      </c>
      <c r="E321" s="2" t="n">
        <v>-5</v>
      </c>
      <c r="F321" t="inlineStr">
        <is>
          <t>Opel 1.3 CDTI: olor a gasóleo por soportes o juntas de inyectores hasta junio de 2009</t>
        </is>
      </c>
      <c r="G321" t="inlineStr">
        <is>
          <t>Olor a gasóleo en el habitáculo, juntas de inyector</t>
        </is>
      </c>
      <c r="H321" t="inlineStr">
        <is>
          <t>confirmado</t>
        </is>
      </c>
      <c r="I321" t="inlineStr">
        <is>
          <t>L'argus, 'Diesel : la liste des pannes récurrentes des moteurs HDi, dCi, TDI...' (28-10-2014): https://www.largus.fr/actualite-automobile/diesel-la-liste-des-pannes-recurrentes-5287380_p_5.html</t>
        </is>
      </c>
    </row>
    <row r="322">
      <c r="A322" s="2" t="inlineStr">
        <is>
          <t>(todas)</t>
        </is>
      </c>
      <c r="B322" s="2" t="inlineStr">
        <is>
          <t>1.6 TDI</t>
        </is>
      </c>
      <c r="C322" s="2" t="n">
        <v>2009</v>
      </c>
      <c r="D322" s="2" t="n">
        <v>2015</v>
      </c>
      <c r="E322" s="2" t="n">
        <v>-10</v>
      </c>
      <c r="F322" t="inlineStr">
        <is>
          <t>VAG EA189: fuga de refrigerante por la bomba de agua (L'argus) y campaña de emisiones (dieselgate) con actualización de software y rectificador de flujo</t>
        </is>
      </c>
      <c r="G322" t="inlineStr">
        <is>
          <t>Nivel de refrigerante; comprobar con el bastidor que la campaña EA189 está hecha (si no, puede afectar a la ITV)</t>
        </is>
      </c>
      <c r="H322" t="inlineStr">
        <is>
          <t>confirmado</t>
        </is>
      </c>
      <c r="I322"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323">
      <c r="A323" s="2" t="inlineStr">
        <is>
          <t>(todas)</t>
        </is>
      </c>
      <c r="B323" s="2" t="inlineStr">
        <is>
          <t>1.2 TDI</t>
        </is>
      </c>
      <c r="C323" s="2" t="n">
        <v>2009</v>
      </c>
      <c r="D323" s="2" t="n">
        <v>2014</v>
      </c>
      <c r="E323" s="2" t="n">
        <v>-5</v>
      </c>
      <c r="F323" t="inlineStr">
        <is>
          <t>VAG 1.2 TDI EA189: incluido en la campaña de emisiones (actualización de software)</t>
        </is>
      </c>
      <c r="G323" t="inlineStr">
        <is>
          <t>Comprobar con el bastidor que la campaña EA189 está hecha; FAP en uso urbano</t>
        </is>
      </c>
      <c r="H323" t="inlineStr">
        <is>
          <t>confirmado (campaña); fiabilidad mecánica PENDIENTE</t>
        </is>
      </c>
      <c r="I323" t="inlineStr">
        <is>
          <t>https://www.motor.es/noticias/deberia-llevar-tdi-revision-dieselgate-201630418.html</t>
        </is>
      </c>
    </row>
    <row r="324">
      <c r="A324" t="inlineStr">
        <is>
          <t>Motores con buena fama: PENDIENTE de fuente de autoridad; sin ajuste positivo.</t>
        </is>
      </c>
    </row>
    <row r="326">
      <c r="A326" s="6" t="inlineStr">
        <is>
          <t>9. Ajustes por combustible</t>
        </is>
      </c>
    </row>
    <row r="327">
      <c r="A327" s="7" t="inlineStr">
        <is>
          <t>Combustible</t>
        </is>
      </c>
      <c r="B327" s="7" t="inlineStr">
        <is>
          <t>Ajuste (puntos)</t>
        </is>
      </c>
      <c r="C327" s="7" t="inlineStr">
        <is>
          <t>Problema</t>
        </is>
      </c>
      <c r="D327" s="7" t="inlineStr">
        <is>
          <t>Qué revisar</t>
        </is>
      </c>
      <c r="E327" s="7" t="inlineStr">
        <is>
          <t>Estado</t>
        </is>
      </c>
      <c r="F327" s="7" t="inlineStr">
        <is>
          <t>Fuente</t>
        </is>
      </c>
    </row>
    <row r="328">
      <c r="A328" s="2" t="inlineStr">
        <is>
          <t>diesel</t>
        </is>
      </c>
      <c r="B328" s="2" t="n">
        <v>-15</v>
      </c>
      <c r="C328" t="inlineStr">
        <is>
          <t>Filtro de partículas (DPF): en uso urbano no regenera y se colmata; sustitución &gt;1.000-1.500 €</t>
        </is>
      </c>
      <c r="D328" t="inlineStr">
        <is>
          <t>Testigo DPF, regeneraciones frecuentes, EGR, si se ha anulado el filtro (ilegal en ITV)</t>
        </is>
      </c>
      <c r="E328" t="inlineStr">
        <is>
          <t>probable</t>
        </is>
      </c>
      <c r="F328"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2026-10-31T17:22:26Z</dcterms:created>
  <dcterms:modified xmlns:dcterms="http://purl.org/dc/terms/" xmlns:xsi="http://www.w3.org/2001/XMLSchema-instance" xsi:type="dcterms:W3CDTF">2026-10-31T17:22:27Z</dcterms:modified>
</cp:coreProperties>
</file>